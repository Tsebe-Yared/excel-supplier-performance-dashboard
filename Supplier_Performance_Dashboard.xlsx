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15" windowWidth="22755" windowHeight="9765" activeTab="5"/>
  </bookViews>
  <sheets>
    <sheet name="Raw_Procurement" sheetId="1" r:id="rId1"/>
    <sheet name="Data_Notes" sheetId="2" r:id="rId2"/>
    <sheet name="Raw_Suppliers" sheetId="3" r:id="rId3"/>
    <sheet name="Clean_Data" sheetId="4" r:id="rId4"/>
    <sheet name="Pivots" sheetId="5" r:id="rId5"/>
    <sheet name="Dashboard" sheetId="6" r:id="rId6"/>
  </sheets>
  <definedNames>
    <definedName name="Slicer_order_year">#N/A</definedName>
  </definedNames>
  <calcPr calcId="144525"/>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4" i="6" l="1"/>
  <c r="G4" i="6"/>
  <c r="D4" i="6"/>
  <c r="A4" i="6"/>
  <c r="T3" i="4" l="1"/>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S1353" i="4"/>
  <c r="S1354" i="4"/>
  <c r="S1355" i="4"/>
  <c r="S1356" i="4"/>
  <c r="S1357" i="4"/>
  <c r="S1358" i="4"/>
  <c r="S1359" i="4"/>
  <c r="S1360" i="4"/>
  <c r="S1361" i="4"/>
  <c r="S1362" i="4"/>
  <c r="S1363" i="4"/>
  <c r="S1364" i="4"/>
  <c r="S1365" i="4"/>
  <c r="S1366" i="4"/>
  <c r="S1367" i="4"/>
  <c r="S1368" i="4"/>
  <c r="S1369" i="4"/>
  <c r="S1370" i="4"/>
  <c r="S1371" i="4"/>
  <c r="S1372" i="4"/>
  <c r="S1373" i="4"/>
  <c r="S1374" i="4"/>
  <c r="S1375" i="4"/>
  <c r="S1376" i="4"/>
  <c r="S1377" i="4"/>
  <c r="S1378" i="4"/>
  <c r="S1379" i="4"/>
  <c r="S1380" i="4"/>
  <c r="S1381" i="4"/>
  <c r="S1382" i="4"/>
  <c r="S1383" i="4"/>
  <c r="S1384" i="4"/>
  <c r="S1385" i="4"/>
  <c r="S1386" i="4"/>
  <c r="S1387" i="4"/>
  <c r="S1388" i="4"/>
  <c r="S1389" i="4"/>
  <c r="S1390" i="4"/>
  <c r="S1391" i="4"/>
  <c r="S1392" i="4"/>
  <c r="S1393" i="4"/>
  <c r="S1394" i="4"/>
  <c r="S1395" i="4"/>
  <c r="S1396" i="4"/>
  <c r="S1397" i="4"/>
  <c r="S1398" i="4"/>
  <c r="S1399" i="4"/>
  <c r="S1400" i="4"/>
  <c r="S1401" i="4"/>
  <c r="S1402" i="4"/>
  <c r="S1403" i="4"/>
  <c r="S1404" i="4"/>
  <c r="S1405" i="4"/>
  <c r="S1406" i="4"/>
  <c r="S1407" i="4"/>
  <c r="S1408" i="4"/>
  <c r="S1409" i="4"/>
  <c r="S1410" i="4"/>
  <c r="S1411" i="4"/>
  <c r="S1412" i="4"/>
  <c r="S1413" i="4"/>
  <c r="S1414" i="4"/>
  <c r="S1415" i="4"/>
  <c r="S1416" i="4"/>
  <c r="S1417" i="4"/>
  <c r="S1418" i="4"/>
  <c r="S1419" i="4"/>
  <c r="S1420" i="4"/>
  <c r="S1421" i="4"/>
  <c r="S1422" i="4"/>
  <c r="S1423" i="4"/>
  <c r="S1424" i="4"/>
  <c r="S1425" i="4"/>
  <c r="S1426" i="4"/>
  <c r="S1427" i="4"/>
  <c r="S1428" i="4"/>
  <c r="S1429" i="4"/>
  <c r="S1430" i="4"/>
  <c r="S1431" i="4"/>
  <c r="S1432" i="4"/>
  <c r="S1433" i="4"/>
  <c r="S1434" i="4"/>
  <c r="S1435" i="4"/>
  <c r="S1436" i="4"/>
  <c r="S1437" i="4"/>
  <c r="S1438" i="4"/>
  <c r="S1439" i="4"/>
  <c r="S1440" i="4"/>
  <c r="S1441" i="4"/>
  <c r="S1442" i="4"/>
  <c r="S1443" i="4"/>
  <c r="S1444" i="4"/>
  <c r="S1445" i="4"/>
  <c r="S1446" i="4"/>
  <c r="S1447" i="4"/>
  <c r="S1448" i="4"/>
  <c r="S1449" i="4"/>
  <c r="S1450" i="4"/>
  <c r="S1451" i="4"/>
  <c r="S1452" i="4"/>
  <c r="S1453" i="4"/>
  <c r="S1454" i="4"/>
  <c r="S1455" i="4"/>
  <c r="S1456" i="4"/>
  <c r="S1457" i="4"/>
  <c r="S1458" i="4"/>
  <c r="S1459" i="4"/>
  <c r="S1460" i="4"/>
  <c r="S1461" i="4"/>
  <c r="S1462" i="4"/>
  <c r="S1463" i="4"/>
  <c r="S1464" i="4"/>
  <c r="S1465" i="4"/>
  <c r="S1466" i="4"/>
  <c r="S1467" i="4"/>
  <c r="S1468" i="4"/>
  <c r="S1469" i="4"/>
  <c r="S1470" i="4"/>
  <c r="S1471" i="4"/>
  <c r="S1472" i="4"/>
  <c r="S1473" i="4"/>
  <c r="S1474" i="4"/>
  <c r="S1475" i="4"/>
  <c r="S1476" i="4"/>
  <c r="S1477" i="4"/>
  <c r="S1478" i="4"/>
  <c r="S1479" i="4"/>
  <c r="S1480" i="4"/>
  <c r="S1481" i="4"/>
  <c r="S1482" i="4"/>
  <c r="S1483" i="4"/>
  <c r="S1484" i="4"/>
  <c r="S1485" i="4"/>
  <c r="S1486" i="4"/>
  <c r="S1487" i="4"/>
  <c r="S1488" i="4"/>
  <c r="S1489" i="4"/>
  <c r="S1490" i="4"/>
  <c r="S1491" i="4"/>
  <c r="S1492" i="4"/>
  <c r="S1493" i="4"/>
  <c r="S1494" i="4"/>
  <c r="S1495" i="4"/>
  <c r="S1496" i="4"/>
  <c r="S1497" i="4"/>
  <c r="S1498" i="4"/>
  <c r="S1499" i="4"/>
  <c r="S1500" i="4"/>
  <c r="S1501" i="4"/>
  <c r="S1502" i="4"/>
  <c r="S1503" i="4"/>
  <c r="S1504" i="4"/>
  <c r="S1505" i="4"/>
  <c r="S1506" i="4"/>
  <c r="S1507" i="4"/>
  <c r="S1508" i="4"/>
  <c r="S1509" i="4"/>
  <c r="S1510" i="4"/>
  <c r="S1511" i="4"/>
  <c r="S1512" i="4"/>
  <c r="S1513" i="4"/>
  <c r="S1514" i="4"/>
  <c r="S1515" i="4"/>
  <c r="S1516" i="4"/>
  <c r="S1517" i="4"/>
  <c r="S1518" i="4"/>
  <c r="S1519" i="4"/>
  <c r="S1520" i="4"/>
  <c r="S1521" i="4"/>
  <c r="S1522" i="4"/>
  <c r="S1523" i="4"/>
  <c r="S1524" i="4"/>
  <c r="S1525" i="4"/>
  <c r="S1526" i="4"/>
  <c r="S1527" i="4"/>
  <c r="S1528" i="4"/>
  <c r="S1529" i="4"/>
  <c r="S1530" i="4"/>
  <c r="S1531" i="4"/>
  <c r="S1532" i="4"/>
  <c r="S1533" i="4"/>
  <c r="S1534" i="4"/>
  <c r="S1535" i="4"/>
  <c r="S1536" i="4"/>
  <c r="S1537" i="4"/>
  <c r="S1538" i="4"/>
  <c r="S1539" i="4"/>
  <c r="S1540" i="4"/>
  <c r="S1541" i="4"/>
  <c r="S1542" i="4"/>
  <c r="S1543" i="4"/>
  <c r="S1544" i="4"/>
  <c r="S1545" i="4"/>
  <c r="S1546" i="4"/>
  <c r="S1547" i="4"/>
  <c r="S1548" i="4"/>
  <c r="S1549" i="4"/>
  <c r="S1550" i="4"/>
  <c r="S1551" i="4"/>
  <c r="S1552" i="4"/>
  <c r="S1553" i="4"/>
  <c r="S1554" i="4"/>
  <c r="S1555" i="4"/>
  <c r="S1556" i="4"/>
  <c r="S1557" i="4"/>
  <c r="S1558" i="4"/>
  <c r="S1559" i="4"/>
  <c r="S1560" i="4"/>
  <c r="S1561" i="4"/>
  <c r="S1562" i="4"/>
  <c r="S1563" i="4"/>
  <c r="S1564" i="4"/>
  <c r="S1565" i="4"/>
  <c r="S1566" i="4"/>
  <c r="S1567" i="4"/>
  <c r="S1568" i="4"/>
  <c r="S1569" i="4"/>
  <c r="S1570" i="4"/>
  <c r="S1571" i="4"/>
  <c r="S1572" i="4"/>
  <c r="S1573" i="4"/>
  <c r="S1574" i="4"/>
  <c r="S1575" i="4"/>
  <c r="S1576" i="4"/>
  <c r="S1577" i="4"/>
  <c r="S1578" i="4"/>
  <c r="S1579" i="4"/>
  <c r="S1580" i="4"/>
  <c r="S1581" i="4"/>
  <c r="S1582" i="4"/>
  <c r="S1583" i="4"/>
  <c r="S1584" i="4"/>
  <c r="S1585" i="4"/>
  <c r="S1586" i="4"/>
  <c r="S1587" i="4"/>
  <c r="S1588" i="4"/>
  <c r="S1589" i="4"/>
  <c r="S1590" i="4"/>
  <c r="S1591" i="4"/>
  <c r="S1592" i="4"/>
  <c r="S1593" i="4"/>
  <c r="S1594" i="4"/>
  <c r="S1595" i="4"/>
  <c r="S1596" i="4"/>
  <c r="S1597" i="4"/>
  <c r="S1598" i="4"/>
  <c r="S1599" i="4"/>
  <c r="S1600" i="4"/>
  <c r="S1601" i="4"/>
  <c r="S1602" i="4"/>
  <c r="S1603" i="4"/>
  <c r="S1604" i="4"/>
  <c r="S1605" i="4"/>
  <c r="S1606" i="4"/>
  <c r="S1607" i="4"/>
  <c r="S1608" i="4"/>
  <c r="S1609" i="4"/>
  <c r="S1610" i="4"/>
  <c r="S1611" i="4"/>
  <c r="S1612" i="4"/>
  <c r="S1613" i="4"/>
  <c r="S1614" i="4"/>
  <c r="S1615" i="4"/>
  <c r="S1616" i="4"/>
  <c r="S1617" i="4"/>
  <c r="S1618" i="4"/>
  <c r="S1619" i="4"/>
  <c r="S1620" i="4"/>
  <c r="S1621" i="4"/>
  <c r="S1622" i="4"/>
  <c r="S1623" i="4"/>
  <c r="S1624" i="4"/>
  <c r="S1625" i="4"/>
  <c r="S1626" i="4"/>
  <c r="S1627" i="4"/>
  <c r="S1628" i="4"/>
  <c r="S1629" i="4"/>
  <c r="S1630" i="4"/>
  <c r="S1631" i="4"/>
  <c r="S1632" i="4"/>
  <c r="S1633" i="4"/>
  <c r="S1634" i="4"/>
  <c r="S1635" i="4"/>
  <c r="S1636" i="4"/>
  <c r="S1637" i="4"/>
  <c r="S1638" i="4"/>
  <c r="S1639" i="4"/>
  <c r="S1640" i="4"/>
  <c r="S1641" i="4"/>
  <c r="S1642" i="4"/>
  <c r="S1643" i="4"/>
  <c r="S1644" i="4"/>
  <c r="S1645" i="4"/>
  <c r="S1646" i="4"/>
  <c r="S1647" i="4"/>
  <c r="S1648" i="4"/>
  <c r="S1649" i="4"/>
  <c r="S1650" i="4"/>
  <c r="S1651" i="4"/>
  <c r="S1652" i="4"/>
  <c r="S1653" i="4"/>
  <c r="S1654" i="4"/>
  <c r="S1655" i="4"/>
  <c r="S1656" i="4"/>
  <c r="S1657" i="4"/>
  <c r="S1658" i="4"/>
  <c r="S1659" i="4"/>
  <c r="S1660" i="4"/>
  <c r="S1661" i="4"/>
  <c r="S1662" i="4"/>
  <c r="S1663" i="4"/>
  <c r="S1664" i="4"/>
  <c r="S1665" i="4"/>
  <c r="S1666" i="4"/>
  <c r="S1667" i="4"/>
  <c r="S1668" i="4"/>
  <c r="S1669" i="4"/>
  <c r="S1670" i="4"/>
  <c r="S1671" i="4"/>
  <c r="S1672" i="4"/>
  <c r="S1673" i="4"/>
  <c r="S1674" i="4"/>
  <c r="S1675" i="4"/>
  <c r="S1676" i="4"/>
  <c r="S1677" i="4"/>
  <c r="S1678" i="4"/>
  <c r="S1679" i="4"/>
  <c r="S1680" i="4"/>
  <c r="S1681" i="4"/>
  <c r="S1682" i="4"/>
  <c r="S1683" i="4"/>
  <c r="S1684" i="4"/>
  <c r="S1685" i="4"/>
  <c r="S1686" i="4"/>
  <c r="S1687" i="4"/>
  <c r="S1688" i="4"/>
  <c r="S1689" i="4"/>
  <c r="S1690" i="4"/>
  <c r="S1691" i="4"/>
  <c r="S1692" i="4"/>
  <c r="S1693" i="4"/>
  <c r="S1694" i="4"/>
  <c r="S1695" i="4"/>
  <c r="S1696" i="4"/>
  <c r="S1697" i="4"/>
  <c r="S1698" i="4"/>
  <c r="S1699" i="4"/>
  <c r="S1700" i="4"/>
  <c r="S1701" i="4"/>
  <c r="S1702" i="4"/>
  <c r="S1703" i="4"/>
  <c r="S1704" i="4"/>
  <c r="S1705" i="4"/>
  <c r="S1706" i="4"/>
  <c r="S1707" i="4"/>
  <c r="S1708" i="4"/>
  <c r="S1709" i="4"/>
  <c r="S1710" i="4"/>
  <c r="S1711" i="4"/>
  <c r="S1712" i="4"/>
  <c r="S1713" i="4"/>
  <c r="S1714" i="4"/>
  <c r="S1715" i="4"/>
  <c r="S1716" i="4"/>
  <c r="S1717" i="4"/>
  <c r="S1718" i="4"/>
  <c r="S1719" i="4"/>
  <c r="S1720" i="4"/>
  <c r="S1721" i="4"/>
  <c r="S1722" i="4"/>
  <c r="S1723" i="4"/>
  <c r="S1724" i="4"/>
  <c r="S1725" i="4"/>
  <c r="S1726" i="4"/>
  <c r="S1727" i="4"/>
  <c r="S1728" i="4"/>
  <c r="S1729" i="4"/>
  <c r="S1730" i="4"/>
  <c r="S1731" i="4"/>
  <c r="S1732" i="4"/>
  <c r="S1733" i="4"/>
  <c r="S1734" i="4"/>
  <c r="S1735" i="4"/>
  <c r="S1736" i="4"/>
  <c r="S1737" i="4"/>
  <c r="S1738" i="4"/>
  <c r="S1739" i="4"/>
  <c r="S1740" i="4"/>
  <c r="S1741" i="4"/>
  <c r="S1742" i="4"/>
  <c r="S1743" i="4"/>
  <c r="S1744" i="4"/>
  <c r="S1745" i="4"/>
  <c r="S1746" i="4"/>
  <c r="S1747" i="4"/>
  <c r="S1748" i="4"/>
  <c r="S1749" i="4"/>
  <c r="S1750" i="4"/>
  <c r="S1751" i="4"/>
  <c r="S1752" i="4"/>
  <c r="S1753" i="4"/>
  <c r="S1754" i="4"/>
  <c r="S1755" i="4"/>
  <c r="S1756" i="4"/>
  <c r="S1757" i="4"/>
  <c r="S1758" i="4"/>
  <c r="S1759" i="4"/>
  <c r="S1760" i="4"/>
  <c r="S1761" i="4"/>
  <c r="S1762" i="4"/>
  <c r="S1763" i="4"/>
  <c r="S1764" i="4"/>
  <c r="S1765" i="4"/>
  <c r="S1766" i="4"/>
  <c r="S1767" i="4"/>
  <c r="S1768" i="4"/>
  <c r="S1769" i="4"/>
  <c r="S1770" i="4"/>
  <c r="S1771" i="4"/>
  <c r="S1772" i="4"/>
  <c r="S1773" i="4"/>
  <c r="S1774" i="4"/>
  <c r="S1775" i="4"/>
  <c r="S1776" i="4"/>
  <c r="S1777" i="4"/>
  <c r="S1778" i="4"/>
  <c r="S1779" i="4"/>
  <c r="S1780" i="4"/>
  <c r="S1781" i="4"/>
  <c r="S1782" i="4"/>
  <c r="S1783" i="4"/>
  <c r="S1784" i="4"/>
  <c r="S1785" i="4"/>
  <c r="S1786" i="4"/>
  <c r="S1787" i="4"/>
  <c r="S1788" i="4"/>
  <c r="S1789" i="4"/>
  <c r="S1790" i="4"/>
  <c r="S1791" i="4"/>
  <c r="S1792" i="4"/>
  <c r="S1793" i="4"/>
  <c r="S1794" i="4"/>
  <c r="S1795" i="4"/>
  <c r="S1796" i="4"/>
  <c r="S1797" i="4"/>
  <c r="S1798" i="4"/>
  <c r="S1799" i="4"/>
  <c r="S1800" i="4"/>
  <c r="S1801" i="4"/>
  <c r="S1802" i="4"/>
  <c r="S1803" i="4"/>
  <c r="S1804" i="4"/>
  <c r="S1805" i="4"/>
  <c r="S1806" i="4"/>
  <c r="S1807" i="4"/>
  <c r="S1808" i="4"/>
  <c r="S1809" i="4"/>
  <c r="S1810" i="4"/>
  <c r="S1811" i="4"/>
  <c r="S1812" i="4"/>
  <c r="S1813" i="4"/>
  <c r="S1814" i="4"/>
  <c r="S1815" i="4"/>
  <c r="S1816" i="4"/>
  <c r="S1817" i="4"/>
  <c r="S1818" i="4"/>
  <c r="S1819" i="4"/>
  <c r="S1820" i="4"/>
  <c r="S1821" i="4"/>
  <c r="S1822" i="4"/>
  <c r="S1823" i="4"/>
  <c r="S1824" i="4"/>
  <c r="S1825" i="4"/>
  <c r="S1826" i="4"/>
  <c r="S1827" i="4"/>
  <c r="S1828" i="4"/>
  <c r="S1829" i="4"/>
  <c r="S1830" i="4"/>
  <c r="S1831" i="4"/>
  <c r="S1832" i="4"/>
  <c r="S1833" i="4"/>
  <c r="S1834" i="4"/>
  <c r="S1835" i="4"/>
  <c r="S1836" i="4"/>
  <c r="S1837" i="4"/>
  <c r="S1838" i="4"/>
  <c r="S1839" i="4"/>
  <c r="S1840" i="4"/>
  <c r="S1841" i="4"/>
  <c r="S1842" i="4"/>
  <c r="S1843" i="4"/>
  <c r="S1844" i="4"/>
  <c r="S1845" i="4"/>
  <c r="S1846" i="4"/>
  <c r="S1847" i="4"/>
  <c r="S1848" i="4"/>
  <c r="S1849" i="4"/>
  <c r="S1850" i="4"/>
  <c r="S1851" i="4"/>
  <c r="S1852" i="4"/>
  <c r="S1853" i="4"/>
  <c r="S1854" i="4"/>
  <c r="S1855" i="4"/>
  <c r="S1856" i="4"/>
  <c r="S1857" i="4"/>
  <c r="S1858" i="4"/>
  <c r="S1859" i="4"/>
  <c r="S1860" i="4"/>
  <c r="S1861" i="4"/>
  <c r="S1862" i="4"/>
  <c r="S1863" i="4"/>
  <c r="S1864" i="4"/>
  <c r="S1865" i="4"/>
  <c r="S1866" i="4"/>
  <c r="S1867" i="4"/>
  <c r="S1868" i="4"/>
  <c r="S1869" i="4"/>
  <c r="S1870" i="4"/>
  <c r="S1871" i="4"/>
  <c r="S1872" i="4"/>
  <c r="S1873" i="4"/>
  <c r="S1874" i="4"/>
  <c r="S1875" i="4"/>
  <c r="S1876" i="4"/>
  <c r="S1877" i="4"/>
  <c r="S1878" i="4"/>
  <c r="S1879" i="4"/>
  <c r="S1880" i="4"/>
  <c r="S1881" i="4"/>
  <c r="S1882" i="4"/>
  <c r="S1883" i="4"/>
  <c r="S1884" i="4"/>
  <c r="S1885" i="4"/>
  <c r="S1886" i="4"/>
  <c r="S1887" i="4"/>
  <c r="S1888" i="4"/>
  <c r="S1889" i="4"/>
  <c r="S1890" i="4"/>
  <c r="S1891" i="4"/>
  <c r="S1892" i="4"/>
  <c r="S1893" i="4"/>
  <c r="S1894" i="4"/>
  <c r="S1895" i="4"/>
  <c r="S1896" i="4"/>
  <c r="S1897" i="4"/>
  <c r="S1898" i="4"/>
  <c r="S1899" i="4"/>
  <c r="S1900" i="4"/>
  <c r="S1901" i="4"/>
  <c r="S1902" i="4"/>
  <c r="S1903" i="4"/>
  <c r="S1904" i="4"/>
  <c r="S1905" i="4"/>
  <c r="S1906" i="4"/>
  <c r="S1907" i="4"/>
  <c r="S1908" i="4"/>
  <c r="S1909" i="4"/>
  <c r="S1910" i="4"/>
  <c r="S1911" i="4"/>
  <c r="S1912" i="4"/>
  <c r="S1913" i="4"/>
  <c r="S1914" i="4"/>
  <c r="S1915" i="4"/>
  <c r="S1916" i="4"/>
  <c r="S1917" i="4"/>
  <c r="S1918" i="4"/>
  <c r="S1919" i="4"/>
  <c r="S1920" i="4"/>
  <c r="S1921" i="4"/>
  <c r="S1922" i="4"/>
  <c r="S1923" i="4"/>
  <c r="S1924" i="4"/>
  <c r="S1925" i="4"/>
  <c r="S1926" i="4"/>
  <c r="S1927" i="4"/>
  <c r="S1928" i="4"/>
  <c r="S1929" i="4"/>
  <c r="S1930" i="4"/>
  <c r="S1931" i="4"/>
  <c r="S1932" i="4"/>
  <c r="S1933" i="4"/>
  <c r="S1934" i="4"/>
  <c r="S1935" i="4"/>
  <c r="S1936" i="4"/>
  <c r="S1937" i="4"/>
  <c r="S1938" i="4"/>
  <c r="S1939" i="4"/>
  <c r="S1940" i="4"/>
  <c r="S1941" i="4"/>
  <c r="S1942" i="4"/>
  <c r="S1943" i="4"/>
  <c r="S1944" i="4"/>
  <c r="S1945" i="4"/>
  <c r="S1946" i="4"/>
  <c r="S1947" i="4"/>
  <c r="S1948" i="4"/>
  <c r="S1949" i="4"/>
  <c r="S1950" i="4"/>
  <c r="S1951" i="4"/>
  <c r="S1952" i="4"/>
  <c r="S1953" i="4"/>
  <c r="S1954" i="4"/>
  <c r="S1955" i="4"/>
  <c r="S1956" i="4"/>
  <c r="S1957" i="4"/>
  <c r="S1958" i="4"/>
  <c r="S1959" i="4"/>
  <c r="S1960" i="4"/>
  <c r="S1961" i="4"/>
  <c r="S1962" i="4"/>
  <c r="S1963" i="4"/>
  <c r="S1964" i="4"/>
  <c r="S1965" i="4"/>
  <c r="S1966" i="4"/>
  <c r="S1967" i="4"/>
  <c r="S1968" i="4"/>
  <c r="S1969" i="4"/>
  <c r="S1970" i="4"/>
  <c r="S1971" i="4"/>
  <c r="S1972" i="4"/>
  <c r="S1973" i="4"/>
  <c r="S1974" i="4"/>
  <c r="S1975" i="4"/>
  <c r="S1976" i="4"/>
  <c r="S1977" i="4"/>
  <c r="S1978" i="4"/>
  <c r="S1979" i="4"/>
  <c r="S1980" i="4"/>
  <c r="S1981" i="4"/>
  <c r="S1982" i="4"/>
  <c r="S1983" i="4"/>
  <c r="S1984" i="4"/>
  <c r="S1985" i="4"/>
  <c r="S1986" i="4"/>
  <c r="S1987" i="4"/>
  <c r="S1988" i="4"/>
  <c r="S1989" i="4"/>
  <c r="S1990" i="4"/>
  <c r="S1991" i="4"/>
  <c r="S1992" i="4"/>
  <c r="S1993" i="4"/>
  <c r="S1994" i="4"/>
  <c r="S1995" i="4"/>
  <c r="S1996" i="4"/>
  <c r="S1997" i="4"/>
  <c r="S1998" i="4"/>
  <c r="S1999" i="4"/>
  <c r="S2000" i="4"/>
  <c r="S2001" i="4"/>
  <c r="S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 i="4"/>
  <c r="J2001" i="4"/>
  <c r="J2000" i="4"/>
  <c r="J1999" i="4"/>
  <c r="J1998" i="4"/>
  <c r="J1997" i="4"/>
  <c r="J1996" i="4"/>
  <c r="J1995" i="4"/>
  <c r="J1994" i="4"/>
  <c r="J1993" i="4"/>
  <c r="J1992" i="4"/>
  <c r="J1991" i="4"/>
  <c r="J1990" i="4"/>
  <c r="J1989" i="4"/>
  <c r="J1988" i="4"/>
  <c r="J1987" i="4"/>
  <c r="J1986" i="4"/>
  <c r="J1985" i="4"/>
  <c r="J1984" i="4"/>
  <c r="J1983" i="4"/>
  <c r="J1982" i="4"/>
  <c r="J1981" i="4"/>
  <c r="J1980" i="4"/>
  <c r="J1979" i="4"/>
  <c r="J1978" i="4"/>
  <c r="J1977" i="4"/>
  <c r="J1976" i="4"/>
  <c r="J1975" i="4"/>
  <c r="J1974" i="4"/>
  <c r="J1973" i="4"/>
  <c r="J1972" i="4"/>
  <c r="J1971" i="4"/>
  <c r="J1970" i="4"/>
  <c r="J1969" i="4"/>
  <c r="J1968" i="4"/>
  <c r="J1967" i="4"/>
  <c r="J1966" i="4"/>
  <c r="J1965" i="4"/>
  <c r="J1964" i="4"/>
  <c r="J1963" i="4"/>
  <c r="J1962" i="4"/>
  <c r="J1961" i="4"/>
  <c r="J1960" i="4"/>
  <c r="J1959" i="4"/>
  <c r="J1958" i="4"/>
  <c r="J1957" i="4"/>
  <c r="J1956" i="4"/>
  <c r="J1955" i="4"/>
  <c r="J1954" i="4"/>
  <c r="J1953" i="4"/>
  <c r="J1952" i="4"/>
  <c r="J1951" i="4"/>
  <c r="J1950" i="4"/>
  <c r="J1949" i="4"/>
  <c r="J1948" i="4"/>
  <c r="J1947" i="4"/>
  <c r="J1946" i="4"/>
  <c r="J1945" i="4"/>
  <c r="J1944" i="4"/>
  <c r="J1943" i="4"/>
  <c r="J1942" i="4"/>
  <c r="J1941" i="4"/>
  <c r="J1940" i="4"/>
  <c r="J1939" i="4"/>
  <c r="J1938" i="4"/>
  <c r="J1937" i="4"/>
  <c r="J1936" i="4"/>
  <c r="J1935" i="4"/>
  <c r="J1934" i="4"/>
  <c r="J1933" i="4"/>
  <c r="J1932" i="4"/>
  <c r="J1931" i="4"/>
  <c r="J1930" i="4"/>
  <c r="J1929" i="4"/>
  <c r="J1928" i="4"/>
  <c r="J1927" i="4"/>
  <c r="J1926" i="4"/>
  <c r="J1925" i="4"/>
  <c r="J1924" i="4"/>
  <c r="J1923" i="4"/>
  <c r="J1922" i="4"/>
  <c r="J1921" i="4"/>
  <c r="J1920" i="4"/>
  <c r="J1919" i="4"/>
  <c r="J1918" i="4"/>
  <c r="J1917" i="4"/>
  <c r="J1916" i="4"/>
  <c r="J1915" i="4"/>
  <c r="J1914" i="4"/>
  <c r="J1913" i="4"/>
  <c r="J1912" i="4"/>
  <c r="J1911" i="4"/>
  <c r="J1910" i="4"/>
  <c r="J1909" i="4"/>
  <c r="J1908" i="4"/>
  <c r="J1907" i="4"/>
  <c r="J1906" i="4"/>
  <c r="J1905" i="4"/>
  <c r="J1904" i="4"/>
  <c r="J1903" i="4"/>
  <c r="J1902" i="4"/>
  <c r="J1901" i="4"/>
  <c r="J1900" i="4"/>
  <c r="J1899" i="4"/>
  <c r="J1898" i="4"/>
  <c r="J1897" i="4"/>
  <c r="J1896" i="4"/>
  <c r="J1895" i="4"/>
  <c r="J1894" i="4"/>
  <c r="J1893" i="4"/>
  <c r="J1892" i="4"/>
  <c r="J1891" i="4"/>
  <c r="J1890" i="4"/>
  <c r="J1889" i="4"/>
  <c r="J1888" i="4"/>
  <c r="J1887" i="4"/>
  <c r="J1886" i="4"/>
  <c r="J1885" i="4"/>
  <c r="J1884" i="4"/>
  <c r="J1883" i="4"/>
  <c r="J1882" i="4"/>
  <c r="J1881" i="4"/>
  <c r="J1880" i="4"/>
  <c r="J1879" i="4"/>
  <c r="J1878" i="4"/>
  <c r="J1877" i="4"/>
  <c r="J1876" i="4"/>
  <c r="J1875" i="4"/>
  <c r="J1874" i="4"/>
  <c r="J1873" i="4"/>
  <c r="J1872" i="4"/>
  <c r="J1871" i="4"/>
  <c r="J1870" i="4"/>
  <c r="J1869" i="4"/>
  <c r="J1868" i="4"/>
  <c r="J1867" i="4"/>
  <c r="J1866" i="4"/>
  <c r="J1865" i="4"/>
  <c r="J1864" i="4"/>
  <c r="J1863" i="4"/>
  <c r="J1862" i="4"/>
  <c r="J1861" i="4"/>
  <c r="J1860" i="4"/>
  <c r="J1859" i="4"/>
  <c r="J1858" i="4"/>
  <c r="J1857" i="4"/>
  <c r="J1856" i="4"/>
  <c r="J1855" i="4"/>
  <c r="J1854" i="4"/>
  <c r="J1853" i="4"/>
  <c r="J1852" i="4"/>
  <c r="J1851" i="4"/>
  <c r="J1850" i="4"/>
  <c r="J1849" i="4"/>
  <c r="J1848" i="4"/>
  <c r="J1847" i="4"/>
  <c r="J1846" i="4"/>
  <c r="J1845" i="4"/>
  <c r="J1844" i="4"/>
  <c r="J1843" i="4"/>
  <c r="J1842" i="4"/>
  <c r="J1841" i="4"/>
  <c r="J1840" i="4"/>
  <c r="J1839" i="4"/>
  <c r="J1838" i="4"/>
  <c r="J1837" i="4"/>
  <c r="J1836" i="4"/>
  <c r="J1835" i="4"/>
  <c r="J1834" i="4"/>
  <c r="J1833" i="4"/>
  <c r="J1832" i="4"/>
  <c r="J1831" i="4"/>
  <c r="J1830" i="4"/>
  <c r="J1829" i="4"/>
  <c r="J1828" i="4"/>
  <c r="J1827" i="4"/>
  <c r="J1826" i="4"/>
  <c r="J1825" i="4"/>
  <c r="J1824" i="4"/>
  <c r="J1823" i="4"/>
  <c r="J1822" i="4"/>
  <c r="J1821" i="4"/>
  <c r="J1820" i="4"/>
  <c r="J1819" i="4"/>
  <c r="J1818" i="4"/>
  <c r="J1817" i="4"/>
  <c r="J1816" i="4"/>
  <c r="J1815" i="4"/>
  <c r="J1814" i="4"/>
  <c r="J1813" i="4"/>
  <c r="J1812" i="4"/>
  <c r="J1811" i="4"/>
  <c r="J1810" i="4"/>
  <c r="J1809" i="4"/>
  <c r="J1808" i="4"/>
  <c r="J1807" i="4"/>
  <c r="J1806" i="4"/>
  <c r="J1805" i="4"/>
  <c r="J1804" i="4"/>
  <c r="J1803" i="4"/>
  <c r="J1802" i="4"/>
  <c r="J1801" i="4"/>
  <c r="J1800" i="4"/>
  <c r="J1799" i="4"/>
  <c r="J1798" i="4"/>
  <c r="J1797" i="4"/>
  <c r="J1796" i="4"/>
  <c r="J1795" i="4"/>
  <c r="J1794" i="4"/>
  <c r="J1793" i="4"/>
  <c r="J1792" i="4"/>
  <c r="J1791" i="4"/>
  <c r="J1790" i="4"/>
  <c r="J1789" i="4"/>
  <c r="J1788" i="4"/>
  <c r="J1787" i="4"/>
  <c r="J1786" i="4"/>
  <c r="J1785" i="4"/>
  <c r="J1784" i="4"/>
  <c r="J1783" i="4"/>
  <c r="J1782" i="4"/>
  <c r="J1781" i="4"/>
  <c r="J1780" i="4"/>
  <c r="J1779" i="4"/>
  <c r="J1778" i="4"/>
  <c r="J1777" i="4"/>
  <c r="J1776" i="4"/>
  <c r="J1775" i="4"/>
  <c r="J1774" i="4"/>
  <c r="J1773" i="4"/>
  <c r="J1772" i="4"/>
  <c r="J1771" i="4"/>
  <c r="J1770" i="4"/>
  <c r="J1769" i="4"/>
  <c r="J1768" i="4"/>
  <c r="J1767" i="4"/>
  <c r="J1766" i="4"/>
  <c r="J1765" i="4"/>
  <c r="J1764" i="4"/>
  <c r="J1763" i="4"/>
  <c r="J1762" i="4"/>
  <c r="J1761" i="4"/>
  <c r="J1760" i="4"/>
  <c r="J1759" i="4"/>
  <c r="J1758" i="4"/>
  <c r="J1757" i="4"/>
  <c r="J1756" i="4"/>
  <c r="J1755" i="4"/>
  <c r="J1754" i="4"/>
  <c r="J1753" i="4"/>
  <c r="J1752" i="4"/>
  <c r="J1751" i="4"/>
  <c r="J1750" i="4"/>
  <c r="J1749" i="4"/>
  <c r="J1748" i="4"/>
  <c r="J1747" i="4"/>
  <c r="J1746" i="4"/>
  <c r="J1745" i="4"/>
  <c r="J1744" i="4"/>
  <c r="J1743" i="4"/>
  <c r="J1742" i="4"/>
  <c r="J1741" i="4"/>
  <c r="J1740" i="4"/>
  <c r="J1739" i="4"/>
  <c r="J1738" i="4"/>
  <c r="J1737" i="4"/>
  <c r="J1736" i="4"/>
  <c r="J1735" i="4"/>
  <c r="J1734" i="4"/>
  <c r="J1733" i="4"/>
  <c r="J1732" i="4"/>
  <c r="J1731" i="4"/>
  <c r="J1730" i="4"/>
  <c r="J1729" i="4"/>
  <c r="J1728" i="4"/>
  <c r="J1727" i="4"/>
  <c r="J1726" i="4"/>
  <c r="J1725" i="4"/>
  <c r="J1724" i="4"/>
  <c r="J1723" i="4"/>
  <c r="J1722" i="4"/>
  <c r="J1721" i="4"/>
  <c r="J1720" i="4"/>
  <c r="J1719" i="4"/>
  <c r="J1718" i="4"/>
  <c r="J1717" i="4"/>
  <c r="J1716" i="4"/>
  <c r="J1715" i="4"/>
  <c r="J1714" i="4"/>
  <c r="J1713" i="4"/>
  <c r="J1712" i="4"/>
  <c r="J1711" i="4"/>
  <c r="J1710" i="4"/>
  <c r="J1709" i="4"/>
  <c r="J1708" i="4"/>
  <c r="J1707" i="4"/>
  <c r="J1706" i="4"/>
  <c r="J1705" i="4"/>
  <c r="J1704" i="4"/>
  <c r="J1703" i="4"/>
  <c r="J1702" i="4"/>
  <c r="J1701" i="4"/>
  <c r="J1700" i="4"/>
  <c r="J1699" i="4"/>
  <c r="J1698" i="4"/>
  <c r="J1697" i="4"/>
  <c r="J1696" i="4"/>
  <c r="J1695" i="4"/>
  <c r="J1694" i="4"/>
  <c r="J1693" i="4"/>
  <c r="J1692" i="4"/>
  <c r="J1691" i="4"/>
  <c r="J1690" i="4"/>
  <c r="J1689" i="4"/>
  <c r="J1688" i="4"/>
  <c r="J1687" i="4"/>
  <c r="J1686" i="4"/>
  <c r="J1685" i="4"/>
  <c r="J1684" i="4"/>
  <c r="J1683" i="4"/>
  <c r="J1682" i="4"/>
  <c r="J1681" i="4"/>
  <c r="J1680" i="4"/>
  <c r="J1679" i="4"/>
  <c r="J1678" i="4"/>
  <c r="J1677" i="4"/>
  <c r="J1676" i="4"/>
  <c r="J1675" i="4"/>
  <c r="J1674" i="4"/>
  <c r="J1673" i="4"/>
  <c r="J1672" i="4"/>
  <c r="J1671" i="4"/>
  <c r="J1670" i="4"/>
  <c r="J1669" i="4"/>
  <c r="J1668" i="4"/>
  <c r="J1667" i="4"/>
  <c r="J1666" i="4"/>
  <c r="J1665" i="4"/>
  <c r="J1664" i="4"/>
  <c r="J1663" i="4"/>
  <c r="J1662" i="4"/>
  <c r="J1661" i="4"/>
  <c r="J1660" i="4"/>
  <c r="J1659" i="4"/>
  <c r="J1658" i="4"/>
  <c r="J1657" i="4"/>
  <c r="J1656" i="4"/>
  <c r="J1655" i="4"/>
  <c r="J1654" i="4"/>
  <c r="J1653" i="4"/>
  <c r="J1652" i="4"/>
  <c r="J1651" i="4"/>
  <c r="J1650" i="4"/>
  <c r="J1649" i="4"/>
  <c r="J1648" i="4"/>
  <c r="J1647" i="4"/>
  <c r="J1646" i="4"/>
  <c r="J1645" i="4"/>
  <c r="J1644" i="4"/>
  <c r="J1643" i="4"/>
  <c r="J1642" i="4"/>
  <c r="J1641" i="4"/>
  <c r="J1640" i="4"/>
  <c r="J1639" i="4"/>
  <c r="J1638" i="4"/>
  <c r="J1637" i="4"/>
  <c r="J1636" i="4"/>
  <c r="J1635" i="4"/>
  <c r="J1634" i="4"/>
  <c r="J1633" i="4"/>
  <c r="J1632" i="4"/>
  <c r="J1631" i="4"/>
  <c r="J1630" i="4"/>
  <c r="J1629" i="4"/>
  <c r="J1628" i="4"/>
  <c r="J1627" i="4"/>
  <c r="J1626" i="4"/>
  <c r="J1625" i="4"/>
  <c r="J1624" i="4"/>
  <c r="J1623" i="4"/>
  <c r="J1622" i="4"/>
  <c r="J1621" i="4"/>
  <c r="J1620" i="4"/>
  <c r="J1619" i="4"/>
  <c r="J1618" i="4"/>
  <c r="J1617" i="4"/>
  <c r="J1616" i="4"/>
  <c r="J1615" i="4"/>
  <c r="J1614" i="4"/>
  <c r="J1613" i="4"/>
  <c r="J1612" i="4"/>
  <c r="J1611" i="4"/>
  <c r="J1610" i="4"/>
  <c r="J1609" i="4"/>
  <c r="J1608" i="4"/>
  <c r="J1607" i="4"/>
  <c r="J1606" i="4"/>
  <c r="J1605" i="4"/>
  <c r="J1604" i="4"/>
  <c r="J1603" i="4"/>
  <c r="J1602" i="4"/>
  <c r="J1601" i="4"/>
  <c r="J1600" i="4"/>
  <c r="J1599" i="4"/>
  <c r="J1598" i="4"/>
  <c r="J1597" i="4"/>
  <c r="J1596" i="4"/>
  <c r="J1595" i="4"/>
  <c r="J1594" i="4"/>
  <c r="J1593" i="4"/>
  <c r="J1592" i="4"/>
  <c r="J1591" i="4"/>
  <c r="J1590" i="4"/>
  <c r="J1589" i="4"/>
  <c r="J1588" i="4"/>
  <c r="J1587" i="4"/>
  <c r="J1586" i="4"/>
  <c r="J1585" i="4"/>
  <c r="J1584" i="4"/>
  <c r="J1583" i="4"/>
  <c r="J1582" i="4"/>
  <c r="J1581" i="4"/>
  <c r="J1580" i="4"/>
  <c r="J1579" i="4"/>
  <c r="J1578" i="4"/>
  <c r="J1577" i="4"/>
  <c r="J1576" i="4"/>
  <c r="J1575" i="4"/>
  <c r="J1574" i="4"/>
  <c r="J1573" i="4"/>
  <c r="J1572" i="4"/>
  <c r="J1571" i="4"/>
  <c r="J1570" i="4"/>
  <c r="J1569" i="4"/>
  <c r="J1568" i="4"/>
  <c r="J1567" i="4"/>
  <c r="J1566" i="4"/>
  <c r="J1565" i="4"/>
  <c r="J1564" i="4"/>
  <c r="J1563" i="4"/>
  <c r="J1562" i="4"/>
  <c r="J1561" i="4"/>
  <c r="J1560" i="4"/>
  <c r="J1559" i="4"/>
  <c r="J1558" i="4"/>
  <c r="J1557" i="4"/>
  <c r="J1556" i="4"/>
  <c r="J1555" i="4"/>
  <c r="J1554" i="4"/>
  <c r="J1553" i="4"/>
  <c r="J1552" i="4"/>
  <c r="J1551" i="4"/>
  <c r="J1550" i="4"/>
  <c r="J1549" i="4"/>
  <c r="J1548" i="4"/>
  <c r="J1547" i="4"/>
  <c r="J1546" i="4"/>
  <c r="J1545" i="4"/>
  <c r="J1544" i="4"/>
  <c r="J1543" i="4"/>
  <c r="J1542" i="4"/>
  <c r="J1541" i="4"/>
  <c r="J1540" i="4"/>
  <c r="J1539" i="4"/>
  <c r="J1538" i="4"/>
  <c r="J1537" i="4"/>
  <c r="J1536" i="4"/>
  <c r="J1535" i="4"/>
  <c r="J1534" i="4"/>
  <c r="J1533" i="4"/>
  <c r="J1532" i="4"/>
  <c r="J1531" i="4"/>
  <c r="J1530" i="4"/>
  <c r="J1529" i="4"/>
  <c r="J1528" i="4"/>
  <c r="J1527" i="4"/>
  <c r="J1526" i="4"/>
  <c r="J1525" i="4"/>
  <c r="J1524" i="4"/>
  <c r="J1523" i="4"/>
  <c r="J1522" i="4"/>
  <c r="J1521" i="4"/>
  <c r="J1520" i="4"/>
  <c r="J1519" i="4"/>
  <c r="J1518" i="4"/>
  <c r="J1517" i="4"/>
  <c r="J1516" i="4"/>
  <c r="J1515" i="4"/>
  <c r="J1514" i="4"/>
  <c r="J1513" i="4"/>
  <c r="J1512" i="4"/>
  <c r="J1511" i="4"/>
  <c r="J1510" i="4"/>
  <c r="J1509" i="4"/>
  <c r="J1508" i="4"/>
  <c r="J1507" i="4"/>
  <c r="J1506" i="4"/>
  <c r="J1505" i="4"/>
  <c r="J1504" i="4"/>
  <c r="J1503" i="4"/>
  <c r="J1502" i="4"/>
  <c r="J1501" i="4"/>
  <c r="J1500" i="4"/>
  <c r="J1499" i="4"/>
  <c r="J1498" i="4"/>
  <c r="J1497" i="4"/>
  <c r="J1496" i="4"/>
  <c r="J1495" i="4"/>
  <c r="J1494" i="4"/>
  <c r="J1493" i="4"/>
  <c r="J1492" i="4"/>
  <c r="J1491" i="4"/>
  <c r="J1490" i="4"/>
  <c r="J1489" i="4"/>
  <c r="J1488" i="4"/>
  <c r="J1487" i="4"/>
  <c r="J1486" i="4"/>
  <c r="J1485" i="4"/>
  <c r="J1484" i="4"/>
  <c r="J1483" i="4"/>
  <c r="J1482" i="4"/>
  <c r="J1481" i="4"/>
  <c r="J1480" i="4"/>
  <c r="J1479" i="4"/>
  <c r="J1478" i="4"/>
  <c r="J1477" i="4"/>
  <c r="J1476" i="4"/>
  <c r="J1475" i="4"/>
  <c r="J1474" i="4"/>
  <c r="J1473" i="4"/>
  <c r="J1472" i="4"/>
  <c r="J1471" i="4"/>
  <c r="J1470" i="4"/>
  <c r="J1469" i="4"/>
  <c r="J1468" i="4"/>
  <c r="J1467" i="4"/>
  <c r="J1466" i="4"/>
  <c r="J1465" i="4"/>
  <c r="J1464" i="4"/>
  <c r="J1463" i="4"/>
  <c r="J1462" i="4"/>
  <c r="J1461" i="4"/>
  <c r="J1460" i="4"/>
  <c r="J1459" i="4"/>
  <c r="J1458" i="4"/>
  <c r="J1457" i="4"/>
  <c r="J1456" i="4"/>
  <c r="J1455" i="4"/>
  <c r="J1454" i="4"/>
  <c r="J1453" i="4"/>
  <c r="J1452" i="4"/>
  <c r="J1451" i="4"/>
  <c r="J1450" i="4"/>
  <c r="J1449" i="4"/>
  <c r="J1448" i="4"/>
  <c r="J1447" i="4"/>
  <c r="J1446" i="4"/>
  <c r="J1445" i="4"/>
  <c r="J1444" i="4"/>
  <c r="J1443" i="4"/>
  <c r="J1442" i="4"/>
  <c r="J1441" i="4"/>
  <c r="J1440" i="4"/>
  <c r="J1439" i="4"/>
  <c r="J1438" i="4"/>
  <c r="J1437" i="4"/>
  <c r="J1436" i="4"/>
  <c r="J1435" i="4"/>
  <c r="J1434" i="4"/>
  <c r="J1433" i="4"/>
  <c r="J1432" i="4"/>
  <c r="J1431" i="4"/>
  <c r="J1430" i="4"/>
  <c r="J1429" i="4"/>
  <c r="J1428" i="4"/>
  <c r="J1427" i="4"/>
  <c r="J1426" i="4"/>
  <c r="J1425" i="4"/>
  <c r="J1424" i="4"/>
  <c r="J1423" i="4"/>
  <c r="J1422" i="4"/>
  <c r="J1421" i="4"/>
  <c r="J1420" i="4"/>
  <c r="J1419" i="4"/>
  <c r="J1418" i="4"/>
  <c r="J1417" i="4"/>
  <c r="J1416" i="4"/>
  <c r="J1415" i="4"/>
  <c r="J1414" i="4"/>
  <c r="J1413" i="4"/>
  <c r="J1412" i="4"/>
  <c r="J1411" i="4"/>
  <c r="J1410" i="4"/>
  <c r="J1409" i="4"/>
  <c r="J1408" i="4"/>
  <c r="J1407" i="4"/>
  <c r="J1406" i="4"/>
  <c r="J1405" i="4"/>
  <c r="J1404" i="4"/>
  <c r="J1403" i="4"/>
  <c r="J1402" i="4"/>
  <c r="J1401" i="4"/>
  <c r="J1400" i="4"/>
  <c r="J1399" i="4"/>
  <c r="J1398" i="4"/>
  <c r="J1397" i="4"/>
  <c r="J1396" i="4"/>
  <c r="J1395" i="4"/>
  <c r="J1394" i="4"/>
  <c r="J1393" i="4"/>
  <c r="J1392" i="4"/>
  <c r="J1391" i="4"/>
  <c r="J1390" i="4"/>
  <c r="J1389" i="4"/>
  <c r="J1388" i="4"/>
  <c r="J1387" i="4"/>
  <c r="J1386" i="4"/>
  <c r="J1385" i="4"/>
  <c r="J1384" i="4"/>
  <c r="J1383" i="4"/>
  <c r="J1382" i="4"/>
  <c r="J1381" i="4"/>
  <c r="J1380" i="4"/>
  <c r="J1379" i="4"/>
  <c r="J1378" i="4"/>
  <c r="J1377" i="4"/>
  <c r="J1376" i="4"/>
  <c r="J1375" i="4"/>
  <c r="J1374" i="4"/>
  <c r="J1373" i="4"/>
  <c r="J1372" i="4"/>
  <c r="J1371" i="4"/>
  <c r="J1370" i="4"/>
  <c r="J1369" i="4"/>
  <c r="J1368" i="4"/>
  <c r="J1367" i="4"/>
  <c r="J1366" i="4"/>
  <c r="J1365" i="4"/>
  <c r="J1364" i="4"/>
  <c r="J1363" i="4"/>
  <c r="J1362" i="4"/>
  <c r="J1361" i="4"/>
  <c r="J1360" i="4"/>
  <c r="J1359" i="4"/>
  <c r="J1358" i="4"/>
  <c r="J1357" i="4"/>
  <c r="J1356" i="4"/>
  <c r="J1355" i="4"/>
  <c r="J1354" i="4"/>
  <c r="J1353" i="4"/>
  <c r="J1352" i="4"/>
  <c r="J1351" i="4"/>
  <c r="J1350" i="4"/>
  <c r="J1349" i="4"/>
  <c r="J1348" i="4"/>
  <c r="J1347" i="4"/>
  <c r="J1346" i="4"/>
  <c r="J1345" i="4"/>
  <c r="J1344" i="4"/>
  <c r="J1343" i="4"/>
  <c r="J1342" i="4"/>
  <c r="J1341" i="4"/>
  <c r="J1340" i="4"/>
  <c r="J1339" i="4"/>
  <c r="J1338" i="4"/>
  <c r="J1337" i="4"/>
  <c r="J1336" i="4"/>
  <c r="J1335" i="4"/>
  <c r="J1334" i="4"/>
  <c r="J1333" i="4"/>
  <c r="J1332" i="4"/>
  <c r="J1331" i="4"/>
  <c r="J1330" i="4"/>
  <c r="J1329" i="4"/>
  <c r="J1328" i="4"/>
  <c r="J1327" i="4"/>
  <c r="J1326" i="4"/>
  <c r="J1325" i="4"/>
  <c r="J1324" i="4"/>
  <c r="J1323" i="4"/>
  <c r="J1322" i="4"/>
  <c r="J1321" i="4"/>
  <c r="J1320" i="4"/>
  <c r="J1319" i="4"/>
  <c r="J1318" i="4"/>
  <c r="J1317" i="4"/>
  <c r="J1316" i="4"/>
  <c r="J1315" i="4"/>
  <c r="J1314" i="4"/>
  <c r="J1313" i="4"/>
  <c r="J1312" i="4"/>
  <c r="J1311" i="4"/>
  <c r="J1310" i="4"/>
  <c r="J1309" i="4"/>
  <c r="J1308" i="4"/>
  <c r="J1307" i="4"/>
  <c r="J1306" i="4"/>
  <c r="J1305" i="4"/>
  <c r="J1304" i="4"/>
  <c r="J1303" i="4"/>
  <c r="J1302" i="4"/>
  <c r="J1301" i="4"/>
  <c r="J1300" i="4"/>
  <c r="J1299" i="4"/>
  <c r="J1298" i="4"/>
  <c r="J1297" i="4"/>
  <c r="J1296" i="4"/>
  <c r="J1295" i="4"/>
  <c r="J1294" i="4"/>
  <c r="J1293" i="4"/>
  <c r="J1292" i="4"/>
  <c r="J1291" i="4"/>
  <c r="J1290" i="4"/>
  <c r="J1289" i="4"/>
  <c r="J1288" i="4"/>
  <c r="J1287" i="4"/>
  <c r="J1286" i="4"/>
  <c r="J1285" i="4"/>
  <c r="J1284" i="4"/>
  <c r="J1283" i="4"/>
  <c r="J1282" i="4"/>
  <c r="J1281" i="4"/>
  <c r="J1280" i="4"/>
  <c r="J1279" i="4"/>
  <c r="J1278" i="4"/>
  <c r="J1277" i="4"/>
  <c r="J1276" i="4"/>
  <c r="J1275" i="4"/>
  <c r="J1274" i="4"/>
  <c r="J1273" i="4"/>
  <c r="J1272" i="4"/>
  <c r="J1271" i="4"/>
  <c r="J1270" i="4"/>
  <c r="J1269" i="4"/>
  <c r="J1268" i="4"/>
  <c r="J1267" i="4"/>
  <c r="J1266" i="4"/>
  <c r="J1265" i="4"/>
  <c r="J1264" i="4"/>
  <c r="J1263" i="4"/>
  <c r="J1262" i="4"/>
  <c r="J1261" i="4"/>
  <c r="J1260" i="4"/>
  <c r="J1259" i="4"/>
  <c r="J1258" i="4"/>
  <c r="J1257" i="4"/>
  <c r="J1256" i="4"/>
  <c r="J1255" i="4"/>
  <c r="J1254" i="4"/>
  <c r="J1253" i="4"/>
  <c r="J1252" i="4"/>
  <c r="J1251" i="4"/>
  <c r="J1250" i="4"/>
  <c r="J1249" i="4"/>
  <c r="J1248" i="4"/>
  <c r="J1247" i="4"/>
  <c r="J1246" i="4"/>
  <c r="J1245" i="4"/>
  <c r="J1244" i="4"/>
  <c r="J1243" i="4"/>
  <c r="J1242" i="4"/>
  <c r="J1241" i="4"/>
  <c r="J1240" i="4"/>
  <c r="J1239" i="4"/>
  <c r="J1238" i="4"/>
  <c r="J1237" i="4"/>
  <c r="J1236" i="4"/>
  <c r="J1235" i="4"/>
  <c r="J1234" i="4"/>
  <c r="J1233" i="4"/>
  <c r="J1232" i="4"/>
  <c r="J1231" i="4"/>
  <c r="J1230" i="4"/>
  <c r="J1229" i="4"/>
  <c r="J1228" i="4"/>
  <c r="J1227" i="4"/>
  <c r="J1226" i="4"/>
  <c r="J1225" i="4"/>
  <c r="J1224" i="4"/>
  <c r="J1223" i="4"/>
  <c r="J1222" i="4"/>
  <c r="J1221" i="4"/>
  <c r="J1220" i="4"/>
  <c r="J1219" i="4"/>
  <c r="J1218" i="4"/>
  <c r="J1217" i="4"/>
  <c r="J1216" i="4"/>
  <c r="J1215" i="4"/>
  <c r="J1214" i="4"/>
  <c r="J1213" i="4"/>
  <c r="J1212" i="4"/>
  <c r="J1211" i="4"/>
  <c r="J1210" i="4"/>
  <c r="J1209" i="4"/>
  <c r="J1208" i="4"/>
  <c r="J1207" i="4"/>
  <c r="J1206" i="4"/>
  <c r="J1205" i="4"/>
  <c r="J1204" i="4"/>
  <c r="J1203" i="4"/>
  <c r="J1202" i="4"/>
  <c r="J1201" i="4"/>
  <c r="J1200" i="4"/>
  <c r="J1199" i="4"/>
  <c r="J1198" i="4"/>
  <c r="J1197" i="4"/>
  <c r="J1196" i="4"/>
  <c r="J1195" i="4"/>
  <c r="J1194" i="4"/>
  <c r="J1193" i="4"/>
  <c r="J1192" i="4"/>
  <c r="J1191" i="4"/>
  <c r="J1190" i="4"/>
  <c r="J1189" i="4"/>
  <c r="J1188" i="4"/>
  <c r="J1187" i="4"/>
  <c r="J1186" i="4"/>
  <c r="J1185" i="4"/>
  <c r="J1184" i="4"/>
  <c r="J1183" i="4"/>
  <c r="J1182" i="4"/>
  <c r="J1181" i="4"/>
  <c r="J1180" i="4"/>
  <c r="J1179" i="4"/>
  <c r="J1178" i="4"/>
  <c r="J1177" i="4"/>
  <c r="J1176" i="4"/>
  <c r="J1175" i="4"/>
  <c r="J1174" i="4"/>
  <c r="J1173" i="4"/>
  <c r="J1172" i="4"/>
  <c r="J1171" i="4"/>
  <c r="J1170" i="4"/>
  <c r="J1169" i="4"/>
  <c r="J1168" i="4"/>
  <c r="J1167" i="4"/>
  <c r="J1166" i="4"/>
  <c r="J1165" i="4"/>
  <c r="J1164" i="4"/>
  <c r="J1163" i="4"/>
  <c r="J1162" i="4"/>
  <c r="J1161" i="4"/>
  <c r="J1160" i="4"/>
  <c r="J1159" i="4"/>
  <c r="J1158" i="4"/>
  <c r="J1157" i="4"/>
  <c r="J1156" i="4"/>
  <c r="J1155" i="4"/>
  <c r="J1154" i="4"/>
  <c r="J1153" i="4"/>
  <c r="J1152" i="4"/>
  <c r="J1151" i="4"/>
  <c r="J1150" i="4"/>
  <c r="J1149" i="4"/>
  <c r="J1148" i="4"/>
  <c r="J1147" i="4"/>
  <c r="J1146" i="4"/>
  <c r="J1145" i="4"/>
  <c r="J1144" i="4"/>
  <c r="J1143" i="4"/>
  <c r="J1142" i="4"/>
  <c r="J1141" i="4"/>
  <c r="J1140" i="4"/>
  <c r="J1139" i="4"/>
  <c r="J1138" i="4"/>
  <c r="J1137" i="4"/>
  <c r="J1136" i="4"/>
  <c r="J1135" i="4"/>
  <c r="J1134" i="4"/>
  <c r="J1133" i="4"/>
  <c r="J1132" i="4"/>
  <c r="J1131" i="4"/>
  <c r="J1130" i="4"/>
  <c r="J1129" i="4"/>
  <c r="J1128" i="4"/>
  <c r="J1127" i="4"/>
  <c r="J1126" i="4"/>
  <c r="J1125" i="4"/>
  <c r="J1124" i="4"/>
  <c r="J1123" i="4"/>
  <c r="J1122" i="4"/>
  <c r="J1121" i="4"/>
  <c r="J1120" i="4"/>
  <c r="J1119" i="4"/>
  <c r="J1118" i="4"/>
  <c r="J1117" i="4"/>
  <c r="J1116" i="4"/>
  <c r="J1115" i="4"/>
  <c r="J1114" i="4"/>
  <c r="J1113" i="4"/>
  <c r="J1112" i="4"/>
  <c r="J1111" i="4"/>
  <c r="J1110" i="4"/>
  <c r="J1109" i="4"/>
  <c r="J1108" i="4"/>
  <c r="J1107" i="4"/>
  <c r="J1106" i="4"/>
  <c r="J1105" i="4"/>
  <c r="J1104" i="4"/>
  <c r="J1103" i="4"/>
  <c r="J1102" i="4"/>
  <c r="J1101" i="4"/>
  <c r="J1100" i="4"/>
  <c r="J1099" i="4"/>
  <c r="J1098" i="4"/>
  <c r="J1097" i="4"/>
  <c r="J1096" i="4"/>
  <c r="J1095" i="4"/>
  <c r="J1094" i="4"/>
  <c r="J1093" i="4"/>
  <c r="J1092" i="4"/>
  <c r="J1091" i="4"/>
  <c r="J1090" i="4"/>
  <c r="J1089" i="4"/>
  <c r="J1088" i="4"/>
  <c r="J1087" i="4"/>
  <c r="J1086" i="4"/>
  <c r="J1085" i="4"/>
  <c r="J1084" i="4"/>
  <c r="J1083" i="4"/>
  <c r="J1082" i="4"/>
  <c r="J1081" i="4"/>
  <c r="J1080" i="4"/>
  <c r="J1079" i="4"/>
  <c r="J1078" i="4"/>
  <c r="J1077" i="4"/>
  <c r="J1076" i="4"/>
  <c r="J1075" i="4"/>
  <c r="J1074" i="4"/>
  <c r="J1073" i="4"/>
  <c r="J1072" i="4"/>
  <c r="J1071" i="4"/>
  <c r="J1070" i="4"/>
  <c r="J1069" i="4"/>
  <c r="J1068" i="4"/>
  <c r="J1067" i="4"/>
  <c r="J1066" i="4"/>
  <c r="J1065" i="4"/>
  <c r="J1064" i="4"/>
  <c r="J1063" i="4"/>
  <c r="J1062" i="4"/>
  <c r="J1061" i="4"/>
  <c r="J1060" i="4"/>
  <c r="J1059" i="4"/>
  <c r="J1058" i="4"/>
  <c r="J1057" i="4"/>
  <c r="J1056" i="4"/>
  <c r="J1055" i="4"/>
  <c r="J1054" i="4"/>
  <c r="J1053" i="4"/>
  <c r="J1052" i="4"/>
  <c r="J1051" i="4"/>
  <c r="J1050" i="4"/>
  <c r="J1049" i="4"/>
  <c r="J1048" i="4"/>
  <c r="J1047" i="4"/>
  <c r="J1046" i="4"/>
  <c r="J1045" i="4"/>
  <c r="J1044" i="4"/>
  <c r="J1043" i="4"/>
  <c r="J1042" i="4"/>
  <c r="J1041" i="4"/>
  <c r="J1040" i="4"/>
  <c r="J1039" i="4"/>
  <c r="J1038" i="4"/>
  <c r="J1037" i="4"/>
  <c r="J1036" i="4"/>
  <c r="J1035" i="4"/>
  <c r="J1034" i="4"/>
  <c r="J1033" i="4"/>
  <c r="J1032" i="4"/>
  <c r="J1031" i="4"/>
  <c r="J1030" i="4"/>
  <c r="J1029" i="4"/>
  <c r="J1028" i="4"/>
  <c r="J1027" i="4"/>
  <c r="J1026" i="4"/>
  <c r="J1025" i="4"/>
  <c r="J1024" i="4"/>
  <c r="J1023" i="4"/>
  <c r="J1022" i="4"/>
  <c r="J1021" i="4"/>
  <c r="J1020" i="4"/>
  <c r="J1019" i="4"/>
  <c r="J1018" i="4"/>
  <c r="J1017" i="4"/>
  <c r="J1016" i="4"/>
  <c r="J1015" i="4"/>
  <c r="J1014" i="4"/>
  <c r="J1013" i="4"/>
  <c r="J1012" i="4"/>
  <c r="J1011" i="4"/>
  <c r="J1010" i="4"/>
  <c r="J1009" i="4"/>
  <c r="J1008" i="4"/>
  <c r="J1007" i="4"/>
  <c r="J1006" i="4"/>
  <c r="J1005" i="4"/>
  <c r="J1004" i="4"/>
  <c r="J1003" i="4"/>
  <c r="J1002" i="4"/>
  <c r="J1001" i="4"/>
  <c r="J1000"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6" i="4"/>
  <c r="J965" i="4"/>
  <c r="J964" i="4"/>
  <c r="J963" i="4"/>
  <c r="J962" i="4"/>
  <c r="J961" i="4"/>
  <c r="J960" i="4"/>
  <c r="J959" i="4"/>
  <c r="J958" i="4"/>
  <c r="J957" i="4"/>
  <c r="J956" i="4"/>
  <c r="J955" i="4"/>
  <c r="J954" i="4"/>
  <c r="J953" i="4"/>
  <c r="J952" i="4"/>
  <c r="J951" i="4"/>
  <c r="J950" i="4"/>
  <c r="J949" i="4"/>
  <c r="J948" i="4"/>
  <c r="J947" i="4"/>
  <c r="J946" i="4"/>
  <c r="J945" i="4"/>
  <c r="J944" i="4"/>
  <c r="J943" i="4"/>
  <c r="J942" i="4"/>
  <c r="J941" i="4"/>
  <c r="J940" i="4"/>
  <c r="J939" i="4"/>
  <c r="J938" i="4"/>
  <c r="J937" i="4"/>
  <c r="J936" i="4"/>
  <c r="J935" i="4"/>
  <c r="J934" i="4"/>
  <c r="J933" i="4"/>
  <c r="J932" i="4"/>
  <c r="J931" i="4"/>
  <c r="J930" i="4"/>
  <c r="J929" i="4"/>
  <c r="J928" i="4"/>
  <c r="J927" i="4"/>
  <c r="J926" i="4"/>
  <c r="J925" i="4"/>
  <c r="J924" i="4"/>
  <c r="J923" i="4"/>
  <c r="J922" i="4"/>
  <c r="J921" i="4"/>
  <c r="J920" i="4"/>
  <c r="J919" i="4"/>
  <c r="J918" i="4"/>
  <c r="J917" i="4"/>
  <c r="J916" i="4"/>
  <c r="J915" i="4"/>
  <c r="J914" i="4"/>
  <c r="J913" i="4"/>
  <c r="J912" i="4"/>
  <c r="J911" i="4"/>
  <c r="J910" i="4"/>
  <c r="J909" i="4"/>
  <c r="J908" i="4"/>
  <c r="J907" i="4"/>
  <c r="J906" i="4"/>
  <c r="J905" i="4"/>
  <c r="J904" i="4"/>
  <c r="J903" i="4"/>
  <c r="J902" i="4"/>
  <c r="J901" i="4"/>
  <c r="J900" i="4"/>
  <c r="J899" i="4"/>
  <c r="J898" i="4"/>
  <c r="J897" i="4"/>
  <c r="J896" i="4"/>
  <c r="J895" i="4"/>
  <c r="J894" i="4"/>
  <c r="J893" i="4"/>
  <c r="J892" i="4"/>
  <c r="J891" i="4"/>
  <c r="J890" i="4"/>
  <c r="J889" i="4"/>
  <c r="J888" i="4"/>
  <c r="J887" i="4"/>
  <c r="J886" i="4"/>
  <c r="J885" i="4"/>
  <c r="J884" i="4"/>
  <c r="J883" i="4"/>
  <c r="J882" i="4"/>
  <c r="J881" i="4"/>
  <c r="J880" i="4"/>
  <c r="J879" i="4"/>
  <c r="J878" i="4"/>
  <c r="J877" i="4"/>
  <c r="J876" i="4"/>
  <c r="J875" i="4"/>
  <c r="J874" i="4"/>
  <c r="J873" i="4"/>
  <c r="J872" i="4"/>
  <c r="J871" i="4"/>
  <c r="J870" i="4"/>
  <c r="J869" i="4"/>
  <c r="J868" i="4"/>
  <c r="J867" i="4"/>
  <c r="J866" i="4"/>
  <c r="J865" i="4"/>
  <c r="J864" i="4"/>
  <c r="J863" i="4"/>
  <c r="J862" i="4"/>
  <c r="J861" i="4"/>
  <c r="J860" i="4"/>
  <c r="J859" i="4"/>
  <c r="J858" i="4"/>
  <c r="J857" i="4"/>
  <c r="J856" i="4"/>
  <c r="J855" i="4"/>
  <c r="J854" i="4"/>
  <c r="J853" i="4"/>
  <c r="J852" i="4"/>
  <c r="J851" i="4"/>
  <c r="J850" i="4"/>
  <c r="J849" i="4"/>
  <c r="J848" i="4"/>
  <c r="J847" i="4"/>
  <c r="J846" i="4"/>
  <c r="J845" i="4"/>
  <c r="J844" i="4"/>
  <c r="J843" i="4"/>
  <c r="J842" i="4"/>
  <c r="J841" i="4"/>
  <c r="J840" i="4"/>
  <c r="J839" i="4"/>
  <c r="J838" i="4"/>
  <c r="J837" i="4"/>
  <c r="J836" i="4"/>
  <c r="J835" i="4"/>
  <c r="J834" i="4"/>
  <c r="J833" i="4"/>
  <c r="J832" i="4"/>
  <c r="J831" i="4"/>
  <c r="J830" i="4"/>
  <c r="J829" i="4"/>
  <c r="J828" i="4"/>
  <c r="J827" i="4"/>
  <c r="J826" i="4"/>
  <c r="J825" i="4"/>
  <c r="J824" i="4"/>
  <c r="J823" i="4"/>
  <c r="J822" i="4"/>
  <c r="J821" i="4"/>
  <c r="J820" i="4"/>
  <c r="J819" i="4"/>
  <c r="J818" i="4"/>
  <c r="J817" i="4"/>
  <c r="J816" i="4"/>
  <c r="J815" i="4"/>
  <c r="J814" i="4"/>
  <c r="J813" i="4"/>
  <c r="J812" i="4"/>
  <c r="J811" i="4"/>
  <c r="J810" i="4"/>
  <c r="J809" i="4"/>
  <c r="J808" i="4"/>
  <c r="J807" i="4"/>
  <c r="J806" i="4"/>
  <c r="J805" i="4"/>
  <c r="J804" i="4"/>
  <c r="J803" i="4"/>
  <c r="J802" i="4"/>
  <c r="J801" i="4"/>
  <c r="J800" i="4"/>
  <c r="J799" i="4"/>
  <c r="J798" i="4"/>
  <c r="J797" i="4"/>
  <c r="J796" i="4"/>
  <c r="J795" i="4"/>
  <c r="J794" i="4"/>
  <c r="J793" i="4"/>
  <c r="J792" i="4"/>
  <c r="J791" i="4"/>
  <c r="J790" i="4"/>
  <c r="J789" i="4"/>
  <c r="J788" i="4"/>
  <c r="J787" i="4"/>
  <c r="J786" i="4"/>
  <c r="J785" i="4"/>
  <c r="J784" i="4"/>
  <c r="J783" i="4"/>
  <c r="J782" i="4"/>
  <c r="J781" i="4"/>
  <c r="J780" i="4"/>
  <c r="J779" i="4"/>
  <c r="J778" i="4"/>
  <c r="J777" i="4"/>
  <c r="J776" i="4"/>
  <c r="J775" i="4"/>
  <c r="J774" i="4"/>
  <c r="J773" i="4"/>
  <c r="J772" i="4"/>
  <c r="J771" i="4"/>
  <c r="J770" i="4"/>
  <c r="J769" i="4"/>
  <c r="J768" i="4"/>
  <c r="J767" i="4"/>
  <c r="J766" i="4"/>
  <c r="J765" i="4"/>
  <c r="J764" i="4"/>
  <c r="J763" i="4"/>
  <c r="J762" i="4"/>
  <c r="J761" i="4"/>
  <c r="J760" i="4"/>
  <c r="J759" i="4"/>
  <c r="J758" i="4"/>
  <c r="J757" i="4"/>
  <c r="J756" i="4"/>
  <c r="J755" i="4"/>
  <c r="J754" i="4"/>
  <c r="J753" i="4"/>
  <c r="J752" i="4"/>
  <c r="J751" i="4"/>
  <c r="J750" i="4"/>
  <c r="J749" i="4"/>
  <c r="J748" i="4"/>
  <c r="J747" i="4"/>
  <c r="J746" i="4"/>
  <c r="J745" i="4"/>
  <c r="J744" i="4"/>
  <c r="J743" i="4"/>
  <c r="J742" i="4"/>
  <c r="J741" i="4"/>
  <c r="J740" i="4"/>
  <c r="J739" i="4"/>
  <c r="J738" i="4"/>
  <c r="J737" i="4"/>
  <c r="J736" i="4"/>
  <c r="J735" i="4"/>
  <c r="J734" i="4"/>
  <c r="J733" i="4"/>
  <c r="J732" i="4"/>
  <c r="J731" i="4"/>
  <c r="J730" i="4"/>
  <c r="J729" i="4"/>
  <c r="J728" i="4"/>
  <c r="J727" i="4"/>
  <c r="J726" i="4"/>
  <c r="J725" i="4"/>
  <c r="J724" i="4"/>
  <c r="J723" i="4"/>
  <c r="J722" i="4"/>
  <c r="J721" i="4"/>
  <c r="J720" i="4"/>
  <c r="J719" i="4"/>
  <c r="J718" i="4"/>
  <c r="J717" i="4"/>
  <c r="J716" i="4"/>
  <c r="J715" i="4"/>
  <c r="J714" i="4"/>
  <c r="J713" i="4"/>
  <c r="J712" i="4"/>
  <c r="J711" i="4"/>
  <c r="J710" i="4"/>
  <c r="J709" i="4"/>
  <c r="J708" i="4"/>
  <c r="J707" i="4"/>
  <c r="J706" i="4"/>
  <c r="J705" i="4"/>
  <c r="J704" i="4"/>
  <c r="J703" i="4"/>
  <c r="J702" i="4"/>
  <c r="J701" i="4"/>
  <c r="J700" i="4"/>
  <c r="J699" i="4"/>
  <c r="J698" i="4"/>
  <c r="J697" i="4"/>
  <c r="J696" i="4"/>
  <c r="J695" i="4"/>
  <c r="J694" i="4"/>
  <c r="J693" i="4"/>
  <c r="J692" i="4"/>
  <c r="J691" i="4"/>
  <c r="J690" i="4"/>
  <c r="J689" i="4"/>
  <c r="J688" i="4"/>
  <c r="J687" i="4"/>
  <c r="J686" i="4"/>
  <c r="J685" i="4"/>
  <c r="J684" i="4"/>
  <c r="J683" i="4"/>
  <c r="J682" i="4"/>
  <c r="J681" i="4"/>
  <c r="J680" i="4"/>
  <c r="J679" i="4"/>
  <c r="J678" i="4"/>
  <c r="J677" i="4"/>
  <c r="J676" i="4"/>
  <c r="J675" i="4"/>
  <c r="J674" i="4"/>
  <c r="J673" i="4"/>
  <c r="J672" i="4"/>
  <c r="J671" i="4"/>
  <c r="J670" i="4"/>
  <c r="J669" i="4"/>
  <c r="J668" i="4"/>
  <c r="J667" i="4"/>
  <c r="J666" i="4"/>
  <c r="J665" i="4"/>
  <c r="J664" i="4"/>
  <c r="J663" i="4"/>
  <c r="J662" i="4"/>
  <c r="J661" i="4"/>
  <c r="J660" i="4"/>
  <c r="J659" i="4"/>
  <c r="J658" i="4"/>
  <c r="J657" i="4"/>
  <c r="J656" i="4"/>
  <c r="J655" i="4"/>
  <c r="J654" i="4"/>
  <c r="J653" i="4"/>
  <c r="J652" i="4"/>
  <c r="J651" i="4"/>
  <c r="J650" i="4"/>
  <c r="J649" i="4"/>
  <c r="J648" i="4"/>
  <c r="J647" i="4"/>
  <c r="J646" i="4"/>
  <c r="J645" i="4"/>
  <c r="J644" i="4"/>
  <c r="J643" i="4"/>
  <c r="J642" i="4"/>
  <c r="J641" i="4"/>
  <c r="J640" i="4"/>
  <c r="J639" i="4"/>
  <c r="J638" i="4"/>
  <c r="J637" i="4"/>
  <c r="J636" i="4"/>
  <c r="J635" i="4"/>
  <c r="J634" i="4"/>
  <c r="J633" i="4"/>
  <c r="J632" i="4"/>
  <c r="J631" i="4"/>
  <c r="J630" i="4"/>
  <c r="J629" i="4"/>
  <c r="J628" i="4"/>
  <c r="J627" i="4"/>
  <c r="J626" i="4"/>
  <c r="J625" i="4"/>
  <c r="J624" i="4"/>
  <c r="J623" i="4"/>
  <c r="J622" i="4"/>
  <c r="J621" i="4"/>
  <c r="J620" i="4"/>
  <c r="J619" i="4"/>
  <c r="J618" i="4"/>
  <c r="J617" i="4"/>
  <c r="J616" i="4"/>
  <c r="J615" i="4"/>
  <c r="J614" i="4"/>
  <c r="J613" i="4"/>
  <c r="J612" i="4"/>
  <c r="J611" i="4"/>
  <c r="J610" i="4"/>
  <c r="J609" i="4"/>
  <c r="J608" i="4"/>
  <c r="J607" i="4"/>
  <c r="J606" i="4"/>
  <c r="J605" i="4"/>
  <c r="J604" i="4"/>
  <c r="J603" i="4"/>
  <c r="J602" i="4"/>
  <c r="J601" i="4"/>
  <c r="J600" i="4"/>
  <c r="J599"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1" i="4"/>
  <c r="J570" i="4"/>
  <c r="J569" i="4"/>
  <c r="J568" i="4"/>
  <c r="J567" i="4"/>
  <c r="J566" i="4"/>
  <c r="J565" i="4"/>
  <c r="J564" i="4"/>
  <c r="J563"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7"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4"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J2" i="4"/>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 i="1"/>
</calcChain>
</file>

<file path=xl/sharedStrings.xml><?xml version="1.0" encoding="utf-8"?>
<sst xmlns="http://schemas.openxmlformats.org/spreadsheetml/2006/main" count="12694" uniqueCount="2478">
  <si>
    <t>PO_ID</t>
  </si>
  <si>
    <t>Supplier_ID</t>
  </si>
  <si>
    <t>Raw_Material_ID</t>
  </si>
  <si>
    <t>Order_Date</t>
  </si>
  <si>
    <t>Order_Quantity</t>
  </si>
  <si>
    <t>Unit_Cost</t>
  </si>
  <si>
    <t>Delivery_Date_Planned</t>
  </si>
  <si>
    <t>Delivery_Date_Actual</t>
  </si>
  <si>
    <t>Total_Cost</t>
  </si>
  <si>
    <t>PO000001</t>
  </si>
  <si>
    <t>SUP00059</t>
  </si>
  <si>
    <t>PROD00116</t>
  </si>
  <si>
    <t>PO000002</t>
  </si>
  <si>
    <t>SUP00085</t>
  </si>
  <si>
    <t>PROD00153</t>
  </si>
  <si>
    <t>PO000003</t>
  </si>
  <si>
    <t>SUP00097</t>
  </si>
  <si>
    <t>PROD00170</t>
  </si>
  <si>
    <t>PO000004</t>
  </si>
  <si>
    <t>SUP00023</t>
  </si>
  <si>
    <t>PROD00016</t>
  </si>
  <si>
    <t>PO000005</t>
  </si>
  <si>
    <t>SUP00048</t>
  </si>
  <si>
    <t>PROD00041</t>
  </si>
  <si>
    <t>PO000006</t>
  </si>
  <si>
    <t>SUP00024</t>
  </si>
  <si>
    <t>PROD00182</t>
  </si>
  <si>
    <t>PO000007</t>
  </si>
  <si>
    <t>SUP00025</t>
  </si>
  <si>
    <t>PROD00072</t>
  </si>
  <si>
    <t>PO000008</t>
  </si>
  <si>
    <t>SUP00039</t>
  </si>
  <si>
    <t>PROD00181</t>
  </si>
  <si>
    <t>PO000009</t>
  </si>
  <si>
    <t>SUP00018</t>
  </si>
  <si>
    <t>PROD00077</t>
  </si>
  <si>
    <t>PO000010</t>
  </si>
  <si>
    <t>SUP00090</t>
  </si>
  <si>
    <t>PROD00115</t>
  </si>
  <si>
    <t>PO000011</t>
  </si>
  <si>
    <t>SUP00077</t>
  </si>
  <si>
    <t>PROD00105</t>
  </si>
  <si>
    <t>PO000012</t>
  </si>
  <si>
    <t>SUP00075</t>
  </si>
  <si>
    <t>PROD00039</t>
  </si>
  <si>
    <t>PO000013</t>
  </si>
  <si>
    <t>SUP00068</t>
  </si>
  <si>
    <t>PROD00117</t>
  </si>
  <si>
    <t>PO000014</t>
  </si>
  <si>
    <t>SUP00056</t>
  </si>
  <si>
    <t>PROD00045</t>
  </si>
  <si>
    <t>PO000015</t>
  </si>
  <si>
    <t>SUP00087</t>
  </si>
  <si>
    <t>PROD00140</t>
  </si>
  <si>
    <t>PO000016</t>
  </si>
  <si>
    <t>SUP00032</t>
  </si>
  <si>
    <t>PROD00092</t>
  </si>
  <si>
    <t>PO000017</t>
  </si>
  <si>
    <t>SUP00065</t>
  </si>
  <si>
    <t>PROD00059</t>
  </si>
  <si>
    <t>PO000018</t>
  </si>
  <si>
    <t>SUP00005</t>
  </si>
  <si>
    <t>PROD00102</t>
  </si>
  <si>
    <t>PO000019</t>
  </si>
  <si>
    <t>SUP00053</t>
  </si>
  <si>
    <t>PROD00079</t>
  </si>
  <si>
    <t>PO000020</t>
  </si>
  <si>
    <t>SUP00021</t>
  </si>
  <si>
    <t>PROD00118</t>
  </si>
  <si>
    <t>PO000021</t>
  </si>
  <si>
    <t>SUP00093</t>
  </si>
  <si>
    <t>PROD00044</t>
  </si>
  <si>
    <t>PO000022</t>
  </si>
  <si>
    <t>SUP00044</t>
  </si>
  <si>
    <t>PROD00184</t>
  </si>
  <si>
    <t>PO000023</t>
  </si>
  <si>
    <t>SUP00067</t>
  </si>
  <si>
    <t>PROD00050</t>
  </si>
  <si>
    <t>PO000024</t>
  </si>
  <si>
    <t>SUP00043</t>
  </si>
  <si>
    <t>PROD00132</t>
  </si>
  <si>
    <t>PO000025</t>
  </si>
  <si>
    <t>SUP00020</t>
  </si>
  <si>
    <t>PROD00128</t>
  </si>
  <si>
    <t>PO000026</t>
  </si>
  <si>
    <t>SUP00007</t>
  </si>
  <si>
    <t>PROD00185</t>
  </si>
  <si>
    <t>PO000027</t>
  </si>
  <si>
    <t>SUP00035</t>
  </si>
  <si>
    <t>PROD00048</t>
  </si>
  <si>
    <t>PO000028</t>
  </si>
  <si>
    <t>SUP00096</t>
  </si>
  <si>
    <t>PROD00080</t>
  </si>
  <si>
    <t>PO000029</t>
  </si>
  <si>
    <t>PROD00055</t>
  </si>
  <si>
    <t>PO000030</t>
  </si>
  <si>
    <t>SUP00092</t>
  </si>
  <si>
    <t>PROD00138</t>
  </si>
  <si>
    <t>PO000031</t>
  </si>
  <si>
    <t>SUP00004</t>
  </si>
  <si>
    <t>PROD00038</t>
  </si>
  <si>
    <t>PO000032</t>
  </si>
  <si>
    <t>PROD00074</t>
  </si>
  <si>
    <t>PO000033</t>
  </si>
  <si>
    <t>SUP00030</t>
  </si>
  <si>
    <t>PROD00157</t>
  </si>
  <si>
    <t>PO000034</t>
  </si>
  <si>
    <t>PROD00198</t>
  </si>
  <si>
    <t>PO000035</t>
  </si>
  <si>
    <t>SUP00063</t>
  </si>
  <si>
    <t>PROD00040</t>
  </si>
  <si>
    <t>PO000036</t>
  </si>
  <si>
    <t>PROD00162</t>
  </si>
  <si>
    <t>PO000037</t>
  </si>
  <si>
    <t>SUP00013</t>
  </si>
  <si>
    <t>PROD00154</t>
  </si>
  <si>
    <t>PO000038</t>
  </si>
  <si>
    <t>PROD00006</t>
  </si>
  <si>
    <t>PO000039</t>
  </si>
  <si>
    <t>SUP00070</t>
  </si>
  <si>
    <t>PO000040</t>
  </si>
  <si>
    <t>SUP00031</t>
  </si>
  <si>
    <t>PROD00186</t>
  </si>
  <si>
    <t>PO000041</t>
  </si>
  <si>
    <t>SUP00038</t>
  </si>
  <si>
    <t>PROD00103</t>
  </si>
  <si>
    <t>PO000042</t>
  </si>
  <si>
    <t>SUP00084</t>
  </si>
  <si>
    <t>PROD00169</t>
  </si>
  <si>
    <t>PO000043</t>
  </si>
  <si>
    <t>SUP00001</t>
  </si>
  <si>
    <t>PROD00014</t>
  </si>
  <si>
    <t>PO000044</t>
  </si>
  <si>
    <t>PROD00098</t>
  </si>
  <si>
    <t>PO000045</t>
  </si>
  <si>
    <t>SUP00011</t>
  </si>
  <si>
    <t>PROD00043</t>
  </si>
  <si>
    <t>PO000046</t>
  </si>
  <si>
    <t>PROD00127</t>
  </si>
  <si>
    <t>PO000047</t>
  </si>
  <si>
    <t>SUP00098</t>
  </si>
  <si>
    <t>PROD00172</t>
  </si>
  <si>
    <t>PO000048</t>
  </si>
  <si>
    <t>SUP00016</t>
  </si>
  <si>
    <t>PROD00046</t>
  </si>
  <si>
    <t>PO000049</t>
  </si>
  <si>
    <t>PROD00042</t>
  </si>
  <si>
    <t>PO000050</t>
  </si>
  <si>
    <t>PO000051</t>
  </si>
  <si>
    <t>PO000052</t>
  </si>
  <si>
    <t>PROD00106</t>
  </si>
  <si>
    <t>PO000053</t>
  </si>
  <si>
    <t>PROD00097</t>
  </si>
  <si>
    <t>PO000054</t>
  </si>
  <si>
    <t>SUP00036</t>
  </si>
  <si>
    <t>PROD00012</t>
  </si>
  <si>
    <t>PO000055</t>
  </si>
  <si>
    <t>SUP00088</t>
  </si>
  <si>
    <t>PROD00084</t>
  </si>
  <si>
    <t>PO000056</t>
  </si>
  <si>
    <t>SUP00073</t>
  </si>
  <si>
    <t>PROD00070</t>
  </si>
  <si>
    <t>PO000057</t>
  </si>
  <si>
    <t>PROD00034</t>
  </si>
  <si>
    <t>PO000058</t>
  </si>
  <si>
    <t>PROD00073</t>
  </si>
  <si>
    <t>PO000059</t>
  </si>
  <si>
    <t>PROD00033</t>
  </si>
  <si>
    <t>PO000060</t>
  </si>
  <si>
    <t>SUP00083</t>
  </si>
  <si>
    <t>PROD00075</t>
  </si>
  <si>
    <t>PO000061</t>
  </si>
  <si>
    <t>PROD00147</t>
  </si>
  <si>
    <t>PO000062</t>
  </si>
  <si>
    <t>SUP00026</t>
  </si>
  <si>
    <t>PO000063</t>
  </si>
  <si>
    <t>SUP00100</t>
  </si>
  <si>
    <t>PROD00020</t>
  </si>
  <si>
    <t>PO000064</t>
  </si>
  <si>
    <t>SUP00037</t>
  </si>
  <si>
    <t>PROD00166</t>
  </si>
  <si>
    <t>PO000065</t>
  </si>
  <si>
    <t>PROD00158</t>
  </si>
  <si>
    <t>PO000066</t>
  </si>
  <si>
    <t>PROD00108</t>
  </si>
  <si>
    <t>PO000067</t>
  </si>
  <si>
    <t>SUP00029</t>
  </si>
  <si>
    <t>PROD00099</t>
  </si>
  <si>
    <t>PO000068</t>
  </si>
  <si>
    <t>SUP00074</t>
  </si>
  <si>
    <t>PROD00126</t>
  </si>
  <si>
    <t>PO000069</t>
  </si>
  <si>
    <t>PROD00011</t>
  </si>
  <si>
    <t>PO000070</t>
  </si>
  <si>
    <t>SUP00055</t>
  </si>
  <si>
    <t>PROD00187</t>
  </si>
  <si>
    <t>PO000071</t>
  </si>
  <si>
    <t>PO000072</t>
  </si>
  <si>
    <t>SUP00071</t>
  </si>
  <si>
    <t>PROD00015</t>
  </si>
  <si>
    <t>PO000073</t>
  </si>
  <si>
    <t>PROD00179</t>
  </si>
  <si>
    <t>PO000074</t>
  </si>
  <si>
    <t>SUP00099</t>
  </si>
  <si>
    <t>PO000075</t>
  </si>
  <si>
    <t>SUP00015</t>
  </si>
  <si>
    <t>PO000076</t>
  </si>
  <si>
    <t>SUP00017</t>
  </si>
  <si>
    <t>PROD00029</t>
  </si>
  <si>
    <t>PO000077</t>
  </si>
  <si>
    <t>PROD00089</t>
  </si>
  <si>
    <t>PO000078</t>
  </si>
  <si>
    <t>PROD00009</t>
  </si>
  <si>
    <t>PO000079</t>
  </si>
  <si>
    <t>PROD00018</t>
  </si>
  <si>
    <t>PO000080</t>
  </si>
  <si>
    <t>SUP00027</t>
  </si>
  <si>
    <t>PROD00141</t>
  </si>
  <si>
    <t>PO000081</t>
  </si>
  <si>
    <t>SUP00033</t>
  </si>
  <si>
    <t>PROD00114</t>
  </si>
  <si>
    <t>PO000082</t>
  </si>
  <si>
    <t>PROD00180</t>
  </si>
  <si>
    <t>PO000083</t>
  </si>
  <si>
    <t>PROD00107</t>
  </si>
  <si>
    <t>PO000084</t>
  </si>
  <si>
    <t>PO000085</t>
  </si>
  <si>
    <t>SUP00079</t>
  </si>
  <si>
    <t>PROD00183</t>
  </si>
  <si>
    <t>PO000086</t>
  </si>
  <si>
    <t>PROD00100</t>
  </si>
  <si>
    <t>PO000087</t>
  </si>
  <si>
    <t>PO000088</t>
  </si>
  <si>
    <t>PROD00027</t>
  </si>
  <si>
    <t>PO000089</t>
  </si>
  <si>
    <t>PROD00144</t>
  </si>
  <si>
    <t>PO000090</t>
  </si>
  <si>
    <t>SUP00078</t>
  </si>
  <si>
    <t>PROD00091</t>
  </si>
  <si>
    <t>PO000091</t>
  </si>
  <si>
    <t>SUP00051</t>
  </si>
  <si>
    <t>PO000092</t>
  </si>
  <si>
    <t>SUP00040</t>
  </si>
  <si>
    <t>PROD00176</t>
  </si>
  <si>
    <t>PO000093</t>
  </si>
  <si>
    <t>PROD00052</t>
  </si>
  <si>
    <t>PO000094</t>
  </si>
  <si>
    <t>SUP00014</t>
  </si>
  <si>
    <t>PO000095</t>
  </si>
  <si>
    <t>PO000096</t>
  </si>
  <si>
    <t>SUP00022</t>
  </si>
  <si>
    <t>PROD00171</t>
  </si>
  <si>
    <t>PO000097</t>
  </si>
  <si>
    <t>SUP00046</t>
  </si>
  <si>
    <t>PROD00095</t>
  </si>
  <si>
    <t>PO000098</t>
  </si>
  <si>
    <t>SUP00094</t>
  </si>
  <si>
    <t>PROD00136</t>
  </si>
  <si>
    <t>PO000099</t>
  </si>
  <si>
    <t>PROD00174</t>
  </si>
  <si>
    <t>PO000100</t>
  </si>
  <si>
    <t>SUP00019</t>
  </si>
  <si>
    <t>PROD00159</t>
  </si>
  <si>
    <t>PO000101</t>
  </si>
  <si>
    <t>PO000102</t>
  </si>
  <si>
    <t>PO000103</t>
  </si>
  <si>
    <t>PO000104</t>
  </si>
  <si>
    <t>SUP00042</t>
  </si>
  <si>
    <t>PROD00037</t>
  </si>
  <si>
    <t>PO000105</t>
  </si>
  <si>
    <t>PROD00137</t>
  </si>
  <si>
    <t>PO000106</t>
  </si>
  <si>
    <t>PROD00129</t>
  </si>
  <si>
    <t>PO000107</t>
  </si>
  <si>
    <t>PROD00069</t>
  </si>
  <si>
    <t>PO000108</t>
  </si>
  <si>
    <t>PROD00036</t>
  </si>
  <si>
    <t>PO000109</t>
  </si>
  <si>
    <t>PO000110</t>
  </si>
  <si>
    <t>PROD00139</t>
  </si>
  <si>
    <t>PO000111</t>
  </si>
  <si>
    <t>PROD00148</t>
  </si>
  <si>
    <t>PO000112</t>
  </si>
  <si>
    <t>PROD00022</t>
  </si>
  <si>
    <t>PO000113</t>
  </si>
  <si>
    <t>PO000114</t>
  </si>
  <si>
    <t>PO000115</t>
  </si>
  <si>
    <t>PO000116</t>
  </si>
  <si>
    <t>SUP00066</t>
  </si>
  <si>
    <t>PO000117</t>
  </si>
  <si>
    <t>PROD00161</t>
  </si>
  <si>
    <t>PO000118</t>
  </si>
  <si>
    <t>PO000119</t>
  </si>
  <si>
    <t>SUP00081</t>
  </si>
  <si>
    <t>PO000120</t>
  </si>
  <si>
    <t>SUP00034</t>
  </si>
  <si>
    <t>PO000121</t>
  </si>
  <si>
    <t>PROD00165</t>
  </si>
  <si>
    <t>PO000122</t>
  </si>
  <si>
    <t>SUP00057</t>
  </si>
  <si>
    <t>PO000123</t>
  </si>
  <si>
    <t>SUP00086</t>
  </si>
  <si>
    <t>PROD00151</t>
  </si>
  <si>
    <t>PO000124</t>
  </si>
  <si>
    <t>PROD00010</t>
  </si>
  <si>
    <t>PO000125</t>
  </si>
  <si>
    <t>PO000126</t>
  </si>
  <si>
    <t>PO000127</t>
  </si>
  <si>
    <t>PROD00017</t>
  </si>
  <si>
    <t>PO000128</t>
  </si>
  <si>
    <t>PROD00071</t>
  </si>
  <si>
    <t>PO000129</t>
  </si>
  <si>
    <t>PROD00065</t>
  </si>
  <si>
    <t>PO000130</t>
  </si>
  <si>
    <t>SUP00080</t>
  </si>
  <si>
    <t>PO000131</t>
  </si>
  <si>
    <t>PO000132</t>
  </si>
  <si>
    <t>PROD00131</t>
  </si>
  <si>
    <t>PO000133</t>
  </si>
  <si>
    <t>PO000134</t>
  </si>
  <si>
    <t>PO000135</t>
  </si>
  <si>
    <t>SUP00061</t>
  </si>
  <si>
    <t>PO000136</t>
  </si>
  <si>
    <t>PO000137</t>
  </si>
  <si>
    <t>SUP00041</t>
  </si>
  <si>
    <t>PO000138</t>
  </si>
  <si>
    <t>SUP00054</t>
  </si>
  <si>
    <t>PO000139</t>
  </si>
  <si>
    <t>PROD00053</t>
  </si>
  <si>
    <t>PO000140</t>
  </si>
  <si>
    <t>PO000141</t>
  </si>
  <si>
    <t>PROD00086</t>
  </si>
  <si>
    <t>PO000142</t>
  </si>
  <si>
    <t>PO000143</t>
  </si>
  <si>
    <t>PROD00121</t>
  </si>
  <si>
    <t>PO000144</t>
  </si>
  <si>
    <t>PROD00021</t>
  </si>
  <si>
    <t>PO000145</t>
  </si>
  <si>
    <t>PROD00051</t>
  </si>
  <si>
    <t>PO000146</t>
  </si>
  <si>
    <t>SUP00095</t>
  </si>
  <si>
    <t>PROD00177</t>
  </si>
  <si>
    <t>PO000147</t>
  </si>
  <si>
    <t>PO000148</t>
  </si>
  <si>
    <t>PROD00109</t>
  </si>
  <si>
    <t>PO000149</t>
  </si>
  <si>
    <t>PROD00168</t>
  </si>
  <si>
    <t>PO000150</t>
  </si>
  <si>
    <t>PO000151</t>
  </si>
  <si>
    <t>PO000152</t>
  </si>
  <si>
    <t>SUP00050</t>
  </si>
  <si>
    <t>PO000153</t>
  </si>
  <si>
    <t>PO000154</t>
  </si>
  <si>
    <t>PROD00175</t>
  </si>
  <si>
    <t>PO000155</t>
  </si>
  <si>
    <t>PO000156</t>
  </si>
  <si>
    <t>PROD00013</t>
  </si>
  <si>
    <t>PO000157</t>
  </si>
  <si>
    <t>PO000158</t>
  </si>
  <si>
    <t>SUP00082</t>
  </si>
  <si>
    <t>PO000159</t>
  </si>
  <si>
    <t>PROD00031</t>
  </si>
  <si>
    <t>PO000160</t>
  </si>
  <si>
    <t>PROD00113</t>
  </si>
  <si>
    <t>PO000161</t>
  </si>
  <si>
    <t>PO000162</t>
  </si>
  <si>
    <t>PO000163</t>
  </si>
  <si>
    <t>PO000164</t>
  </si>
  <si>
    <t>PO000165</t>
  </si>
  <si>
    <t>SUP00091</t>
  </si>
  <si>
    <t>PROD00003</t>
  </si>
  <si>
    <t>PO000166</t>
  </si>
  <si>
    <t>PO000167</t>
  </si>
  <si>
    <t>PO000168</t>
  </si>
  <si>
    <t>PO000169</t>
  </si>
  <si>
    <t>PO000170</t>
  </si>
  <si>
    <t>PO000171</t>
  </si>
  <si>
    <t>PO000172</t>
  </si>
  <si>
    <t>PO000173</t>
  </si>
  <si>
    <t>SUP00006</t>
  </si>
  <si>
    <t>PROD00057</t>
  </si>
  <si>
    <t>PO000174</t>
  </si>
  <si>
    <t>SUP00008</t>
  </si>
  <si>
    <t>PROD00156</t>
  </si>
  <si>
    <t>PO000175</t>
  </si>
  <si>
    <t>PROD00167</t>
  </si>
  <si>
    <t>PO000176</t>
  </si>
  <si>
    <t>PO000177</t>
  </si>
  <si>
    <t>PO000178</t>
  </si>
  <si>
    <t>PO000179</t>
  </si>
  <si>
    <t>PO000180</t>
  </si>
  <si>
    <t>PROD00152</t>
  </si>
  <si>
    <t>PO000181</t>
  </si>
  <si>
    <t>PO000182</t>
  </si>
  <si>
    <t>SUP00052</t>
  </si>
  <si>
    <t>PO000183</t>
  </si>
  <si>
    <t>PROD00058</t>
  </si>
  <si>
    <t>PO000184</t>
  </si>
  <si>
    <t>PO000185</t>
  </si>
  <si>
    <t>SUP00062</t>
  </si>
  <si>
    <t>PROD00032</t>
  </si>
  <si>
    <t>PO000186</t>
  </si>
  <si>
    <t>PROD00026</t>
  </si>
  <si>
    <t>PO000187</t>
  </si>
  <si>
    <t>PO000188</t>
  </si>
  <si>
    <t>PO000189</t>
  </si>
  <si>
    <t>PO000190</t>
  </si>
  <si>
    <t>PO000191</t>
  </si>
  <si>
    <t>PROD00142</t>
  </si>
  <si>
    <t>PO000192</t>
  </si>
  <si>
    <t>PO000193</t>
  </si>
  <si>
    <t>SUP00064</t>
  </si>
  <si>
    <t>PO000194</t>
  </si>
  <si>
    <t>PROD00025</t>
  </si>
  <si>
    <t>PO000195</t>
  </si>
  <si>
    <t>PROD00035</t>
  </si>
  <si>
    <t>PO000196</t>
  </si>
  <si>
    <t>PO000197</t>
  </si>
  <si>
    <t>PROD00200</t>
  </si>
  <si>
    <t>PO000198</t>
  </si>
  <si>
    <t>PO000199</t>
  </si>
  <si>
    <t>PROD00090</t>
  </si>
  <si>
    <t>PO000200</t>
  </si>
  <si>
    <t>PO000201</t>
  </si>
  <si>
    <t>PO000202</t>
  </si>
  <si>
    <t>PROD00196</t>
  </si>
  <si>
    <t>PO000203</t>
  </si>
  <si>
    <t>SUP00010</t>
  </si>
  <si>
    <t>PROD00076</t>
  </si>
  <si>
    <t>PO000204</t>
  </si>
  <si>
    <t>PROD00019</t>
  </si>
  <si>
    <t>PO000205</t>
  </si>
  <si>
    <t>PROD00062</t>
  </si>
  <si>
    <t>PO000206</t>
  </si>
  <si>
    <t>PROD00056</t>
  </si>
  <si>
    <t>PO000207</t>
  </si>
  <si>
    <t>PO000208</t>
  </si>
  <si>
    <t>PROD00192</t>
  </si>
  <si>
    <t>PO000209</t>
  </si>
  <si>
    <t>PO000210</t>
  </si>
  <si>
    <t>PO000211</t>
  </si>
  <si>
    <t>PO000212</t>
  </si>
  <si>
    <t>SUP00049</t>
  </si>
  <si>
    <t>PO000213</t>
  </si>
  <si>
    <t>PROD00030</t>
  </si>
  <si>
    <t>PO000214</t>
  </si>
  <si>
    <t>PROD00189</t>
  </si>
  <si>
    <t>PO000215</t>
  </si>
  <si>
    <t>PO000216</t>
  </si>
  <si>
    <t>PO000217</t>
  </si>
  <si>
    <t>PO000218</t>
  </si>
  <si>
    <t>SUP00072</t>
  </si>
  <si>
    <t>PO000219</t>
  </si>
  <si>
    <t>PROD00047</t>
  </si>
  <si>
    <t>PO000220</t>
  </si>
  <si>
    <t>PO000221</t>
  </si>
  <si>
    <t>PO000222</t>
  </si>
  <si>
    <t>PROD00088</t>
  </si>
  <si>
    <t>PO000223</t>
  </si>
  <si>
    <t>PO000224</t>
  </si>
  <si>
    <t>PO000225</t>
  </si>
  <si>
    <t>PO000226</t>
  </si>
  <si>
    <t>PROD00101</t>
  </si>
  <si>
    <t>PO000227</t>
  </si>
  <si>
    <t>PO000228</t>
  </si>
  <si>
    <t>PO000229</t>
  </si>
  <si>
    <t>PROD00119</t>
  </si>
  <si>
    <t>PO000230</t>
  </si>
  <si>
    <t>PO000231</t>
  </si>
  <si>
    <t>PO000232</t>
  </si>
  <si>
    <t>PROD00178</t>
  </si>
  <si>
    <t>PO000233</t>
  </si>
  <si>
    <t>SUP00045</t>
  </si>
  <si>
    <t>PROD00125</t>
  </si>
  <si>
    <t>PO000234</t>
  </si>
  <si>
    <t>SUP00060</t>
  </si>
  <si>
    <t>PO000235</t>
  </si>
  <si>
    <t>PROD00124</t>
  </si>
  <si>
    <t>PO000236</t>
  </si>
  <si>
    <t>PO000237</t>
  </si>
  <si>
    <t>PO000238</t>
  </si>
  <si>
    <t>PO000239</t>
  </si>
  <si>
    <t>SUP00058</t>
  </si>
  <si>
    <t>PO000240</t>
  </si>
  <si>
    <t>PO000241</t>
  </si>
  <si>
    <t>SUP00089</t>
  </si>
  <si>
    <t>PO000242</t>
  </si>
  <si>
    <t>PO000243</t>
  </si>
  <si>
    <t>PO000244</t>
  </si>
  <si>
    <t>PROD00112</t>
  </si>
  <si>
    <t>PO000245</t>
  </si>
  <si>
    <t>PO000246</t>
  </si>
  <si>
    <t>PO000247</t>
  </si>
  <si>
    <t>SUP00012</t>
  </si>
  <si>
    <t>PO000248</t>
  </si>
  <si>
    <t>PROD00008</t>
  </si>
  <si>
    <t>PO000249</t>
  </si>
  <si>
    <t>PO000250</t>
  </si>
  <si>
    <t>PROD00135</t>
  </si>
  <si>
    <t>PO000251</t>
  </si>
  <si>
    <t>PO000252</t>
  </si>
  <si>
    <t>PO000253</t>
  </si>
  <si>
    <t>PO000254</t>
  </si>
  <si>
    <t>PO000255</t>
  </si>
  <si>
    <t>PROD00085</t>
  </si>
  <si>
    <t>PO000256</t>
  </si>
  <si>
    <t>PO000257</t>
  </si>
  <si>
    <t>PO000258</t>
  </si>
  <si>
    <t>PO000259</t>
  </si>
  <si>
    <t>PO000260</t>
  </si>
  <si>
    <t>PO000261</t>
  </si>
  <si>
    <t>PO000262</t>
  </si>
  <si>
    <t>PO000263</t>
  </si>
  <si>
    <t>PO000264</t>
  </si>
  <si>
    <t>PROD00087</t>
  </si>
  <si>
    <t>PO000265</t>
  </si>
  <si>
    <t>PO000266</t>
  </si>
  <si>
    <t>PO000267</t>
  </si>
  <si>
    <t>PROD00160</t>
  </si>
  <si>
    <t>PO000268</t>
  </si>
  <si>
    <t>PO000269</t>
  </si>
  <si>
    <t>PROD00155</t>
  </si>
  <si>
    <t>PO000270</t>
  </si>
  <si>
    <t>PO000271</t>
  </si>
  <si>
    <t>PO000272</t>
  </si>
  <si>
    <t>PO000273</t>
  </si>
  <si>
    <t>PO000274</t>
  </si>
  <si>
    <t>PROD00133</t>
  </si>
  <si>
    <t>PO000275</t>
  </si>
  <si>
    <t>PO000276</t>
  </si>
  <si>
    <t>PO000277</t>
  </si>
  <si>
    <t>PO000278</t>
  </si>
  <si>
    <t>PO000279</t>
  </si>
  <si>
    <t>PO000280</t>
  </si>
  <si>
    <t>PO000281</t>
  </si>
  <si>
    <t>PO000282</t>
  </si>
  <si>
    <t>PO000283</t>
  </si>
  <si>
    <t>PO000284</t>
  </si>
  <si>
    <t>PO000285</t>
  </si>
  <si>
    <t>SUP00076</t>
  </si>
  <si>
    <t>PROD00024</t>
  </si>
  <si>
    <t>PO000286</t>
  </si>
  <si>
    <t>PO000287</t>
  </si>
  <si>
    <t>PROD00078</t>
  </si>
  <si>
    <t>PO000288</t>
  </si>
  <si>
    <t>PO000289</t>
  </si>
  <si>
    <t>PO000290</t>
  </si>
  <si>
    <t>PROD00134</t>
  </si>
  <si>
    <t>PO000291</t>
  </si>
  <si>
    <t>PO000292</t>
  </si>
  <si>
    <t>PO000293</t>
  </si>
  <si>
    <t>PO000294</t>
  </si>
  <si>
    <t>PO000295</t>
  </si>
  <si>
    <t>PO000296</t>
  </si>
  <si>
    <t>PO000297</t>
  </si>
  <si>
    <t>PO000298</t>
  </si>
  <si>
    <t>SUP00069</t>
  </si>
  <si>
    <t>PO000299</t>
  </si>
  <si>
    <t>PO000300</t>
  </si>
  <si>
    <t>PROD00028</t>
  </si>
  <si>
    <t>PO000301</t>
  </si>
  <si>
    <t>PO000302</t>
  </si>
  <si>
    <t>PROD00164</t>
  </si>
  <si>
    <t>PO000303</t>
  </si>
  <si>
    <t>SUP00003</t>
  </si>
  <si>
    <t>PO000304</t>
  </si>
  <si>
    <t>PO000305</t>
  </si>
  <si>
    <t>PO000306</t>
  </si>
  <si>
    <t>PO000307</t>
  </si>
  <si>
    <t>PO000308</t>
  </si>
  <si>
    <t>PO000309</t>
  </si>
  <si>
    <t>PROD00104</t>
  </si>
  <si>
    <t>PO000310</t>
  </si>
  <si>
    <t>PO000311</t>
  </si>
  <si>
    <t>PO000312</t>
  </si>
  <si>
    <t>PO000313</t>
  </si>
  <si>
    <t>PO000314</t>
  </si>
  <si>
    <t>PO000315</t>
  </si>
  <si>
    <t>SUP00028</t>
  </si>
  <si>
    <t>PO000316</t>
  </si>
  <si>
    <t>PO000317</t>
  </si>
  <si>
    <t>PROD00054</t>
  </si>
  <si>
    <t>PO000318</t>
  </si>
  <si>
    <t>PO000319</t>
  </si>
  <si>
    <t>PO000320</t>
  </si>
  <si>
    <t>PO000321</t>
  </si>
  <si>
    <t>PO000322</t>
  </si>
  <si>
    <t>PROD00007</t>
  </si>
  <si>
    <t>PO000323</t>
  </si>
  <si>
    <t>PROD00049</t>
  </si>
  <si>
    <t>PO000324</t>
  </si>
  <si>
    <t>PO000325</t>
  </si>
  <si>
    <t>PO000326</t>
  </si>
  <si>
    <t>PO000327</t>
  </si>
  <si>
    <t>PROD00064</t>
  </si>
  <si>
    <t>PO000328</t>
  </si>
  <si>
    <t>PO000329</t>
  </si>
  <si>
    <t>PO000330</t>
  </si>
  <si>
    <t>PO000331</t>
  </si>
  <si>
    <t>PO000332</t>
  </si>
  <si>
    <t>PROD00001</t>
  </si>
  <si>
    <t>PO000333</t>
  </si>
  <si>
    <t>PO000334</t>
  </si>
  <si>
    <t>PO000335</t>
  </si>
  <si>
    <t>PO000336</t>
  </si>
  <si>
    <t>PO000337</t>
  </si>
  <si>
    <t>PO000338</t>
  </si>
  <si>
    <t>PO000339</t>
  </si>
  <si>
    <t>PO000340</t>
  </si>
  <si>
    <t>PO000341</t>
  </si>
  <si>
    <t>PROD00197</t>
  </si>
  <si>
    <t>PO000342</t>
  </si>
  <si>
    <t>PO000343</t>
  </si>
  <si>
    <t>PROD00083</t>
  </si>
  <si>
    <t>PO000344</t>
  </si>
  <si>
    <t>PO000345</t>
  </si>
  <si>
    <t>PO000346</t>
  </si>
  <si>
    <t>SUP00047</t>
  </si>
  <si>
    <t>PO000347</t>
  </si>
  <si>
    <t>PO000348</t>
  </si>
  <si>
    <t>PO000349</t>
  </si>
  <si>
    <t>PO000350</t>
  </si>
  <si>
    <t>PO000351</t>
  </si>
  <si>
    <t>PROD00120</t>
  </si>
  <si>
    <t>PO000352</t>
  </si>
  <si>
    <t>PO000353</t>
  </si>
  <si>
    <t>PO000354</t>
  </si>
  <si>
    <t>PROD00194</t>
  </si>
  <si>
    <t>PO000355</t>
  </si>
  <si>
    <t>PROD00068</t>
  </si>
  <si>
    <t>PO000356</t>
  </si>
  <si>
    <t>PO000357</t>
  </si>
  <si>
    <t>PO000358</t>
  </si>
  <si>
    <t>PO000359</t>
  </si>
  <si>
    <t>PO000360</t>
  </si>
  <si>
    <t>PO000361</t>
  </si>
  <si>
    <t>PO000362</t>
  </si>
  <si>
    <t>PO000363</t>
  </si>
  <si>
    <t>PO000364</t>
  </si>
  <si>
    <t>PO000365</t>
  </si>
  <si>
    <t>PO000366</t>
  </si>
  <si>
    <t>PO000367</t>
  </si>
  <si>
    <t>PO000368</t>
  </si>
  <si>
    <t>PO000369</t>
  </si>
  <si>
    <t>PO000370</t>
  </si>
  <si>
    <t>PO000371</t>
  </si>
  <si>
    <t>PO000372</t>
  </si>
  <si>
    <t>PO000373</t>
  </si>
  <si>
    <t>PO000374</t>
  </si>
  <si>
    <t>PO000375</t>
  </si>
  <si>
    <t>PO000376</t>
  </si>
  <si>
    <t>PO000377</t>
  </si>
  <si>
    <t>PO000378</t>
  </si>
  <si>
    <t>PO000379</t>
  </si>
  <si>
    <t>PROD00150</t>
  </si>
  <si>
    <t>PO000380</t>
  </si>
  <si>
    <t>PO000381</t>
  </si>
  <si>
    <t>PO000382</t>
  </si>
  <si>
    <t>PO000383</t>
  </si>
  <si>
    <t>PO000384</t>
  </si>
  <si>
    <t>PO000385</t>
  </si>
  <si>
    <t>PROD00093</t>
  </si>
  <si>
    <t>PO000386</t>
  </si>
  <si>
    <t>PO000387</t>
  </si>
  <si>
    <t>PROD00110</t>
  </si>
  <si>
    <t>PO000388</t>
  </si>
  <si>
    <t>PO000389</t>
  </si>
  <si>
    <t>PO000390</t>
  </si>
  <si>
    <t>PROD00191</t>
  </si>
  <si>
    <t>PO000391</t>
  </si>
  <si>
    <t>PO000392</t>
  </si>
  <si>
    <t>PO000393</t>
  </si>
  <si>
    <t>PO000394</t>
  </si>
  <si>
    <t>PO000395</t>
  </si>
  <si>
    <t>PO000396</t>
  </si>
  <si>
    <t>PO000397</t>
  </si>
  <si>
    <t>PO000398</t>
  </si>
  <si>
    <t>PO000399</t>
  </si>
  <si>
    <t>PO000400</t>
  </si>
  <si>
    <t>PO000401</t>
  </si>
  <si>
    <t>PO000402</t>
  </si>
  <si>
    <t>PO000403</t>
  </si>
  <si>
    <t>PO000404</t>
  </si>
  <si>
    <t>PO000405</t>
  </si>
  <si>
    <t>PO000406</t>
  </si>
  <si>
    <t>PO000407</t>
  </si>
  <si>
    <t>SUP00002</t>
  </si>
  <si>
    <t>PO000408</t>
  </si>
  <si>
    <t>PO000409</t>
  </si>
  <si>
    <t>PROD00146</t>
  </si>
  <si>
    <t>PO000410</t>
  </si>
  <si>
    <t>PROD00199</t>
  </si>
  <si>
    <t>PO000411</t>
  </si>
  <si>
    <t>PROD00188</t>
  </si>
  <si>
    <t>PO000412</t>
  </si>
  <si>
    <t>PO000413</t>
  </si>
  <si>
    <t>PO000414</t>
  </si>
  <si>
    <t>PO000415</t>
  </si>
  <si>
    <t>PO000416</t>
  </si>
  <si>
    <t>PO000417</t>
  </si>
  <si>
    <t>PO000418</t>
  </si>
  <si>
    <t>PROD00163</t>
  </si>
  <si>
    <t>PO000419</t>
  </si>
  <si>
    <t>PROD00005</t>
  </si>
  <si>
    <t>PO000420</t>
  </si>
  <si>
    <t>PO000421</t>
  </si>
  <si>
    <t>PO000422</t>
  </si>
  <si>
    <t>PO000423</t>
  </si>
  <si>
    <t>PO000424</t>
  </si>
  <si>
    <t>PO000425</t>
  </si>
  <si>
    <t>PO000426</t>
  </si>
  <si>
    <t>PO000427</t>
  </si>
  <si>
    <t>PO000428</t>
  </si>
  <si>
    <t>PO000429</t>
  </si>
  <si>
    <t>PO000430</t>
  </si>
  <si>
    <t>PO000431</t>
  </si>
  <si>
    <t>PO000432</t>
  </si>
  <si>
    <t>PO000433</t>
  </si>
  <si>
    <t>PROD00082</t>
  </si>
  <si>
    <t>PO000434</t>
  </si>
  <si>
    <t>PROD00122</t>
  </si>
  <si>
    <t>PO000435</t>
  </si>
  <si>
    <t>PROD00004</t>
  </si>
  <si>
    <t>PO000436</t>
  </si>
  <si>
    <t>PO000437</t>
  </si>
  <si>
    <t>PO000438</t>
  </si>
  <si>
    <t>PO000439</t>
  </si>
  <si>
    <t>PROD00173</t>
  </si>
  <si>
    <t>PO000440</t>
  </si>
  <si>
    <t>PO000441</t>
  </si>
  <si>
    <t>PO000442</t>
  </si>
  <si>
    <t>PO000443</t>
  </si>
  <si>
    <t>PO000444</t>
  </si>
  <si>
    <t>PO000445</t>
  </si>
  <si>
    <t>PO000446</t>
  </si>
  <si>
    <t>PO000447</t>
  </si>
  <si>
    <t>PO000448</t>
  </si>
  <si>
    <t>PO000449</t>
  </si>
  <si>
    <t>PO000450</t>
  </si>
  <si>
    <t>PO000451</t>
  </si>
  <si>
    <t>PO000452</t>
  </si>
  <si>
    <t>PO000453</t>
  </si>
  <si>
    <t>PO000454</t>
  </si>
  <si>
    <t>PO000455</t>
  </si>
  <si>
    <t>PO000456</t>
  </si>
  <si>
    <t>PO000457</t>
  </si>
  <si>
    <t>PO000458</t>
  </si>
  <si>
    <t>PO000459</t>
  </si>
  <si>
    <t>PROD00023</t>
  </si>
  <si>
    <t>PO000460</t>
  </si>
  <si>
    <t>PO000461</t>
  </si>
  <si>
    <t>SUP00009</t>
  </si>
  <si>
    <t>PO000462</t>
  </si>
  <si>
    <t>PO000463</t>
  </si>
  <si>
    <t>PO000464</t>
  </si>
  <si>
    <t>PO000465</t>
  </si>
  <si>
    <t>PO000466</t>
  </si>
  <si>
    <t>PO000467</t>
  </si>
  <si>
    <t>PO000468</t>
  </si>
  <si>
    <t>PROD00193</t>
  </si>
  <si>
    <t>PO000469</t>
  </si>
  <si>
    <t>PO000470</t>
  </si>
  <si>
    <t>PO000471</t>
  </si>
  <si>
    <t>PROD00111</t>
  </si>
  <si>
    <t>PO000472</t>
  </si>
  <si>
    <t>PROD00130</t>
  </si>
  <si>
    <t>PO000473</t>
  </si>
  <si>
    <t>PO000474</t>
  </si>
  <si>
    <t>PO000475</t>
  </si>
  <si>
    <t>PO000476</t>
  </si>
  <si>
    <t>PO000477</t>
  </si>
  <si>
    <t>PO000478</t>
  </si>
  <si>
    <t>PO000479</t>
  </si>
  <si>
    <t>PO000480</t>
  </si>
  <si>
    <t>PO000481</t>
  </si>
  <si>
    <t>PO000482</t>
  </si>
  <si>
    <t>PO000483</t>
  </si>
  <si>
    <t>PO000484</t>
  </si>
  <si>
    <t>PO000485</t>
  </si>
  <si>
    <t>PO000486</t>
  </si>
  <si>
    <t>PO000487</t>
  </si>
  <si>
    <t>PO000488</t>
  </si>
  <si>
    <t>PO000489</t>
  </si>
  <si>
    <t>PO000490</t>
  </si>
  <si>
    <t>PO000491</t>
  </si>
  <si>
    <t>PO000492</t>
  </si>
  <si>
    <t>PO000493</t>
  </si>
  <si>
    <t>PO000494</t>
  </si>
  <si>
    <t>PO000495</t>
  </si>
  <si>
    <t>PO000496</t>
  </si>
  <si>
    <t>PO000497</t>
  </si>
  <si>
    <t>PO000498</t>
  </si>
  <si>
    <t>PROD00195</t>
  </si>
  <si>
    <t>PO000499</t>
  </si>
  <si>
    <t>PO000500</t>
  </si>
  <si>
    <t>PROD00067</t>
  </si>
  <si>
    <t>PO000501</t>
  </si>
  <si>
    <t>PO000502</t>
  </si>
  <si>
    <t>PO000503</t>
  </si>
  <si>
    <t>PO000504</t>
  </si>
  <si>
    <t>PO000505</t>
  </si>
  <si>
    <t>PO000506</t>
  </si>
  <si>
    <t>PO000507</t>
  </si>
  <si>
    <t>PO000508</t>
  </si>
  <si>
    <t>PO000509</t>
  </si>
  <si>
    <t>PO000510</t>
  </si>
  <si>
    <t>PO000511</t>
  </si>
  <si>
    <t>PO000512</t>
  </si>
  <si>
    <t>PO000513</t>
  </si>
  <si>
    <t>PO000514</t>
  </si>
  <si>
    <t>PO000515</t>
  </si>
  <si>
    <t>PO000516</t>
  </si>
  <si>
    <t>PO000517</t>
  </si>
  <si>
    <t>PO000518</t>
  </si>
  <si>
    <t>PO000519</t>
  </si>
  <si>
    <t>PO000520</t>
  </si>
  <si>
    <t>PO000521</t>
  </si>
  <si>
    <t>PO000522</t>
  </si>
  <si>
    <t>PROD00060</t>
  </si>
  <si>
    <t>PO000523</t>
  </si>
  <si>
    <t>PO000524</t>
  </si>
  <si>
    <t>PO000525</t>
  </si>
  <si>
    <t>PO000526</t>
  </si>
  <si>
    <t>PO000527</t>
  </si>
  <si>
    <t>PO000528</t>
  </si>
  <si>
    <t>PO000529</t>
  </si>
  <si>
    <t>PROD00081</t>
  </si>
  <si>
    <t>PO000530</t>
  </si>
  <si>
    <t>PO000531</t>
  </si>
  <si>
    <t>PO000532</t>
  </si>
  <si>
    <t>PO000533</t>
  </si>
  <si>
    <t>PO000534</t>
  </si>
  <si>
    <t>PO000535</t>
  </si>
  <si>
    <t>PO000536</t>
  </si>
  <si>
    <t>PO000537</t>
  </si>
  <si>
    <t>PO000538</t>
  </si>
  <si>
    <t>PO000539</t>
  </si>
  <si>
    <t>PO000540</t>
  </si>
  <si>
    <t>PO000541</t>
  </si>
  <si>
    <t>PO000542</t>
  </si>
  <si>
    <t>PO000543</t>
  </si>
  <si>
    <t>PO000544</t>
  </si>
  <si>
    <t>PO000545</t>
  </si>
  <si>
    <t>PO000546</t>
  </si>
  <si>
    <t>PO000547</t>
  </si>
  <si>
    <t>PO000548</t>
  </si>
  <si>
    <t>PO000549</t>
  </si>
  <si>
    <t>PO000550</t>
  </si>
  <si>
    <t>PO000551</t>
  </si>
  <si>
    <t>PO000552</t>
  </si>
  <si>
    <t>PO000553</t>
  </si>
  <si>
    <t>PO000554</t>
  </si>
  <si>
    <t>PO000555</t>
  </si>
  <si>
    <t>PO000556</t>
  </si>
  <si>
    <t>PO000557</t>
  </si>
  <si>
    <t>PO000558</t>
  </si>
  <si>
    <t>PO000559</t>
  </si>
  <si>
    <t>PO000560</t>
  </si>
  <si>
    <t>PO000561</t>
  </si>
  <si>
    <t>PO000562</t>
  </si>
  <si>
    <t>PO000563</t>
  </si>
  <si>
    <t>PO000564</t>
  </si>
  <si>
    <t>PO000565</t>
  </si>
  <si>
    <t>PO000566</t>
  </si>
  <si>
    <t>PO000567</t>
  </si>
  <si>
    <t>PO000568</t>
  </si>
  <si>
    <t>PO000569</t>
  </si>
  <si>
    <t>PO000570</t>
  </si>
  <si>
    <t>PO000571</t>
  </si>
  <si>
    <t>PO000572</t>
  </si>
  <si>
    <t>PO000573</t>
  </si>
  <si>
    <t>PO000574</t>
  </si>
  <si>
    <t>PO000575</t>
  </si>
  <si>
    <t>PO000576</t>
  </si>
  <si>
    <t>PO000577</t>
  </si>
  <si>
    <t>PO000578</t>
  </si>
  <si>
    <t>PO000579</t>
  </si>
  <si>
    <t>PO000580</t>
  </si>
  <si>
    <t>PO000581</t>
  </si>
  <si>
    <t>PO000582</t>
  </si>
  <si>
    <t>PO000583</t>
  </si>
  <si>
    <t>PROD00002</t>
  </si>
  <si>
    <t>PO000584</t>
  </si>
  <si>
    <t>PO000585</t>
  </si>
  <si>
    <t>PO000586</t>
  </si>
  <si>
    <t>PO000587</t>
  </si>
  <si>
    <t>PO000588</t>
  </si>
  <si>
    <t>PO000589</t>
  </si>
  <si>
    <t>PO000590</t>
  </si>
  <si>
    <t>PO000591</t>
  </si>
  <si>
    <t>PO000592</t>
  </si>
  <si>
    <t>PO000593</t>
  </si>
  <si>
    <t>PO000594</t>
  </si>
  <si>
    <t>PO000595</t>
  </si>
  <si>
    <t>PO000596</t>
  </si>
  <si>
    <t>PO000597</t>
  </si>
  <si>
    <t>PO000598</t>
  </si>
  <si>
    <t>PO000599</t>
  </si>
  <si>
    <t>PO000600</t>
  </si>
  <si>
    <t>PROD00123</t>
  </si>
  <si>
    <t>PO000601</t>
  </si>
  <si>
    <t>PO000602</t>
  </si>
  <si>
    <t>PO000603</t>
  </si>
  <si>
    <t>PO000604</t>
  </si>
  <si>
    <t>PO000605</t>
  </si>
  <si>
    <t>PO000606</t>
  </si>
  <si>
    <t>PO000607</t>
  </si>
  <si>
    <t>PO000608</t>
  </si>
  <si>
    <t>PO000609</t>
  </si>
  <si>
    <t>PO000610</t>
  </si>
  <si>
    <t>PO000611</t>
  </si>
  <si>
    <t>PO000612</t>
  </si>
  <si>
    <t>PO000613</t>
  </si>
  <si>
    <t>PO000614</t>
  </si>
  <si>
    <t>PO000615</t>
  </si>
  <si>
    <t>PROD00066</t>
  </si>
  <si>
    <t>PO000616</t>
  </si>
  <si>
    <t>PO000617</t>
  </si>
  <si>
    <t>PO000618</t>
  </si>
  <si>
    <t>PO000619</t>
  </si>
  <si>
    <t>PO000620</t>
  </si>
  <si>
    <t>PO000621</t>
  </si>
  <si>
    <t>PO000622</t>
  </si>
  <si>
    <t>PO000623</t>
  </si>
  <si>
    <t>PO000624</t>
  </si>
  <si>
    <t>PO000625</t>
  </si>
  <si>
    <t>PO000626</t>
  </si>
  <si>
    <t>PO000627</t>
  </si>
  <si>
    <t>PO000628</t>
  </si>
  <si>
    <t>PO000629</t>
  </si>
  <si>
    <t>PO000630</t>
  </si>
  <si>
    <t>PO000631</t>
  </si>
  <si>
    <t>PO000632</t>
  </si>
  <si>
    <t>PO000633</t>
  </si>
  <si>
    <t>PO000634</t>
  </si>
  <si>
    <t>PO000635</t>
  </si>
  <si>
    <t>PO000636</t>
  </si>
  <si>
    <t>PO000637</t>
  </si>
  <si>
    <t>PO000638</t>
  </si>
  <si>
    <t>PO000639</t>
  </si>
  <si>
    <t>PO000640</t>
  </si>
  <si>
    <t>PO000641</t>
  </si>
  <si>
    <t>PO000642</t>
  </si>
  <si>
    <t>PO000643</t>
  </si>
  <si>
    <t>PO000644</t>
  </si>
  <si>
    <t>PO000645</t>
  </si>
  <si>
    <t>PO000646</t>
  </si>
  <si>
    <t>PO000647</t>
  </si>
  <si>
    <t>PO000648</t>
  </si>
  <si>
    <t>PO000649</t>
  </si>
  <si>
    <t>PO000650</t>
  </si>
  <si>
    <t>PO000651</t>
  </si>
  <si>
    <t>PO000652</t>
  </si>
  <si>
    <t>PO000653</t>
  </si>
  <si>
    <t>PO000654</t>
  </si>
  <si>
    <t>PO000655</t>
  </si>
  <si>
    <t>PO000656</t>
  </si>
  <si>
    <t>PO000657</t>
  </si>
  <si>
    <t>PO000658</t>
  </si>
  <si>
    <t>PO000659</t>
  </si>
  <si>
    <t>PO000660</t>
  </si>
  <si>
    <t>PO000661</t>
  </si>
  <si>
    <t>PO000662</t>
  </si>
  <si>
    <t>PO000663</t>
  </si>
  <si>
    <t>PO000664</t>
  </si>
  <si>
    <t>PO000665</t>
  </si>
  <si>
    <t>PO000666</t>
  </si>
  <si>
    <t>PO000667</t>
  </si>
  <si>
    <t>PO000668</t>
  </si>
  <si>
    <t>PO000669</t>
  </si>
  <si>
    <t>PO000670</t>
  </si>
  <si>
    <t>PO000671</t>
  </si>
  <si>
    <t>PROD00143</t>
  </si>
  <si>
    <t>PO000672</t>
  </si>
  <si>
    <t>PO000673</t>
  </si>
  <si>
    <t>PO000674</t>
  </si>
  <si>
    <t>PO000675</t>
  </si>
  <si>
    <t>PO000676</t>
  </si>
  <si>
    <t>PO000677</t>
  </si>
  <si>
    <t>PO000678</t>
  </si>
  <si>
    <t>PO000679</t>
  </si>
  <si>
    <t>PO000680</t>
  </si>
  <si>
    <t>PO000681</t>
  </si>
  <si>
    <t>PO000682</t>
  </si>
  <si>
    <t>PO000683</t>
  </si>
  <si>
    <t>PO000684</t>
  </si>
  <si>
    <t>PO000685</t>
  </si>
  <si>
    <t>PO000686</t>
  </si>
  <si>
    <t>PO000687</t>
  </si>
  <si>
    <t>PO000688</t>
  </si>
  <si>
    <t>PROD00063</t>
  </si>
  <si>
    <t>PO000689</t>
  </si>
  <si>
    <t>PO000690</t>
  </si>
  <si>
    <t>PO000691</t>
  </si>
  <si>
    <t>PO000692</t>
  </si>
  <si>
    <t>PO000693</t>
  </si>
  <si>
    <t>PO000694</t>
  </si>
  <si>
    <t>PO000695</t>
  </si>
  <si>
    <t>PO000696</t>
  </si>
  <si>
    <t>PO000697</t>
  </si>
  <si>
    <t>PO000698</t>
  </si>
  <si>
    <t>PO000699</t>
  </si>
  <si>
    <t>PO000700</t>
  </si>
  <si>
    <t>PO000701</t>
  </si>
  <si>
    <t>PO000702</t>
  </si>
  <si>
    <t>PO000703</t>
  </si>
  <si>
    <t>PO000704</t>
  </si>
  <si>
    <t>PO000705</t>
  </si>
  <si>
    <t>PO000706</t>
  </si>
  <si>
    <t>PO000707</t>
  </si>
  <si>
    <t>PO000708</t>
  </si>
  <si>
    <t>PO000709</t>
  </si>
  <si>
    <t>PO000710</t>
  </si>
  <si>
    <t>PO000711</t>
  </si>
  <si>
    <t>PO000712</t>
  </si>
  <si>
    <t>PO000713</t>
  </si>
  <si>
    <t>PO000714</t>
  </si>
  <si>
    <t>PO000715</t>
  </si>
  <si>
    <t>PO000716</t>
  </si>
  <si>
    <t>PO000717</t>
  </si>
  <si>
    <t>PO000718</t>
  </si>
  <si>
    <t>PO000719</t>
  </si>
  <si>
    <t>PO000720</t>
  </si>
  <si>
    <t>PO000721</t>
  </si>
  <si>
    <t>PO000722</t>
  </si>
  <si>
    <t>PO000723</t>
  </si>
  <si>
    <t>PO000724</t>
  </si>
  <si>
    <t>PO000725</t>
  </si>
  <si>
    <t>PO000726</t>
  </si>
  <si>
    <t>PO000727</t>
  </si>
  <si>
    <t>PO000728</t>
  </si>
  <si>
    <t>PO000729</t>
  </si>
  <si>
    <t>PO000730</t>
  </si>
  <si>
    <t>PO000731</t>
  </si>
  <si>
    <t>PO000732</t>
  </si>
  <si>
    <t>PO000733</t>
  </si>
  <si>
    <t>PO000734</t>
  </si>
  <si>
    <t>PO000735</t>
  </si>
  <si>
    <t>PO000736</t>
  </si>
  <si>
    <t>PO000737</t>
  </si>
  <si>
    <t>PO000738</t>
  </si>
  <si>
    <t>PO000739</t>
  </si>
  <si>
    <t>PO000740</t>
  </si>
  <si>
    <t>PO000741</t>
  </si>
  <si>
    <t>PO000742</t>
  </si>
  <si>
    <t>PO000743</t>
  </si>
  <si>
    <t>PO000744</t>
  </si>
  <si>
    <t>PO000745</t>
  </si>
  <si>
    <t>PO000746</t>
  </si>
  <si>
    <t>PO000747</t>
  </si>
  <si>
    <t>PO000748</t>
  </si>
  <si>
    <t>PROD00094</t>
  </si>
  <si>
    <t>PO000749</t>
  </si>
  <si>
    <t>PO000750</t>
  </si>
  <si>
    <t>PO000751</t>
  </si>
  <si>
    <t>PO000752</t>
  </si>
  <si>
    <t>PO000753</t>
  </si>
  <si>
    <t>PO000754</t>
  </si>
  <si>
    <t>PO000755</t>
  </si>
  <si>
    <t>PO000756</t>
  </si>
  <si>
    <t>PO000757</t>
  </si>
  <si>
    <t>PO000758</t>
  </si>
  <si>
    <t>PO000759</t>
  </si>
  <si>
    <t>PO000760</t>
  </si>
  <si>
    <t>PO000761</t>
  </si>
  <si>
    <t>PO000762</t>
  </si>
  <si>
    <t>PO000763</t>
  </si>
  <si>
    <t>PO000764</t>
  </si>
  <si>
    <t>PO000765</t>
  </si>
  <si>
    <t>PO000766</t>
  </si>
  <si>
    <t>PO000767</t>
  </si>
  <si>
    <t>PO000768</t>
  </si>
  <si>
    <t>PO000769</t>
  </si>
  <si>
    <t>PO000770</t>
  </si>
  <si>
    <t>PO000771</t>
  </si>
  <si>
    <t>PO000772</t>
  </si>
  <si>
    <t>PO000773</t>
  </si>
  <si>
    <t>PO000774</t>
  </si>
  <si>
    <t>PO000775</t>
  </si>
  <si>
    <t>PO000776</t>
  </si>
  <si>
    <t>PO000777</t>
  </si>
  <si>
    <t>PO000778</t>
  </si>
  <si>
    <t>PO000779</t>
  </si>
  <si>
    <t>PO000780</t>
  </si>
  <si>
    <t>PO000781</t>
  </si>
  <si>
    <t>PO000782</t>
  </si>
  <si>
    <t>PO000783</t>
  </si>
  <si>
    <t>PO000784</t>
  </si>
  <si>
    <t>PO000785</t>
  </si>
  <si>
    <t>PO000786</t>
  </si>
  <si>
    <t>PO000787</t>
  </si>
  <si>
    <t>PO000788</t>
  </si>
  <si>
    <t>PO000789</t>
  </si>
  <si>
    <t>PO000790</t>
  </si>
  <si>
    <t>PO000791</t>
  </si>
  <si>
    <t>PO000792</t>
  </si>
  <si>
    <t>PO000793</t>
  </si>
  <si>
    <t>PO000794</t>
  </si>
  <si>
    <t>PO000795</t>
  </si>
  <si>
    <t>PO000796</t>
  </si>
  <si>
    <t>PO000797</t>
  </si>
  <si>
    <t>PO000798</t>
  </si>
  <si>
    <t>PO000799</t>
  </si>
  <si>
    <t>PO000800</t>
  </si>
  <si>
    <t>PO000801</t>
  </si>
  <si>
    <t>PO000802</t>
  </si>
  <si>
    <t>PO000803</t>
  </si>
  <si>
    <t>PO000804</t>
  </si>
  <si>
    <t>PROD00061</t>
  </si>
  <si>
    <t>PO000805</t>
  </si>
  <si>
    <t>PO000806</t>
  </si>
  <si>
    <t>PO000807</t>
  </si>
  <si>
    <t>PO000808</t>
  </si>
  <si>
    <t>PO000809</t>
  </si>
  <si>
    <t>PO000810</t>
  </si>
  <si>
    <t>PO000811</t>
  </si>
  <si>
    <t>PO000812</t>
  </si>
  <si>
    <t>PO000813</t>
  </si>
  <si>
    <t>PO000814</t>
  </si>
  <si>
    <t>PO000815</t>
  </si>
  <si>
    <t>PO000816</t>
  </si>
  <si>
    <t>PO000817</t>
  </si>
  <si>
    <t>PO000818</t>
  </si>
  <si>
    <t>PO000819</t>
  </si>
  <si>
    <t>PO000820</t>
  </si>
  <si>
    <t>PO000821</t>
  </si>
  <si>
    <t>PO000822</t>
  </si>
  <si>
    <t>PO000823</t>
  </si>
  <si>
    <t>PO000824</t>
  </si>
  <si>
    <t>PROD00145</t>
  </si>
  <si>
    <t>PO000825</t>
  </si>
  <si>
    <t>PO000826</t>
  </si>
  <si>
    <t>PO000827</t>
  </si>
  <si>
    <t>PO000828</t>
  </si>
  <si>
    <t>PO000829</t>
  </si>
  <si>
    <t>PO000830</t>
  </si>
  <si>
    <t>PO000831</t>
  </si>
  <si>
    <t>PO000832</t>
  </si>
  <si>
    <t>PO000833</t>
  </si>
  <si>
    <t>PO000834</t>
  </si>
  <si>
    <t>PO000835</t>
  </si>
  <si>
    <t>PO000836</t>
  </si>
  <si>
    <t>PO000837</t>
  </si>
  <si>
    <t>PO000838</t>
  </si>
  <si>
    <t>PO000839</t>
  </si>
  <si>
    <t>PO000840</t>
  </si>
  <si>
    <t>PO000841</t>
  </si>
  <si>
    <t>PO000842</t>
  </si>
  <si>
    <t>PO000843</t>
  </si>
  <si>
    <t>PO000844</t>
  </si>
  <si>
    <t>PO000845</t>
  </si>
  <si>
    <t>PO000846</t>
  </si>
  <si>
    <t>PO000847</t>
  </si>
  <si>
    <t>PO000848</t>
  </si>
  <si>
    <t>PO000849</t>
  </si>
  <si>
    <t>PO000850</t>
  </si>
  <si>
    <t>PO000851</t>
  </si>
  <si>
    <t>PO000852</t>
  </si>
  <si>
    <t>PO000853</t>
  </si>
  <si>
    <t>PO000854</t>
  </si>
  <si>
    <t>PO000855</t>
  </si>
  <si>
    <t>PO000856</t>
  </si>
  <si>
    <t>PO000857</t>
  </si>
  <si>
    <t>PO000858</t>
  </si>
  <si>
    <t>PO000859</t>
  </si>
  <si>
    <t>PO000860</t>
  </si>
  <si>
    <t>PO000861</t>
  </si>
  <si>
    <t>PO000862</t>
  </si>
  <si>
    <t>PO000863</t>
  </si>
  <si>
    <t>PO000864</t>
  </si>
  <si>
    <t>PO000865</t>
  </si>
  <si>
    <t>PO000866</t>
  </si>
  <si>
    <t>PO000867</t>
  </si>
  <si>
    <t>PO000868</t>
  </si>
  <si>
    <t>PO000869</t>
  </si>
  <si>
    <t>PO000870</t>
  </si>
  <si>
    <t>PROD00149</t>
  </si>
  <si>
    <t>PO000871</t>
  </si>
  <si>
    <t>PO000872</t>
  </si>
  <si>
    <t>PO000873</t>
  </si>
  <si>
    <t>PO000874</t>
  </si>
  <si>
    <t>PO000875</t>
  </si>
  <si>
    <t>PO000876</t>
  </si>
  <si>
    <t>PO000877</t>
  </si>
  <si>
    <t>PO000878</t>
  </si>
  <si>
    <t>PO000879</t>
  </si>
  <si>
    <t>PO000880</t>
  </si>
  <si>
    <t>PO000881</t>
  </si>
  <si>
    <t>PO000882</t>
  </si>
  <si>
    <t>PO000883</t>
  </si>
  <si>
    <t>PO000884</t>
  </si>
  <si>
    <t>PO000885</t>
  </si>
  <si>
    <t>PO000886</t>
  </si>
  <si>
    <t>PO000887</t>
  </si>
  <si>
    <t>PO000888</t>
  </si>
  <si>
    <t>PO000889</t>
  </si>
  <si>
    <t>PO000890</t>
  </si>
  <si>
    <t>PO000891</t>
  </si>
  <si>
    <t>PO000892</t>
  </si>
  <si>
    <t>PO000893</t>
  </si>
  <si>
    <t>PO000894</t>
  </si>
  <si>
    <t>PO000895</t>
  </si>
  <si>
    <t>PO000896</t>
  </si>
  <si>
    <t>PO000897</t>
  </si>
  <si>
    <t>PO000898</t>
  </si>
  <si>
    <t>PO000899</t>
  </si>
  <si>
    <t>PO000900</t>
  </si>
  <si>
    <t>PO000901</t>
  </si>
  <si>
    <t>PO000902</t>
  </si>
  <si>
    <t>PO000903</t>
  </si>
  <si>
    <t>PO000904</t>
  </si>
  <si>
    <t>PO000905</t>
  </si>
  <si>
    <t>PO000906</t>
  </si>
  <si>
    <t>PO000907</t>
  </si>
  <si>
    <t>PO000908</t>
  </si>
  <si>
    <t>PO000909</t>
  </si>
  <si>
    <t>PO000910</t>
  </si>
  <si>
    <t>PO000911</t>
  </si>
  <si>
    <t>PO000912</t>
  </si>
  <si>
    <t>PO000913</t>
  </si>
  <si>
    <t>PO000914</t>
  </si>
  <si>
    <t>PO000915</t>
  </si>
  <si>
    <t>PO000916</t>
  </si>
  <si>
    <t>PO000917</t>
  </si>
  <si>
    <t>PO000918</t>
  </si>
  <si>
    <t>PO000919</t>
  </si>
  <si>
    <t>PO000920</t>
  </si>
  <si>
    <t>PO000921</t>
  </si>
  <si>
    <t>PO000922</t>
  </si>
  <si>
    <t>PO000923</t>
  </si>
  <si>
    <t>PO000924</t>
  </si>
  <si>
    <t>PO000925</t>
  </si>
  <si>
    <t>PO000926</t>
  </si>
  <si>
    <t>PO000927</t>
  </si>
  <si>
    <t>PO000928</t>
  </si>
  <si>
    <t>PO000929</t>
  </si>
  <si>
    <t>PO000930</t>
  </si>
  <si>
    <t>PO000931</t>
  </si>
  <si>
    <t>PO000932</t>
  </si>
  <si>
    <t>PO000933</t>
  </si>
  <si>
    <t>PO000934</t>
  </si>
  <si>
    <t>PO000935</t>
  </si>
  <si>
    <t>PO000936</t>
  </si>
  <si>
    <t>PO000937</t>
  </si>
  <si>
    <t>PO000938</t>
  </si>
  <si>
    <t>PO000939</t>
  </si>
  <si>
    <t>PO000940</t>
  </si>
  <si>
    <t>PO000941</t>
  </si>
  <si>
    <t>PO000942</t>
  </si>
  <si>
    <t>PO000943</t>
  </si>
  <si>
    <t>PO000944</t>
  </si>
  <si>
    <t>PO000945</t>
  </si>
  <si>
    <t>PO000946</t>
  </si>
  <si>
    <t>PO000947</t>
  </si>
  <si>
    <t>PO000948</t>
  </si>
  <si>
    <t>PO000949</t>
  </si>
  <si>
    <t>PO000950</t>
  </si>
  <si>
    <t>PO000951</t>
  </si>
  <si>
    <t>PO000952</t>
  </si>
  <si>
    <t>PROD00190</t>
  </si>
  <si>
    <t>PO000953</t>
  </si>
  <si>
    <t>PO000954</t>
  </si>
  <si>
    <t>PO000955</t>
  </si>
  <si>
    <t>PO000956</t>
  </si>
  <si>
    <t>PO000957</t>
  </si>
  <si>
    <t>PO000958</t>
  </si>
  <si>
    <t>PO000959</t>
  </si>
  <si>
    <t>PO000960</t>
  </si>
  <si>
    <t>PO000961</t>
  </si>
  <si>
    <t>PO000962</t>
  </si>
  <si>
    <t>PO000963</t>
  </si>
  <si>
    <t>PO000964</t>
  </si>
  <si>
    <t>PO000965</t>
  </si>
  <si>
    <t>PO000966</t>
  </si>
  <si>
    <t>PO000967</t>
  </si>
  <si>
    <t>PO000968</t>
  </si>
  <si>
    <t>PO000969</t>
  </si>
  <si>
    <t>PO000970</t>
  </si>
  <si>
    <t>PO000971</t>
  </si>
  <si>
    <t>PO000972</t>
  </si>
  <si>
    <t>PO000973</t>
  </si>
  <si>
    <t>PO000974</t>
  </si>
  <si>
    <t>PO000975</t>
  </si>
  <si>
    <t>PO000976</t>
  </si>
  <si>
    <t>PO000977</t>
  </si>
  <si>
    <t>PO000978</t>
  </si>
  <si>
    <t>PO000979</t>
  </si>
  <si>
    <t>PO000980</t>
  </si>
  <si>
    <t>PO000981</t>
  </si>
  <si>
    <t>PO000982</t>
  </si>
  <si>
    <t>PO000983</t>
  </si>
  <si>
    <t>PO000984</t>
  </si>
  <si>
    <t>PO000985</t>
  </si>
  <si>
    <t>PO000986</t>
  </si>
  <si>
    <t>PO000987</t>
  </si>
  <si>
    <t>PO000988</t>
  </si>
  <si>
    <t>PO000989</t>
  </si>
  <si>
    <t>PO000990</t>
  </si>
  <si>
    <t>PO000991</t>
  </si>
  <si>
    <t>PO000992</t>
  </si>
  <si>
    <t>PO000993</t>
  </si>
  <si>
    <t>PO000994</t>
  </si>
  <si>
    <t>PO000995</t>
  </si>
  <si>
    <t>PO000996</t>
  </si>
  <si>
    <t>PO000997</t>
  </si>
  <si>
    <t>PO000998</t>
  </si>
  <si>
    <t>PO000999</t>
  </si>
  <si>
    <t>PO001000</t>
  </si>
  <si>
    <t>PO001001</t>
  </si>
  <si>
    <t>PO001002</t>
  </si>
  <si>
    <t>PO001003</t>
  </si>
  <si>
    <t>PO001004</t>
  </si>
  <si>
    <t>PO001005</t>
  </si>
  <si>
    <t>PO001006</t>
  </si>
  <si>
    <t>PO001007</t>
  </si>
  <si>
    <t>PO001008</t>
  </si>
  <si>
    <t>PO001009</t>
  </si>
  <si>
    <t>PO001010</t>
  </si>
  <si>
    <t>PO001011</t>
  </si>
  <si>
    <t>PO001012</t>
  </si>
  <si>
    <t>PO001013</t>
  </si>
  <si>
    <t>PO001014</t>
  </si>
  <si>
    <t>PO001015</t>
  </si>
  <si>
    <t>PO001016</t>
  </si>
  <si>
    <t>PO001017</t>
  </si>
  <si>
    <t>PO001018</t>
  </si>
  <si>
    <t>PO001019</t>
  </si>
  <si>
    <t>PO001020</t>
  </si>
  <si>
    <t>PO001021</t>
  </si>
  <si>
    <t>PO001022</t>
  </si>
  <si>
    <t>PO001023</t>
  </si>
  <si>
    <t>PO001024</t>
  </si>
  <si>
    <t>PO001025</t>
  </si>
  <si>
    <t>PO001026</t>
  </si>
  <si>
    <t>PO001027</t>
  </si>
  <si>
    <t>PO001028</t>
  </si>
  <si>
    <t>PO001029</t>
  </si>
  <si>
    <t>PO001030</t>
  </si>
  <si>
    <t>PO001031</t>
  </si>
  <si>
    <t>PO001032</t>
  </si>
  <si>
    <t>PO001033</t>
  </si>
  <si>
    <t>PO001034</t>
  </si>
  <si>
    <t>PO001035</t>
  </si>
  <si>
    <t>PO001036</t>
  </si>
  <si>
    <t>PO001037</t>
  </si>
  <si>
    <t>PO001038</t>
  </si>
  <si>
    <t>PO001039</t>
  </si>
  <si>
    <t>PO001040</t>
  </si>
  <si>
    <t>PO001041</t>
  </si>
  <si>
    <t>PO001042</t>
  </si>
  <si>
    <t>PO001043</t>
  </si>
  <si>
    <t>PO001044</t>
  </si>
  <si>
    <t>PO001045</t>
  </si>
  <si>
    <t>PO001046</t>
  </si>
  <si>
    <t>PO001047</t>
  </si>
  <si>
    <t>PO001048</t>
  </si>
  <si>
    <t>PO001049</t>
  </si>
  <si>
    <t>PO001050</t>
  </si>
  <si>
    <t>PO001051</t>
  </si>
  <si>
    <t>PO001052</t>
  </si>
  <si>
    <t>PO001053</t>
  </si>
  <si>
    <t>PO001054</t>
  </si>
  <si>
    <t>PROD00096</t>
  </si>
  <si>
    <t>PO001055</t>
  </si>
  <si>
    <t>PO001056</t>
  </si>
  <si>
    <t>PO001057</t>
  </si>
  <si>
    <t>PO001058</t>
  </si>
  <si>
    <t>PO001059</t>
  </si>
  <si>
    <t>PO001060</t>
  </si>
  <si>
    <t>PO001061</t>
  </si>
  <si>
    <t>PO001062</t>
  </si>
  <si>
    <t>PO001063</t>
  </si>
  <si>
    <t>PO001064</t>
  </si>
  <si>
    <t>PO001065</t>
  </si>
  <si>
    <t>PO001066</t>
  </si>
  <si>
    <t>PO001067</t>
  </si>
  <si>
    <t>PO001068</t>
  </si>
  <si>
    <t>PO001069</t>
  </si>
  <si>
    <t>PO001070</t>
  </si>
  <si>
    <t>PO001071</t>
  </si>
  <si>
    <t>PO001072</t>
  </si>
  <si>
    <t>PO001073</t>
  </si>
  <si>
    <t>PO001074</t>
  </si>
  <si>
    <t>PO001075</t>
  </si>
  <si>
    <t>PO001076</t>
  </si>
  <si>
    <t>PO001077</t>
  </si>
  <si>
    <t>PO001078</t>
  </si>
  <si>
    <t>PO001079</t>
  </si>
  <si>
    <t>PO001080</t>
  </si>
  <si>
    <t>PO001081</t>
  </si>
  <si>
    <t>PO001082</t>
  </si>
  <si>
    <t>PO001083</t>
  </si>
  <si>
    <t>PO001084</t>
  </si>
  <si>
    <t>PO001085</t>
  </si>
  <si>
    <t>PO001086</t>
  </si>
  <si>
    <t>PO001087</t>
  </si>
  <si>
    <t>PO001088</t>
  </si>
  <si>
    <t>PO001089</t>
  </si>
  <si>
    <t>PO001090</t>
  </si>
  <si>
    <t>PO001091</t>
  </si>
  <si>
    <t>PO001092</t>
  </si>
  <si>
    <t>PO001093</t>
  </si>
  <si>
    <t>PO001094</t>
  </si>
  <si>
    <t>PO001095</t>
  </si>
  <si>
    <t>PO001096</t>
  </si>
  <si>
    <t>PO001097</t>
  </si>
  <si>
    <t>PO001098</t>
  </si>
  <si>
    <t>PO001099</t>
  </si>
  <si>
    <t>PO001100</t>
  </si>
  <si>
    <t>PO001101</t>
  </si>
  <si>
    <t>PO001102</t>
  </si>
  <si>
    <t>PO001103</t>
  </si>
  <si>
    <t>PO001104</t>
  </si>
  <si>
    <t>PO001105</t>
  </si>
  <si>
    <t>PO001106</t>
  </si>
  <si>
    <t>PO001107</t>
  </si>
  <si>
    <t>PO001108</t>
  </si>
  <si>
    <t>PO001109</t>
  </si>
  <si>
    <t>PO001110</t>
  </si>
  <si>
    <t>PO001111</t>
  </si>
  <si>
    <t>PO001112</t>
  </si>
  <si>
    <t>PO001113</t>
  </si>
  <si>
    <t>PO001114</t>
  </si>
  <si>
    <t>PO001115</t>
  </si>
  <si>
    <t>PO001116</t>
  </si>
  <si>
    <t>PO001117</t>
  </si>
  <si>
    <t>PO001118</t>
  </si>
  <si>
    <t>PO001119</t>
  </si>
  <si>
    <t>PO001120</t>
  </si>
  <si>
    <t>PO001121</t>
  </si>
  <si>
    <t>PO001122</t>
  </si>
  <si>
    <t>PO001123</t>
  </si>
  <si>
    <t>PO001124</t>
  </si>
  <si>
    <t>PO001125</t>
  </si>
  <si>
    <t>PO001126</t>
  </si>
  <si>
    <t>PO001127</t>
  </si>
  <si>
    <t>PO001128</t>
  </si>
  <si>
    <t>PO001129</t>
  </si>
  <si>
    <t>PO001130</t>
  </si>
  <si>
    <t>PO001131</t>
  </si>
  <si>
    <t>PO001132</t>
  </si>
  <si>
    <t>PO001133</t>
  </si>
  <si>
    <t>PO001134</t>
  </si>
  <si>
    <t>PO001135</t>
  </si>
  <si>
    <t>PO001136</t>
  </si>
  <si>
    <t>PO001137</t>
  </si>
  <si>
    <t>PO001138</t>
  </si>
  <si>
    <t>PO001139</t>
  </si>
  <si>
    <t>PO001140</t>
  </si>
  <si>
    <t>PO001141</t>
  </si>
  <si>
    <t>PO001142</t>
  </si>
  <si>
    <t>PO001143</t>
  </si>
  <si>
    <t>PO001144</t>
  </si>
  <si>
    <t>PO001145</t>
  </si>
  <si>
    <t>PO001146</t>
  </si>
  <si>
    <t>PO001147</t>
  </si>
  <si>
    <t>PO001148</t>
  </si>
  <si>
    <t>PO001149</t>
  </si>
  <si>
    <t>PO001150</t>
  </si>
  <si>
    <t>PO001151</t>
  </si>
  <si>
    <t>PO001152</t>
  </si>
  <si>
    <t>PO001153</t>
  </si>
  <si>
    <t>PO001154</t>
  </si>
  <si>
    <t>PO001155</t>
  </si>
  <si>
    <t>PO001156</t>
  </si>
  <si>
    <t>PO001157</t>
  </si>
  <si>
    <t>PO001158</t>
  </si>
  <si>
    <t>PO001159</t>
  </si>
  <si>
    <t>PO001160</t>
  </si>
  <si>
    <t>PO001161</t>
  </si>
  <si>
    <t>PO001162</t>
  </si>
  <si>
    <t>PO001163</t>
  </si>
  <si>
    <t>PO001164</t>
  </si>
  <si>
    <t>PO001165</t>
  </si>
  <si>
    <t>PO001166</t>
  </si>
  <si>
    <t>PO001167</t>
  </si>
  <si>
    <t>PO001168</t>
  </si>
  <si>
    <t>PO001169</t>
  </si>
  <si>
    <t>PO001170</t>
  </si>
  <si>
    <t>PO001171</t>
  </si>
  <si>
    <t>PO001172</t>
  </si>
  <si>
    <t>PO001173</t>
  </si>
  <si>
    <t>PO001174</t>
  </si>
  <si>
    <t>PO001175</t>
  </si>
  <si>
    <t>PO001176</t>
  </si>
  <si>
    <t>PO001177</t>
  </si>
  <si>
    <t>PO001178</t>
  </si>
  <si>
    <t>PO001179</t>
  </si>
  <si>
    <t>PO001180</t>
  </si>
  <si>
    <t>PO001181</t>
  </si>
  <si>
    <t>PO001182</t>
  </si>
  <si>
    <t>PO001183</t>
  </si>
  <si>
    <t>PO001184</t>
  </si>
  <si>
    <t>PO001185</t>
  </si>
  <si>
    <t>PO001186</t>
  </si>
  <si>
    <t>PO001187</t>
  </si>
  <si>
    <t>PO001188</t>
  </si>
  <si>
    <t>PO001189</t>
  </si>
  <si>
    <t>PO001190</t>
  </si>
  <si>
    <t>PO001191</t>
  </si>
  <si>
    <t>PO001192</t>
  </si>
  <si>
    <t>PO001193</t>
  </si>
  <si>
    <t>PO001194</t>
  </si>
  <si>
    <t>PO001195</t>
  </si>
  <si>
    <t>PO001196</t>
  </si>
  <si>
    <t>PO001197</t>
  </si>
  <si>
    <t>PO001198</t>
  </si>
  <si>
    <t>PO001199</t>
  </si>
  <si>
    <t>PO001200</t>
  </si>
  <si>
    <t>PO001201</t>
  </si>
  <si>
    <t>PO001202</t>
  </si>
  <si>
    <t>PO001203</t>
  </si>
  <si>
    <t>PO001204</t>
  </si>
  <si>
    <t>PO001205</t>
  </si>
  <si>
    <t>PO001206</t>
  </si>
  <si>
    <t>PO001207</t>
  </si>
  <si>
    <t>PO001208</t>
  </si>
  <si>
    <t>PO001209</t>
  </si>
  <si>
    <t>PO001210</t>
  </si>
  <si>
    <t>PO001211</t>
  </si>
  <si>
    <t>PO001212</t>
  </si>
  <si>
    <t>PO001213</t>
  </si>
  <si>
    <t>PO001214</t>
  </si>
  <si>
    <t>PO001215</t>
  </si>
  <si>
    <t>PO001216</t>
  </si>
  <si>
    <t>PO001217</t>
  </si>
  <si>
    <t>PO001218</t>
  </si>
  <si>
    <t>PO001219</t>
  </si>
  <si>
    <t>PO001220</t>
  </si>
  <si>
    <t>PO001221</t>
  </si>
  <si>
    <t>PO001222</t>
  </si>
  <si>
    <t>PO001223</t>
  </si>
  <si>
    <t>PO001224</t>
  </si>
  <si>
    <t>PO001225</t>
  </si>
  <si>
    <t>PO001226</t>
  </si>
  <si>
    <t>PO001227</t>
  </si>
  <si>
    <t>PO001228</t>
  </si>
  <si>
    <t>PO001229</t>
  </si>
  <si>
    <t>PO001230</t>
  </si>
  <si>
    <t>PO001231</t>
  </si>
  <si>
    <t>PO001232</t>
  </si>
  <si>
    <t>PO001233</t>
  </si>
  <si>
    <t>PO001234</t>
  </si>
  <si>
    <t>PO001235</t>
  </si>
  <si>
    <t>PO001236</t>
  </si>
  <si>
    <t>PO001237</t>
  </si>
  <si>
    <t>PO001238</t>
  </si>
  <si>
    <t>PO001239</t>
  </si>
  <si>
    <t>PO001240</t>
  </si>
  <si>
    <t>PO001241</t>
  </si>
  <si>
    <t>PO001242</t>
  </si>
  <si>
    <t>PO001243</t>
  </si>
  <si>
    <t>PO001244</t>
  </si>
  <si>
    <t>PO001245</t>
  </si>
  <si>
    <t>PO001246</t>
  </si>
  <si>
    <t>PO001247</t>
  </si>
  <si>
    <t>PO001248</t>
  </si>
  <si>
    <t>PO001249</t>
  </si>
  <si>
    <t>PO001250</t>
  </si>
  <si>
    <t>PO001251</t>
  </si>
  <si>
    <t>PO001252</t>
  </si>
  <si>
    <t>PO001253</t>
  </si>
  <si>
    <t>PO001254</t>
  </si>
  <si>
    <t>PO001255</t>
  </si>
  <si>
    <t>PO001256</t>
  </si>
  <si>
    <t>PO001257</t>
  </si>
  <si>
    <t>PO001258</t>
  </si>
  <si>
    <t>PO001259</t>
  </si>
  <si>
    <t>PO001260</t>
  </si>
  <si>
    <t>PO001261</t>
  </si>
  <si>
    <t>PO001262</t>
  </si>
  <si>
    <t>PO001263</t>
  </si>
  <si>
    <t>PO001264</t>
  </si>
  <si>
    <t>PO001265</t>
  </si>
  <si>
    <t>PO001266</t>
  </si>
  <si>
    <t>PO001267</t>
  </si>
  <si>
    <t>PO001268</t>
  </si>
  <si>
    <t>PO001269</t>
  </si>
  <si>
    <t>PO001270</t>
  </si>
  <si>
    <t>PO001271</t>
  </si>
  <si>
    <t>PO001272</t>
  </si>
  <si>
    <t>PO001273</t>
  </si>
  <si>
    <t>PO001274</t>
  </si>
  <si>
    <t>PO001275</t>
  </si>
  <si>
    <t>PO001276</t>
  </si>
  <si>
    <t>PO001277</t>
  </si>
  <si>
    <t>PO001278</t>
  </si>
  <si>
    <t>PO001279</t>
  </si>
  <si>
    <t>PO001280</t>
  </si>
  <si>
    <t>PO001281</t>
  </si>
  <si>
    <t>PO001282</t>
  </si>
  <si>
    <t>PO001283</t>
  </si>
  <si>
    <t>PO001284</t>
  </si>
  <si>
    <t>PO001285</t>
  </si>
  <si>
    <t>PO001286</t>
  </si>
  <si>
    <t>PO001287</t>
  </si>
  <si>
    <t>PO001288</t>
  </si>
  <si>
    <t>PO001289</t>
  </si>
  <si>
    <t>PO001290</t>
  </si>
  <si>
    <t>PO001291</t>
  </si>
  <si>
    <t>PO001292</t>
  </si>
  <si>
    <t>PO001293</t>
  </si>
  <si>
    <t>PO001294</t>
  </si>
  <si>
    <t>PO001295</t>
  </si>
  <si>
    <t>PO001296</t>
  </si>
  <si>
    <t>PO001297</t>
  </si>
  <si>
    <t>PO001298</t>
  </si>
  <si>
    <t>PO001299</t>
  </si>
  <si>
    <t>PO001300</t>
  </si>
  <si>
    <t>PO001301</t>
  </si>
  <si>
    <t>PO001302</t>
  </si>
  <si>
    <t>PO001303</t>
  </si>
  <si>
    <t>PO001304</t>
  </si>
  <si>
    <t>PO001305</t>
  </si>
  <si>
    <t>PO001306</t>
  </si>
  <si>
    <t>PO001307</t>
  </si>
  <si>
    <t>PO001308</t>
  </si>
  <si>
    <t>PO001309</t>
  </si>
  <si>
    <t>PO001310</t>
  </si>
  <si>
    <t>PO001311</t>
  </si>
  <si>
    <t>PO001312</t>
  </si>
  <si>
    <t>PO001313</t>
  </si>
  <si>
    <t>PO001314</t>
  </si>
  <si>
    <t>PO001315</t>
  </si>
  <si>
    <t>PO001316</t>
  </si>
  <si>
    <t>PO001317</t>
  </si>
  <si>
    <t>PO001318</t>
  </si>
  <si>
    <t>PO001319</t>
  </si>
  <si>
    <t>PO001320</t>
  </si>
  <si>
    <t>PO001321</t>
  </si>
  <si>
    <t>PO001322</t>
  </si>
  <si>
    <t>PO001323</t>
  </si>
  <si>
    <t>PO001324</t>
  </si>
  <si>
    <t>PO001325</t>
  </si>
  <si>
    <t>PO001326</t>
  </si>
  <si>
    <t>PO001327</t>
  </si>
  <si>
    <t>PO001328</t>
  </si>
  <si>
    <t>PO001329</t>
  </si>
  <si>
    <t>PO001330</t>
  </si>
  <si>
    <t>PO001331</t>
  </si>
  <si>
    <t>PO001332</t>
  </si>
  <si>
    <t>PO001333</t>
  </si>
  <si>
    <t>PO001334</t>
  </si>
  <si>
    <t>PO001335</t>
  </si>
  <si>
    <t>PO001336</t>
  </si>
  <si>
    <t>PO001337</t>
  </si>
  <si>
    <t>PO001338</t>
  </si>
  <si>
    <t>PO001339</t>
  </si>
  <si>
    <t>PO001340</t>
  </si>
  <si>
    <t>PO001341</t>
  </si>
  <si>
    <t>PO001342</t>
  </si>
  <si>
    <t>PO001343</t>
  </si>
  <si>
    <t>PO001344</t>
  </si>
  <si>
    <t>PO001345</t>
  </si>
  <si>
    <t>PO001346</t>
  </si>
  <si>
    <t>PO001347</t>
  </si>
  <si>
    <t>PO001348</t>
  </si>
  <si>
    <t>PO001349</t>
  </si>
  <si>
    <t>PO001350</t>
  </si>
  <si>
    <t>PO001351</t>
  </si>
  <si>
    <t>PO001352</t>
  </si>
  <si>
    <t>PO001353</t>
  </si>
  <si>
    <t>PO001354</t>
  </si>
  <si>
    <t>PO001355</t>
  </si>
  <si>
    <t>PO001356</t>
  </si>
  <si>
    <t>PO001357</t>
  </si>
  <si>
    <t>PO001358</t>
  </si>
  <si>
    <t>PO001359</t>
  </si>
  <si>
    <t>PO001360</t>
  </si>
  <si>
    <t>PO001361</t>
  </si>
  <si>
    <t>PO001362</t>
  </si>
  <si>
    <t>PO001363</t>
  </si>
  <si>
    <t>PO001364</t>
  </si>
  <si>
    <t>PO001365</t>
  </si>
  <si>
    <t>PO001366</t>
  </si>
  <si>
    <t>PO001367</t>
  </si>
  <si>
    <t>PO001368</t>
  </si>
  <si>
    <t>PO001369</t>
  </si>
  <si>
    <t>PO001370</t>
  </si>
  <si>
    <t>PO001371</t>
  </si>
  <si>
    <t>PO001372</t>
  </si>
  <si>
    <t>PO001373</t>
  </si>
  <si>
    <t>PO001374</t>
  </si>
  <si>
    <t>PO001375</t>
  </si>
  <si>
    <t>PO001376</t>
  </si>
  <si>
    <t>PO001377</t>
  </si>
  <si>
    <t>PO001378</t>
  </si>
  <si>
    <t>PO001379</t>
  </si>
  <si>
    <t>PO001380</t>
  </si>
  <si>
    <t>PO001381</t>
  </si>
  <si>
    <t>PO001382</t>
  </si>
  <si>
    <t>PO001383</t>
  </si>
  <si>
    <t>PO001384</t>
  </si>
  <si>
    <t>PO001385</t>
  </si>
  <si>
    <t>PO001386</t>
  </si>
  <si>
    <t>PO001387</t>
  </si>
  <si>
    <t>PO001388</t>
  </si>
  <si>
    <t>PO001389</t>
  </si>
  <si>
    <t>PO001390</t>
  </si>
  <si>
    <t>PO001391</t>
  </si>
  <si>
    <t>PO001392</t>
  </si>
  <si>
    <t>PO001393</t>
  </si>
  <si>
    <t>PO001394</t>
  </si>
  <si>
    <t>PO001395</t>
  </si>
  <si>
    <t>PO001396</t>
  </si>
  <si>
    <t>PO001397</t>
  </si>
  <si>
    <t>PO001398</t>
  </si>
  <si>
    <t>PO001399</t>
  </si>
  <si>
    <t>PO001400</t>
  </si>
  <si>
    <t>PO001401</t>
  </si>
  <si>
    <t>PO001402</t>
  </si>
  <si>
    <t>PO001403</t>
  </si>
  <si>
    <t>PO001404</t>
  </si>
  <si>
    <t>PO001405</t>
  </si>
  <si>
    <t>PO001406</t>
  </si>
  <si>
    <t>PO001407</t>
  </si>
  <si>
    <t>PO001408</t>
  </si>
  <si>
    <t>PO001409</t>
  </si>
  <si>
    <t>PO001410</t>
  </si>
  <si>
    <t>PO001411</t>
  </si>
  <si>
    <t>PO001412</t>
  </si>
  <si>
    <t>PO001413</t>
  </si>
  <si>
    <t>PO001414</t>
  </si>
  <si>
    <t>PO001415</t>
  </si>
  <si>
    <t>PO001416</t>
  </si>
  <si>
    <t>PO001417</t>
  </si>
  <si>
    <t>PO001418</t>
  </si>
  <si>
    <t>PO001419</t>
  </si>
  <si>
    <t>PO001420</t>
  </si>
  <si>
    <t>PO001421</t>
  </si>
  <si>
    <t>PO001422</t>
  </si>
  <si>
    <t>PO001423</t>
  </si>
  <si>
    <t>PO001424</t>
  </si>
  <si>
    <t>PO001425</t>
  </si>
  <si>
    <t>PO001426</t>
  </si>
  <si>
    <t>PO001427</t>
  </si>
  <si>
    <t>PO001428</t>
  </si>
  <si>
    <t>PO001429</t>
  </si>
  <si>
    <t>PO001430</t>
  </si>
  <si>
    <t>PO001431</t>
  </si>
  <si>
    <t>PO001432</t>
  </si>
  <si>
    <t>PO001433</t>
  </si>
  <si>
    <t>PO001434</t>
  </si>
  <si>
    <t>PO001435</t>
  </si>
  <si>
    <t>PO001436</t>
  </si>
  <si>
    <t>PO001437</t>
  </si>
  <si>
    <t>PO001438</t>
  </si>
  <si>
    <t>PO001439</t>
  </si>
  <si>
    <t>PO001440</t>
  </si>
  <si>
    <t>PO001441</t>
  </si>
  <si>
    <t>PO001442</t>
  </si>
  <si>
    <t>PO001443</t>
  </si>
  <si>
    <t>PO001444</t>
  </si>
  <si>
    <t>PO001445</t>
  </si>
  <si>
    <t>PO001446</t>
  </si>
  <si>
    <t>PO001447</t>
  </si>
  <si>
    <t>PO001448</t>
  </si>
  <si>
    <t>PO001449</t>
  </si>
  <si>
    <t>PO001450</t>
  </si>
  <si>
    <t>PO001451</t>
  </si>
  <si>
    <t>PO001452</t>
  </si>
  <si>
    <t>PO001453</t>
  </si>
  <si>
    <t>PO001454</t>
  </si>
  <si>
    <t>PO001455</t>
  </si>
  <si>
    <t>PO001456</t>
  </si>
  <si>
    <t>PO001457</t>
  </si>
  <si>
    <t>PO001458</t>
  </si>
  <si>
    <t>PO001459</t>
  </si>
  <si>
    <t>PO001460</t>
  </si>
  <si>
    <t>PO001461</t>
  </si>
  <si>
    <t>PO001462</t>
  </si>
  <si>
    <t>PO001463</t>
  </si>
  <si>
    <t>PO001464</t>
  </si>
  <si>
    <t>PO001465</t>
  </si>
  <si>
    <t>PO001466</t>
  </si>
  <si>
    <t>PO001467</t>
  </si>
  <si>
    <t>PO001468</t>
  </si>
  <si>
    <t>PO001469</t>
  </si>
  <si>
    <t>PO001470</t>
  </si>
  <si>
    <t>PO001471</t>
  </si>
  <si>
    <t>PO001472</t>
  </si>
  <si>
    <t>PO001473</t>
  </si>
  <si>
    <t>PO001474</t>
  </si>
  <si>
    <t>PO001475</t>
  </si>
  <si>
    <t>PO001476</t>
  </si>
  <si>
    <t>PO001477</t>
  </si>
  <si>
    <t>PO001478</t>
  </si>
  <si>
    <t>PO001479</t>
  </si>
  <si>
    <t>PO001480</t>
  </si>
  <si>
    <t>PO001481</t>
  </si>
  <si>
    <t>PO001482</t>
  </si>
  <si>
    <t>PO001483</t>
  </si>
  <si>
    <t>PO001484</t>
  </si>
  <si>
    <t>PO001485</t>
  </si>
  <si>
    <t>PO001486</t>
  </si>
  <si>
    <t>PO001487</t>
  </si>
  <si>
    <t>PO001488</t>
  </si>
  <si>
    <t>PO001489</t>
  </si>
  <si>
    <t>PO001490</t>
  </si>
  <si>
    <t>PO001491</t>
  </si>
  <si>
    <t>PO001492</t>
  </si>
  <si>
    <t>PO001493</t>
  </si>
  <si>
    <t>PO001494</t>
  </si>
  <si>
    <t>PO001495</t>
  </si>
  <si>
    <t>PO001496</t>
  </si>
  <si>
    <t>PO001497</t>
  </si>
  <si>
    <t>PO001498</t>
  </si>
  <si>
    <t>PO001499</t>
  </si>
  <si>
    <t>PO001500</t>
  </si>
  <si>
    <t>PO001501</t>
  </si>
  <si>
    <t>PO001502</t>
  </si>
  <si>
    <t>PO001503</t>
  </si>
  <si>
    <t>PO001504</t>
  </si>
  <si>
    <t>PO001505</t>
  </si>
  <si>
    <t>PO001506</t>
  </si>
  <si>
    <t>PO001507</t>
  </si>
  <si>
    <t>PO001508</t>
  </si>
  <si>
    <t>PO001509</t>
  </si>
  <si>
    <t>PO001510</t>
  </si>
  <si>
    <t>PO001511</t>
  </si>
  <si>
    <t>PO001512</t>
  </si>
  <si>
    <t>PO001513</t>
  </si>
  <si>
    <t>PO001514</t>
  </si>
  <si>
    <t>PO001515</t>
  </si>
  <si>
    <t>PO001516</t>
  </si>
  <si>
    <t>PO001517</t>
  </si>
  <si>
    <t>PO001518</t>
  </si>
  <si>
    <t>PO001519</t>
  </si>
  <si>
    <t>PO001520</t>
  </si>
  <si>
    <t>PO001521</t>
  </si>
  <si>
    <t>PO001522</t>
  </si>
  <si>
    <t>PO001523</t>
  </si>
  <si>
    <t>PO001524</t>
  </si>
  <si>
    <t>PO001525</t>
  </si>
  <si>
    <t>PO001526</t>
  </si>
  <si>
    <t>PO001527</t>
  </si>
  <si>
    <t>PO001528</t>
  </si>
  <si>
    <t>PO001529</t>
  </si>
  <si>
    <t>PO001530</t>
  </si>
  <si>
    <t>PO001531</t>
  </si>
  <si>
    <t>PO001532</t>
  </si>
  <si>
    <t>PO001533</t>
  </si>
  <si>
    <t>PO001534</t>
  </si>
  <si>
    <t>PO001535</t>
  </si>
  <si>
    <t>PO001536</t>
  </si>
  <si>
    <t>PO001537</t>
  </si>
  <si>
    <t>PO001538</t>
  </si>
  <si>
    <t>PO001539</t>
  </si>
  <si>
    <t>PO001540</t>
  </si>
  <si>
    <t>PO001541</t>
  </si>
  <si>
    <t>PO001542</t>
  </si>
  <si>
    <t>PO001543</t>
  </si>
  <si>
    <t>PO001544</t>
  </si>
  <si>
    <t>PO001545</t>
  </si>
  <si>
    <t>PO001546</t>
  </si>
  <si>
    <t>PO001547</t>
  </si>
  <si>
    <t>PO001548</t>
  </si>
  <si>
    <t>PO001549</t>
  </si>
  <si>
    <t>PO001550</t>
  </si>
  <si>
    <t>PO001551</t>
  </si>
  <si>
    <t>PO001552</t>
  </si>
  <si>
    <t>PO001553</t>
  </si>
  <si>
    <t>PO001554</t>
  </si>
  <si>
    <t>PO001555</t>
  </si>
  <si>
    <t>PO001556</t>
  </si>
  <si>
    <t>PO001557</t>
  </si>
  <si>
    <t>PO001558</t>
  </si>
  <si>
    <t>PO001559</t>
  </si>
  <si>
    <t>PO001560</t>
  </si>
  <si>
    <t>PO001561</t>
  </si>
  <si>
    <t>PO001562</t>
  </si>
  <si>
    <t>PO001563</t>
  </si>
  <si>
    <t>PO001564</t>
  </si>
  <si>
    <t>PO001565</t>
  </si>
  <si>
    <t>PO001566</t>
  </si>
  <si>
    <t>PO001567</t>
  </si>
  <si>
    <t>PO001568</t>
  </si>
  <si>
    <t>PO001569</t>
  </si>
  <si>
    <t>PO001570</t>
  </si>
  <si>
    <t>PO001571</t>
  </si>
  <si>
    <t>PO001572</t>
  </si>
  <si>
    <t>PO001573</t>
  </si>
  <si>
    <t>PO001574</t>
  </si>
  <si>
    <t>PO001575</t>
  </si>
  <si>
    <t>PO001576</t>
  </si>
  <si>
    <t>PO001577</t>
  </si>
  <si>
    <t>PO001578</t>
  </si>
  <si>
    <t>PO001579</t>
  </si>
  <si>
    <t>PO001580</t>
  </si>
  <si>
    <t>PO001581</t>
  </si>
  <si>
    <t>PO001582</t>
  </si>
  <si>
    <t>PO001583</t>
  </si>
  <si>
    <t>PO001584</t>
  </si>
  <si>
    <t>PO001585</t>
  </si>
  <si>
    <t>PO001586</t>
  </si>
  <si>
    <t>PO001587</t>
  </si>
  <si>
    <t>PO001588</t>
  </si>
  <si>
    <t>PO001589</t>
  </si>
  <si>
    <t>PO001590</t>
  </si>
  <si>
    <t>PO001591</t>
  </si>
  <si>
    <t>PO001592</t>
  </si>
  <si>
    <t>PO001593</t>
  </si>
  <si>
    <t>PO001594</t>
  </si>
  <si>
    <t>PO001595</t>
  </si>
  <si>
    <t>PO001596</t>
  </si>
  <si>
    <t>PO001597</t>
  </si>
  <si>
    <t>PO001598</t>
  </si>
  <si>
    <t>PO001599</t>
  </si>
  <si>
    <t>PO001600</t>
  </si>
  <si>
    <t>PO001601</t>
  </si>
  <si>
    <t>PO001602</t>
  </si>
  <si>
    <t>PO001603</t>
  </si>
  <si>
    <t>PO001604</t>
  </si>
  <si>
    <t>PO001605</t>
  </si>
  <si>
    <t>PO001606</t>
  </si>
  <si>
    <t>PO001607</t>
  </si>
  <si>
    <t>PO001608</t>
  </si>
  <si>
    <t>PO001609</t>
  </si>
  <si>
    <t>PO001610</t>
  </si>
  <si>
    <t>PO001611</t>
  </si>
  <si>
    <t>PO001612</t>
  </si>
  <si>
    <t>PO001613</t>
  </si>
  <si>
    <t>PO001614</t>
  </si>
  <si>
    <t>PO001615</t>
  </si>
  <si>
    <t>PO001616</t>
  </si>
  <si>
    <t>PO001617</t>
  </si>
  <si>
    <t>PO001618</t>
  </si>
  <si>
    <t>PO001619</t>
  </si>
  <si>
    <t>PO001620</t>
  </si>
  <si>
    <t>PO001621</t>
  </si>
  <si>
    <t>PO001622</t>
  </si>
  <si>
    <t>PO001623</t>
  </si>
  <si>
    <t>PO001624</t>
  </si>
  <si>
    <t>PO001625</t>
  </si>
  <si>
    <t>PO001626</t>
  </si>
  <si>
    <t>PO001627</t>
  </si>
  <si>
    <t>PO001628</t>
  </si>
  <si>
    <t>PO001629</t>
  </si>
  <si>
    <t>PO001630</t>
  </si>
  <si>
    <t>PO001631</t>
  </si>
  <si>
    <t>PO001632</t>
  </si>
  <si>
    <t>PO001633</t>
  </si>
  <si>
    <t>PO001634</t>
  </si>
  <si>
    <t>PO001635</t>
  </si>
  <si>
    <t>PO001636</t>
  </si>
  <si>
    <t>PO001637</t>
  </si>
  <si>
    <t>PO001638</t>
  </si>
  <si>
    <t>PO001639</t>
  </si>
  <si>
    <t>PO001640</t>
  </si>
  <si>
    <t>PO001641</t>
  </si>
  <si>
    <t>PO001642</t>
  </si>
  <si>
    <t>PO001643</t>
  </si>
  <si>
    <t>PO001644</t>
  </si>
  <si>
    <t>PO001645</t>
  </si>
  <si>
    <t>PO001646</t>
  </si>
  <si>
    <t>PO001647</t>
  </si>
  <si>
    <t>PO001648</t>
  </si>
  <si>
    <t>PO001649</t>
  </si>
  <si>
    <t>PO001650</t>
  </si>
  <si>
    <t>PO001651</t>
  </si>
  <si>
    <t>PO001652</t>
  </si>
  <si>
    <t>PO001653</t>
  </si>
  <si>
    <t>PO001654</t>
  </si>
  <si>
    <t>PO001655</t>
  </si>
  <si>
    <t>PO001656</t>
  </si>
  <si>
    <t>PO001657</t>
  </si>
  <si>
    <t>PO001658</t>
  </si>
  <si>
    <t>PO001659</t>
  </si>
  <si>
    <t>PO001660</t>
  </si>
  <si>
    <t>PO001661</t>
  </si>
  <si>
    <t>PO001662</t>
  </si>
  <si>
    <t>PO001663</t>
  </si>
  <si>
    <t>PO001664</t>
  </si>
  <si>
    <t>PO001665</t>
  </si>
  <si>
    <t>PO001666</t>
  </si>
  <si>
    <t>PO001667</t>
  </si>
  <si>
    <t>PO001668</t>
  </si>
  <si>
    <t>PO001669</t>
  </si>
  <si>
    <t>PO001670</t>
  </si>
  <si>
    <t>PO001671</t>
  </si>
  <si>
    <t>PO001672</t>
  </si>
  <si>
    <t>PO001673</t>
  </si>
  <si>
    <t>PO001674</t>
  </si>
  <si>
    <t>PO001675</t>
  </si>
  <si>
    <t>PO001676</t>
  </si>
  <si>
    <t>PO001677</t>
  </si>
  <si>
    <t>PO001678</t>
  </si>
  <si>
    <t>PO001679</t>
  </si>
  <si>
    <t>PO001680</t>
  </si>
  <si>
    <t>PO001681</t>
  </si>
  <si>
    <t>PO001682</t>
  </si>
  <si>
    <t>PO001683</t>
  </si>
  <si>
    <t>PO001684</t>
  </si>
  <si>
    <t>PO001685</t>
  </si>
  <si>
    <t>PO001686</t>
  </si>
  <si>
    <t>PO001687</t>
  </si>
  <si>
    <t>PO001688</t>
  </si>
  <si>
    <t>PO001689</t>
  </si>
  <si>
    <t>PO001690</t>
  </si>
  <si>
    <t>PO001691</t>
  </si>
  <si>
    <t>PO001692</t>
  </si>
  <si>
    <t>PO001693</t>
  </si>
  <si>
    <t>PO001694</t>
  </si>
  <si>
    <t>PO001695</t>
  </si>
  <si>
    <t>PO001696</t>
  </si>
  <si>
    <t>PO001697</t>
  </si>
  <si>
    <t>PO001698</t>
  </si>
  <si>
    <t>PO001699</t>
  </si>
  <si>
    <t>PO001700</t>
  </si>
  <si>
    <t>PO001701</t>
  </si>
  <si>
    <t>PO001702</t>
  </si>
  <si>
    <t>PO001703</t>
  </si>
  <si>
    <t>PO001704</t>
  </si>
  <si>
    <t>PO001705</t>
  </si>
  <si>
    <t>PO001706</t>
  </si>
  <si>
    <t>PO001707</t>
  </si>
  <si>
    <t>PO001708</t>
  </si>
  <si>
    <t>PO001709</t>
  </si>
  <si>
    <t>PO001710</t>
  </si>
  <si>
    <t>PO001711</t>
  </si>
  <si>
    <t>PO001712</t>
  </si>
  <si>
    <t>PO001713</t>
  </si>
  <si>
    <t>PO001714</t>
  </si>
  <si>
    <t>PO001715</t>
  </si>
  <si>
    <t>PO001716</t>
  </si>
  <si>
    <t>PO001717</t>
  </si>
  <si>
    <t>PO001718</t>
  </si>
  <si>
    <t>PO001719</t>
  </si>
  <si>
    <t>PO001720</t>
  </si>
  <si>
    <t>PO001721</t>
  </si>
  <si>
    <t>PO001722</t>
  </si>
  <si>
    <t>PO001723</t>
  </si>
  <si>
    <t>PO001724</t>
  </si>
  <si>
    <t>PO001725</t>
  </si>
  <si>
    <t>PO001726</t>
  </si>
  <si>
    <t>PO001727</t>
  </si>
  <si>
    <t>PO001728</t>
  </si>
  <si>
    <t>PO001729</t>
  </si>
  <si>
    <t>PO001730</t>
  </si>
  <si>
    <t>PO001731</t>
  </si>
  <si>
    <t>PO001732</t>
  </si>
  <si>
    <t>PO001733</t>
  </si>
  <si>
    <t>PO001734</t>
  </si>
  <si>
    <t>PO001735</t>
  </si>
  <si>
    <t>PO001736</t>
  </si>
  <si>
    <t>PO001737</t>
  </si>
  <si>
    <t>PO001738</t>
  </si>
  <si>
    <t>PO001739</t>
  </si>
  <si>
    <t>PO001740</t>
  </si>
  <si>
    <t>PO001741</t>
  </si>
  <si>
    <t>PO001742</t>
  </si>
  <si>
    <t>PO001743</t>
  </si>
  <si>
    <t>PO001744</t>
  </si>
  <si>
    <t>PO001745</t>
  </si>
  <si>
    <t>PO001746</t>
  </si>
  <si>
    <t>PO001747</t>
  </si>
  <si>
    <t>PO001748</t>
  </si>
  <si>
    <t>PO001749</t>
  </si>
  <si>
    <t>PO001750</t>
  </si>
  <si>
    <t>PO001751</t>
  </si>
  <si>
    <t>PO001752</t>
  </si>
  <si>
    <t>PO001753</t>
  </si>
  <si>
    <t>PO001754</t>
  </si>
  <si>
    <t>PO001755</t>
  </si>
  <si>
    <t>PO001756</t>
  </si>
  <si>
    <t>PO001757</t>
  </si>
  <si>
    <t>PO001758</t>
  </si>
  <si>
    <t>PO001759</t>
  </si>
  <si>
    <t>PO001760</t>
  </si>
  <si>
    <t>PO001761</t>
  </si>
  <si>
    <t>PO001762</t>
  </si>
  <si>
    <t>PO001763</t>
  </si>
  <si>
    <t>PO001764</t>
  </si>
  <si>
    <t>PO001765</t>
  </si>
  <si>
    <t>PO001766</t>
  </si>
  <si>
    <t>PO001767</t>
  </si>
  <si>
    <t>PO001768</t>
  </si>
  <si>
    <t>PO001769</t>
  </si>
  <si>
    <t>PO001770</t>
  </si>
  <si>
    <t>PO001771</t>
  </si>
  <si>
    <t>PO001772</t>
  </si>
  <si>
    <t>PO001773</t>
  </si>
  <si>
    <t>PO001774</t>
  </si>
  <si>
    <t>PO001775</t>
  </si>
  <si>
    <t>PO001776</t>
  </si>
  <si>
    <t>PO001777</t>
  </si>
  <si>
    <t>PO001778</t>
  </si>
  <si>
    <t>PO001779</t>
  </si>
  <si>
    <t>PO001780</t>
  </si>
  <si>
    <t>PO001781</t>
  </si>
  <si>
    <t>PO001782</t>
  </si>
  <si>
    <t>PO001783</t>
  </si>
  <si>
    <t>PO001784</t>
  </si>
  <si>
    <t>PO001785</t>
  </si>
  <si>
    <t>PO001786</t>
  </si>
  <si>
    <t>PO001787</t>
  </si>
  <si>
    <t>PO001788</t>
  </si>
  <si>
    <t>PO001789</t>
  </si>
  <si>
    <t>PO001790</t>
  </si>
  <si>
    <t>PO001791</t>
  </si>
  <si>
    <t>PO001792</t>
  </si>
  <si>
    <t>PO001793</t>
  </si>
  <si>
    <t>PO001794</t>
  </si>
  <si>
    <t>PO001795</t>
  </si>
  <si>
    <t>PO001796</t>
  </si>
  <si>
    <t>PO001797</t>
  </si>
  <si>
    <t>PO001798</t>
  </si>
  <si>
    <t>PO001799</t>
  </si>
  <si>
    <t>PO001800</t>
  </si>
  <si>
    <t>PO001801</t>
  </si>
  <si>
    <t>PO001802</t>
  </si>
  <si>
    <t>PO001803</t>
  </si>
  <si>
    <t>PO001804</t>
  </si>
  <si>
    <t>PO001805</t>
  </si>
  <si>
    <t>PO001806</t>
  </si>
  <si>
    <t>PO001807</t>
  </si>
  <si>
    <t>PO001808</t>
  </si>
  <si>
    <t>PO001809</t>
  </si>
  <si>
    <t>PO001810</t>
  </si>
  <si>
    <t>PO001811</t>
  </si>
  <si>
    <t>PO001812</t>
  </si>
  <si>
    <t>PO001813</t>
  </si>
  <si>
    <t>PO001814</t>
  </si>
  <si>
    <t>PO001815</t>
  </si>
  <si>
    <t>PO001816</t>
  </si>
  <si>
    <t>PO001817</t>
  </si>
  <si>
    <t>PO001818</t>
  </si>
  <si>
    <t>PO001819</t>
  </si>
  <si>
    <t>PO001820</t>
  </si>
  <si>
    <t>PO001821</t>
  </si>
  <si>
    <t>PO001822</t>
  </si>
  <si>
    <t>PO001823</t>
  </si>
  <si>
    <t>PO001824</t>
  </si>
  <si>
    <t>PO001825</t>
  </si>
  <si>
    <t>PO001826</t>
  </si>
  <si>
    <t>PO001827</t>
  </si>
  <si>
    <t>PO001828</t>
  </si>
  <si>
    <t>PO001829</t>
  </si>
  <si>
    <t>PO001830</t>
  </si>
  <si>
    <t>PO001831</t>
  </si>
  <si>
    <t>PO001832</t>
  </si>
  <si>
    <t>PO001833</t>
  </si>
  <si>
    <t>PO001834</t>
  </si>
  <si>
    <t>PO001835</t>
  </si>
  <si>
    <t>PO001836</t>
  </si>
  <si>
    <t>PO001837</t>
  </si>
  <si>
    <t>PO001838</t>
  </si>
  <si>
    <t>PO001839</t>
  </si>
  <si>
    <t>PO001840</t>
  </si>
  <si>
    <t>PO001841</t>
  </si>
  <si>
    <t>PO001842</t>
  </si>
  <si>
    <t>PO001843</t>
  </si>
  <si>
    <t>PO001844</t>
  </si>
  <si>
    <t>PO001845</t>
  </si>
  <si>
    <t>PO001846</t>
  </si>
  <si>
    <t>PO001847</t>
  </si>
  <si>
    <t>PO001848</t>
  </si>
  <si>
    <t>PO001849</t>
  </si>
  <si>
    <t>PO001850</t>
  </si>
  <si>
    <t>PO001851</t>
  </si>
  <si>
    <t>PO001852</t>
  </si>
  <si>
    <t>PO001853</t>
  </si>
  <si>
    <t>PO001854</t>
  </si>
  <si>
    <t>PO001855</t>
  </si>
  <si>
    <t>PO001856</t>
  </si>
  <si>
    <t>PO001857</t>
  </si>
  <si>
    <t>PO001858</t>
  </si>
  <si>
    <t>PO001859</t>
  </si>
  <si>
    <t>PO001860</t>
  </si>
  <si>
    <t>PO001861</t>
  </si>
  <si>
    <t>PO001862</t>
  </si>
  <si>
    <t>PO001863</t>
  </si>
  <si>
    <t>PO001864</t>
  </si>
  <si>
    <t>PO001865</t>
  </si>
  <si>
    <t>PO001866</t>
  </si>
  <si>
    <t>PO001867</t>
  </si>
  <si>
    <t>PO001868</t>
  </si>
  <si>
    <t>PO001869</t>
  </si>
  <si>
    <t>PO001870</t>
  </si>
  <si>
    <t>PO001871</t>
  </si>
  <si>
    <t>PO001872</t>
  </si>
  <si>
    <t>PO001873</t>
  </si>
  <si>
    <t>PO001874</t>
  </si>
  <si>
    <t>PO001875</t>
  </si>
  <si>
    <t>PO001876</t>
  </si>
  <si>
    <t>PO001877</t>
  </si>
  <si>
    <t>PO001878</t>
  </si>
  <si>
    <t>PO001879</t>
  </si>
  <si>
    <t>PO001880</t>
  </si>
  <si>
    <t>PO001881</t>
  </si>
  <si>
    <t>PO001882</t>
  </si>
  <si>
    <t>PO001883</t>
  </si>
  <si>
    <t>PO001884</t>
  </si>
  <si>
    <t>PO001885</t>
  </si>
  <si>
    <t>PO001886</t>
  </si>
  <si>
    <t>PO001887</t>
  </si>
  <si>
    <t>PO001888</t>
  </si>
  <si>
    <t>PO001889</t>
  </si>
  <si>
    <t>PO001890</t>
  </si>
  <si>
    <t>PO001891</t>
  </si>
  <si>
    <t>PO001892</t>
  </si>
  <si>
    <t>PO001893</t>
  </si>
  <si>
    <t>PO001894</t>
  </si>
  <si>
    <t>PO001895</t>
  </si>
  <si>
    <t>PO001896</t>
  </si>
  <si>
    <t>PO001897</t>
  </si>
  <si>
    <t>PO001898</t>
  </si>
  <si>
    <t>PO001899</t>
  </si>
  <si>
    <t>PO001900</t>
  </si>
  <si>
    <t>PO001901</t>
  </si>
  <si>
    <t>PO001902</t>
  </si>
  <si>
    <t>PO001903</t>
  </si>
  <si>
    <t>PO001904</t>
  </si>
  <si>
    <t>PO001905</t>
  </si>
  <si>
    <t>PO001906</t>
  </si>
  <si>
    <t>PO001907</t>
  </si>
  <si>
    <t>PO001908</t>
  </si>
  <si>
    <t>PO001909</t>
  </si>
  <si>
    <t>PO001910</t>
  </si>
  <si>
    <t>PO001911</t>
  </si>
  <si>
    <t>PO001912</t>
  </si>
  <si>
    <t>PO001913</t>
  </si>
  <si>
    <t>PO001914</t>
  </si>
  <si>
    <t>PO001915</t>
  </si>
  <si>
    <t>PO001916</t>
  </si>
  <si>
    <t>PO001917</t>
  </si>
  <si>
    <t>PO001918</t>
  </si>
  <si>
    <t>PO001919</t>
  </si>
  <si>
    <t>PO001920</t>
  </si>
  <si>
    <t>PO001921</t>
  </si>
  <si>
    <t>PO001922</t>
  </si>
  <si>
    <t>PO001923</t>
  </si>
  <si>
    <t>PO001924</t>
  </si>
  <si>
    <t>PO001925</t>
  </si>
  <si>
    <t>PO001926</t>
  </si>
  <si>
    <t>PO001927</t>
  </si>
  <si>
    <t>PO001928</t>
  </si>
  <si>
    <t>PO001929</t>
  </si>
  <si>
    <t>PO001930</t>
  </si>
  <si>
    <t>PO001931</t>
  </si>
  <si>
    <t>PO001932</t>
  </si>
  <si>
    <t>PO001933</t>
  </si>
  <si>
    <t>PO001934</t>
  </si>
  <si>
    <t>PO001935</t>
  </si>
  <si>
    <t>PO001936</t>
  </si>
  <si>
    <t>PO001937</t>
  </si>
  <si>
    <t>PO001938</t>
  </si>
  <si>
    <t>PO001939</t>
  </si>
  <si>
    <t>PO001940</t>
  </si>
  <si>
    <t>PO001941</t>
  </si>
  <si>
    <t>PO001942</t>
  </si>
  <si>
    <t>PO001943</t>
  </si>
  <si>
    <t>PO001944</t>
  </si>
  <si>
    <t>PO001945</t>
  </si>
  <si>
    <t>PO001946</t>
  </si>
  <si>
    <t>PO001947</t>
  </si>
  <si>
    <t>PO001948</t>
  </si>
  <si>
    <t>PO001949</t>
  </si>
  <si>
    <t>PO001950</t>
  </si>
  <si>
    <t>PO001951</t>
  </si>
  <si>
    <t>PO001952</t>
  </si>
  <si>
    <t>PO001953</t>
  </si>
  <si>
    <t>PO001954</t>
  </si>
  <si>
    <t>PO001955</t>
  </si>
  <si>
    <t>PO001956</t>
  </si>
  <si>
    <t>PO001957</t>
  </si>
  <si>
    <t>PO001958</t>
  </si>
  <si>
    <t>PO001959</t>
  </si>
  <si>
    <t>PO001960</t>
  </si>
  <si>
    <t>PO001961</t>
  </si>
  <si>
    <t>PO001962</t>
  </si>
  <si>
    <t>PO001963</t>
  </si>
  <si>
    <t>PO001964</t>
  </si>
  <si>
    <t>PO001965</t>
  </si>
  <si>
    <t>PO001966</t>
  </si>
  <si>
    <t>PO001967</t>
  </si>
  <si>
    <t>PO001968</t>
  </si>
  <si>
    <t>PO001969</t>
  </si>
  <si>
    <t>PO001970</t>
  </si>
  <si>
    <t>PO001971</t>
  </si>
  <si>
    <t>PO001972</t>
  </si>
  <si>
    <t>PO001973</t>
  </si>
  <si>
    <t>PO001974</t>
  </si>
  <si>
    <t>PO001975</t>
  </si>
  <si>
    <t>PO001976</t>
  </si>
  <si>
    <t>PO001977</t>
  </si>
  <si>
    <t>PO001978</t>
  </si>
  <si>
    <t>PO001979</t>
  </si>
  <si>
    <t>PO001980</t>
  </si>
  <si>
    <t>PO001981</t>
  </si>
  <si>
    <t>PO001982</t>
  </si>
  <si>
    <t>PO001983</t>
  </si>
  <si>
    <t>PO001984</t>
  </si>
  <si>
    <t>PO001985</t>
  </si>
  <si>
    <t>PO001986</t>
  </si>
  <si>
    <t>PO001987</t>
  </si>
  <si>
    <t>PO001988</t>
  </si>
  <si>
    <t>PO001989</t>
  </si>
  <si>
    <t>PO001990</t>
  </si>
  <si>
    <t>PO001991</t>
  </si>
  <si>
    <t>PO001992</t>
  </si>
  <si>
    <t>PO001993</t>
  </si>
  <si>
    <t>PO001994</t>
  </si>
  <si>
    <t>PO001995</t>
  </si>
  <si>
    <t>PO001996</t>
  </si>
  <si>
    <t>PO001997</t>
  </si>
  <si>
    <t>PO001998</t>
  </si>
  <si>
    <t>PO001999</t>
  </si>
  <si>
    <t>PO002000</t>
  </si>
  <si>
    <t>days_late</t>
  </si>
  <si>
    <t>File</t>
  </si>
  <si>
    <t>What I checked</t>
  </si>
  <si>
    <t>Result</t>
  </si>
  <si>
    <t>Fix Planned</t>
  </si>
  <si>
    <t>procurement_orders</t>
  </si>
  <si>
    <t>blanks and duplicates</t>
  </si>
  <si>
    <t>date columns</t>
  </si>
  <si>
    <t>total_cost vs quantity × unit_cost</t>
  </si>
  <si>
    <t>days_late (actual − planned)</t>
  </si>
  <si>
    <t>none found</t>
  </si>
  <si>
    <t>real dates</t>
  </si>
  <si>
    <t>matches</t>
  </si>
  <si>
    <t>range -3 to 6</t>
  </si>
  <si>
    <t>none needed</t>
  </si>
  <si>
    <t>Supplier_Name</t>
  </si>
  <si>
    <t>Country</t>
  </si>
  <si>
    <t>Region</t>
  </si>
  <si>
    <t>On_Time_Delivery_Rate</t>
  </si>
  <si>
    <t>Certification_Level</t>
  </si>
  <si>
    <t>Preferred_Supplier_Flag</t>
  </si>
  <si>
    <t>Beta Gamma Corp</t>
  </si>
  <si>
    <t>USA</t>
  </si>
  <si>
    <t>West</t>
  </si>
  <si>
    <t>None</t>
  </si>
  <si>
    <t>Eco Gamma GmbH</t>
  </si>
  <si>
    <t>China</t>
  </si>
  <si>
    <t>South</t>
  </si>
  <si>
    <t>ISO 9001</t>
  </si>
  <si>
    <t>Ultra Ultra GmbH</t>
  </si>
  <si>
    <t>India</t>
  </si>
  <si>
    <t>Central</t>
  </si>
  <si>
    <t>ISO 14001</t>
  </si>
  <si>
    <t>Gamma Nova LLC</t>
  </si>
  <si>
    <t>North</t>
  </si>
  <si>
    <t>Ultra Gamma LLC</t>
  </si>
  <si>
    <t>Canada</t>
  </si>
  <si>
    <t>Apex Fusion Ltd</t>
  </si>
  <si>
    <t>East</t>
  </si>
  <si>
    <t>Fusion Gamma LLC</t>
  </si>
  <si>
    <t>Omega Gamma Ltd</t>
  </si>
  <si>
    <t>Nano Vertex LLC</t>
  </si>
  <si>
    <t>Nova Alpha Corp</t>
  </si>
  <si>
    <t>Denmark</t>
  </si>
  <si>
    <t>Alpha Prime Ltd</t>
  </si>
  <si>
    <t>UK</t>
  </si>
  <si>
    <t>Delta Vertex LLC</t>
  </si>
  <si>
    <t>Fusion Fusion LLC</t>
  </si>
  <si>
    <t>ISO 45001</t>
  </si>
  <si>
    <t>Ultra Apex LLC</t>
  </si>
  <si>
    <t>Germany</t>
  </si>
  <si>
    <t>Ultra Eco LLC</t>
  </si>
  <si>
    <t>Prime Gamma Inc</t>
  </si>
  <si>
    <t>Nova Alpha Ltd</t>
  </si>
  <si>
    <t>Omega Alpha Corp</t>
  </si>
  <si>
    <t>Delta Fusion Corp</t>
  </si>
  <si>
    <t>Gamma Quantum LLC</t>
  </si>
  <si>
    <t>Nova Eco LLC</t>
  </si>
  <si>
    <t>Fusion Fusion Inc</t>
  </si>
  <si>
    <t>Nova Beta Corp</t>
  </si>
  <si>
    <t>Brazil</t>
  </si>
  <si>
    <t>Quantum Fusion Corp</t>
  </si>
  <si>
    <t>Fusion Vertex Inc</t>
  </si>
  <si>
    <t>Quantum Eco LLC</t>
  </si>
  <si>
    <t>Fusion Delta LLC</t>
  </si>
  <si>
    <t>Beta Eco Ltd</t>
  </si>
  <si>
    <t>Omega Vertex Inc</t>
  </si>
  <si>
    <t>Prime Omega Corp</t>
  </si>
  <si>
    <t>Vertex Vertex Inc</t>
  </si>
  <si>
    <t>Prime Vertex Inc</t>
  </si>
  <si>
    <t>Quantum Quantum Ltd</t>
  </si>
  <si>
    <t>Delta Quantum GmbH</t>
  </si>
  <si>
    <t>Eco Nano GmbH</t>
  </si>
  <si>
    <t>Apex Ultra Ltd</t>
  </si>
  <si>
    <t>Nova Gamma Ltd</t>
  </si>
  <si>
    <t>Vertex Delta Inc</t>
  </si>
  <si>
    <t>Nova Nano GmbH</t>
  </si>
  <si>
    <t>Omega Nova GmbH</t>
  </si>
  <si>
    <t>Gamma Nano Corp</t>
  </si>
  <si>
    <t>Omega Nova Corp</t>
  </si>
  <si>
    <t>Vertex Fusion Inc</t>
  </si>
  <si>
    <t>Pioneer Alpha Corp</t>
  </si>
  <si>
    <t>Vertex Apex Ltd</t>
  </si>
  <si>
    <t>Eco Vertex Ltd</t>
  </si>
  <si>
    <t>Delta Gamma Corp</t>
  </si>
  <si>
    <t>Vertex Delta LLC</t>
  </si>
  <si>
    <t>Prime Gamma GmbH</t>
  </si>
  <si>
    <t>Apex Omega LLC</t>
  </si>
  <si>
    <t>Ultra Prime Inc</t>
  </si>
  <si>
    <t>Apex Quantum Inc</t>
  </si>
  <si>
    <t>Ultra Fusion Corp</t>
  </si>
  <si>
    <t>Eco Pioneer Corp</t>
  </si>
  <si>
    <t>Prime Prime Corp</t>
  </si>
  <si>
    <t>Nova Alpha Inc</t>
  </si>
  <si>
    <t>Eco Prime Corp</t>
  </si>
  <si>
    <t>Vertex Beta GmbH</t>
  </si>
  <si>
    <t>Ultra Delta LLC</t>
  </si>
  <si>
    <t>Omega Nano Corp</t>
  </si>
  <si>
    <t>Nano Fusion GmbH</t>
  </si>
  <si>
    <t>Quantum Nano Inc</t>
  </si>
  <si>
    <t>Alpha Beta LLC</t>
  </si>
  <si>
    <t>Alpha Beta Ltd</t>
  </si>
  <si>
    <t>Prime Prime Inc</t>
  </si>
  <si>
    <t>Ultra Delta Ltd</t>
  </si>
  <si>
    <t>Pioneer Apex Corp</t>
  </si>
  <si>
    <t>Gamma Vertex Corp</t>
  </si>
  <si>
    <t>Beta Apex Corp</t>
  </si>
  <si>
    <t>Omega Beta Corp</t>
  </si>
  <si>
    <t>Apex Pioneer Ltd</t>
  </si>
  <si>
    <t>Alpha Ultra Corp</t>
  </si>
  <si>
    <t>Eco Eco Ltd</t>
  </si>
  <si>
    <t>Ultra Apex Inc</t>
  </si>
  <si>
    <t>Eco Beta Inc</t>
  </si>
  <si>
    <t>Delta Prime Inc</t>
  </si>
  <si>
    <t>Gamma Nova Ltd</t>
  </si>
  <si>
    <t>Fusion Apex LLC</t>
  </si>
  <si>
    <t>Alpha Alpha Corp</t>
  </si>
  <si>
    <t>Vertex Beta LLC</t>
  </si>
  <si>
    <t>Eco Gamma LLC</t>
  </si>
  <si>
    <t>Beta Delta LLC</t>
  </si>
  <si>
    <t>Beta Eco Inc</t>
  </si>
  <si>
    <t>Beta Nano Corp</t>
  </si>
  <si>
    <t>Pioneer Omega Ltd</t>
  </si>
  <si>
    <t>Ultra Quantum Ltd</t>
  </si>
  <si>
    <t>Apex Apex Ltd</t>
  </si>
  <si>
    <t>Beta Fusion GmbH</t>
  </si>
  <si>
    <t>Alpha Nova Ltd</t>
  </si>
  <si>
    <t>Prime Nano Ltd</t>
  </si>
  <si>
    <t>Apex Eco Ltd</t>
  </si>
  <si>
    <t>Pioneer Ultra GmbH</t>
  </si>
  <si>
    <t>Apex Prime Ltd</t>
  </si>
  <si>
    <t>Beta Pioneer Inc</t>
  </si>
  <si>
    <t>Gamma Quantum Inc</t>
  </si>
  <si>
    <t>Nano Ultra Corp</t>
  </si>
  <si>
    <t>supplier_master</t>
  </si>
  <si>
    <t>supplier_name</t>
  </si>
  <si>
    <t>country</t>
  </si>
  <si>
    <t>region</t>
  </si>
  <si>
    <t>certification_level</t>
  </si>
  <si>
    <t>prefered_supplier_flag</t>
  </si>
  <si>
    <t>preferred_label</t>
  </si>
  <si>
    <t>none found (100 suppliers)</t>
  </si>
  <si>
    <t>Clean_Data</t>
  </si>
  <si>
    <t>Supplier details added with VLOOKUP</t>
  </si>
  <si>
    <t>2,000 orders matched, no #N/A</t>
  </si>
  <si>
    <t>preferred flag converted to Yes/No</t>
  </si>
  <si>
    <t>on_time_flag</t>
  </si>
  <si>
    <t>delivery_status</t>
  </si>
  <si>
    <t>Added on_time_flag (days_late ≤ 0) and delivery_status</t>
  </si>
  <si>
    <t>Overall on-time rate: 38%</t>
  </si>
  <si>
    <t>order_year</t>
  </si>
  <si>
    <t>order_month</t>
  </si>
  <si>
    <t>Added on_time_flag, delivery_status, order_year, order_month</t>
  </si>
  <si>
    <t>Overall on-time rate 38%</t>
  </si>
  <si>
    <t>Row Labels</t>
  </si>
  <si>
    <t>Grand Total</t>
  </si>
  <si>
    <t>Sum of Total_Cost</t>
  </si>
  <si>
    <t>Count of PO_ID</t>
  </si>
  <si>
    <t>Average of on_time_flag</t>
  </si>
  <si>
    <t>pivots</t>
  </si>
  <si>
    <t>On-time % by certification</t>
  </si>
  <si>
    <t>Range is 36.6% to 41.6%, so certification barely affects</t>
  </si>
  <si>
    <t>Show on the dashboard as an insight</t>
  </si>
  <si>
    <t>Supplier Performance Dashboard</t>
  </si>
  <si>
    <t>Total Orders</t>
  </si>
  <si>
    <t>Total Spend</t>
  </si>
  <si>
    <t>On-Time Rate</t>
  </si>
  <si>
    <t>Avg Days Late</t>
  </si>
  <si>
    <t xml:space="preserve">
KEY INSIGHTS
1. Only 38.3% of orders arrive on time; the average order is 1.6 days late.
2. Certification barely matters: on-time rates range only from 36.6% to 41.6%.
3. Three suppliers are on time about 10-12% of the time: Pioneer Omega Ltd, Gamma Nova LLC and Ultra Ultra GmbH. Review or replace them first.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</si>
</sst>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8" formatCode="0.0%"/>
    <numFmt numFmtId="170" formatCode="0.0"/>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sz val="11"/>
      <color theme="0" tint="-0.499984740745262"/>
      <name val="Calibri"/>
      <family val="2"/>
      <scheme val="minor"/>
    </font>
    <font>
      <b/>
      <sz val="24"/>
      <color rgb="FF000099"/>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99"/>
        <bgColor indexed="64"/>
      </patternFill>
    </fill>
    <fill>
      <patternFill patternType="solid">
        <fgColor theme="0" tint="-4.9989318521683403E-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25">
    <xf numFmtId="0" fontId="0" fillId="0" borderId="0" xfId="0"/>
    <xf numFmtId="14" fontId="0" fillId="0" borderId="0" xfId="0" applyNumberFormat="1"/>
    <xf numFmtId="9" fontId="0" fillId="0" borderId="0" xfId="0" applyNumberFormat="1"/>
    <xf numFmtId="0" fontId="0" fillId="0" borderId="0" xfId="0" applyAlignment="1">
      <alignment wrapText="1"/>
    </xf>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left" indent="1"/>
    </xf>
    <xf numFmtId="0" fontId="18" fillId="33" borderId="0" xfId="0" applyFont="1" applyFill="1" applyAlignment="1">
      <alignment horizontal="center"/>
    </xf>
    <xf numFmtId="0" fontId="19" fillId="34" borderId="0" xfId="0" applyFont="1" applyFill="1"/>
    <xf numFmtId="0" fontId="20" fillId="34" borderId="0" xfId="0" applyFont="1" applyFill="1"/>
    <xf numFmtId="3" fontId="20" fillId="34" borderId="0" xfId="0" applyNumberFormat="1" applyFont="1" applyFill="1"/>
    <xf numFmtId="168" fontId="20" fillId="34" borderId="0" xfId="42" applyNumberFormat="1" applyFont="1" applyFill="1"/>
    <xf numFmtId="170" fontId="20" fillId="34" borderId="0" xfId="0" applyNumberFormat="1" applyFont="1" applyFill="1"/>
    <xf numFmtId="0" fontId="0" fillId="34" borderId="10" xfId="0" applyFill="1" applyBorder="1" applyAlignment="1">
      <alignment horizontal="left" vertical="top" wrapText="1"/>
    </xf>
    <xf numFmtId="0" fontId="0" fillId="34" borderId="11" xfId="0" applyFill="1" applyBorder="1" applyAlignment="1">
      <alignment horizontal="left" vertical="top" wrapText="1"/>
    </xf>
    <xf numFmtId="0" fontId="0" fillId="34" borderId="12" xfId="0" applyFill="1" applyBorder="1" applyAlignment="1">
      <alignment horizontal="left" vertical="top" wrapText="1"/>
    </xf>
    <xf numFmtId="0" fontId="0" fillId="34" borderId="13" xfId="0" applyFill="1" applyBorder="1" applyAlignment="1">
      <alignment horizontal="left" vertical="top" wrapText="1"/>
    </xf>
    <xf numFmtId="0" fontId="0" fillId="34" borderId="0" xfId="0" applyFill="1" applyBorder="1" applyAlignment="1">
      <alignment horizontal="left" vertical="top" wrapText="1"/>
    </xf>
    <xf numFmtId="0" fontId="0" fillId="34" borderId="14" xfId="0" applyFill="1" applyBorder="1" applyAlignment="1">
      <alignment horizontal="left" vertical="top" wrapText="1"/>
    </xf>
    <xf numFmtId="0" fontId="0" fillId="34" borderId="15" xfId="0" applyFill="1" applyBorder="1" applyAlignment="1">
      <alignment horizontal="left" vertical="top" wrapText="1"/>
    </xf>
    <xf numFmtId="0" fontId="0" fillId="34" borderId="16" xfId="0" applyFill="1" applyBorder="1" applyAlignment="1">
      <alignment horizontal="left" vertical="top" wrapText="1"/>
    </xf>
    <xf numFmtId="0" fontId="0" fillId="34" borderId="17" xfId="0" applyFill="1"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colors>
    <mruColors>
      <color rgb="FF000099"/>
      <color rgb="FFC5C5C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[Supplier_Performance_Dashboard.xlsx]Pivots!PivotTable4</c:name>
    <c:fmtId val="2"/>
  </c:pivotSource>
  <c:chart>
    <c:title>
      <c:tx>
        <c:rich>
          <a:bodyPr/>
          <a:lstStyle/>
          <a:p>
            <a:pPr>
              <a:defRPr/>
            </a:pPr>
            <a:r>
              <a:rPr lang="en-US" sz="1800" b="1" i="0" u="none" strike="noStrike" baseline="0"/>
              <a:t>On-Time Delivery % by Month</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lineChart>
        <c:grouping val="standard"/>
        <c:varyColors val="0"/>
        <c:ser>
          <c:idx val="0"/>
          <c:order val="0"/>
          <c:tx>
            <c:strRef>
              <c:f>Pivots!$H$3</c:f>
              <c:strCache>
                <c:ptCount val="1"/>
                <c:pt idx="0">
                  <c:v>Total</c:v>
                </c:pt>
              </c:strCache>
            </c:strRef>
          </c:tx>
          <c:marker>
            <c:symbol val="none"/>
          </c:marker>
          <c:cat>
            <c:multiLvlStrRef>
              <c:f>Pivots!$G$4:$G$48</c:f>
              <c:multiLvlStrCache>
                <c:ptCount val="40"/>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lvl>
                <c:lvl>
                  <c:pt idx="0">
                    <c:v>2021</c:v>
                  </c:pt>
                  <c:pt idx="12">
                    <c:v>2022</c:v>
                  </c:pt>
                  <c:pt idx="24">
                    <c:v>2023</c:v>
                  </c:pt>
                  <c:pt idx="36">
                    <c:v>2024</c:v>
                  </c:pt>
                </c:lvl>
              </c:multiLvlStrCache>
            </c:multiLvlStrRef>
          </c:cat>
          <c:val>
            <c:numRef>
              <c:f>Pivots!$H$4:$H$48</c:f>
              <c:numCache>
                <c:formatCode>0.00%</c:formatCode>
                <c:ptCount val="40"/>
                <c:pt idx="0">
                  <c:v>0.43396226415094341</c:v>
                </c:pt>
                <c:pt idx="1">
                  <c:v>0.36666666666666664</c:v>
                </c:pt>
                <c:pt idx="2">
                  <c:v>0.33333333333333331</c:v>
                </c:pt>
                <c:pt idx="3">
                  <c:v>0.34426229508196721</c:v>
                </c:pt>
                <c:pt idx="4">
                  <c:v>0.3125</c:v>
                </c:pt>
                <c:pt idx="5">
                  <c:v>0.48333333333333334</c:v>
                </c:pt>
                <c:pt idx="6">
                  <c:v>0.33333333333333331</c:v>
                </c:pt>
                <c:pt idx="7">
                  <c:v>0.43396226415094341</c:v>
                </c:pt>
                <c:pt idx="8">
                  <c:v>0.45454545454545453</c:v>
                </c:pt>
                <c:pt idx="9">
                  <c:v>0.40476190476190477</c:v>
                </c:pt>
                <c:pt idx="10">
                  <c:v>0.35135135135135137</c:v>
                </c:pt>
                <c:pt idx="11">
                  <c:v>0.16666666666666666</c:v>
                </c:pt>
                <c:pt idx="12">
                  <c:v>0.39285714285714285</c:v>
                </c:pt>
                <c:pt idx="13">
                  <c:v>0.35185185185185186</c:v>
                </c:pt>
                <c:pt idx="14">
                  <c:v>0.359375</c:v>
                </c:pt>
                <c:pt idx="15">
                  <c:v>0.4</c:v>
                </c:pt>
                <c:pt idx="16">
                  <c:v>0.40816326530612246</c:v>
                </c:pt>
                <c:pt idx="17">
                  <c:v>0.39622641509433965</c:v>
                </c:pt>
                <c:pt idx="18">
                  <c:v>0.32692307692307693</c:v>
                </c:pt>
                <c:pt idx="19">
                  <c:v>0.42857142857142855</c:v>
                </c:pt>
                <c:pt idx="20">
                  <c:v>0.22222222222222221</c:v>
                </c:pt>
                <c:pt idx="21">
                  <c:v>0.28813559322033899</c:v>
                </c:pt>
                <c:pt idx="22">
                  <c:v>0.25</c:v>
                </c:pt>
                <c:pt idx="23">
                  <c:v>0.5</c:v>
                </c:pt>
                <c:pt idx="24">
                  <c:v>0.42222222222222222</c:v>
                </c:pt>
                <c:pt idx="25">
                  <c:v>0.37254901960784315</c:v>
                </c:pt>
                <c:pt idx="26">
                  <c:v>0.46875</c:v>
                </c:pt>
                <c:pt idx="27">
                  <c:v>0.26190476190476192</c:v>
                </c:pt>
                <c:pt idx="28">
                  <c:v>0.44680851063829785</c:v>
                </c:pt>
                <c:pt idx="29">
                  <c:v>0.40476190476190477</c:v>
                </c:pt>
                <c:pt idx="30">
                  <c:v>0.4107142857142857</c:v>
                </c:pt>
                <c:pt idx="31">
                  <c:v>0.39285714285714285</c:v>
                </c:pt>
                <c:pt idx="32">
                  <c:v>0.41509433962264153</c:v>
                </c:pt>
                <c:pt idx="33">
                  <c:v>0.44</c:v>
                </c:pt>
                <c:pt idx="34">
                  <c:v>0.375</c:v>
                </c:pt>
                <c:pt idx="35">
                  <c:v>0.46666666666666667</c:v>
                </c:pt>
                <c:pt idx="36">
                  <c:v>0.44680851063829785</c:v>
                </c:pt>
                <c:pt idx="37">
                  <c:v>0.28888888888888886</c:v>
                </c:pt>
                <c:pt idx="38">
                  <c:v>0.46296296296296297</c:v>
                </c:pt>
                <c:pt idx="39">
                  <c:v>0.36666666666666664</c:v>
                </c:pt>
              </c:numCache>
            </c:numRef>
          </c:val>
          <c:smooth val="0"/>
        </c:ser>
        <c:dLbls>
          <c:showLegendKey val="0"/>
          <c:showVal val="0"/>
          <c:showCatName val="0"/>
          <c:showSerName val="0"/>
          <c:showPercent val="0"/>
          <c:showBubbleSize val="0"/>
        </c:dLbls>
        <c:marker val="1"/>
        <c:smooth val="0"/>
        <c:axId val="213745152"/>
        <c:axId val="143038080"/>
      </c:lineChart>
      <c:catAx>
        <c:axId val="213745152"/>
        <c:scaling>
          <c:orientation val="minMax"/>
        </c:scaling>
        <c:delete val="0"/>
        <c:axPos val="b"/>
        <c:majorTickMark val="out"/>
        <c:minorTickMark val="none"/>
        <c:tickLblPos val="nextTo"/>
        <c:crossAx val="143038080"/>
        <c:crosses val="autoZero"/>
        <c:auto val="1"/>
        <c:lblAlgn val="ctr"/>
        <c:lblOffset val="100"/>
        <c:noMultiLvlLbl val="0"/>
      </c:catAx>
      <c:valAx>
        <c:axId val="143038080"/>
        <c:scaling>
          <c:orientation val="minMax"/>
          <c:max val="0.60000000000000009"/>
          <c:min val="0"/>
        </c:scaling>
        <c:delete val="0"/>
        <c:axPos val="l"/>
        <c:majorGridlines/>
        <c:numFmt formatCode="0.00%" sourceLinked="1"/>
        <c:majorTickMark val="out"/>
        <c:minorTickMark val="none"/>
        <c:tickLblPos val="nextTo"/>
        <c:crossAx val="2137451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[Supplier_Performance_Dashboard.xlsx]Pivots!PivotTable5</c:name>
    <c:fmtId val="2"/>
  </c:pivotSource>
  <c:chart>
    <c:title>
      <c:tx>
        <c:rich>
          <a:bodyPr/>
          <a:lstStyle/>
          <a:p>
            <a:pPr>
              <a:defRPr/>
            </a:pPr>
            <a:r>
              <a:rPr lang="en-US" sz="1800" b="1" i="0" u="none" strike="noStrike" baseline="0"/>
              <a:t>On-Time Delivery % by Certification</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Pivots!$M$3</c:f>
              <c:strCache>
                <c:ptCount val="1"/>
                <c:pt idx="0">
                  <c:v>Total</c:v>
                </c:pt>
              </c:strCache>
            </c:strRef>
          </c:tx>
          <c:invertIfNegative val="0"/>
          <c:cat>
            <c:strRef>
              <c:f>Pivots!$L$4:$L$8</c:f>
              <c:strCache>
                <c:ptCount val="4"/>
                <c:pt idx="0">
                  <c:v>ISO 14001</c:v>
                </c:pt>
                <c:pt idx="1">
                  <c:v>ISO 45001</c:v>
                </c:pt>
                <c:pt idx="2">
                  <c:v>ISO 9001</c:v>
                </c:pt>
                <c:pt idx="3">
                  <c:v>None</c:v>
                </c:pt>
              </c:strCache>
            </c:strRef>
          </c:cat>
          <c:val>
            <c:numRef>
              <c:f>Pivots!$M$4:$M$8</c:f>
              <c:numCache>
                <c:formatCode>0.00%</c:formatCode>
                <c:ptCount val="4"/>
                <c:pt idx="0">
                  <c:v>0.3903420523138833</c:v>
                </c:pt>
                <c:pt idx="1">
                  <c:v>0.41564792176039123</c:v>
                </c:pt>
                <c:pt idx="2">
                  <c:v>0.36546762589928056</c:v>
                </c:pt>
                <c:pt idx="3">
                  <c:v>0.37092731829573933</c:v>
                </c:pt>
              </c:numCache>
            </c:numRef>
          </c:val>
        </c:ser>
        <c:dLbls>
          <c:showLegendKey val="0"/>
          <c:showVal val="0"/>
          <c:showCatName val="0"/>
          <c:showSerName val="0"/>
          <c:showPercent val="0"/>
          <c:showBubbleSize val="0"/>
        </c:dLbls>
        <c:gapWidth val="150"/>
        <c:axId val="202620416"/>
        <c:axId val="146194432"/>
      </c:barChart>
      <c:catAx>
        <c:axId val="202620416"/>
        <c:scaling>
          <c:orientation val="minMax"/>
        </c:scaling>
        <c:delete val="0"/>
        <c:axPos val="b"/>
        <c:majorTickMark val="out"/>
        <c:minorTickMark val="none"/>
        <c:tickLblPos val="nextTo"/>
        <c:crossAx val="146194432"/>
        <c:crosses val="autoZero"/>
        <c:auto val="1"/>
        <c:lblAlgn val="ctr"/>
        <c:lblOffset val="100"/>
        <c:noMultiLvlLbl val="0"/>
      </c:catAx>
      <c:valAx>
        <c:axId val="146194432"/>
        <c:scaling>
          <c:orientation val="minMax"/>
          <c:max val="0.5"/>
          <c:min val="0"/>
        </c:scaling>
        <c:delete val="0"/>
        <c:axPos val="l"/>
        <c:majorGridlines/>
        <c:numFmt formatCode="0.00%" sourceLinked="1"/>
        <c:majorTickMark val="out"/>
        <c:minorTickMark val="none"/>
        <c:tickLblPos val="nextTo"/>
        <c:crossAx val="2026204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40823</xdr:colOff>
      <xdr:row>5</xdr:row>
      <xdr:rowOff>27215</xdr:rowOff>
    </xdr:from>
    <xdr:to>
      <xdr:col>12</xdr:col>
      <xdr:colOff>1</xdr:colOff>
      <xdr:row>19</xdr:row>
      <xdr:rowOff>176893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104775</xdr:colOff>
      <xdr:row>5</xdr:row>
      <xdr:rowOff>9525</xdr:rowOff>
    </xdr:from>
    <xdr:to>
      <xdr:col>5</xdr:col>
      <xdr:colOff>884464</xdr:colOff>
      <xdr:row>19</xdr:row>
      <xdr:rowOff>176893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21</xdr:row>
      <xdr:rowOff>1</xdr:rowOff>
    </xdr:from>
    <xdr:to>
      <xdr:col>2</xdr:col>
      <xdr:colOff>5443</xdr:colOff>
      <xdr:row>28</xdr:row>
      <xdr:rowOff>114301</xdr:rowOff>
    </xdr:to>
    <mc:AlternateContent xmlns:mc="http://schemas.openxmlformats.org/markup-compatibility/2006">
      <mc:Choice xmlns:a14="http://schemas.microsoft.com/office/drawing/2010/main" Requires="a14">
        <xdr:graphicFrame macro="">
          <xdr:nvGraphicFramePr>
            <xdr:cNvPr id="4" name="order_yea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0" y="4352926"/>
              <a:ext cx="1834243"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reje" refreshedDate="46309.819477083336" createdVersion="4" refreshedVersion="4" minRefreshableVersion="3" recordCount="2000">
  <cacheSource type="worksheet">
    <worksheetSource ref="A1:T2001" sheet="Clean_Data"/>
  </cacheSource>
  <cacheFields count="20">
    <cacheField name="PO_ID" numFmtId="0">
      <sharedItems/>
    </cacheField>
    <cacheField name="Supplier_ID" numFmtId="0">
      <sharedItems/>
    </cacheField>
    <cacheField name="Raw_Material_ID" numFmtId="0">
      <sharedItems/>
    </cacheField>
    <cacheField name="Order_Date" numFmtId="14">
      <sharedItems containsSemiMixedTypes="0" containsNonDate="0" containsDate="1" containsString="0" minDate="2021-01-03T00:00:00" maxDate="2024-04-15T00:00:00"/>
    </cacheField>
    <cacheField name="Order_Quantity" numFmtId="0">
      <sharedItems containsSemiMixedTypes="0" containsString="0" containsNumber="1" containsInteger="1" minValue="3" maxValue="23"/>
    </cacheField>
    <cacheField name="Unit_Cost" numFmtId="0">
      <sharedItems containsSemiMixedTypes="0" containsString="0" containsNumber="1" minValue="3.0278489544264602" maxValue="79.987708117705395"/>
    </cacheField>
    <cacheField name="Delivery_Date_Planned" numFmtId="14">
      <sharedItems containsSemiMixedTypes="0" containsNonDate="0" containsDate="1" containsString="0" minDate="2021-01-13T00:00:00" maxDate="2024-05-04T00:00:00"/>
    </cacheField>
    <cacheField name="Delivery_Date_Actual" numFmtId="14">
      <sharedItems containsSemiMixedTypes="0" containsNonDate="0" containsDate="1" containsString="0" minDate="2021-01-16T00:00:00" maxDate="2024-05-09T00:00:00"/>
    </cacheField>
    <cacheField name="Total_Cost" numFmtId="0">
      <sharedItems containsSemiMixedTypes="0" containsString="0" containsNumber="1" minValue="16.110926778218101" maxValue="1608.99314005684"/>
    </cacheField>
    <cacheField name="days_late" numFmtId="0">
      <sharedItems containsSemiMixedTypes="0" containsString="0" containsNumber="1" containsInteger="1" minValue="-3" maxValue="6"/>
    </cacheField>
    <cacheField name="supplier_name" numFmtId="0">
      <sharedItems count="96">
        <s v="Vertex Beta GmbH"/>
        <s v="Beta Delta LLC"/>
        <s v="Beta Pioneer Inc"/>
        <s v="Nova Beta Corp"/>
        <s v="Delta Gamma Corp"/>
        <s v="Quantum Fusion Corp"/>
        <s v="Fusion Vertex Inc"/>
        <s v="Nova Nano GmbH"/>
        <s v="Omega Alpha Corp"/>
        <s v="Apex Apex Ltd"/>
        <s v="Ultra Apex Inc"/>
        <s v="Alpha Ultra Corp"/>
        <s v="Prime Prime Inc"/>
        <s v="Prime Prime Corp"/>
        <s v="Beta Nano Corp"/>
        <s v="Prime Vertex Inc"/>
        <s v="Quantum Nano Inc"/>
        <s v="Ultra Gamma LLC"/>
        <s v="Apex Quantum Inc"/>
        <s v="Nova Eco LLC"/>
        <s v="Prime Nano Ltd"/>
        <s v="Gamma Quantum LLC"/>
        <s v="Alpha Beta Ltd"/>
        <s v="Vertex Fusion Inc"/>
        <s v="Fusion Gamma LLC"/>
        <s v="Eco Nano GmbH"/>
        <s v="Apex Prime Ltd"/>
        <s v="Alpha Nova Ltd"/>
        <s v="Gamma Nova LLC"/>
        <s v="Prime Omega Corp"/>
        <s v="Nano Fusion GmbH"/>
        <s v="Fusion Fusion LLC"/>
        <s v="Pioneer Apex Corp"/>
        <s v="Vertex Vertex Inc"/>
        <s v="Vertex Delta Inc"/>
        <s v="Eco Gamma LLC"/>
        <s v="Beta Gamma Corp"/>
        <s v="Alpha Prime Ltd"/>
        <s v="Gamma Quantum Inc"/>
        <s v="Prime Gamma Inc"/>
        <s v="Apex Ultra Ltd"/>
        <s v="Pioneer Omega Ltd"/>
        <s v="Omega Beta Corp"/>
        <s v="Vertex Beta LLC"/>
        <s v="Quantum Eco LLC"/>
        <s v="Nano Ultra Corp"/>
        <s v="Nova Gamma Ltd"/>
        <s v="Omega Vertex Inc"/>
        <s v="Apex Pioneer Ltd"/>
        <s v="Eco Pioneer Corp"/>
        <s v="Gamma Vertex Corp"/>
        <s v="Ultra Eco LLC"/>
        <s v="Nova Alpha Ltd"/>
        <s v="Fusion Delta LLC"/>
        <s v="Quantum Quantum Ltd"/>
        <s v="Delta Prime Inc"/>
        <s v="Eco Beta Inc"/>
        <s v="Apex Omega LLC"/>
        <s v="Omega Nova GmbH"/>
        <s v="Ultra Apex LLC"/>
        <s v="Fusion Fusion Inc"/>
        <s v="Vertex Apex Ltd"/>
        <s v="Apex Eco Ltd"/>
        <s v="Delta Fusion Corp"/>
        <s v="Omega Nova Corp"/>
        <s v="Alpha Beta LLC"/>
        <s v="Fusion Apex LLC"/>
        <s v="Delta Quantum GmbH"/>
        <s v="Nova Alpha Inc"/>
        <s v="Beta Eco Inc"/>
        <s v="Gamma Nova Ltd"/>
        <s v="Vertex Delta LLC"/>
        <s v="Gamma Nano Corp"/>
        <s v="Ultra Fusion Corp"/>
        <s v="Pioneer Ultra GmbH"/>
        <s v="Prime Gamma GmbH"/>
        <s v="Alpha Alpha Corp"/>
        <s v="Beta Fusion GmbH"/>
        <s v="Apex Fusion Ltd"/>
        <s v="Omega Gamma Ltd"/>
        <s v="Ultra Prime Inc"/>
        <s v="Omega Nano Corp"/>
        <s v="Nova Alpha Corp"/>
        <s v="Beta Apex Corp"/>
        <s v="Pioneer Alpha Corp"/>
        <s v="Ultra Delta LLC"/>
        <s v="Eco Prime Corp"/>
        <s v="Ultra Quantum Ltd"/>
        <s v="Delta Vertex LLC"/>
        <s v="Eco Eco Ltd"/>
        <s v="Ultra Delta Ltd"/>
        <s v="Ultra Ultra GmbH"/>
        <s v="Beta Eco Ltd"/>
        <s v="Eco Vertex Ltd"/>
        <s v="Eco Gamma GmbH"/>
        <s v="Nano Vertex LLC"/>
      </sharedItems>
    </cacheField>
    <cacheField name="country" numFmtId="0">
      <sharedItems/>
    </cacheField>
    <cacheField name="region" numFmtId="0">
      <sharedItems/>
    </cacheField>
    <cacheField name="certification_level" numFmtId="0">
      <sharedItems count="4">
        <s v="ISO 14001"/>
        <s v="ISO 9001"/>
        <s v="ISO 45001"/>
        <s v="None"/>
      </sharedItems>
    </cacheField>
    <cacheField name="prefered_supplier_flag" numFmtId="0">
      <sharedItems containsSemiMixedTypes="0" containsString="0" containsNumber="1" containsInteger="1" minValue="0" maxValue="1"/>
    </cacheField>
    <cacheField name="preferred_label" numFmtId="0">
      <sharedItems/>
    </cacheField>
    <cacheField name="on_time_flag" numFmtId="0">
      <sharedItems containsSemiMixedTypes="0" containsString="0" containsNumber="1" containsInteger="1" minValue="0" maxValue="1"/>
    </cacheField>
    <cacheField name="delivery_status" numFmtId="0">
      <sharedItems/>
    </cacheField>
    <cacheField name="order_year" numFmtId="0">
      <sharedItems containsSemiMixedTypes="0" containsString="0" containsNumber="1" containsInteger="1" minValue="2021" maxValue="2024" count="4">
        <n v="2024"/>
        <n v="2021"/>
        <n v="2023"/>
        <n v="2022"/>
      </sharedItems>
    </cacheField>
    <cacheField name="order_month" numFmtId="0">
      <sharedItems containsSemiMixedTypes="0" containsString="0" containsNumber="1" containsInteger="1" minValue="1" maxValue="12" count="12">
        <n v="3"/>
        <n v="6"/>
        <n v="8"/>
        <n v="5"/>
        <n v="10"/>
        <n v="7"/>
        <n v="11"/>
        <n v="12"/>
        <n v="4"/>
        <n v="2"/>
        <n v="1"/>
        <n v="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PO000001"/>
    <s v="SUP00059"/>
    <s v="PROD00116"/>
    <d v="2024-03-19T00:00:00"/>
    <n v="10"/>
    <n v="42.3450228118054"/>
    <d v="2024-04-02T00:00:00"/>
    <d v="2024-04-03T00:00:00"/>
    <n v="423.45022811805399"/>
    <n v="1"/>
    <x v="0"/>
    <s v="India"/>
    <s v="North"/>
    <x v="0"/>
    <n v="0"/>
    <s v="No"/>
    <n v="0"/>
    <s v="Late"/>
    <x v="0"/>
    <x v="0"/>
  </r>
  <r>
    <s v="PO000002"/>
    <s v="SUP00085"/>
    <s v="PROD00153"/>
    <d v="2021-06-24T00:00:00"/>
    <n v="5"/>
    <n v="74.805687380734199"/>
    <d v="2021-07-04T00:00:00"/>
    <d v="2021-07-07T00:00:00"/>
    <n v="374.02843690367098"/>
    <n v="3"/>
    <x v="1"/>
    <s v="Germany"/>
    <s v="Central"/>
    <x v="1"/>
    <n v="1"/>
    <s v="Yes"/>
    <n v="0"/>
    <s v="Late"/>
    <x v="1"/>
    <x v="1"/>
  </r>
  <r>
    <s v="PO000003"/>
    <s v="SUP00097"/>
    <s v="PROD00170"/>
    <d v="2023-08-16T00:00:00"/>
    <n v="11"/>
    <n v="76.080119074640507"/>
    <d v="2023-09-02T00:00:00"/>
    <d v="2023-09-06T00:00:00"/>
    <n v="836.88130982104599"/>
    <n v="4"/>
    <x v="2"/>
    <s v="USA"/>
    <s v="Central"/>
    <x v="2"/>
    <n v="1"/>
    <s v="Yes"/>
    <n v="0"/>
    <s v="Late"/>
    <x v="2"/>
    <x v="2"/>
  </r>
  <r>
    <s v="PO000004"/>
    <s v="SUP00023"/>
    <s v="PROD00016"/>
    <d v="2023-05-01T00:00:00"/>
    <n v="7"/>
    <n v="64.157843851116596"/>
    <d v="2023-05-17T00:00:00"/>
    <d v="2023-05-14T00:00:00"/>
    <n v="449.10490695781601"/>
    <n v="-3"/>
    <x v="3"/>
    <s v="Brazil"/>
    <s v="South"/>
    <x v="0"/>
    <n v="1"/>
    <s v="Yes"/>
    <n v="1"/>
    <s v="On Time"/>
    <x v="2"/>
    <x v="3"/>
  </r>
  <r>
    <s v="PO000005"/>
    <s v="SUP00048"/>
    <s v="PROD00041"/>
    <d v="2022-10-31T00:00:00"/>
    <n v="10"/>
    <n v="53.179120934017803"/>
    <d v="2022-11-24T00:00:00"/>
    <d v="2022-11-24T00:00:00"/>
    <n v="531.79120934017806"/>
    <n v="0"/>
    <x v="4"/>
    <s v="Denmark"/>
    <s v="West"/>
    <x v="2"/>
    <n v="1"/>
    <s v="Yes"/>
    <n v="1"/>
    <s v="On Time"/>
    <x v="3"/>
    <x v="4"/>
  </r>
  <r>
    <s v="PO000006"/>
    <s v="SUP00024"/>
    <s v="PROD00182"/>
    <d v="2022-07-12T00:00:00"/>
    <n v="8"/>
    <n v="73.194289391294205"/>
    <d v="2022-07-29T00:00:00"/>
    <d v="2022-08-01T00:00:00"/>
    <n v="585.55431513035398"/>
    <n v="3"/>
    <x v="5"/>
    <s v="UK"/>
    <s v="North"/>
    <x v="1"/>
    <n v="0"/>
    <s v="No"/>
    <n v="0"/>
    <s v="Late"/>
    <x v="3"/>
    <x v="5"/>
  </r>
  <r>
    <s v="PO000007"/>
    <s v="SUP00025"/>
    <s v="PROD00072"/>
    <d v="2021-11-09T00:00:00"/>
    <n v="9"/>
    <n v="72.039598730382394"/>
    <d v="2021-11-29T00:00:00"/>
    <d v="2021-11-30T00:00:00"/>
    <n v="648.35638857344202"/>
    <n v="1"/>
    <x v="6"/>
    <s v="Denmark"/>
    <s v="Central"/>
    <x v="2"/>
    <n v="0"/>
    <s v="No"/>
    <n v="0"/>
    <s v="Late"/>
    <x v="1"/>
    <x v="6"/>
  </r>
  <r>
    <s v="PO000008"/>
    <s v="SUP00039"/>
    <s v="PROD00181"/>
    <d v="2023-12-08T00:00:00"/>
    <n v="11"/>
    <n v="55.477081984225997"/>
    <d v="2023-12-18T00:00:00"/>
    <d v="2023-12-24T00:00:00"/>
    <n v="610.24790182648599"/>
    <n v="6"/>
    <x v="7"/>
    <s v="Denmark"/>
    <s v="South"/>
    <x v="0"/>
    <n v="1"/>
    <s v="Yes"/>
    <n v="0"/>
    <s v="Late"/>
    <x v="2"/>
    <x v="7"/>
  </r>
  <r>
    <s v="PO000009"/>
    <s v="SUP00018"/>
    <s v="PROD00077"/>
    <d v="2022-04-23T00:00:00"/>
    <n v="10"/>
    <n v="38.263269866724002"/>
    <d v="2022-05-10T00:00:00"/>
    <d v="2022-05-08T00:00:00"/>
    <n v="382.63269866723999"/>
    <n v="-2"/>
    <x v="8"/>
    <s v="UK"/>
    <s v="West"/>
    <x v="2"/>
    <n v="0"/>
    <s v="No"/>
    <n v="1"/>
    <s v="On Time"/>
    <x v="3"/>
    <x v="8"/>
  </r>
  <r>
    <s v="PO000010"/>
    <s v="SUP00090"/>
    <s v="PROD00115"/>
    <d v="2021-02-26T00:00:00"/>
    <n v="8"/>
    <n v="72.629360538852495"/>
    <d v="2021-03-09T00:00:00"/>
    <d v="2021-03-13T00:00:00"/>
    <n v="581.03488431081996"/>
    <n v="4"/>
    <x v="9"/>
    <s v="Canada"/>
    <s v="East"/>
    <x v="1"/>
    <n v="1"/>
    <s v="Yes"/>
    <n v="0"/>
    <s v="Late"/>
    <x v="1"/>
    <x v="9"/>
  </r>
  <r>
    <s v="PO000011"/>
    <s v="SUP00077"/>
    <s v="PROD00105"/>
    <d v="2021-07-16T00:00:00"/>
    <n v="16"/>
    <n v="74.910725029472601"/>
    <d v="2021-07-31T00:00:00"/>
    <d v="2021-08-06T00:00:00"/>
    <n v="1198.57160047156"/>
    <n v="6"/>
    <x v="10"/>
    <s v="India"/>
    <s v="West"/>
    <x v="1"/>
    <n v="0"/>
    <s v="No"/>
    <n v="0"/>
    <s v="Late"/>
    <x v="1"/>
    <x v="5"/>
  </r>
  <r>
    <s v="PO000012"/>
    <s v="SUP00075"/>
    <s v="PROD00039"/>
    <d v="2023-02-19T00:00:00"/>
    <n v="13"/>
    <n v="47.362314027756199"/>
    <d v="2023-03-14T00:00:00"/>
    <d v="2023-03-15T00:00:00"/>
    <n v="615.71008236083105"/>
    <n v="1"/>
    <x v="11"/>
    <s v="USA"/>
    <s v="Central"/>
    <x v="1"/>
    <n v="1"/>
    <s v="Yes"/>
    <n v="0"/>
    <s v="Late"/>
    <x v="2"/>
    <x v="9"/>
  </r>
  <r>
    <s v="PO000013"/>
    <s v="SUP00068"/>
    <s v="PROD00117"/>
    <d v="2021-12-19T00:00:00"/>
    <n v="11"/>
    <n v="65.642856365693703"/>
    <d v="2021-12-30T00:00:00"/>
    <d v="2022-01-01T00:00:00"/>
    <n v="722.07142002263095"/>
    <n v="2"/>
    <x v="12"/>
    <s v="UK"/>
    <s v="South"/>
    <x v="3"/>
    <n v="1"/>
    <s v="Yes"/>
    <n v="0"/>
    <s v="Late"/>
    <x v="1"/>
    <x v="7"/>
  </r>
  <r>
    <s v="PO000014"/>
    <s v="SUP00056"/>
    <s v="PROD00045"/>
    <d v="2022-01-09T00:00:00"/>
    <n v="9"/>
    <n v="78.904389918313697"/>
    <d v="2022-01-29T00:00:00"/>
    <d v="2022-02-02T00:00:00"/>
    <n v="710.139509264823"/>
    <n v="4"/>
    <x v="13"/>
    <s v="China"/>
    <s v="North"/>
    <x v="2"/>
    <n v="0"/>
    <s v="No"/>
    <n v="0"/>
    <s v="Late"/>
    <x v="3"/>
    <x v="10"/>
  </r>
  <r>
    <s v="PO000015"/>
    <s v="SUP00087"/>
    <s v="PROD00140"/>
    <d v="2022-10-25T00:00:00"/>
    <n v="9"/>
    <n v="49.990514468280999"/>
    <d v="2022-11-18T00:00:00"/>
    <d v="2022-11-23T00:00:00"/>
    <n v="449.91463021452898"/>
    <n v="5"/>
    <x v="14"/>
    <s v="UK"/>
    <s v="Central"/>
    <x v="2"/>
    <n v="0"/>
    <s v="No"/>
    <n v="0"/>
    <s v="Late"/>
    <x v="3"/>
    <x v="4"/>
  </r>
  <r>
    <s v="PO000016"/>
    <s v="SUP00032"/>
    <s v="PROD00092"/>
    <d v="2023-05-16T00:00:00"/>
    <n v="16"/>
    <n v="53.415423056426597"/>
    <d v="2023-05-27T00:00:00"/>
    <d v="2023-05-25T00:00:00"/>
    <n v="854.64676890282499"/>
    <n v="-2"/>
    <x v="15"/>
    <s v="Germany"/>
    <s v="South"/>
    <x v="0"/>
    <n v="0"/>
    <s v="No"/>
    <n v="1"/>
    <s v="On Time"/>
    <x v="2"/>
    <x v="3"/>
  </r>
  <r>
    <s v="PO000017"/>
    <s v="SUP00065"/>
    <s v="PROD00059"/>
    <d v="2021-10-02T00:00:00"/>
    <n v="11"/>
    <n v="69.114569575480303"/>
    <d v="2021-10-13T00:00:00"/>
    <d v="2021-10-14T00:00:00"/>
    <n v="760.260265330283"/>
    <n v="1"/>
    <x v="16"/>
    <s v="Brazil"/>
    <s v="East"/>
    <x v="1"/>
    <n v="1"/>
    <s v="Yes"/>
    <n v="0"/>
    <s v="Late"/>
    <x v="1"/>
    <x v="4"/>
  </r>
  <r>
    <s v="PO000018"/>
    <s v="SUP00005"/>
    <s v="PROD00102"/>
    <d v="2022-05-18T00:00:00"/>
    <n v="11"/>
    <n v="61.201835120752797"/>
    <d v="2022-06-09T00:00:00"/>
    <d v="2022-06-08T00:00:00"/>
    <n v="673.22018632828099"/>
    <n v="-1"/>
    <x v="17"/>
    <s v="Canada"/>
    <s v="North"/>
    <x v="1"/>
    <n v="1"/>
    <s v="Yes"/>
    <n v="1"/>
    <s v="On Time"/>
    <x v="3"/>
    <x v="3"/>
  </r>
  <r>
    <s v="PO000019"/>
    <s v="SUP00053"/>
    <s v="PROD00079"/>
    <d v="2023-06-18T00:00:00"/>
    <n v="9"/>
    <n v="68.567830203443705"/>
    <d v="2023-06-30T00:00:00"/>
    <d v="2023-07-02T00:00:00"/>
    <n v="617.11047183099299"/>
    <n v="2"/>
    <x v="18"/>
    <s v="India"/>
    <s v="North"/>
    <x v="2"/>
    <n v="1"/>
    <s v="Yes"/>
    <n v="0"/>
    <s v="Late"/>
    <x v="2"/>
    <x v="1"/>
  </r>
  <r>
    <s v="PO000020"/>
    <s v="SUP00021"/>
    <s v="PROD00118"/>
    <d v="2022-02-18T00:00:00"/>
    <n v="13"/>
    <n v="63.632294555442499"/>
    <d v="2022-03-03T00:00:00"/>
    <d v="2022-03-02T00:00:00"/>
    <n v="827.21982922075301"/>
    <n v="-1"/>
    <x v="19"/>
    <s v="Germany"/>
    <s v="Central"/>
    <x v="1"/>
    <n v="1"/>
    <s v="Yes"/>
    <n v="1"/>
    <s v="On Time"/>
    <x v="3"/>
    <x v="9"/>
  </r>
  <r>
    <s v="PO000021"/>
    <s v="SUP00093"/>
    <s v="PROD00044"/>
    <d v="2024-02-19T00:00:00"/>
    <n v="9"/>
    <n v="63.442912422671199"/>
    <d v="2024-03-14T00:00:00"/>
    <d v="2024-03-16T00:00:00"/>
    <n v="570.98621180404098"/>
    <n v="2"/>
    <x v="20"/>
    <s v="USA"/>
    <s v="Central"/>
    <x v="2"/>
    <n v="0"/>
    <s v="No"/>
    <n v="0"/>
    <s v="Late"/>
    <x v="0"/>
    <x v="9"/>
  </r>
  <r>
    <s v="PO000022"/>
    <s v="SUP00044"/>
    <s v="PROD00184"/>
    <d v="2023-09-10T00:00:00"/>
    <n v="12"/>
    <n v="69.584274851607404"/>
    <d v="2023-10-02T00:00:00"/>
    <d v="2023-10-02T00:00:00"/>
    <n v="835.01129821928896"/>
    <n v="0"/>
    <x v="21"/>
    <s v="Germany"/>
    <s v="Central"/>
    <x v="1"/>
    <n v="1"/>
    <s v="Yes"/>
    <n v="1"/>
    <s v="On Time"/>
    <x v="2"/>
    <x v="11"/>
  </r>
  <r>
    <s v="PO000023"/>
    <s v="SUP00067"/>
    <s v="PROD00050"/>
    <d v="2023-12-04T00:00:00"/>
    <n v="15"/>
    <n v="76.462493466167402"/>
    <d v="2023-12-23T00:00:00"/>
    <d v="2023-12-21T00:00:00"/>
    <n v="1146.9374019925101"/>
    <n v="-2"/>
    <x v="22"/>
    <s v="UK"/>
    <s v="South"/>
    <x v="3"/>
    <n v="1"/>
    <s v="Yes"/>
    <n v="1"/>
    <s v="On Time"/>
    <x v="2"/>
    <x v="7"/>
  </r>
  <r>
    <s v="PO000024"/>
    <s v="SUP00043"/>
    <s v="PROD00132"/>
    <d v="2022-04-01T00:00:00"/>
    <n v="8"/>
    <n v="49.064760522916899"/>
    <d v="2022-04-23T00:00:00"/>
    <d v="2022-04-27T00:00:00"/>
    <n v="392.51808418333502"/>
    <n v="4"/>
    <x v="23"/>
    <s v="India"/>
    <s v="Central"/>
    <x v="1"/>
    <n v="0"/>
    <s v="No"/>
    <n v="0"/>
    <s v="Late"/>
    <x v="3"/>
    <x v="8"/>
  </r>
  <r>
    <s v="PO000025"/>
    <s v="SUP00020"/>
    <s v="PROD00128"/>
    <d v="2024-03-17T00:00:00"/>
    <n v="13"/>
    <n v="15.439558053438899"/>
    <d v="2024-03-30T00:00:00"/>
    <d v="2024-04-01T00:00:00"/>
    <n v="200.714254694706"/>
    <n v="2"/>
    <x v="21"/>
    <s v="Canada"/>
    <s v="Central"/>
    <x v="3"/>
    <n v="1"/>
    <s v="Yes"/>
    <n v="0"/>
    <s v="Late"/>
    <x v="0"/>
    <x v="0"/>
  </r>
  <r>
    <s v="PO000026"/>
    <s v="SUP00007"/>
    <s v="PROD00185"/>
    <d v="2023-12-17T00:00:00"/>
    <n v="11"/>
    <n v="68.513472466800295"/>
    <d v="2024-01-10T00:00:00"/>
    <d v="2024-01-16T00:00:00"/>
    <n v="753.64819713480301"/>
    <n v="6"/>
    <x v="24"/>
    <s v="China"/>
    <s v="East"/>
    <x v="1"/>
    <n v="1"/>
    <s v="Yes"/>
    <n v="0"/>
    <s v="Late"/>
    <x v="2"/>
    <x v="7"/>
  </r>
  <r>
    <s v="PO000027"/>
    <s v="SUP00035"/>
    <s v="PROD00048"/>
    <d v="2023-10-21T00:00:00"/>
    <n v="12"/>
    <n v="70.944673279855905"/>
    <d v="2023-11-02T00:00:00"/>
    <d v="2023-11-07T00:00:00"/>
    <n v="851.33607935827001"/>
    <n v="5"/>
    <x v="25"/>
    <s v="Denmark"/>
    <s v="Central"/>
    <x v="1"/>
    <n v="1"/>
    <s v="Yes"/>
    <n v="0"/>
    <s v="Late"/>
    <x v="2"/>
    <x v="4"/>
  </r>
  <r>
    <s v="PO000028"/>
    <s v="SUP00096"/>
    <s v="PROD00080"/>
    <d v="2024-04-01T00:00:00"/>
    <n v="9"/>
    <n v="32.2580868801356"/>
    <d v="2024-04-12T00:00:00"/>
    <d v="2024-04-15T00:00:00"/>
    <n v="290.32278192122101"/>
    <n v="3"/>
    <x v="26"/>
    <s v="India"/>
    <s v="South"/>
    <x v="1"/>
    <n v="0"/>
    <s v="No"/>
    <n v="0"/>
    <s v="Late"/>
    <x v="0"/>
    <x v="8"/>
  </r>
  <r>
    <s v="PO000029"/>
    <s v="SUP00090"/>
    <s v="PROD00055"/>
    <d v="2022-10-03T00:00:00"/>
    <n v="7"/>
    <n v="8.32315558115023"/>
    <d v="2022-10-23T00:00:00"/>
    <d v="2022-10-26T00:00:00"/>
    <n v="58.262089068051601"/>
    <n v="3"/>
    <x v="9"/>
    <s v="Canada"/>
    <s v="East"/>
    <x v="1"/>
    <n v="1"/>
    <s v="Yes"/>
    <n v="0"/>
    <s v="Late"/>
    <x v="3"/>
    <x v="4"/>
  </r>
  <r>
    <s v="PO000030"/>
    <s v="SUP00092"/>
    <s v="PROD00138"/>
    <d v="2023-08-31T00:00:00"/>
    <n v="13"/>
    <n v="27.203427496926199"/>
    <d v="2023-09-16T00:00:00"/>
    <d v="2023-09-20T00:00:00"/>
    <n v="353.64455746004001"/>
    <n v="4"/>
    <x v="27"/>
    <s v="UK"/>
    <s v="West"/>
    <x v="0"/>
    <n v="0"/>
    <s v="No"/>
    <n v="0"/>
    <s v="Late"/>
    <x v="2"/>
    <x v="2"/>
  </r>
  <r>
    <s v="PO000031"/>
    <s v="SUP00004"/>
    <s v="PROD00038"/>
    <d v="2024-02-09T00:00:00"/>
    <n v="12"/>
    <n v="17.686680271788699"/>
    <d v="2024-02-29T00:00:00"/>
    <d v="2024-03-01T00:00:00"/>
    <n v="212.240163261465"/>
    <n v="1"/>
    <x v="28"/>
    <s v="USA"/>
    <s v="North"/>
    <x v="1"/>
    <n v="0"/>
    <s v="No"/>
    <n v="0"/>
    <s v="Late"/>
    <x v="0"/>
    <x v="9"/>
  </r>
  <r>
    <s v="PO000032"/>
    <s v="SUP00021"/>
    <s v="PROD00074"/>
    <d v="2021-08-21T00:00:00"/>
    <n v="11"/>
    <n v="17.681582408842502"/>
    <d v="2021-09-11T00:00:00"/>
    <d v="2021-09-11T00:00:00"/>
    <n v="194.497406497268"/>
    <n v="0"/>
    <x v="19"/>
    <s v="Germany"/>
    <s v="Central"/>
    <x v="1"/>
    <n v="1"/>
    <s v="Yes"/>
    <n v="1"/>
    <s v="On Time"/>
    <x v="1"/>
    <x v="2"/>
  </r>
  <r>
    <s v="PO000033"/>
    <s v="SUP00030"/>
    <s v="PROD00157"/>
    <d v="2021-06-16T00:00:00"/>
    <n v="19"/>
    <n v="32.601286572435001"/>
    <d v="2021-07-07T00:00:00"/>
    <d v="2021-07-10T00:00:00"/>
    <n v="619.42444487626597"/>
    <n v="3"/>
    <x v="29"/>
    <s v="India"/>
    <s v="Central"/>
    <x v="0"/>
    <n v="0"/>
    <s v="No"/>
    <n v="0"/>
    <s v="Late"/>
    <x v="1"/>
    <x v="1"/>
  </r>
  <r>
    <s v="PO000034"/>
    <s v="SUP00024"/>
    <s v="PROD00198"/>
    <d v="2023-07-14T00:00:00"/>
    <n v="8"/>
    <n v="32.856348955913298"/>
    <d v="2023-07-26T00:00:00"/>
    <d v="2023-07-24T00:00:00"/>
    <n v="262.85079164730598"/>
    <n v="-2"/>
    <x v="5"/>
    <s v="UK"/>
    <s v="North"/>
    <x v="1"/>
    <n v="0"/>
    <s v="No"/>
    <n v="1"/>
    <s v="On Time"/>
    <x v="2"/>
    <x v="5"/>
  </r>
  <r>
    <s v="PO000035"/>
    <s v="SUP00063"/>
    <s v="PROD00040"/>
    <d v="2022-01-21T00:00:00"/>
    <n v="11"/>
    <n v="18.562488202935"/>
    <d v="2022-02-13T00:00:00"/>
    <d v="2022-02-19T00:00:00"/>
    <n v="204.18737023228499"/>
    <n v="6"/>
    <x v="30"/>
    <s v="Denmark"/>
    <s v="North"/>
    <x v="1"/>
    <n v="0"/>
    <s v="No"/>
    <n v="0"/>
    <s v="Late"/>
    <x v="3"/>
    <x v="10"/>
  </r>
  <r>
    <s v="PO000036"/>
    <s v="SUP00024"/>
    <s v="PROD00162"/>
    <d v="2022-09-19T00:00:00"/>
    <n v="15"/>
    <n v="25.232411333629599"/>
    <d v="2022-10-05T00:00:00"/>
    <d v="2022-10-03T00:00:00"/>
    <n v="378.48617000444398"/>
    <n v="-2"/>
    <x v="5"/>
    <s v="UK"/>
    <s v="North"/>
    <x v="1"/>
    <n v="0"/>
    <s v="No"/>
    <n v="1"/>
    <s v="On Time"/>
    <x v="3"/>
    <x v="11"/>
  </r>
  <r>
    <s v="PO000037"/>
    <s v="SUP00013"/>
    <s v="PROD00154"/>
    <d v="2021-11-09T00:00:00"/>
    <n v="19"/>
    <n v="70.138520918066604"/>
    <d v="2021-11-28T00:00:00"/>
    <d v="2021-11-27T00:00:00"/>
    <n v="1332.63189744326"/>
    <n v="-1"/>
    <x v="31"/>
    <s v="China"/>
    <s v="North"/>
    <x v="2"/>
    <n v="1"/>
    <s v="Yes"/>
    <n v="1"/>
    <s v="On Time"/>
    <x v="1"/>
    <x v="6"/>
  </r>
  <r>
    <s v="PO000038"/>
    <s v="SUP00021"/>
    <s v="PROD00006"/>
    <d v="2024-03-03T00:00:00"/>
    <n v="16"/>
    <n v="78.099985631443403"/>
    <d v="2024-03-23T00:00:00"/>
    <d v="2024-03-23T00:00:00"/>
    <n v="1249.5997701030899"/>
    <n v="0"/>
    <x v="19"/>
    <s v="Germany"/>
    <s v="Central"/>
    <x v="1"/>
    <n v="1"/>
    <s v="Yes"/>
    <n v="1"/>
    <s v="On Time"/>
    <x v="0"/>
    <x v="0"/>
  </r>
  <r>
    <s v="PO000039"/>
    <s v="SUP00070"/>
    <s v="PROD00154"/>
    <d v="2022-05-31T00:00:00"/>
    <n v="11"/>
    <n v="46.250429069184797"/>
    <d v="2022-06-15T00:00:00"/>
    <d v="2022-06-17T00:00:00"/>
    <n v="508.75471976103199"/>
    <n v="2"/>
    <x v="32"/>
    <s v="USA"/>
    <s v="Central"/>
    <x v="3"/>
    <n v="0"/>
    <s v="No"/>
    <n v="0"/>
    <s v="Late"/>
    <x v="3"/>
    <x v="3"/>
  </r>
  <r>
    <s v="PO000040"/>
    <s v="SUP00031"/>
    <s v="PROD00186"/>
    <d v="2023-11-20T00:00:00"/>
    <n v="10"/>
    <n v="68.631449531045504"/>
    <d v="2023-12-14T00:00:00"/>
    <d v="2023-12-15T00:00:00"/>
    <n v="686.31449531045496"/>
    <n v="1"/>
    <x v="33"/>
    <s v="USA"/>
    <s v="West"/>
    <x v="3"/>
    <n v="0"/>
    <s v="No"/>
    <n v="0"/>
    <s v="Late"/>
    <x v="2"/>
    <x v="6"/>
  </r>
  <r>
    <s v="PO000041"/>
    <s v="SUP00038"/>
    <s v="PROD00103"/>
    <d v="2022-11-14T00:00:00"/>
    <n v="12"/>
    <n v="33.133835670211901"/>
    <d v="2022-12-06T00:00:00"/>
    <d v="2022-12-09T00:00:00"/>
    <n v="397.60602804254302"/>
    <n v="3"/>
    <x v="34"/>
    <s v="Germany"/>
    <s v="South"/>
    <x v="1"/>
    <n v="0"/>
    <s v="No"/>
    <n v="0"/>
    <s v="Late"/>
    <x v="3"/>
    <x v="6"/>
  </r>
  <r>
    <s v="PO000042"/>
    <s v="SUP00084"/>
    <s v="PROD00169"/>
    <d v="2021-06-08T00:00:00"/>
    <n v="10"/>
    <n v="22.468785943647301"/>
    <d v="2021-06-21T00:00:00"/>
    <d v="2021-06-25T00:00:00"/>
    <n v="224.68785943647299"/>
    <n v="4"/>
    <x v="35"/>
    <s v="Canada"/>
    <s v="West"/>
    <x v="1"/>
    <n v="1"/>
    <s v="Yes"/>
    <n v="0"/>
    <s v="Late"/>
    <x v="1"/>
    <x v="1"/>
  </r>
  <r>
    <s v="PO000043"/>
    <s v="SUP00001"/>
    <s v="PROD00014"/>
    <d v="2021-01-26T00:00:00"/>
    <n v="13"/>
    <n v="20.479569020345298"/>
    <d v="2021-02-05T00:00:00"/>
    <d v="2021-02-04T00:00:00"/>
    <n v="266.234397264488"/>
    <n v="-1"/>
    <x v="36"/>
    <s v="USA"/>
    <s v="West"/>
    <x v="3"/>
    <n v="0"/>
    <s v="No"/>
    <n v="1"/>
    <s v="On Time"/>
    <x v="1"/>
    <x v="10"/>
  </r>
  <r>
    <s v="PO000044"/>
    <s v="SUP00038"/>
    <s v="PROD00098"/>
    <d v="2021-08-10T00:00:00"/>
    <n v="11"/>
    <n v="63.039713691771802"/>
    <d v="2021-08-28T00:00:00"/>
    <d v="2021-09-02T00:00:00"/>
    <n v="693.43685060948997"/>
    <n v="5"/>
    <x v="34"/>
    <s v="Germany"/>
    <s v="South"/>
    <x v="1"/>
    <n v="0"/>
    <s v="No"/>
    <n v="0"/>
    <s v="Late"/>
    <x v="1"/>
    <x v="2"/>
  </r>
  <r>
    <s v="PO000045"/>
    <s v="SUP00011"/>
    <s v="PROD00043"/>
    <d v="2021-07-11T00:00:00"/>
    <n v="8"/>
    <n v="25.4189593515414"/>
    <d v="2021-07-31T00:00:00"/>
    <d v="2021-07-29T00:00:00"/>
    <n v="203.351674812331"/>
    <n v="-2"/>
    <x v="37"/>
    <s v="UK"/>
    <s v="East"/>
    <x v="3"/>
    <n v="1"/>
    <s v="Yes"/>
    <n v="1"/>
    <s v="On Time"/>
    <x v="1"/>
    <x v="5"/>
  </r>
  <r>
    <s v="PO000046"/>
    <s v="SUP00011"/>
    <s v="PROD00127"/>
    <d v="2023-07-30T00:00:00"/>
    <n v="8"/>
    <n v="43.056329316659898"/>
    <d v="2023-08-20T00:00:00"/>
    <d v="2023-08-24T00:00:00"/>
    <n v="344.45063453327901"/>
    <n v="4"/>
    <x v="37"/>
    <s v="UK"/>
    <s v="East"/>
    <x v="3"/>
    <n v="1"/>
    <s v="Yes"/>
    <n v="0"/>
    <s v="Late"/>
    <x v="2"/>
    <x v="5"/>
  </r>
  <r>
    <s v="PO000047"/>
    <s v="SUP00098"/>
    <s v="PROD00172"/>
    <d v="2022-01-14T00:00:00"/>
    <n v="15"/>
    <n v="23.319825192023799"/>
    <d v="2022-02-03T00:00:00"/>
    <d v="2022-02-02T00:00:00"/>
    <n v="349.79737788035698"/>
    <n v="-1"/>
    <x v="38"/>
    <s v="Germany"/>
    <s v="North"/>
    <x v="3"/>
    <n v="1"/>
    <s v="Yes"/>
    <n v="1"/>
    <s v="On Time"/>
    <x v="3"/>
    <x v="10"/>
  </r>
  <r>
    <s v="PO000048"/>
    <s v="SUP00016"/>
    <s v="PROD00046"/>
    <d v="2023-05-13T00:00:00"/>
    <n v="13"/>
    <n v="44.617250749553499"/>
    <d v="2023-05-30T00:00:00"/>
    <d v="2023-06-05T00:00:00"/>
    <n v="580.024259744196"/>
    <n v="6"/>
    <x v="39"/>
    <s v="China"/>
    <s v="East"/>
    <x v="0"/>
    <n v="0"/>
    <s v="No"/>
    <n v="0"/>
    <s v="Late"/>
    <x v="2"/>
    <x v="3"/>
  </r>
  <r>
    <s v="PO000049"/>
    <s v="SUP00065"/>
    <s v="PROD00042"/>
    <d v="2022-01-01T00:00:00"/>
    <n v="17"/>
    <n v="7.0942582747983298"/>
    <d v="2022-01-17T00:00:00"/>
    <d v="2022-01-22T00:00:00"/>
    <n v="120.602390671571"/>
    <n v="5"/>
    <x v="16"/>
    <s v="Brazil"/>
    <s v="East"/>
    <x v="1"/>
    <n v="1"/>
    <s v="Yes"/>
    <n v="0"/>
    <s v="Late"/>
    <x v="3"/>
    <x v="10"/>
  </r>
  <r>
    <s v="PO000050"/>
    <s v="SUP00093"/>
    <s v="PROD00038"/>
    <d v="2023-08-19T00:00:00"/>
    <n v="6"/>
    <n v="53.156621331245397"/>
    <d v="2023-09-06T00:00:00"/>
    <d v="2023-09-10T00:00:00"/>
    <n v="318.939727987472"/>
    <n v="4"/>
    <x v="20"/>
    <s v="USA"/>
    <s v="Central"/>
    <x v="2"/>
    <n v="0"/>
    <s v="No"/>
    <n v="0"/>
    <s v="Late"/>
    <x v="2"/>
    <x v="2"/>
  </r>
  <r>
    <s v="PO000051"/>
    <s v="SUP00023"/>
    <s v="PROD00169"/>
    <d v="2024-01-16T00:00:00"/>
    <n v="13"/>
    <n v="45.288783242616702"/>
    <d v="2024-02-08T00:00:00"/>
    <d v="2024-02-14T00:00:00"/>
    <n v="588.75418215401703"/>
    <n v="6"/>
    <x v="3"/>
    <s v="Brazil"/>
    <s v="South"/>
    <x v="0"/>
    <n v="1"/>
    <s v="Yes"/>
    <n v="0"/>
    <s v="Late"/>
    <x v="0"/>
    <x v="10"/>
  </r>
  <r>
    <s v="PO000052"/>
    <s v="SUP00030"/>
    <s v="PROD00106"/>
    <d v="2024-03-02T00:00:00"/>
    <n v="20"/>
    <n v="9.1748363153580499"/>
    <d v="2024-03-22T00:00:00"/>
    <d v="2024-03-21T00:00:00"/>
    <n v="183.496726307161"/>
    <n v="-1"/>
    <x v="29"/>
    <s v="India"/>
    <s v="Central"/>
    <x v="0"/>
    <n v="0"/>
    <s v="No"/>
    <n v="1"/>
    <s v="On Time"/>
    <x v="0"/>
    <x v="0"/>
  </r>
  <r>
    <s v="PO000053"/>
    <s v="SUP00056"/>
    <s v="PROD00097"/>
    <d v="2021-06-30T00:00:00"/>
    <n v="8"/>
    <n v="4.9976941918426396"/>
    <d v="2021-07-19T00:00:00"/>
    <d v="2021-07-16T00:00:00"/>
    <n v="39.981553534741103"/>
    <n v="-3"/>
    <x v="13"/>
    <s v="China"/>
    <s v="North"/>
    <x v="2"/>
    <n v="0"/>
    <s v="No"/>
    <n v="1"/>
    <s v="On Time"/>
    <x v="1"/>
    <x v="1"/>
  </r>
  <r>
    <s v="PO000054"/>
    <s v="SUP00036"/>
    <s v="PROD00012"/>
    <d v="2021-10-22T00:00:00"/>
    <n v="10"/>
    <n v="26.0575281180828"/>
    <d v="2021-11-02T00:00:00"/>
    <d v="2021-11-06T00:00:00"/>
    <n v="260.57528118082797"/>
    <n v="4"/>
    <x v="40"/>
    <s v="Canada"/>
    <s v="West"/>
    <x v="3"/>
    <n v="1"/>
    <s v="Yes"/>
    <n v="0"/>
    <s v="Late"/>
    <x v="1"/>
    <x v="4"/>
  </r>
  <r>
    <s v="PO000055"/>
    <s v="SUP00088"/>
    <s v="PROD00084"/>
    <d v="2021-08-28T00:00:00"/>
    <n v="10"/>
    <n v="26.2505489148853"/>
    <d v="2021-09-15T00:00:00"/>
    <d v="2021-09-19T00:00:00"/>
    <n v="262.50548914885297"/>
    <n v="4"/>
    <x v="41"/>
    <s v="Brazil"/>
    <s v="East"/>
    <x v="3"/>
    <n v="0"/>
    <s v="No"/>
    <n v="0"/>
    <s v="Late"/>
    <x v="1"/>
    <x v="2"/>
  </r>
  <r>
    <s v="PO000056"/>
    <s v="SUP00073"/>
    <s v="PROD00070"/>
    <d v="2021-05-10T00:00:00"/>
    <n v="17"/>
    <n v="24.339096252842602"/>
    <d v="2021-05-29T00:00:00"/>
    <d v="2021-05-31T00:00:00"/>
    <n v="413.76463629832398"/>
    <n v="2"/>
    <x v="42"/>
    <s v="China"/>
    <s v="East"/>
    <x v="2"/>
    <n v="1"/>
    <s v="Yes"/>
    <n v="0"/>
    <s v="Late"/>
    <x v="1"/>
    <x v="3"/>
  </r>
  <r>
    <s v="PO000057"/>
    <s v="SUP00024"/>
    <s v="PROD00034"/>
    <d v="2023-03-06T00:00:00"/>
    <n v="18"/>
    <n v="71.034218465793501"/>
    <d v="2023-03-27T00:00:00"/>
    <d v="2023-03-28T00:00:00"/>
    <n v="1278.6159323842801"/>
    <n v="1"/>
    <x v="5"/>
    <s v="UK"/>
    <s v="North"/>
    <x v="1"/>
    <n v="0"/>
    <s v="No"/>
    <n v="0"/>
    <s v="Late"/>
    <x v="2"/>
    <x v="0"/>
  </r>
  <r>
    <s v="PO000058"/>
    <s v="SUP00007"/>
    <s v="PROD00073"/>
    <d v="2022-04-06T00:00:00"/>
    <n v="15"/>
    <n v="60.100097294462103"/>
    <d v="2022-04-20T00:00:00"/>
    <d v="2022-04-22T00:00:00"/>
    <n v="901.50145941693199"/>
    <n v="2"/>
    <x v="24"/>
    <s v="China"/>
    <s v="East"/>
    <x v="1"/>
    <n v="1"/>
    <s v="Yes"/>
    <n v="0"/>
    <s v="Late"/>
    <x v="3"/>
    <x v="8"/>
  </r>
  <r>
    <s v="PO000059"/>
    <s v="SUP00092"/>
    <s v="PROD00033"/>
    <d v="2021-02-27T00:00:00"/>
    <n v="13"/>
    <n v="37.311239872485601"/>
    <d v="2021-03-22T00:00:00"/>
    <d v="2021-03-19T00:00:00"/>
    <n v="485.04611834231201"/>
    <n v="-3"/>
    <x v="27"/>
    <s v="UK"/>
    <s v="West"/>
    <x v="0"/>
    <n v="0"/>
    <s v="No"/>
    <n v="1"/>
    <s v="On Time"/>
    <x v="1"/>
    <x v="9"/>
  </r>
  <r>
    <s v="PO000060"/>
    <s v="SUP00083"/>
    <s v="PROD00075"/>
    <d v="2023-12-26T00:00:00"/>
    <n v="12"/>
    <n v="19.8419335908467"/>
    <d v="2024-01-18T00:00:00"/>
    <d v="2024-01-16T00:00:00"/>
    <n v="238.10320309016001"/>
    <n v="-2"/>
    <x v="43"/>
    <s v="China"/>
    <s v="South"/>
    <x v="0"/>
    <n v="0"/>
    <s v="No"/>
    <n v="1"/>
    <s v="On Time"/>
    <x v="2"/>
    <x v="7"/>
  </r>
  <r>
    <s v="PO000061"/>
    <s v="SUP00073"/>
    <s v="PROD00147"/>
    <d v="2023-03-09T00:00:00"/>
    <n v="16"/>
    <n v="40.255346353670802"/>
    <d v="2023-03-24T00:00:00"/>
    <d v="2023-03-21T00:00:00"/>
    <n v="644.08554165873295"/>
    <n v="-3"/>
    <x v="42"/>
    <s v="China"/>
    <s v="East"/>
    <x v="2"/>
    <n v="1"/>
    <s v="Yes"/>
    <n v="1"/>
    <s v="On Time"/>
    <x v="2"/>
    <x v="0"/>
  </r>
  <r>
    <s v="PO000062"/>
    <s v="SUP00026"/>
    <s v="PROD00186"/>
    <d v="2021-09-12T00:00:00"/>
    <n v="9"/>
    <n v="54.887526130979097"/>
    <d v="2021-09-23T00:00:00"/>
    <d v="2021-09-28T00:00:00"/>
    <n v="493.98773517881199"/>
    <n v="5"/>
    <x v="44"/>
    <s v="Denmark"/>
    <s v="East"/>
    <x v="1"/>
    <n v="1"/>
    <s v="Yes"/>
    <n v="0"/>
    <s v="Late"/>
    <x v="1"/>
    <x v="11"/>
  </r>
  <r>
    <s v="PO000063"/>
    <s v="SUP00100"/>
    <s v="PROD00020"/>
    <d v="2023-07-17T00:00:00"/>
    <n v="11"/>
    <n v="35.121807422929201"/>
    <d v="2023-07-30T00:00:00"/>
    <d v="2023-08-03T00:00:00"/>
    <n v="386.33988165222098"/>
    <n v="4"/>
    <x v="45"/>
    <s v="Canada"/>
    <s v="Central"/>
    <x v="1"/>
    <n v="0"/>
    <s v="No"/>
    <n v="0"/>
    <s v="Late"/>
    <x v="2"/>
    <x v="5"/>
  </r>
  <r>
    <s v="PO000064"/>
    <s v="SUP00037"/>
    <s v="PROD00166"/>
    <d v="2022-08-15T00:00:00"/>
    <n v="10"/>
    <n v="74.938832400096004"/>
    <d v="2022-08-29T00:00:00"/>
    <d v="2022-08-27T00:00:00"/>
    <n v="749.38832400095998"/>
    <n v="-2"/>
    <x v="46"/>
    <s v="Denmark"/>
    <s v="East"/>
    <x v="1"/>
    <n v="0"/>
    <s v="No"/>
    <n v="1"/>
    <s v="On Time"/>
    <x v="3"/>
    <x v="2"/>
  </r>
  <r>
    <s v="PO000065"/>
    <s v="SUP00005"/>
    <s v="PROD00158"/>
    <d v="2022-04-09T00:00:00"/>
    <n v="15"/>
    <n v="27.4250907139524"/>
    <d v="2022-05-03T00:00:00"/>
    <d v="2022-05-08T00:00:00"/>
    <n v="411.37636070928602"/>
    <n v="5"/>
    <x v="17"/>
    <s v="Canada"/>
    <s v="North"/>
    <x v="1"/>
    <n v="1"/>
    <s v="Yes"/>
    <n v="0"/>
    <s v="Late"/>
    <x v="3"/>
    <x v="8"/>
  </r>
  <r>
    <s v="PO000066"/>
    <s v="SUP00035"/>
    <s v="PROD00108"/>
    <d v="2021-05-25T00:00:00"/>
    <n v="20"/>
    <n v="17.905812008867098"/>
    <d v="2021-06-15T00:00:00"/>
    <d v="2021-06-19T00:00:00"/>
    <n v="358.11624017734198"/>
    <n v="4"/>
    <x v="25"/>
    <s v="Denmark"/>
    <s v="Central"/>
    <x v="1"/>
    <n v="1"/>
    <s v="Yes"/>
    <n v="0"/>
    <s v="Late"/>
    <x v="1"/>
    <x v="3"/>
  </r>
  <r>
    <s v="PO000067"/>
    <s v="SUP00029"/>
    <s v="PROD00099"/>
    <d v="2021-02-26T00:00:00"/>
    <n v="10"/>
    <n v="54.933721898361902"/>
    <d v="2021-03-16T00:00:00"/>
    <d v="2021-03-17T00:00:00"/>
    <n v="549.33721898361898"/>
    <n v="1"/>
    <x v="47"/>
    <s v="China"/>
    <s v="West"/>
    <x v="0"/>
    <n v="1"/>
    <s v="Yes"/>
    <n v="0"/>
    <s v="Late"/>
    <x v="1"/>
    <x v="9"/>
  </r>
  <r>
    <s v="PO000068"/>
    <s v="SUP00074"/>
    <s v="PROD00126"/>
    <d v="2022-05-16T00:00:00"/>
    <n v="8"/>
    <n v="32.209555444085296"/>
    <d v="2022-06-02T00:00:00"/>
    <d v="2022-06-07T00:00:00"/>
    <n v="257.67644355268197"/>
    <n v="5"/>
    <x v="48"/>
    <s v="Canada"/>
    <s v="South"/>
    <x v="0"/>
    <n v="1"/>
    <s v="Yes"/>
    <n v="0"/>
    <s v="Late"/>
    <x v="3"/>
    <x v="3"/>
  </r>
  <r>
    <s v="PO000069"/>
    <s v="SUP00044"/>
    <s v="PROD00011"/>
    <d v="2023-11-11T00:00:00"/>
    <n v="11"/>
    <n v="6.4570094852955204"/>
    <d v="2023-11-23T00:00:00"/>
    <d v="2023-11-20T00:00:00"/>
    <n v="71.027104338250695"/>
    <n v="-3"/>
    <x v="21"/>
    <s v="Germany"/>
    <s v="Central"/>
    <x v="1"/>
    <n v="1"/>
    <s v="Yes"/>
    <n v="1"/>
    <s v="On Time"/>
    <x v="2"/>
    <x v="6"/>
  </r>
  <r>
    <s v="PO000070"/>
    <s v="SUP00055"/>
    <s v="PROD00187"/>
    <d v="2021-09-25T00:00:00"/>
    <n v="9"/>
    <n v="26.040393574162"/>
    <d v="2021-10-09T00:00:00"/>
    <d v="2021-10-06T00:00:00"/>
    <n v="234.36354216745801"/>
    <n v="-3"/>
    <x v="49"/>
    <s v="China"/>
    <s v="East"/>
    <x v="0"/>
    <n v="1"/>
    <s v="Yes"/>
    <n v="1"/>
    <s v="On Time"/>
    <x v="1"/>
    <x v="11"/>
  </r>
  <r>
    <s v="PO000071"/>
    <s v="SUP00073"/>
    <s v="PROD00103"/>
    <d v="2023-10-25T00:00:00"/>
    <n v="8"/>
    <n v="75.799893827958599"/>
    <d v="2023-11-05T00:00:00"/>
    <d v="2023-11-11T00:00:00"/>
    <n v="606.39915062366799"/>
    <n v="6"/>
    <x v="42"/>
    <s v="China"/>
    <s v="East"/>
    <x v="2"/>
    <n v="1"/>
    <s v="Yes"/>
    <n v="0"/>
    <s v="Late"/>
    <x v="2"/>
    <x v="4"/>
  </r>
  <r>
    <s v="PO000072"/>
    <s v="SUP00071"/>
    <s v="PROD00015"/>
    <d v="2021-07-19T00:00:00"/>
    <n v="11"/>
    <n v="18.1608221162377"/>
    <d v="2021-08-09T00:00:00"/>
    <d v="2021-08-12T00:00:00"/>
    <n v="199.76904327861499"/>
    <n v="3"/>
    <x v="50"/>
    <s v="Denmark"/>
    <s v="South"/>
    <x v="3"/>
    <n v="1"/>
    <s v="Yes"/>
    <n v="0"/>
    <s v="Late"/>
    <x v="1"/>
    <x v="5"/>
  </r>
  <r>
    <s v="PO000073"/>
    <s v="SUP00070"/>
    <s v="PROD00179"/>
    <d v="2023-09-24T00:00:00"/>
    <n v="13"/>
    <n v="49.232652626469203"/>
    <d v="2023-10-05T00:00:00"/>
    <d v="2023-10-09T00:00:00"/>
    <n v="640.02448414410003"/>
    <n v="4"/>
    <x v="32"/>
    <s v="USA"/>
    <s v="Central"/>
    <x v="3"/>
    <n v="0"/>
    <s v="No"/>
    <n v="0"/>
    <s v="Late"/>
    <x v="2"/>
    <x v="11"/>
  </r>
  <r>
    <s v="PO000074"/>
    <s v="SUP00099"/>
    <s v="PROD00075"/>
    <d v="2022-03-07T00:00:00"/>
    <n v="3"/>
    <n v="29.1416936652126"/>
    <d v="2022-03-20T00:00:00"/>
    <d v="2022-03-19T00:00:00"/>
    <n v="87.425080995637899"/>
    <n v="-1"/>
    <x v="19"/>
    <s v="Denmark"/>
    <s v="South"/>
    <x v="0"/>
    <n v="0"/>
    <s v="No"/>
    <n v="1"/>
    <s v="On Time"/>
    <x v="3"/>
    <x v="0"/>
  </r>
  <r>
    <s v="PO000075"/>
    <s v="SUP00015"/>
    <s v="PROD00038"/>
    <d v="2021-07-26T00:00:00"/>
    <n v="12"/>
    <n v="52.342986247763399"/>
    <d v="2021-08-06T00:00:00"/>
    <d v="2021-08-09T00:00:00"/>
    <n v="628.11583497316099"/>
    <n v="3"/>
    <x v="51"/>
    <s v="China"/>
    <s v="South"/>
    <x v="0"/>
    <n v="1"/>
    <s v="Yes"/>
    <n v="0"/>
    <s v="Late"/>
    <x v="1"/>
    <x v="5"/>
  </r>
  <r>
    <s v="PO000076"/>
    <s v="SUP00017"/>
    <s v="PROD00029"/>
    <d v="2023-07-07T00:00:00"/>
    <n v="11"/>
    <n v="66.526076913742799"/>
    <d v="2023-07-23T00:00:00"/>
    <d v="2023-07-22T00:00:00"/>
    <n v="731.78684605117098"/>
    <n v="-1"/>
    <x v="52"/>
    <s v="India"/>
    <s v="East"/>
    <x v="1"/>
    <n v="0"/>
    <s v="No"/>
    <n v="1"/>
    <s v="On Time"/>
    <x v="2"/>
    <x v="5"/>
  </r>
  <r>
    <s v="PO000077"/>
    <s v="SUP00099"/>
    <s v="PROD00089"/>
    <d v="2023-12-26T00:00:00"/>
    <n v="11"/>
    <n v="36.004037055706902"/>
    <d v="2024-01-11T00:00:00"/>
    <d v="2024-01-09T00:00:00"/>
    <n v="396.04440761277601"/>
    <n v="-2"/>
    <x v="19"/>
    <s v="Denmark"/>
    <s v="South"/>
    <x v="0"/>
    <n v="0"/>
    <s v="No"/>
    <n v="1"/>
    <s v="On Time"/>
    <x v="2"/>
    <x v="7"/>
  </r>
  <r>
    <s v="PO000078"/>
    <s v="SUP00025"/>
    <s v="PROD00009"/>
    <d v="2023-12-27T00:00:00"/>
    <n v="7"/>
    <n v="38.560018844862697"/>
    <d v="2024-01-18T00:00:00"/>
    <d v="2024-01-20T00:00:00"/>
    <n v="269.92013191403902"/>
    <n v="2"/>
    <x v="6"/>
    <s v="Denmark"/>
    <s v="Central"/>
    <x v="2"/>
    <n v="0"/>
    <s v="No"/>
    <n v="0"/>
    <s v="Late"/>
    <x v="2"/>
    <x v="7"/>
  </r>
  <r>
    <s v="PO000079"/>
    <s v="SUP00024"/>
    <s v="PROD00018"/>
    <d v="2022-06-18T00:00:00"/>
    <n v="7"/>
    <n v="44.565917882768296"/>
    <d v="2022-07-03T00:00:00"/>
    <d v="2022-07-07T00:00:00"/>
    <n v="311.96142517937801"/>
    <n v="4"/>
    <x v="5"/>
    <s v="UK"/>
    <s v="North"/>
    <x v="1"/>
    <n v="0"/>
    <s v="No"/>
    <n v="0"/>
    <s v="Late"/>
    <x v="3"/>
    <x v="1"/>
  </r>
  <r>
    <s v="PO000080"/>
    <s v="SUP00027"/>
    <s v="PROD00141"/>
    <d v="2023-02-12T00:00:00"/>
    <n v="12"/>
    <n v="18.788863339445999"/>
    <d v="2023-02-27T00:00:00"/>
    <d v="2023-02-28T00:00:00"/>
    <n v="225.46636007335201"/>
    <n v="1"/>
    <x v="53"/>
    <s v="Brazil"/>
    <s v="Central"/>
    <x v="0"/>
    <n v="0"/>
    <s v="No"/>
    <n v="0"/>
    <s v="Late"/>
    <x v="2"/>
    <x v="9"/>
  </r>
  <r>
    <s v="PO000081"/>
    <s v="SUP00033"/>
    <s v="PROD00114"/>
    <d v="2021-10-14T00:00:00"/>
    <n v="12"/>
    <n v="73.116428720631106"/>
    <d v="2021-11-01T00:00:00"/>
    <d v="2021-11-06T00:00:00"/>
    <n v="877.39714464757401"/>
    <n v="5"/>
    <x v="54"/>
    <s v="USA"/>
    <s v="South"/>
    <x v="0"/>
    <n v="0"/>
    <s v="No"/>
    <n v="0"/>
    <s v="Late"/>
    <x v="1"/>
    <x v="4"/>
  </r>
  <r>
    <s v="PO000082"/>
    <s v="SUP00021"/>
    <s v="PROD00180"/>
    <d v="2022-08-31T00:00:00"/>
    <n v="12"/>
    <n v="45.982751390479002"/>
    <d v="2022-09-21T00:00:00"/>
    <d v="2022-09-18T00:00:00"/>
    <n v="551.79301668574794"/>
    <n v="-3"/>
    <x v="19"/>
    <s v="Germany"/>
    <s v="Central"/>
    <x v="1"/>
    <n v="1"/>
    <s v="Yes"/>
    <n v="1"/>
    <s v="On Time"/>
    <x v="3"/>
    <x v="2"/>
  </r>
  <r>
    <s v="PO000083"/>
    <s v="SUP00016"/>
    <s v="PROD00107"/>
    <d v="2023-03-21T00:00:00"/>
    <n v="10"/>
    <n v="31.953227687396399"/>
    <d v="2023-04-14T00:00:00"/>
    <d v="2023-04-16T00:00:00"/>
    <n v="319.53227687396401"/>
    <n v="2"/>
    <x v="39"/>
    <s v="China"/>
    <s v="East"/>
    <x v="0"/>
    <n v="0"/>
    <s v="No"/>
    <n v="0"/>
    <s v="Late"/>
    <x v="2"/>
    <x v="0"/>
  </r>
  <r>
    <s v="PO000084"/>
    <s v="SUP00027"/>
    <s v="PROD00103"/>
    <d v="2024-02-06T00:00:00"/>
    <n v="10"/>
    <n v="46.812741421208401"/>
    <d v="2024-02-17T00:00:00"/>
    <d v="2024-02-19T00:00:00"/>
    <n v="468.12741421208398"/>
    <n v="2"/>
    <x v="53"/>
    <s v="Brazil"/>
    <s v="Central"/>
    <x v="0"/>
    <n v="0"/>
    <s v="No"/>
    <n v="0"/>
    <s v="Late"/>
    <x v="0"/>
    <x v="9"/>
  </r>
  <r>
    <s v="PO000085"/>
    <s v="SUP00079"/>
    <s v="PROD00183"/>
    <d v="2022-04-16T00:00:00"/>
    <n v="16"/>
    <n v="71.103499984905795"/>
    <d v="2022-04-26T00:00:00"/>
    <d v="2022-04-26T00:00:00"/>
    <n v="1137.65599975849"/>
    <n v="0"/>
    <x v="55"/>
    <s v="Denmark"/>
    <s v="South"/>
    <x v="0"/>
    <n v="0"/>
    <s v="No"/>
    <n v="1"/>
    <s v="On Time"/>
    <x v="3"/>
    <x v="8"/>
  </r>
  <r>
    <s v="PO000086"/>
    <s v="SUP00004"/>
    <s v="PROD00100"/>
    <d v="2023-12-05T00:00:00"/>
    <n v="15"/>
    <n v="39.617637272387199"/>
    <d v="2023-12-27T00:00:00"/>
    <d v="2023-12-24T00:00:00"/>
    <n v="594.26455908580795"/>
    <n v="-3"/>
    <x v="28"/>
    <s v="USA"/>
    <s v="North"/>
    <x v="1"/>
    <n v="0"/>
    <s v="No"/>
    <n v="1"/>
    <s v="On Time"/>
    <x v="2"/>
    <x v="7"/>
  </r>
  <r>
    <s v="PO000087"/>
    <s v="SUP00075"/>
    <s v="PROD00055"/>
    <d v="2022-02-26T00:00:00"/>
    <n v="9"/>
    <n v="19.449254837386299"/>
    <d v="2022-03-17T00:00:00"/>
    <d v="2022-03-16T00:00:00"/>
    <n v="175.04329353647699"/>
    <n v="-1"/>
    <x v="11"/>
    <s v="USA"/>
    <s v="Central"/>
    <x v="1"/>
    <n v="1"/>
    <s v="Yes"/>
    <n v="1"/>
    <s v="On Time"/>
    <x v="3"/>
    <x v="9"/>
  </r>
  <r>
    <s v="PO000088"/>
    <s v="SUP00015"/>
    <s v="PROD00027"/>
    <d v="2023-02-25T00:00:00"/>
    <n v="8"/>
    <n v="75.334705625846695"/>
    <d v="2023-03-11T00:00:00"/>
    <d v="2023-03-11T00:00:00"/>
    <n v="602.67764500677299"/>
    <n v="0"/>
    <x v="51"/>
    <s v="China"/>
    <s v="South"/>
    <x v="0"/>
    <n v="1"/>
    <s v="Yes"/>
    <n v="1"/>
    <s v="On Time"/>
    <x v="2"/>
    <x v="9"/>
  </r>
  <r>
    <s v="PO000089"/>
    <s v="SUP00087"/>
    <s v="PROD00144"/>
    <d v="2023-03-17T00:00:00"/>
    <n v="13"/>
    <n v="79.133585694662699"/>
    <d v="2023-04-06T00:00:00"/>
    <d v="2023-04-06T00:00:00"/>
    <n v="1028.7366140306101"/>
    <n v="0"/>
    <x v="14"/>
    <s v="UK"/>
    <s v="Central"/>
    <x v="2"/>
    <n v="0"/>
    <s v="No"/>
    <n v="1"/>
    <s v="On Time"/>
    <x v="2"/>
    <x v="0"/>
  </r>
  <r>
    <s v="PO000090"/>
    <s v="SUP00078"/>
    <s v="PROD00091"/>
    <d v="2023-09-22T00:00:00"/>
    <n v="13"/>
    <n v="67.895754189368105"/>
    <d v="2023-10-06T00:00:00"/>
    <d v="2023-10-06T00:00:00"/>
    <n v="882.64480446178595"/>
    <n v="0"/>
    <x v="56"/>
    <s v="Germany"/>
    <s v="North"/>
    <x v="0"/>
    <n v="0"/>
    <s v="No"/>
    <n v="1"/>
    <s v="On Time"/>
    <x v="2"/>
    <x v="11"/>
  </r>
  <r>
    <s v="PO000091"/>
    <s v="SUP00051"/>
    <s v="PROD00184"/>
    <d v="2022-07-07T00:00:00"/>
    <n v="13"/>
    <n v="46.646231971667298"/>
    <d v="2022-07-30T00:00:00"/>
    <d v="2022-08-01T00:00:00"/>
    <n v="606.40101563167502"/>
    <n v="2"/>
    <x v="57"/>
    <s v="UK"/>
    <s v="South"/>
    <x v="1"/>
    <n v="0"/>
    <s v="No"/>
    <n v="0"/>
    <s v="Late"/>
    <x v="3"/>
    <x v="5"/>
  </r>
  <r>
    <s v="PO000092"/>
    <s v="SUP00040"/>
    <s v="PROD00176"/>
    <d v="2024-04-04T00:00:00"/>
    <n v="9"/>
    <n v="41.161397781506103"/>
    <d v="2024-04-27T00:00:00"/>
    <d v="2024-05-01T00:00:00"/>
    <n v="370.45258003355502"/>
    <n v="4"/>
    <x v="58"/>
    <s v="Denmark"/>
    <s v="East"/>
    <x v="2"/>
    <n v="0"/>
    <s v="No"/>
    <n v="0"/>
    <s v="Late"/>
    <x v="0"/>
    <x v="8"/>
  </r>
  <r>
    <s v="PO000093"/>
    <s v="SUP00017"/>
    <s v="PROD00052"/>
    <d v="2021-03-18T00:00:00"/>
    <n v="10"/>
    <n v="37.949678856455797"/>
    <d v="2021-04-09T00:00:00"/>
    <d v="2021-04-15T00:00:00"/>
    <n v="379.49678856455802"/>
    <n v="6"/>
    <x v="52"/>
    <s v="India"/>
    <s v="East"/>
    <x v="1"/>
    <n v="0"/>
    <s v="No"/>
    <n v="0"/>
    <s v="Late"/>
    <x v="1"/>
    <x v="0"/>
  </r>
  <r>
    <s v="PO000094"/>
    <s v="SUP00014"/>
    <s v="PROD00180"/>
    <d v="2023-01-08T00:00:00"/>
    <n v="13"/>
    <n v="23.473933298333002"/>
    <d v="2023-01-20T00:00:00"/>
    <d v="2023-01-21T00:00:00"/>
    <n v="305.161132878329"/>
    <n v="1"/>
    <x v="59"/>
    <s v="Germany"/>
    <s v="West"/>
    <x v="1"/>
    <n v="0"/>
    <s v="No"/>
    <n v="0"/>
    <s v="Late"/>
    <x v="2"/>
    <x v="10"/>
  </r>
  <r>
    <s v="PO000095"/>
    <s v="SUP00084"/>
    <s v="PROD00043"/>
    <d v="2023-08-15T00:00:00"/>
    <n v="5"/>
    <n v="54.933383324469702"/>
    <d v="2023-09-04T00:00:00"/>
    <d v="2023-09-09T00:00:00"/>
    <n v="274.66691662234803"/>
    <n v="5"/>
    <x v="35"/>
    <s v="Canada"/>
    <s v="West"/>
    <x v="1"/>
    <n v="1"/>
    <s v="Yes"/>
    <n v="0"/>
    <s v="Late"/>
    <x v="2"/>
    <x v="2"/>
  </r>
  <r>
    <s v="PO000096"/>
    <s v="SUP00022"/>
    <s v="PROD00171"/>
    <d v="2022-10-02T00:00:00"/>
    <n v="11"/>
    <n v="69.916030437220002"/>
    <d v="2022-10-20T00:00:00"/>
    <d v="2022-10-17T00:00:00"/>
    <n v="769.07633480942002"/>
    <n v="-3"/>
    <x v="60"/>
    <s v="India"/>
    <s v="South"/>
    <x v="1"/>
    <n v="0"/>
    <s v="No"/>
    <n v="1"/>
    <s v="On Time"/>
    <x v="3"/>
    <x v="4"/>
  </r>
  <r>
    <s v="PO000097"/>
    <s v="SUP00046"/>
    <s v="PROD00095"/>
    <d v="2021-12-02T00:00:00"/>
    <n v="15"/>
    <n v="9.0338681482347205"/>
    <d v="2021-12-25T00:00:00"/>
    <d v="2021-12-22T00:00:00"/>
    <n v="135.50802222351999"/>
    <n v="-3"/>
    <x v="61"/>
    <s v="Brazil"/>
    <s v="South"/>
    <x v="3"/>
    <n v="1"/>
    <s v="Yes"/>
    <n v="1"/>
    <s v="On Time"/>
    <x v="1"/>
    <x v="7"/>
  </r>
  <r>
    <s v="PO000098"/>
    <s v="SUP00094"/>
    <s v="PROD00136"/>
    <d v="2021-08-03T00:00:00"/>
    <n v="7"/>
    <n v="26.0202472167853"/>
    <d v="2021-08-18T00:00:00"/>
    <d v="2021-08-24T00:00:00"/>
    <n v="182.141730517497"/>
    <n v="6"/>
    <x v="62"/>
    <s v="USA"/>
    <s v="North"/>
    <x v="2"/>
    <n v="0"/>
    <s v="No"/>
    <n v="0"/>
    <s v="Late"/>
    <x v="1"/>
    <x v="2"/>
  </r>
  <r>
    <s v="PO000099"/>
    <s v="SUP00032"/>
    <s v="PROD00174"/>
    <d v="2021-06-28T00:00:00"/>
    <n v="12"/>
    <n v="40.5625854437559"/>
    <d v="2021-07-14T00:00:00"/>
    <d v="2021-07-16T00:00:00"/>
    <n v="486.751025325071"/>
    <n v="2"/>
    <x v="15"/>
    <s v="Germany"/>
    <s v="South"/>
    <x v="0"/>
    <n v="0"/>
    <s v="No"/>
    <n v="0"/>
    <s v="Late"/>
    <x v="1"/>
    <x v="1"/>
  </r>
  <r>
    <s v="PO000100"/>
    <s v="SUP00019"/>
    <s v="PROD00159"/>
    <d v="2023-05-05T00:00:00"/>
    <n v="13"/>
    <n v="20.361791464841598"/>
    <d v="2023-05-26T00:00:00"/>
    <d v="2023-05-23T00:00:00"/>
    <n v="264.70328904294098"/>
    <n v="-3"/>
    <x v="63"/>
    <s v="Denmark"/>
    <s v="West"/>
    <x v="2"/>
    <n v="0"/>
    <s v="No"/>
    <n v="1"/>
    <s v="On Time"/>
    <x v="2"/>
    <x v="3"/>
  </r>
  <r>
    <s v="PO000101"/>
    <s v="SUP00065"/>
    <s v="PROD00084"/>
    <d v="2022-08-05T00:00:00"/>
    <n v="9"/>
    <n v="17.315159371744201"/>
    <d v="2022-08-25T00:00:00"/>
    <d v="2022-08-31T00:00:00"/>
    <n v="155.836434345698"/>
    <n v="6"/>
    <x v="16"/>
    <s v="Brazil"/>
    <s v="East"/>
    <x v="1"/>
    <n v="1"/>
    <s v="Yes"/>
    <n v="0"/>
    <s v="Late"/>
    <x v="3"/>
    <x v="2"/>
  </r>
  <r>
    <s v="PO000102"/>
    <s v="SUP00023"/>
    <s v="PROD00014"/>
    <d v="2021-03-31T00:00:00"/>
    <n v="18"/>
    <n v="65.441869780791194"/>
    <d v="2021-04-23T00:00:00"/>
    <d v="2021-04-28T00:00:00"/>
    <n v="1177.9536560542399"/>
    <n v="5"/>
    <x v="3"/>
    <s v="Brazil"/>
    <s v="South"/>
    <x v="0"/>
    <n v="1"/>
    <s v="Yes"/>
    <n v="0"/>
    <s v="Late"/>
    <x v="1"/>
    <x v="0"/>
  </r>
  <r>
    <s v="PO000103"/>
    <s v="SUP00085"/>
    <s v="PROD00074"/>
    <d v="2022-06-04T00:00:00"/>
    <n v="12"/>
    <n v="45.508374942609997"/>
    <d v="2022-06-24T00:00:00"/>
    <d v="2022-06-22T00:00:00"/>
    <n v="546.10049931132005"/>
    <n v="-2"/>
    <x v="1"/>
    <s v="Germany"/>
    <s v="Central"/>
    <x v="1"/>
    <n v="1"/>
    <s v="Yes"/>
    <n v="1"/>
    <s v="On Time"/>
    <x v="3"/>
    <x v="1"/>
  </r>
  <r>
    <s v="PO000104"/>
    <s v="SUP00042"/>
    <s v="PROD00037"/>
    <d v="2024-03-30T00:00:00"/>
    <n v="14"/>
    <n v="78.501627196440296"/>
    <d v="2024-04-09T00:00:00"/>
    <d v="2024-04-13T00:00:00"/>
    <n v="1099.0227807501601"/>
    <n v="4"/>
    <x v="64"/>
    <s v="India"/>
    <s v="West"/>
    <x v="2"/>
    <n v="0"/>
    <s v="No"/>
    <n v="0"/>
    <s v="Late"/>
    <x v="0"/>
    <x v="0"/>
  </r>
  <r>
    <s v="PO000105"/>
    <s v="SUP00038"/>
    <s v="PROD00137"/>
    <d v="2023-12-06T00:00:00"/>
    <n v="9"/>
    <n v="5.08304515821394"/>
    <d v="2023-12-18T00:00:00"/>
    <d v="2023-12-18T00:00:00"/>
    <n v="45.747406423925398"/>
    <n v="0"/>
    <x v="34"/>
    <s v="Germany"/>
    <s v="South"/>
    <x v="1"/>
    <n v="0"/>
    <s v="No"/>
    <n v="1"/>
    <s v="On Time"/>
    <x v="2"/>
    <x v="7"/>
  </r>
  <r>
    <s v="PO000106"/>
    <s v="SUP00031"/>
    <s v="PROD00129"/>
    <d v="2021-09-01T00:00:00"/>
    <n v="10"/>
    <n v="73.543535091207502"/>
    <d v="2021-09-24T00:00:00"/>
    <d v="2021-09-21T00:00:00"/>
    <n v="735.43535091207502"/>
    <n v="-3"/>
    <x v="33"/>
    <s v="USA"/>
    <s v="West"/>
    <x v="3"/>
    <n v="0"/>
    <s v="No"/>
    <n v="1"/>
    <s v="On Time"/>
    <x v="1"/>
    <x v="11"/>
  </r>
  <r>
    <s v="PO000107"/>
    <s v="SUP00027"/>
    <s v="PROD00069"/>
    <d v="2021-04-17T00:00:00"/>
    <n v="10"/>
    <n v="65.159655638704805"/>
    <d v="2021-05-04T00:00:00"/>
    <d v="2021-05-10T00:00:00"/>
    <n v="651.59655638704805"/>
    <n v="6"/>
    <x v="53"/>
    <s v="Brazil"/>
    <s v="Central"/>
    <x v="0"/>
    <n v="0"/>
    <s v="No"/>
    <n v="0"/>
    <s v="Late"/>
    <x v="1"/>
    <x v="8"/>
  </r>
  <r>
    <s v="PO000108"/>
    <s v="SUP00026"/>
    <s v="PROD00036"/>
    <d v="2024-03-04T00:00:00"/>
    <n v="12"/>
    <n v="73.396739510924803"/>
    <d v="2024-03-28T00:00:00"/>
    <d v="2024-03-28T00:00:00"/>
    <n v="880.76087413109701"/>
    <n v="0"/>
    <x v="44"/>
    <s v="Denmark"/>
    <s v="East"/>
    <x v="1"/>
    <n v="1"/>
    <s v="Yes"/>
    <n v="1"/>
    <s v="On Time"/>
    <x v="0"/>
    <x v="0"/>
  </r>
  <r>
    <s v="PO000109"/>
    <s v="SUP00015"/>
    <s v="PROD00117"/>
    <d v="2023-09-06T00:00:00"/>
    <n v="13"/>
    <n v="6.5698577967349197"/>
    <d v="2023-09-29T00:00:00"/>
    <d v="2023-10-02T00:00:00"/>
    <n v="85.408151357553905"/>
    <n v="3"/>
    <x v="51"/>
    <s v="China"/>
    <s v="South"/>
    <x v="0"/>
    <n v="1"/>
    <s v="Yes"/>
    <n v="0"/>
    <s v="Late"/>
    <x v="2"/>
    <x v="11"/>
  </r>
  <r>
    <s v="PO000110"/>
    <s v="SUP00018"/>
    <s v="PROD00139"/>
    <d v="2022-05-18T00:00:00"/>
    <n v="7"/>
    <n v="65.943469203655098"/>
    <d v="2022-06-11T00:00:00"/>
    <d v="2022-06-08T00:00:00"/>
    <n v="461.60428442558498"/>
    <n v="-3"/>
    <x v="8"/>
    <s v="UK"/>
    <s v="West"/>
    <x v="2"/>
    <n v="0"/>
    <s v="No"/>
    <n v="1"/>
    <s v="On Time"/>
    <x v="3"/>
    <x v="3"/>
  </r>
  <r>
    <s v="PO000111"/>
    <s v="SUP00090"/>
    <s v="PROD00148"/>
    <d v="2022-07-24T00:00:00"/>
    <n v="15"/>
    <n v="26.399777908226898"/>
    <d v="2022-08-07T00:00:00"/>
    <d v="2022-08-10T00:00:00"/>
    <n v="395.99666862340302"/>
    <n v="3"/>
    <x v="9"/>
    <s v="Canada"/>
    <s v="East"/>
    <x v="1"/>
    <n v="1"/>
    <s v="Yes"/>
    <n v="0"/>
    <s v="Late"/>
    <x v="3"/>
    <x v="5"/>
  </r>
  <r>
    <s v="PO000112"/>
    <s v="SUP00063"/>
    <s v="PROD00022"/>
    <d v="2021-06-26T00:00:00"/>
    <n v="17"/>
    <n v="51.537475405087498"/>
    <d v="2021-07-06T00:00:00"/>
    <d v="2021-07-03T00:00:00"/>
    <n v="876.13708188648695"/>
    <n v="-3"/>
    <x v="30"/>
    <s v="Denmark"/>
    <s v="North"/>
    <x v="1"/>
    <n v="0"/>
    <s v="No"/>
    <n v="1"/>
    <s v="On Time"/>
    <x v="1"/>
    <x v="1"/>
  </r>
  <r>
    <s v="PO000113"/>
    <s v="SUP00025"/>
    <s v="PROD00006"/>
    <d v="2024-02-02T00:00:00"/>
    <n v="9"/>
    <n v="36.551375621021897"/>
    <d v="2024-02-22T00:00:00"/>
    <d v="2024-02-25T00:00:00"/>
    <n v="328.96238058919698"/>
    <n v="3"/>
    <x v="6"/>
    <s v="Denmark"/>
    <s v="Central"/>
    <x v="2"/>
    <n v="0"/>
    <s v="No"/>
    <n v="0"/>
    <s v="Late"/>
    <x v="0"/>
    <x v="9"/>
  </r>
  <r>
    <s v="PO000114"/>
    <s v="SUP00078"/>
    <s v="PROD00147"/>
    <d v="2021-04-02T00:00:00"/>
    <n v="10"/>
    <n v="75.868877780141403"/>
    <d v="2021-04-23T00:00:00"/>
    <d v="2021-04-27T00:00:00"/>
    <n v="758.68877780141395"/>
    <n v="4"/>
    <x v="56"/>
    <s v="Germany"/>
    <s v="North"/>
    <x v="0"/>
    <n v="0"/>
    <s v="No"/>
    <n v="0"/>
    <s v="Late"/>
    <x v="1"/>
    <x v="8"/>
  </r>
  <r>
    <s v="PO000115"/>
    <s v="SUP00005"/>
    <s v="PROD00153"/>
    <d v="2022-11-12T00:00:00"/>
    <n v="18"/>
    <n v="12.653372532484999"/>
    <d v="2022-11-22T00:00:00"/>
    <d v="2022-11-27T00:00:00"/>
    <n v="227.76070558473"/>
    <n v="5"/>
    <x v="17"/>
    <s v="Canada"/>
    <s v="North"/>
    <x v="1"/>
    <n v="1"/>
    <s v="Yes"/>
    <n v="0"/>
    <s v="Late"/>
    <x v="3"/>
    <x v="6"/>
  </r>
  <r>
    <s v="PO000116"/>
    <s v="SUP00066"/>
    <s v="PROD00176"/>
    <d v="2021-06-18T00:00:00"/>
    <n v="10"/>
    <n v="32.6735301654968"/>
    <d v="2021-07-03T00:00:00"/>
    <d v="2021-07-09T00:00:00"/>
    <n v="326.735301654968"/>
    <n v="6"/>
    <x v="65"/>
    <s v="India"/>
    <s v="West"/>
    <x v="2"/>
    <n v="0"/>
    <s v="No"/>
    <n v="0"/>
    <s v="Late"/>
    <x v="1"/>
    <x v="1"/>
  </r>
  <r>
    <s v="PO000117"/>
    <s v="SUP00078"/>
    <s v="PROD00161"/>
    <d v="2023-12-26T00:00:00"/>
    <n v="8"/>
    <n v="5.0876208582025999"/>
    <d v="2024-01-07T00:00:00"/>
    <d v="2024-01-06T00:00:00"/>
    <n v="40.700966865620799"/>
    <n v="-1"/>
    <x v="56"/>
    <s v="Germany"/>
    <s v="North"/>
    <x v="0"/>
    <n v="0"/>
    <s v="No"/>
    <n v="1"/>
    <s v="On Time"/>
    <x v="2"/>
    <x v="7"/>
  </r>
  <r>
    <s v="PO000118"/>
    <s v="SUP00035"/>
    <s v="PROD00018"/>
    <d v="2021-04-29T00:00:00"/>
    <n v="7"/>
    <n v="58.599790489647503"/>
    <d v="2021-05-20T00:00:00"/>
    <d v="2021-05-20T00:00:00"/>
    <n v="410.19853342753203"/>
    <n v="0"/>
    <x v="25"/>
    <s v="Denmark"/>
    <s v="Central"/>
    <x v="1"/>
    <n v="1"/>
    <s v="Yes"/>
    <n v="1"/>
    <s v="On Time"/>
    <x v="1"/>
    <x v="8"/>
  </r>
  <r>
    <s v="PO000119"/>
    <s v="SUP00081"/>
    <s v="PROD00012"/>
    <d v="2022-06-01T00:00:00"/>
    <n v="11"/>
    <n v="69.283319977685693"/>
    <d v="2022-06-15T00:00:00"/>
    <d v="2022-06-20T00:00:00"/>
    <n v="762.11651975454299"/>
    <n v="5"/>
    <x v="66"/>
    <s v="India"/>
    <s v="Central"/>
    <x v="0"/>
    <n v="1"/>
    <s v="Yes"/>
    <n v="0"/>
    <s v="Late"/>
    <x v="3"/>
    <x v="1"/>
  </r>
  <r>
    <s v="PO000120"/>
    <s v="SUP00034"/>
    <s v="PROD00114"/>
    <d v="2022-04-29T00:00:00"/>
    <n v="9"/>
    <n v="15.7960853461518"/>
    <d v="2022-05-21T00:00:00"/>
    <d v="2022-05-21T00:00:00"/>
    <n v="142.164768115366"/>
    <n v="0"/>
    <x v="67"/>
    <s v="Brazil"/>
    <s v="North"/>
    <x v="1"/>
    <n v="1"/>
    <s v="Yes"/>
    <n v="1"/>
    <s v="On Time"/>
    <x v="3"/>
    <x v="8"/>
  </r>
  <r>
    <s v="PO000121"/>
    <s v="SUP00067"/>
    <s v="PROD00165"/>
    <d v="2022-12-06T00:00:00"/>
    <n v="10"/>
    <n v="49.689895957138098"/>
    <d v="2022-12-26T00:00:00"/>
    <d v="2022-12-31T00:00:00"/>
    <n v="496.898959571381"/>
    <n v="5"/>
    <x v="22"/>
    <s v="UK"/>
    <s v="South"/>
    <x v="3"/>
    <n v="1"/>
    <s v="Yes"/>
    <n v="0"/>
    <s v="Late"/>
    <x v="3"/>
    <x v="7"/>
  </r>
  <r>
    <s v="PO000122"/>
    <s v="SUP00057"/>
    <s v="PROD00012"/>
    <d v="2022-05-30T00:00:00"/>
    <n v="14"/>
    <n v="19.815473449609399"/>
    <d v="2022-06-17T00:00:00"/>
    <d v="2022-06-19T00:00:00"/>
    <n v="277.41662829453202"/>
    <n v="2"/>
    <x v="68"/>
    <s v="UK"/>
    <s v="South"/>
    <x v="3"/>
    <n v="1"/>
    <s v="Yes"/>
    <n v="0"/>
    <s v="Late"/>
    <x v="3"/>
    <x v="3"/>
  </r>
  <r>
    <s v="PO000123"/>
    <s v="SUP00086"/>
    <s v="PROD00151"/>
    <d v="2023-07-01T00:00:00"/>
    <n v="5"/>
    <n v="13.3592082285743"/>
    <d v="2023-07-18T00:00:00"/>
    <d v="2023-07-22T00:00:00"/>
    <n v="66.7960411428719"/>
    <n v="4"/>
    <x v="69"/>
    <s v="Denmark"/>
    <s v="South"/>
    <x v="0"/>
    <n v="1"/>
    <s v="Yes"/>
    <n v="0"/>
    <s v="Late"/>
    <x v="2"/>
    <x v="5"/>
  </r>
  <r>
    <s v="PO000124"/>
    <s v="SUP00090"/>
    <s v="PROD00010"/>
    <d v="2023-12-05T00:00:00"/>
    <n v="5"/>
    <n v="49.238352650029498"/>
    <d v="2023-12-22T00:00:00"/>
    <d v="2023-12-25T00:00:00"/>
    <n v="246.19176325014701"/>
    <n v="3"/>
    <x v="9"/>
    <s v="Canada"/>
    <s v="East"/>
    <x v="1"/>
    <n v="1"/>
    <s v="Yes"/>
    <n v="0"/>
    <s v="Late"/>
    <x v="2"/>
    <x v="7"/>
  </r>
  <r>
    <s v="PO000125"/>
    <s v="SUP00097"/>
    <s v="PROD00115"/>
    <d v="2022-07-18T00:00:00"/>
    <n v="7"/>
    <n v="18.783316836702401"/>
    <d v="2022-08-08T00:00:00"/>
    <d v="2022-08-12T00:00:00"/>
    <n v="131.48321785691601"/>
    <n v="4"/>
    <x v="2"/>
    <s v="USA"/>
    <s v="Central"/>
    <x v="2"/>
    <n v="1"/>
    <s v="Yes"/>
    <n v="0"/>
    <s v="Late"/>
    <x v="3"/>
    <x v="5"/>
  </r>
  <r>
    <s v="PO000126"/>
    <s v="SUP00056"/>
    <s v="PROD00144"/>
    <d v="2024-03-19T00:00:00"/>
    <n v="17"/>
    <n v="35.692929575899598"/>
    <d v="2024-04-01T00:00:00"/>
    <d v="2024-04-05T00:00:00"/>
    <n v="606.77980279029396"/>
    <n v="4"/>
    <x v="13"/>
    <s v="China"/>
    <s v="North"/>
    <x v="2"/>
    <n v="0"/>
    <s v="No"/>
    <n v="0"/>
    <s v="Late"/>
    <x v="0"/>
    <x v="0"/>
  </r>
  <r>
    <s v="PO000127"/>
    <s v="SUP00014"/>
    <s v="PROD00017"/>
    <d v="2022-01-31T00:00:00"/>
    <n v="7"/>
    <n v="43.473545214901499"/>
    <d v="2022-02-18T00:00:00"/>
    <d v="2022-02-24T00:00:00"/>
    <n v="304.31481650431101"/>
    <n v="6"/>
    <x v="59"/>
    <s v="Germany"/>
    <s v="West"/>
    <x v="1"/>
    <n v="0"/>
    <s v="No"/>
    <n v="0"/>
    <s v="Late"/>
    <x v="3"/>
    <x v="10"/>
  </r>
  <r>
    <s v="PO000128"/>
    <s v="SUP00098"/>
    <s v="PROD00071"/>
    <d v="2021-10-08T00:00:00"/>
    <n v="9"/>
    <n v="10.554327408904101"/>
    <d v="2021-10-23T00:00:00"/>
    <d v="2021-10-28T00:00:00"/>
    <n v="94.988946680137502"/>
    <n v="5"/>
    <x v="38"/>
    <s v="Germany"/>
    <s v="North"/>
    <x v="3"/>
    <n v="1"/>
    <s v="Yes"/>
    <n v="0"/>
    <s v="Late"/>
    <x v="1"/>
    <x v="4"/>
  </r>
  <r>
    <s v="PO000129"/>
    <s v="SUP00019"/>
    <s v="PROD00065"/>
    <d v="2024-04-03T00:00:00"/>
    <n v="11"/>
    <n v="48.124027527779603"/>
    <d v="2024-04-23T00:00:00"/>
    <d v="2024-04-20T00:00:00"/>
    <n v="529.36430280557602"/>
    <n v="-3"/>
    <x v="63"/>
    <s v="Denmark"/>
    <s v="West"/>
    <x v="2"/>
    <n v="0"/>
    <s v="No"/>
    <n v="1"/>
    <s v="On Time"/>
    <x v="0"/>
    <x v="8"/>
  </r>
  <r>
    <s v="PO000130"/>
    <s v="SUP00080"/>
    <s v="PROD00148"/>
    <d v="2023-12-29T00:00:00"/>
    <n v="8"/>
    <n v="46.078050505753602"/>
    <d v="2024-01-08T00:00:00"/>
    <d v="2024-01-08T00:00:00"/>
    <n v="368.62440404602899"/>
    <n v="0"/>
    <x v="70"/>
    <s v="USA"/>
    <s v="North"/>
    <x v="2"/>
    <n v="0"/>
    <s v="No"/>
    <n v="1"/>
    <s v="On Time"/>
    <x v="2"/>
    <x v="7"/>
  </r>
  <r>
    <s v="PO000131"/>
    <s v="SUP00035"/>
    <s v="PROD00014"/>
    <d v="2023-03-20T00:00:00"/>
    <n v="11"/>
    <n v="59.780950518175601"/>
    <d v="2023-04-03T00:00:00"/>
    <d v="2023-04-02T00:00:00"/>
    <n v="657.59045569993202"/>
    <n v="-1"/>
    <x v="25"/>
    <s v="Denmark"/>
    <s v="Central"/>
    <x v="1"/>
    <n v="1"/>
    <s v="Yes"/>
    <n v="1"/>
    <s v="On Time"/>
    <x v="2"/>
    <x v="0"/>
  </r>
  <r>
    <s v="PO000132"/>
    <s v="SUP00090"/>
    <s v="PROD00131"/>
    <d v="2023-09-17T00:00:00"/>
    <n v="15"/>
    <n v="36.457850238253599"/>
    <d v="2023-10-08T00:00:00"/>
    <d v="2023-10-12T00:00:00"/>
    <n v="546.86775357380395"/>
    <n v="4"/>
    <x v="9"/>
    <s v="Canada"/>
    <s v="East"/>
    <x v="1"/>
    <n v="1"/>
    <s v="Yes"/>
    <n v="0"/>
    <s v="Late"/>
    <x v="2"/>
    <x v="11"/>
  </r>
  <r>
    <s v="PO000133"/>
    <s v="SUP00068"/>
    <s v="PROD00098"/>
    <d v="2023-09-17T00:00:00"/>
    <n v="11"/>
    <n v="42.275857428671998"/>
    <d v="2023-10-05T00:00:00"/>
    <d v="2023-10-02T00:00:00"/>
    <n v="465.03443171539197"/>
    <n v="-3"/>
    <x v="12"/>
    <s v="UK"/>
    <s v="South"/>
    <x v="3"/>
    <n v="1"/>
    <s v="Yes"/>
    <n v="1"/>
    <s v="On Time"/>
    <x v="2"/>
    <x v="11"/>
  </r>
  <r>
    <s v="PO000134"/>
    <s v="SUP00025"/>
    <s v="PROD00174"/>
    <d v="2022-06-28T00:00:00"/>
    <n v="12"/>
    <n v="27.850782436200799"/>
    <d v="2022-07-20T00:00:00"/>
    <d v="2022-07-24T00:00:00"/>
    <n v="334.20938923441003"/>
    <n v="4"/>
    <x v="6"/>
    <s v="Denmark"/>
    <s v="Central"/>
    <x v="2"/>
    <n v="0"/>
    <s v="No"/>
    <n v="0"/>
    <s v="Late"/>
    <x v="3"/>
    <x v="1"/>
  </r>
  <r>
    <s v="PO000135"/>
    <s v="SUP00061"/>
    <s v="PROD00098"/>
    <d v="2024-02-02T00:00:00"/>
    <n v="10"/>
    <n v="25.292413786323898"/>
    <d v="2024-02-18T00:00:00"/>
    <d v="2024-02-19T00:00:00"/>
    <n v="252.924137863239"/>
    <n v="1"/>
    <x v="71"/>
    <s v="India"/>
    <s v="South"/>
    <x v="2"/>
    <n v="0"/>
    <s v="No"/>
    <n v="0"/>
    <s v="Late"/>
    <x v="0"/>
    <x v="9"/>
  </r>
  <r>
    <s v="PO000136"/>
    <s v="SUP00070"/>
    <s v="PROD00091"/>
    <d v="2023-05-24T00:00:00"/>
    <n v="12"/>
    <n v="12.512330918187301"/>
    <d v="2023-06-10T00:00:00"/>
    <d v="2023-06-11T00:00:00"/>
    <n v="150.14797101824701"/>
    <n v="1"/>
    <x v="32"/>
    <s v="USA"/>
    <s v="Central"/>
    <x v="3"/>
    <n v="0"/>
    <s v="No"/>
    <n v="0"/>
    <s v="Late"/>
    <x v="2"/>
    <x v="3"/>
  </r>
  <r>
    <s v="PO000137"/>
    <s v="SUP00041"/>
    <s v="PROD00157"/>
    <d v="2021-10-25T00:00:00"/>
    <n v="13"/>
    <n v="53.888898767440899"/>
    <d v="2021-11-16T00:00:00"/>
    <d v="2021-11-15T00:00:00"/>
    <n v="700.55568397673198"/>
    <n v="-1"/>
    <x v="72"/>
    <s v="Germany"/>
    <s v="West"/>
    <x v="1"/>
    <n v="0"/>
    <s v="No"/>
    <n v="1"/>
    <s v="On Time"/>
    <x v="1"/>
    <x v="4"/>
  </r>
  <r>
    <s v="PO000138"/>
    <s v="SUP00054"/>
    <s v="PROD00006"/>
    <d v="2022-01-29T00:00:00"/>
    <n v="12"/>
    <n v="6.7827651956306303"/>
    <d v="2022-02-10T00:00:00"/>
    <d v="2022-02-07T00:00:00"/>
    <n v="81.393182347567603"/>
    <n v="-3"/>
    <x v="73"/>
    <s v="Canada"/>
    <s v="South"/>
    <x v="3"/>
    <n v="1"/>
    <s v="Yes"/>
    <n v="1"/>
    <s v="On Time"/>
    <x v="3"/>
    <x v="10"/>
  </r>
  <r>
    <s v="PO000139"/>
    <s v="SUP00063"/>
    <s v="PROD00053"/>
    <d v="2022-02-16T00:00:00"/>
    <n v="14"/>
    <n v="50.651614456048002"/>
    <d v="2022-03-12T00:00:00"/>
    <d v="2022-03-18T00:00:00"/>
    <n v="709.12260238467195"/>
    <n v="6"/>
    <x v="30"/>
    <s v="Denmark"/>
    <s v="North"/>
    <x v="1"/>
    <n v="0"/>
    <s v="No"/>
    <n v="0"/>
    <s v="Late"/>
    <x v="3"/>
    <x v="9"/>
  </r>
  <r>
    <s v="PO000140"/>
    <s v="SUP00093"/>
    <s v="PROD00039"/>
    <d v="2022-03-07T00:00:00"/>
    <n v="11"/>
    <n v="11.402181504704499"/>
    <d v="2022-03-27T00:00:00"/>
    <d v="2022-04-01T00:00:00"/>
    <n v="125.423996551749"/>
    <n v="5"/>
    <x v="20"/>
    <s v="USA"/>
    <s v="Central"/>
    <x v="2"/>
    <n v="0"/>
    <s v="No"/>
    <n v="0"/>
    <s v="Late"/>
    <x v="3"/>
    <x v="0"/>
  </r>
  <r>
    <s v="PO000141"/>
    <s v="SUP00039"/>
    <s v="PROD00086"/>
    <d v="2023-10-12T00:00:00"/>
    <n v="10"/>
    <n v="4.0331991677761998"/>
    <d v="2023-10-25T00:00:00"/>
    <d v="2023-10-25T00:00:00"/>
    <n v="40.331991677761998"/>
    <n v="0"/>
    <x v="7"/>
    <s v="Denmark"/>
    <s v="South"/>
    <x v="0"/>
    <n v="1"/>
    <s v="Yes"/>
    <n v="1"/>
    <s v="On Time"/>
    <x v="2"/>
    <x v="4"/>
  </r>
  <r>
    <s v="PO000142"/>
    <s v="SUP00081"/>
    <s v="PROD00016"/>
    <d v="2021-03-16T00:00:00"/>
    <n v="10"/>
    <n v="42.076542859214698"/>
    <d v="2021-04-09T00:00:00"/>
    <d v="2021-04-06T00:00:00"/>
    <n v="420.76542859214698"/>
    <n v="-3"/>
    <x v="66"/>
    <s v="India"/>
    <s v="Central"/>
    <x v="0"/>
    <n v="1"/>
    <s v="Yes"/>
    <n v="1"/>
    <s v="On Time"/>
    <x v="1"/>
    <x v="0"/>
  </r>
  <r>
    <s v="PO000143"/>
    <s v="SUP00087"/>
    <s v="PROD00121"/>
    <d v="2021-02-06T00:00:00"/>
    <n v="14"/>
    <n v="26.857518562174"/>
    <d v="2021-02-24T00:00:00"/>
    <d v="2021-02-26T00:00:00"/>
    <n v="376.00525987043602"/>
    <n v="2"/>
    <x v="14"/>
    <s v="UK"/>
    <s v="Central"/>
    <x v="2"/>
    <n v="0"/>
    <s v="No"/>
    <n v="0"/>
    <s v="Late"/>
    <x v="1"/>
    <x v="9"/>
  </r>
  <r>
    <s v="PO000144"/>
    <s v="SUP00074"/>
    <s v="PROD00021"/>
    <d v="2024-03-12T00:00:00"/>
    <n v="8"/>
    <n v="25.344073491689699"/>
    <d v="2024-03-28T00:00:00"/>
    <d v="2024-03-28T00:00:00"/>
    <n v="202.75258793351699"/>
    <n v="0"/>
    <x v="48"/>
    <s v="Canada"/>
    <s v="South"/>
    <x v="0"/>
    <n v="1"/>
    <s v="Yes"/>
    <n v="1"/>
    <s v="On Time"/>
    <x v="0"/>
    <x v="0"/>
  </r>
  <r>
    <s v="PO000145"/>
    <s v="SUP00100"/>
    <s v="PROD00051"/>
    <d v="2023-02-18T00:00:00"/>
    <n v="9"/>
    <n v="24.570572844703499"/>
    <d v="2023-02-28T00:00:00"/>
    <d v="2023-03-02T00:00:00"/>
    <n v="221.135155602331"/>
    <n v="2"/>
    <x v="45"/>
    <s v="Canada"/>
    <s v="Central"/>
    <x v="1"/>
    <n v="0"/>
    <s v="No"/>
    <n v="0"/>
    <s v="Late"/>
    <x v="2"/>
    <x v="9"/>
  </r>
  <r>
    <s v="PO000146"/>
    <s v="SUP00095"/>
    <s v="PROD00177"/>
    <d v="2023-10-12T00:00:00"/>
    <n v="8"/>
    <n v="39.978393041893597"/>
    <d v="2023-11-01T00:00:00"/>
    <d v="2023-11-03T00:00:00"/>
    <n v="319.82714433514798"/>
    <n v="2"/>
    <x v="74"/>
    <s v="China"/>
    <s v="Central"/>
    <x v="1"/>
    <n v="0"/>
    <s v="No"/>
    <n v="0"/>
    <s v="Late"/>
    <x v="2"/>
    <x v="4"/>
  </r>
  <r>
    <s v="PO000147"/>
    <s v="SUP00061"/>
    <s v="PROD00182"/>
    <d v="2022-03-13T00:00:00"/>
    <n v="8"/>
    <n v="21.251036846425901"/>
    <d v="2022-03-25T00:00:00"/>
    <d v="2022-03-30T00:00:00"/>
    <n v="170.00829477140701"/>
    <n v="5"/>
    <x v="71"/>
    <s v="India"/>
    <s v="South"/>
    <x v="2"/>
    <n v="0"/>
    <s v="No"/>
    <n v="0"/>
    <s v="Late"/>
    <x v="3"/>
    <x v="0"/>
  </r>
  <r>
    <s v="PO000148"/>
    <s v="SUP00005"/>
    <s v="PROD00109"/>
    <d v="2023-01-17T00:00:00"/>
    <n v="13"/>
    <n v="79.068555524821306"/>
    <d v="2023-01-27T00:00:00"/>
    <d v="2023-01-29T00:00:00"/>
    <n v="1027.8912218226701"/>
    <n v="2"/>
    <x v="17"/>
    <s v="Canada"/>
    <s v="North"/>
    <x v="1"/>
    <n v="1"/>
    <s v="Yes"/>
    <n v="0"/>
    <s v="Late"/>
    <x v="2"/>
    <x v="10"/>
  </r>
  <r>
    <s v="PO000149"/>
    <s v="SUP00079"/>
    <s v="PROD00168"/>
    <d v="2023-01-11T00:00:00"/>
    <n v="14"/>
    <n v="59.902305245070899"/>
    <d v="2023-01-26T00:00:00"/>
    <d v="2023-02-01T00:00:00"/>
    <n v="838.632273430993"/>
    <n v="6"/>
    <x v="55"/>
    <s v="Denmark"/>
    <s v="South"/>
    <x v="0"/>
    <n v="0"/>
    <s v="No"/>
    <n v="0"/>
    <s v="Late"/>
    <x v="2"/>
    <x v="10"/>
  </r>
  <r>
    <s v="PO000150"/>
    <s v="SUP00061"/>
    <s v="PROD00166"/>
    <d v="2021-07-05T00:00:00"/>
    <n v="13"/>
    <n v="54.397913471026001"/>
    <d v="2021-07-23T00:00:00"/>
    <d v="2021-07-21T00:00:00"/>
    <n v="707.17287512333803"/>
    <n v="-2"/>
    <x v="71"/>
    <s v="India"/>
    <s v="South"/>
    <x v="2"/>
    <n v="0"/>
    <s v="No"/>
    <n v="1"/>
    <s v="On Time"/>
    <x v="1"/>
    <x v="5"/>
  </r>
  <r>
    <s v="PO000151"/>
    <s v="SUP00027"/>
    <s v="PROD00021"/>
    <d v="2024-02-08T00:00:00"/>
    <n v="12"/>
    <n v="28.456517276557399"/>
    <d v="2024-02-21T00:00:00"/>
    <d v="2024-02-21T00:00:00"/>
    <n v="341.47820731868899"/>
    <n v="0"/>
    <x v="53"/>
    <s v="Brazil"/>
    <s v="Central"/>
    <x v="0"/>
    <n v="0"/>
    <s v="No"/>
    <n v="1"/>
    <s v="On Time"/>
    <x v="0"/>
    <x v="9"/>
  </r>
  <r>
    <s v="PO000152"/>
    <s v="SUP00050"/>
    <s v="PROD00084"/>
    <d v="2022-06-07T00:00:00"/>
    <n v="8"/>
    <n v="75.086877382308899"/>
    <d v="2022-06-23T00:00:00"/>
    <d v="2022-06-25T00:00:00"/>
    <n v="600.69501905847096"/>
    <n v="2"/>
    <x v="75"/>
    <s v="Denmark"/>
    <s v="West"/>
    <x v="1"/>
    <n v="0"/>
    <s v="No"/>
    <n v="0"/>
    <s v="Late"/>
    <x v="3"/>
    <x v="1"/>
  </r>
  <r>
    <s v="PO000153"/>
    <s v="SUP00061"/>
    <s v="PROD00069"/>
    <d v="2021-08-24T00:00:00"/>
    <n v="12"/>
    <n v="71.215900409226904"/>
    <d v="2021-09-08T00:00:00"/>
    <d v="2021-09-12T00:00:00"/>
    <n v="854.59080491072302"/>
    <n v="4"/>
    <x v="71"/>
    <s v="India"/>
    <s v="South"/>
    <x v="2"/>
    <n v="0"/>
    <s v="No"/>
    <n v="0"/>
    <s v="Late"/>
    <x v="1"/>
    <x v="2"/>
  </r>
  <r>
    <s v="PO000154"/>
    <s v="SUP00024"/>
    <s v="PROD00175"/>
    <d v="2024-03-15T00:00:00"/>
    <n v="6"/>
    <n v="31.6864013368969"/>
    <d v="2024-04-07T00:00:00"/>
    <d v="2024-04-09T00:00:00"/>
    <n v="190.11840802138099"/>
    <n v="2"/>
    <x v="5"/>
    <s v="UK"/>
    <s v="North"/>
    <x v="1"/>
    <n v="0"/>
    <s v="No"/>
    <n v="0"/>
    <s v="Late"/>
    <x v="0"/>
    <x v="0"/>
  </r>
  <r>
    <s v="PO000155"/>
    <s v="SUP00036"/>
    <s v="PROD00158"/>
    <d v="2021-01-28T00:00:00"/>
    <n v="9"/>
    <n v="5.4271613118450404"/>
    <d v="2021-02-07T00:00:00"/>
    <d v="2021-02-07T00:00:00"/>
    <n v="48.844451806605399"/>
    <n v="0"/>
    <x v="40"/>
    <s v="Canada"/>
    <s v="West"/>
    <x v="3"/>
    <n v="1"/>
    <s v="Yes"/>
    <n v="1"/>
    <s v="On Time"/>
    <x v="1"/>
    <x v="10"/>
  </r>
  <r>
    <s v="PO000156"/>
    <s v="SUP00050"/>
    <s v="PROD00013"/>
    <d v="2023-08-31T00:00:00"/>
    <n v="9"/>
    <n v="47.215328809881598"/>
    <d v="2023-09-22T00:00:00"/>
    <d v="2023-09-28T00:00:00"/>
    <n v="424.937959288934"/>
    <n v="6"/>
    <x v="75"/>
    <s v="Denmark"/>
    <s v="West"/>
    <x v="1"/>
    <n v="0"/>
    <s v="No"/>
    <n v="0"/>
    <s v="Late"/>
    <x v="2"/>
    <x v="2"/>
  </r>
  <r>
    <s v="PO000157"/>
    <s v="SUP00021"/>
    <s v="PROD00183"/>
    <d v="2024-03-14T00:00:00"/>
    <n v="14"/>
    <n v="30.043404107047401"/>
    <d v="2024-03-26T00:00:00"/>
    <d v="2024-03-26T00:00:00"/>
    <n v="420.60765749866403"/>
    <n v="0"/>
    <x v="19"/>
    <s v="Germany"/>
    <s v="Central"/>
    <x v="1"/>
    <n v="1"/>
    <s v="Yes"/>
    <n v="1"/>
    <s v="On Time"/>
    <x v="0"/>
    <x v="0"/>
  </r>
  <r>
    <s v="PO000158"/>
    <s v="SUP00082"/>
    <s v="PROD00132"/>
    <d v="2021-01-26T00:00:00"/>
    <n v="11"/>
    <n v="52.861279343795601"/>
    <d v="2021-02-07T00:00:00"/>
    <d v="2021-02-07T00:00:00"/>
    <n v="581.47407278175103"/>
    <n v="0"/>
    <x v="76"/>
    <s v="India"/>
    <s v="North"/>
    <x v="1"/>
    <n v="1"/>
    <s v="Yes"/>
    <n v="1"/>
    <s v="On Time"/>
    <x v="1"/>
    <x v="10"/>
  </r>
  <r>
    <s v="PO000159"/>
    <s v="SUP00053"/>
    <s v="PROD00031"/>
    <d v="2024-01-21T00:00:00"/>
    <n v="10"/>
    <n v="57.724041010399603"/>
    <d v="2024-02-11T00:00:00"/>
    <d v="2024-02-15T00:00:00"/>
    <n v="577.24041010399606"/>
    <n v="4"/>
    <x v="18"/>
    <s v="India"/>
    <s v="North"/>
    <x v="2"/>
    <n v="1"/>
    <s v="Yes"/>
    <n v="0"/>
    <s v="Late"/>
    <x v="0"/>
    <x v="10"/>
  </r>
  <r>
    <s v="PO000160"/>
    <s v="SUP00067"/>
    <s v="PROD00113"/>
    <d v="2024-01-29T00:00:00"/>
    <n v="17"/>
    <n v="76.788977503347496"/>
    <d v="2024-02-11T00:00:00"/>
    <d v="2024-02-09T00:00:00"/>
    <n v="1305.4126175568999"/>
    <n v="-2"/>
    <x v="22"/>
    <s v="UK"/>
    <s v="South"/>
    <x v="3"/>
    <n v="1"/>
    <s v="Yes"/>
    <n v="1"/>
    <s v="On Time"/>
    <x v="0"/>
    <x v="10"/>
  </r>
  <r>
    <s v="PO000161"/>
    <s v="SUP00070"/>
    <s v="PROD00168"/>
    <d v="2023-01-04T00:00:00"/>
    <n v="14"/>
    <n v="53.134238372277302"/>
    <d v="2023-01-28T00:00:00"/>
    <d v="2023-01-30T00:00:00"/>
    <n v="743.87933721188301"/>
    <n v="2"/>
    <x v="32"/>
    <s v="USA"/>
    <s v="Central"/>
    <x v="3"/>
    <n v="0"/>
    <s v="No"/>
    <n v="0"/>
    <s v="Late"/>
    <x v="2"/>
    <x v="10"/>
  </r>
  <r>
    <s v="PO000162"/>
    <s v="SUP00039"/>
    <s v="PROD00162"/>
    <d v="2022-01-12T00:00:00"/>
    <n v="15"/>
    <n v="6.50861244971518"/>
    <d v="2022-01-28T00:00:00"/>
    <d v="2022-01-29T00:00:00"/>
    <n v="97.629186745727694"/>
    <n v="1"/>
    <x v="7"/>
    <s v="Denmark"/>
    <s v="South"/>
    <x v="0"/>
    <n v="1"/>
    <s v="Yes"/>
    <n v="0"/>
    <s v="Late"/>
    <x v="3"/>
    <x v="10"/>
  </r>
  <r>
    <s v="PO000163"/>
    <s v="SUP00075"/>
    <s v="PROD00172"/>
    <d v="2021-08-16T00:00:00"/>
    <n v="7"/>
    <n v="14.7381269177768"/>
    <d v="2021-09-07T00:00:00"/>
    <d v="2021-09-06T00:00:00"/>
    <n v="103.166888424438"/>
    <n v="-1"/>
    <x v="11"/>
    <s v="USA"/>
    <s v="Central"/>
    <x v="1"/>
    <n v="1"/>
    <s v="Yes"/>
    <n v="1"/>
    <s v="On Time"/>
    <x v="1"/>
    <x v="2"/>
  </r>
  <r>
    <s v="PO000164"/>
    <s v="SUP00017"/>
    <s v="PROD00183"/>
    <d v="2024-01-10T00:00:00"/>
    <n v="8"/>
    <n v="48.4458753765295"/>
    <d v="2024-02-01T00:00:00"/>
    <d v="2024-02-02T00:00:00"/>
    <n v="387.567003012236"/>
    <n v="1"/>
    <x v="52"/>
    <s v="India"/>
    <s v="East"/>
    <x v="1"/>
    <n v="0"/>
    <s v="No"/>
    <n v="0"/>
    <s v="Late"/>
    <x v="0"/>
    <x v="10"/>
  </r>
  <r>
    <s v="PO000165"/>
    <s v="SUP00091"/>
    <s v="PROD00003"/>
    <d v="2022-03-14T00:00:00"/>
    <n v="6"/>
    <n v="34.675182619136002"/>
    <d v="2022-03-28T00:00:00"/>
    <d v="2022-03-27T00:00:00"/>
    <n v="208.051095714816"/>
    <n v="-1"/>
    <x v="77"/>
    <s v="China"/>
    <s v="South"/>
    <x v="1"/>
    <n v="0"/>
    <s v="No"/>
    <n v="1"/>
    <s v="On Time"/>
    <x v="3"/>
    <x v="0"/>
  </r>
  <r>
    <s v="PO000166"/>
    <s v="SUP00046"/>
    <s v="PROD00161"/>
    <d v="2022-01-16T00:00:00"/>
    <n v="17"/>
    <n v="43.703642658516102"/>
    <d v="2022-01-29T00:00:00"/>
    <d v="2022-01-28T00:00:00"/>
    <n v="742.96192519477495"/>
    <n v="-1"/>
    <x v="61"/>
    <s v="Brazil"/>
    <s v="South"/>
    <x v="3"/>
    <n v="1"/>
    <s v="Yes"/>
    <n v="1"/>
    <s v="On Time"/>
    <x v="3"/>
    <x v="10"/>
  </r>
  <r>
    <s v="PO000167"/>
    <s v="SUP00015"/>
    <s v="PROD00098"/>
    <d v="2022-10-22T00:00:00"/>
    <n v="13"/>
    <n v="41.102281377725099"/>
    <d v="2022-11-08T00:00:00"/>
    <d v="2022-11-12T00:00:00"/>
    <n v="534.32965791042704"/>
    <n v="4"/>
    <x v="51"/>
    <s v="China"/>
    <s v="South"/>
    <x v="0"/>
    <n v="1"/>
    <s v="Yes"/>
    <n v="0"/>
    <s v="Late"/>
    <x v="3"/>
    <x v="4"/>
  </r>
  <r>
    <s v="PO000168"/>
    <s v="SUP00018"/>
    <s v="PROD00012"/>
    <d v="2022-11-02T00:00:00"/>
    <n v="15"/>
    <n v="50.536937532724302"/>
    <d v="2022-11-18T00:00:00"/>
    <d v="2022-11-22T00:00:00"/>
    <n v="758.05406299086496"/>
    <n v="4"/>
    <x v="8"/>
    <s v="UK"/>
    <s v="West"/>
    <x v="2"/>
    <n v="0"/>
    <s v="No"/>
    <n v="0"/>
    <s v="Late"/>
    <x v="3"/>
    <x v="6"/>
  </r>
  <r>
    <s v="PO000169"/>
    <s v="SUP00032"/>
    <s v="PROD00138"/>
    <d v="2021-09-18T00:00:00"/>
    <n v="11"/>
    <n v="67.228871110197801"/>
    <d v="2021-10-07T00:00:00"/>
    <d v="2021-10-05T00:00:00"/>
    <n v="739.51758221217494"/>
    <n v="-2"/>
    <x v="15"/>
    <s v="Germany"/>
    <s v="South"/>
    <x v="0"/>
    <n v="0"/>
    <s v="No"/>
    <n v="1"/>
    <s v="On Time"/>
    <x v="1"/>
    <x v="11"/>
  </r>
  <r>
    <s v="PO000170"/>
    <s v="SUP00039"/>
    <s v="PROD00186"/>
    <d v="2024-01-11T00:00:00"/>
    <n v="11"/>
    <n v="63.8143981191946"/>
    <d v="2024-01-25T00:00:00"/>
    <d v="2024-01-22T00:00:00"/>
    <n v="701.95837931113999"/>
    <n v="-3"/>
    <x v="7"/>
    <s v="Denmark"/>
    <s v="South"/>
    <x v="0"/>
    <n v="1"/>
    <s v="Yes"/>
    <n v="1"/>
    <s v="On Time"/>
    <x v="0"/>
    <x v="10"/>
  </r>
  <r>
    <s v="PO000171"/>
    <s v="SUP00001"/>
    <s v="PROD00091"/>
    <d v="2022-10-21T00:00:00"/>
    <n v="13"/>
    <n v="70.117298904078893"/>
    <d v="2022-11-13T00:00:00"/>
    <d v="2022-11-15T00:00:00"/>
    <n v="911.52488575302505"/>
    <n v="2"/>
    <x v="36"/>
    <s v="USA"/>
    <s v="West"/>
    <x v="3"/>
    <n v="0"/>
    <s v="No"/>
    <n v="0"/>
    <s v="Late"/>
    <x v="3"/>
    <x v="4"/>
  </r>
  <r>
    <s v="PO000172"/>
    <s v="SUP00074"/>
    <s v="PROD00041"/>
    <d v="2021-09-11T00:00:00"/>
    <n v="11"/>
    <n v="48.819483468943602"/>
    <d v="2021-09-21T00:00:00"/>
    <d v="2021-09-27T00:00:00"/>
    <n v="537.01431815837998"/>
    <n v="6"/>
    <x v="48"/>
    <s v="Canada"/>
    <s v="South"/>
    <x v="0"/>
    <n v="1"/>
    <s v="Yes"/>
    <n v="0"/>
    <s v="Late"/>
    <x v="1"/>
    <x v="11"/>
  </r>
  <r>
    <s v="PO000173"/>
    <s v="SUP00006"/>
    <s v="PROD00057"/>
    <d v="2023-03-22T00:00:00"/>
    <n v="16"/>
    <n v="14.495859713456801"/>
    <d v="2023-04-10T00:00:00"/>
    <d v="2023-04-10T00:00:00"/>
    <n v="231.93375541530801"/>
    <n v="0"/>
    <x v="78"/>
    <s v="USA"/>
    <s v="East"/>
    <x v="0"/>
    <n v="1"/>
    <s v="Yes"/>
    <n v="1"/>
    <s v="On Time"/>
    <x v="2"/>
    <x v="0"/>
  </r>
  <r>
    <s v="PO000174"/>
    <s v="SUP00008"/>
    <s v="PROD00156"/>
    <d v="2022-12-02T00:00:00"/>
    <n v="7"/>
    <n v="27.077180287142699"/>
    <d v="2022-12-18T00:00:00"/>
    <d v="2022-12-17T00:00:00"/>
    <n v="189.540262009999"/>
    <n v="-1"/>
    <x v="79"/>
    <s v="USA"/>
    <s v="Central"/>
    <x v="3"/>
    <n v="0"/>
    <s v="No"/>
    <n v="1"/>
    <s v="On Time"/>
    <x v="3"/>
    <x v="7"/>
  </r>
  <r>
    <s v="PO000175"/>
    <s v="SUP00018"/>
    <s v="PROD00167"/>
    <d v="2022-08-02T00:00:00"/>
    <n v="7"/>
    <n v="11.066622934667199"/>
    <d v="2022-08-16T00:00:00"/>
    <d v="2022-08-15T00:00:00"/>
    <n v="77.466360542670699"/>
    <n v="-1"/>
    <x v="8"/>
    <s v="UK"/>
    <s v="West"/>
    <x v="2"/>
    <n v="0"/>
    <s v="No"/>
    <n v="1"/>
    <s v="On Time"/>
    <x v="3"/>
    <x v="2"/>
  </r>
  <r>
    <s v="PO000176"/>
    <s v="SUP00093"/>
    <s v="PROD00140"/>
    <d v="2022-11-14T00:00:00"/>
    <n v="9"/>
    <n v="16.589292096598701"/>
    <d v="2022-12-05T00:00:00"/>
    <d v="2022-12-06T00:00:00"/>
    <n v="149.303628869389"/>
    <n v="1"/>
    <x v="20"/>
    <s v="USA"/>
    <s v="Central"/>
    <x v="2"/>
    <n v="0"/>
    <s v="No"/>
    <n v="0"/>
    <s v="Late"/>
    <x v="3"/>
    <x v="6"/>
  </r>
  <r>
    <s v="PO000177"/>
    <s v="SUP00063"/>
    <s v="PROD00013"/>
    <d v="2022-09-01T00:00:00"/>
    <n v="9"/>
    <n v="32.408639151119999"/>
    <d v="2022-09-25T00:00:00"/>
    <d v="2022-10-01T00:00:00"/>
    <n v="291.67775236007998"/>
    <n v="6"/>
    <x v="30"/>
    <s v="Denmark"/>
    <s v="North"/>
    <x v="1"/>
    <n v="0"/>
    <s v="No"/>
    <n v="0"/>
    <s v="Late"/>
    <x v="3"/>
    <x v="11"/>
  </r>
  <r>
    <s v="PO000178"/>
    <s v="SUP00025"/>
    <s v="PROD00046"/>
    <d v="2022-08-25T00:00:00"/>
    <n v="14"/>
    <n v="3.7887073851331001"/>
    <d v="2022-09-08T00:00:00"/>
    <d v="2022-09-06T00:00:00"/>
    <n v="53.041903391863499"/>
    <n v="-2"/>
    <x v="6"/>
    <s v="Denmark"/>
    <s v="Central"/>
    <x v="2"/>
    <n v="0"/>
    <s v="No"/>
    <n v="1"/>
    <s v="On Time"/>
    <x v="3"/>
    <x v="2"/>
  </r>
  <r>
    <s v="PO000179"/>
    <s v="SUP00083"/>
    <s v="PROD00103"/>
    <d v="2022-02-21T00:00:00"/>
    <n v="10"/>
    <n v="17.309328475460799"/>
    <d v="2022-03-11T00:00:00"/>
    <d v="2022-03-14T00:00:00"/>
    <n v="173.09328475460899"/>
    <n v="3"/>
    <x v="43"/>
    <s v="China"/>
    <s v="South"/>
    <x v="0"/>
    <n v="0"/>
    <s v="No"/>
    <n v="0"/>
    <s v="Late"/>
    <x v="3"/>
    <x v="9"/>
  </r>
  <r>
    <s v="PO000180"/>
    <s v="SUP00015"/>
    <s v="PROD00152"/>
    <d v="2022-02-25T00:00:00"/>
    <n v="12"/>
    <n v="33.026294012227197"/>
    <d v="2022-03-08T00:00:00"/>
    <d v="2022-03-12T00:00:00"/>
    <n v="396.31552814672602"/>
    <n v="4"/>
    <x v="51"/>
    <s v="China"/>
    <s v="South"/>
    <x v="0"/>
    <n v="1"/>
    <s v="Yes"/>
    <n v="0"/>
    <s v="Late"/>
    <x v="3"/>
    <x v="9"/>
  </r>
  <r>
    <s v="PO000181"/>
    <s v="SUP00092"/>
    <s v="PROD00165"/>
    <d v="2021-05-26T00:00:00"/>
    <n v="14"/>
    <n v="41.792235215139101"/>
    <d v="2021-06-13T00:00:00"/>
    <d v="2021-06-10T00:00:00"/>
    <n v="585.09129301194798"/>
    <n v="-3"/>
    <x v="27"/>
    <s v="UK"/>
    <s v="West"/>
    <x v="0"/>
    <n v="0"/>
    <s v="No"/>
    <n v="1"/>
    <s v="On Time"/>
    <x v="1"/>
    <x v="3"/>
  </r>
  <r>
    <s v="PO000182"/>
    <s v="SUP00052"/>
    <s v="PROD00138"/>
    <d v="2022-06-08T00:00:00"/>
    <n v="10"/>
    <n v="52.826505972564"/>
    <d v="2022-06-30T00:00:00"/>
    <d v="2022-07-02T00:00:00"/>
    <n v="528.26505972563996"/>
    <n v="2"/>
    <x v="80"/>
    <s v="Brazil"/>
    <s v="West"/>
    <x v="1"/>
    <n v="1"/>
    <s v="Yes"/>
    <n v="0"/>
    <s v="Late"/>
    <x v="3"/>
    <x v="1"/>
  </r>
  <r>
    <s v="PO000183"/>
    <s v="SUP00037"/>
    <s v="PROD00058"/>
    <d v="2023-06-17T00:00:00"/>
    <n v="16"/>
    <n v="45.601261999225599"/>
    <d v="2023-07-08T00:00:00"/>
    <d v="2023-07-09T00:00:00"/>
    <n v="729.62019198761004"/>
    <n v="1"/>
    <x v="46"/>
    <s v="Denmark"/>
    <s v="East"/>
    <x v="1"/>
    <n v="0"/>
    <s v="No"/>
    <n v="0"/>
    <s v="Late"/>
    <x v="2"/>
    <x v="1"/>
  </r>
  <r>
    <s v="PO000184"/>
    <s v="SUP00029"/>
    <s v="PROD00016"/>
    <d v="2023-09-20T00:00:00"/>
    <n v="12"/>
    <n v="77.289739205282302"/>
    <d v="2023-10-03T00:00:00"/>
    <d v="2023-10-07T00:00:00"/>
    <n v="927.47687046338694"/>
    <n v="4"/>
    <x v="47"/>
    <s v="China"/>
    <s v="West"/>
    <x v="0"/>
    <n v="1"/>
    <s v="Yes"/>
    <n v="0"/>
    <s v="Late"/>
    <x v="2"/>
    <x v="11"/>
  </r>
  <r>
    <s v="PO000185"/>
    <s v="SUP00062"/>
    <s v="PROD00032"/>
    <d v="2022-09-04T00:00:00"/>
    <n v="9"/>
    <n v="31.769971857536198"/>
    <d v="2022-09-18T00:00:00"/>
    <d v="2022-09-20T00:00:00"/>
    <n v="285.92974671782503"/>
    <n v="2"/>
    <x v="81"/>
    <s v="Brazil"/>
    <s v="Central"/>
    <x v="0"/>
    <n v="0"/>
    <s v="No"/>
    <n v="0"/>
    <s v="Late"/>
    <x v="3"/>
    <x v="11"/>
  </r>
  <r>
    <s v="PO000186"/>
    <s v="SUP00087"/>
    <s v="PROD00026"/>
    <d v="2023-01-02T00:00:00"/>
    <n v="8"/>
    <n v="65.874561942966196"/>
    <d v="2023-01-21T00:00:00"/>
    <d v="2023-01-20T00:00:00"/>
    <n v="526.99649554373002"/>
    <n v="-1"/>
    <x v="14"/>
    <s v="UK"/>
    <s v="Central"/>
    <x v="2"/>
    <n v="0"/>
    <s v="No"/>
    <n v="1"/>
    <s v="On Time"/>
    <x v="2"/>
    <x v="10"/>
  </r>
  <r>
    <s v="PO000187"/>
    <s v="SUP00023"/>
    <s v="PROD00162"/>
    <d v="2024-02-21T00:00:00"/>
    <n v="14"/>
    <n v="29.971612972115899"/>
    <d v="2024-03-14T00:00:00"/>
    <d v="2024-03-11T00:00:00"/>
    <n v="419.60258160962201"/>
    <n v="-3"/>
    <x v="3"/>
    <s v="Brazil"/>
    <s v="South"/>
    <x v="0"/>
    <n v="1"/>
    <s v="Yes"/>
    <n v="1"/>
    <s v="On Time"/>
    <x v="0"/>
    <x v="9"/>
  </r>
  <r>
    <s v="PO000188"/>
    <s v="SUP00033"/>
    <s v="PROD00095"/>
    <d v="2021-06-19T00:00:00"/>
    <n v="8"/>
    <n v="38.070077385744497"/>
    <d v="2021-07-05T00:00:00"/>
    <d v="2021-07-04T00:00:00"/>
    <n v="304.56061908595598"/>
    <n v="-1"/>
    <x v="54"/>
    <s v="USA"/>
    <s v="South"/>
    <x v="0"/>
    <n v="0"/>
    <s v="No"/>
    <n v="1"/>
    <s v="On Time"/>
    <x v="1"/>
    <x v="1"/>
  </r>
  <r>
    <s v="PO000189"/>
    <s v="SUP00015"/>
    <s v="PROD00099"/>
    <d v="2021-08-10T00:00:00"/>
    <n v="15"/>
    <n v="39.390142597548703"/>
    <d v="2021-08-29T00:00:00"/>
    <d v="2021-08-28T00:00:00"/>
    <n v="590.85213896323103"/>
    <n v="-1"/>
    <x v="51"/>
    <s v="China"/>
    <s v="South"/>
    <x v="0"/>
    <n v="1"/>
    <s v="Yes"/>
    <n v="1"/>
    <s v="On Time"/>
    <x v="1"/>
    <x v="2"/>
  </r>
  <r>
    <s v="PO000190"/>
    <s v="SUP00041"/>
    <s v="PROD00079"/>
    <d v="2021-01-22T00:00:00"/>
    <n v="14"/>
    <n v="50.315470850313702"/>
    <d v="2021-02-09T00:00:00"/>
    <d v="2021-02-06T00:00:00"/>
    <n v="704.41659190439202"/>
    <n v="-3"/>
    <x v="72"/>
    <s v="Germany"/>
    <s v="West"/>
    <x v="1"/>
    <n v="0"/>
    <s v="No"/>
    <n v="1"/>
    <s v="On Time"/>
    <x v="1"/>
    <x v="10"/>
  </r>
  <r>
    <s v="PO000191"/>
    <s v="SUP00059"/>
    <s v="PROD00142"/>
    <d v="2022-08-16T00:00:00"/>
    <n v="16"/>
    <n v="77.195450147392506"/>
    <d v="2022-08-28T00:00:00"/>
    <d v="2022-08-28T00:00:00"/>
    <n v="1235.1272023582801"/>
    <n v="0"/>
    <x v="0"/>
    <s v="India"/>
    <s v="North"/>
    <x v="0"/>
    <n v="0"/>
    <s v="No"/>
    <n v="1"/>
    <s v="On Time"/>
    <x v="3"/>
    <x v="2"/>
  </r>
  <r>
    <s v="PO000192"/>
    <s v="SUP00025"/>
    <s v="PROD00102"/>
    <d v="2022-07-29T00:00:00"/>
    <n v="12"/>
    <n v="14.7382098616036"/>
    <d v="2022-08-16T00:00:00"/>
    <d v="2022-08-13T00:00:00"/>
    <n v="176.85851833924301"/>
    <n v="-3"/>
    <x v="6"/>
    <s v="Denmark"/>
    <s v="Central"/>
    <x v="2"/>
    <n v="0"/>
    <s v="No"/>
    <n v="1"/>
    <s v="On Time"/>
    <x v="3"/>
    <x v="5"/>
  </r>
  <r>
    <s v="PO000193"/>
    <s v="SUP00064"/>
    <s v="PROD00174"/>
    <d v="2021-10-07T00:00:00"/>
    <n v="12"/>
    <n v="78.085507760598603"/>
    <d v="2021-10-30T00:00:00"/>
    <d v="2021-11-04T00:00:00"/>
    <n v="937.026093127183"/>
    <n v="5"/>
    <x v="28"/>
    <s v="Brazil"/>
    <s v="North"/>
    <x v="0"/>
    <n v="1"/>
    <s v="Yes"/>
    <n v="0"/>
    <s v="Late"/>
    <x v="1"/>
    <x v="4"/>
  </r>
  <r>
    <s v="PO000194"/>
    <s v="SUP00035"/>
    <s v="PROD00025"/>
    <d v="2022-03-13T00:00:00"/>
    <n v="16"/>
    <n v="12.585993675620101"/>
    <d v="2022-03-30T00:00:00"/>
    <d v="2022-04-02T00:00:00"/>
    <n v="201.37589880992201"/>
    <n v="3"/>
    <x v="25"/>
    <s v="Denmark"/>
    <s v="Central"/>
    <x v="1"/>
    <n v="1"/>
    <s v="Yes"/>
    <n v="0"/>
    <s v="Late"/>
    <x v="3"/>
    <x v="0"/>
  </r>
  <r>
    <s v="PO000195"/>
    <s v="SUP00001"/>
    <s v="PROD00035"/>
    <d v="2023-04-05T00:00:00"/>
    <n v="14"/>
    <n v="18.802838040088599"/>
    <d v="2023-04-21T00:00:00"/>
    <d v="2023-04-27T00:00:00"/>
    <n v="263.239732561241"/>
    <n v="6"/>
    <x v="36"/>
    <s v="USA"/>
    <s v="West"/>
    <x v="3"/>
    <n v="0"/>
    <s v="No"/>
    <n v="0"/>
    <s v="Late"/>
    <x v="2"/>
    <x v="8"/>
  </r>
  <r>
    <s v="PO000196"/>
    <s v="SUP00026"/>
    <s v="PROD00182"/>
    <d v="2023-01-22T00:00:00"/>
    <n v="9"/>
    <n v="66.149728384119797"/>
    <d v="2023-02-14T00:00:00"/>
    <d v="2023-02-16T00:00:00"/>
    <n v="595.34755545707799"/>
    <n v="2"/>
    <x v="44"/>
    <s v="Denmark"/>
    <s v="East"/>
    <x v="1"/>
    <n v="1"/>
    <s v="Yes"/>
    <n v="0"/>
    <s v="Late"/>
    <x v="2"/>
    <x v="10"/>
  </r>
  <r>
    <s v="PO000197"/>
    <s v="SUP00025"/>
    <s v="PROD00200"/>
    <d v="2023-07-30T00:00:00"/>
    <n v="8"/>
    <n v="47.518660310161799"/>
    <d v="2023-08-21T00:00:00"/>
    <d v="2023-08-21T00:00:00"/>
    <n v="380.14928248129399"/>
    <n v="0"/>
    <x v="6"/>
    <s v="Denmark"/>
    <s v="Central"/>
    <x v="2"/>
    <n v="0"/>
    <s v="No"/>
    <n v="1"/>
    <s v="On Time"/>
    <x v="2"/>
    <x v="5"/>
  </r>
  <r>
    <s v="PO000198"/>
    <s v="SUP00005"/>
    <s v="PROD00050"/>
    <d v="2022-09-19T00:00:00"/>
    <n v="10"/>
    <n v="54.918716620008603"/>
    <d v="2022-10-04T00:00:00"/>
    <d v="2022-10-01T00:00:00"/>
    <n v="549.18716620008604"/>
    <n v="-3"/>
    <x v="17"/>
    <s v="Canada"/>
    <s v="North"/>
    <x v="1"/>
    <n v="1"/>
    <s v="Yes"/>
    <n v="1"/>
    <s v="On Time"/>
    <x v="3"/>
    <x v="11"/>
  </r>
  <r>
    <s v="PO000199"/>
    <s v="SUP00093"/>
    <s v="PROD00090"/>
    <d v="2023-07-20T00:00:00"/>
    <n v="11"/>
    <n v="42.339841424274901"/>
    <d v="2023-08-01T00:00:00"/>
    <d v="2023-07-30T00:00:00"/>
    <n v="465.73825566702402"/>
    <n v="-2"/>
    <x v="20"/>
    <s v="USA"/>
    <s v="Central"/>
    <x v="2"/>
    <n v="0"/>
    <s v="No"/>
    <n v="1"/>
    <s v="On Time"/>
    <x v="2"/>
    <x v="5"/>
  </r>
  <r>
    <s v="PO000200"/>
    <s v="SUP00005"/>
    <s v="PROD00043"/>
    <d v="2023-12-07T00:00:00"/>
    <n v="11"/>
    <n v="58.114799571113601"/>
    <d v="2023-12-30T00:00:00"/>
    <d v="2023-12-27T00:00:00"/>
    <n v="639.26279528224995"/>
    <n v="-3"/>
    <x v="17"/>
    <s v="Canada"/>
    <s v="North"/>
    <x v="1"/>
    <n v="1"/>
    <s v="Yes"/>
    <n v="1"/>
    <s v="On Time"/>
    <x v="2"/>
    <x v="7"/>
  </r>
  <r>
    <s v="PO000201"/>
    <s v="SUP00055"/>
    <s v="PROD00151"/>
    <d v="2022-08-03T00:00:00"/>
    <n v="13"/>
    <n v="40.013936114012601"/>
    <d v="2022-08-20T00:00:00"/>
    <d v="2022-08-22T00:00:00"/>
    <n v="520.181169482163"/>
    <n v="2"/>
    <x v="49"/>
    <s v="China"/>
    <s v="East"/>
    <x v="0"/>
    <n v="1"/>
    <s v="Yes"/>
    <n v="0"/>
    <s v="Late"/>
    <x v="3"/>
    <x v="2"/>
  </r>
  <r>
    <s v="PO000202"/>
    <s v="SUP00061"/>
    <s v="PROD00196"/>
    <d v="2021-07-26T00:00:00"/>
    <n v="16"/>
    <n v="69.901405882081093"/>
    <d v="2021-08-17T00:00:00"/>
    <d v="2021-08-23T00:00:00"/>
    <n v="1118.42249411329"/>
    <n v="6"/>
    <x v="71"/>
    <s v="India"/>
    <s v="South"/>
    <x v="2"/>
    <n v="0"/>
    <s v="No"/>
    <n v="0"/>
    <s v="Late"/>
    <x v="1"/>
    <x v="5"/>
  </r>
  <r>
    <s v="PO000203"/>
    <s v="SUP00010"/>
    <s v="PROD00076"/>
    <d v="2023-09-21T00:00:00"/>
    <n v="13"/>
    <n v="56.6807387262647"/>
    <d v="2023-10-11T00:00:00"/>
    <d v="2023-10-08T00:00:00"/>
    <n v="736.84960344144099"/>
    <n v="-3"/>
    <x v="82"/>
    <s v="Denmark"/>
    <s v="Central"/>
    <x v="3"/>
    <n v="0"/>
    <s v="No"/>
    <n v="1"/>
    <s v="On Time"/>
    <x v="2"/>
    <x v="11"/>
  </r>
  <r>
    <s v="PO000204"/>
    <s v="SUP00051"/>
    <s v="PROD00019"/>
    <d v="2024-03-15T00:00:00"/>
    <n v="14"/>
    <n v="51.676431950130201"/>
    <d v="2024-03-31T00:00:00"/>
    <d v="2024-03-28T00:00:00"/>
    <n v="723.470047301823"/>
    <n v="-3"/>
    <x v="57"/>
    <s v="UK"/>
    <s v="South"/>
    <x v="1"/>
    <n v="0"/>
    <s v="No"/>
    <n v="1"/>
    <s v="On Time"/>
    <x v="0"/>
    <x v="0"/>
  </r>
  <r>
    <s v="PO000205"/>
    <s v="SUP00099"/>
    <s v="PROD00062"/>
    <d v="2024-01-29T00:00:00"/>
    <n v="4"/>
    <n v="79.468743755321597"/>
    <d v="2024-02-10T00:00:00"/>
    <d v="2024-02-14T00:00:00"/>
    <n v="317.87497502128599"/>
    <n v="4"/>
    <x v="19"/>
    <s v="Denmark"/>
    <s v="South"/>
    <x v="0"/>
    <n v="0"/>
    <s v="No"/>
    <n v="0"/>
    <s v="Late"/>
    <x v="0"/>
    <x v="10"/>
  </r>
  <r>
    <s v="PO000206"/>
    <s v="SUP00006"/>
    <s v="PROD00056"/>
    <d v="2023-10-29T00:00:00"/>
    <n v="10"/>
    <n v="40.883506299131099"/>
    <d v="2023-11-19T00:00:00"/>
    <d v="2023-11-19T00:00:00"/>
    <n v="408.83506299131102"/>
    <n v="0"/>
    <x v="78"/>
    <s v="USA"/>
    <s v="East"/>
    <x v="0"/>
    <n v="1"/>
    <s v="Yes"/>
    <n v="1"/>
    <s v="On Time"/>
    <x v="2"/>
    <x v="4"/>
  </r>
  <r>
    <s v="PO000207"/>
    <s v="SUP00059"/>
    <s v="PROD00141"/>
    <d v="2021-02-09T00:00:00"/>
    <n v="13"/>
    <n v="7.4139567874671002"/>
    <d v="2021-03-03T00:00:00"/>
    <d v="2021-03-01T00:00:00"/>
    <n v="96.381438237072302"/>
    <n v="-2"/>
    <x v="0"/>
    <s v="India"/>
    <s v="North"/>
    <x v="0"/>
    <n v="0"/>
    <s v="No"/>
    <n v="1"/>
    <s v="On Time"/>
    <x v="1"/>
    <x v="9"/>
  </r>
  <r>
    <s v="PO000208"/>
    <s v="SUP00046"/>
    <s v="PROD00192"/>
    <d v="2023-03-27T00:00:00"/>
    <n v="10"/>
    <n v="10.486540991330401"/>
    <d v="2023-04-06T00:00:00"/>
    <d v="2023-04-06T00:00:00"/>
    <n v="104.86540991330401"/>
    <n v="0"/>
    <x v="61"/>
    <s v="Brazil"/>
    <s v="South"/>
    <x v="3"/>
    <n v="1"/>
    <s v="Yes"/>
    <n v="1"/>
    <s v="On Time"/>
    <x v="2"/>
    <x v="0"/>
  </r>
  <r>
    <s v="PO000209"/>
    <s v="SUP00055"/>
    <s v="PROD00069"/>
    <d v="2022-12-30T00:00:00"/>
    <n v="8"/>
    <n v="58.466127720452"/>
    <d v="2023-01-14T00:00:00"/>
    <d v="2023-01-12T00:00:00"/>
    <n v="467.729021763616"/>
    <n v="-2"/>
    <x v="49"/>
    <s v="China"/>
    <s v="East"/>
    <x v="0"/>
    <n v="1"/>
    <s v="Yes"/>
    <n v="1"/>
    <s v="On Time"/>
    <x v="3"/>
    <x v="7"/>
  </r>
  <r>
    <s v="PO000210"/>
    <s v="SUP00017"/>
    <s v="PROD00045"/>
    <d v="2021-08-08T00:00:00"/>
    <n v="6"/>
    <n v="6.7526584253754596"/>
    <d v="2021-08-25T00:00:00"/>
    <d v="2021-08-28T00:00:00"/>
    <n v="40.515950552252797"/>
    <n v="3"/>
    <x v="52"/>
    <s v="India"/>
    <s v="East"/>
    <x v="1"/>
    <n v="0"/>
    <s v="No"/>
    <n v="0"/>
    <s v="Late"/>
    <x v="1"/>
    <x v="2"/>
  </r>
  <r>
    <s v="PO000211"/>
    <s v="SUP00027"/>
    <s v="PROD00158"/>
    <d v="2023-04-06T00:00:00"/>
    <n v="18"/>
    <n v="59.665750097340499"/>
    <d v="2023-04-21T00:00:00"/>
    <d v="2023-04-23T00:00:00"/>
    <n v="1073.98350175212"/>
    <n v="2"/>
    <x v="53"/>
    <s v="Brazil"/>
    <s v="Central"/>
    <x v="0"/>
    <n v="0"/>
    <s v="No"/>
    <n v="0"/>
    <s v="Late"/>
    <x v="2"/>
    <x v="8"/>
  </r>
  <r>
    <s v="PO000212"/>
    <s v="SUP00049"/>
    <s v="PROD00118"/>
    <d v="2023-03-19T00:00:00"/>
    <n v="15"/>
    <n v="15.490176966638399"/>
    <d v="2023-04-08T00:00:00"/>
    <d v="2023-04-13T00:00:00"/>
    <n v="232.352654499576"/>
    <n v="5"/>
    <x v="71"/>
    <s v="Canada"/>
    <s v="East"/>
    <x v="0"/>
    <n v="1"/>
    <s v="Yes"/>
    <n v="0"/>
    <s v="Late"/>
    <x v="2"/>
    <x v="0"/>
  </r>
  <r>
    <s v="PO000213"/>
    <s v="SUP00025"/>
    <s v="PROD00030"/>
    <d v="2023-11-24T00:00:00"/>
    <n v="8"/>
    <n v="3.1006453743756701"/>
    <d v="2023-12-07T00:00:00"/>
    <d v="2023-12-04T00:00:00"/>
    <n v="24.805162995005301"/>
    <n v="-3"/>
    <x v="6"/>
    <s v="Denmark"/>
    <s v="Central"/>
    <x v="2"/>
    <n v="0"/>
    <s v="No"/>
    <n v="1"/>
    <s v="On Time"/>
    <x v="2"/>
    <x v="6"/>
  </r>
  <r>
    <s v="PO000214"/>
    <s v="SUP00093"/>
    <s v="PROD00189"/>
    <d v="2022-05-30T00:00:00"/>
    <n v="8"/>
    <n v="13.274904997916201"/>
    <d v="2022-06-09T00:00:00"/>
    <d v="2022-06-12T00:00:00"/>
    <n v="106.19923998332899"/>
    <n v="3"/>
    <x v="20"/>
    <s v="USA"/>
    <s v="Central"/>
    <x v="2"/>
    <n v="0"/>
    <s v="No"/>
    <n v="0"/>
    <s v="Late"/>
    <x v="3"/>
    <x v="3"/>
  </r>
  <r>
    <s v="PO000215"/>
    <s v="SUP00011"/>
    <s v="PROD00136"/>
    <d v="2021-08-01T00:00:00"/>
    <n v="13"/>
    <n v="28.413350876486501"/>
    <d v="2021-08-11T00:00:00"/>
    <d v="2021-08-15T00:00:00"/>
    <n v="369.37356139432399"/>
    <n v="4"/>
    <x v="37"/>
    <s v="UK"/>
    <s v="East"/>
    <x v="3"/>
    <n v="1"/>
    <s v="Yes"/>
    <n v="0"/>
    <s v="Late"/>
    <x v="1"/>
    <x v="2"/>
  </r>
  <r>
    <s v="PO000216"/>
    <s v="SUP00090"/>
    <s v="PROD00071"/>
    <d v="2021-01-17T00:00:00"/>
    <n v="12"/>
    <n v="45.796911271827703"/>
    <d v="2021-02-06T00:00:00"/>
    <d v="2021-02-12T00:00:00"/>
    <n v="549.56293526193201"/>
    <n v="6"/>
    <x v="9"/>
    <s v="Canada"/>
    <s v="East"/>
    <x v="1"/>
    <n v="1"/>
    <s v="Yes"/>
    <n v="0"/>
    <s v="Late"/>
    <x v="1"/>
    <x v="10"/>
  </r>
  <r>
    <s v="PO000217"/>
    <s v="SUP00050"/>
    <s v="PROD00105"/>
    <d v="2023-10-29T00:00:00"/>
    <n v="14"/>
    <n v="62.007797204232197"/>
    <d v="2023-11-11T00:00:00"/>
    <d v="2023-11-14T00:00:00"/>
    <n v="868.10916085925101"/>
    <n v="3"/>
    <x v="75"/>
    <s v="Denmark"/>
    <s v="West"/>
    <x v="1"/>
    <n v="0"/>
    <s v="No"/>
    <n v="0"/>
    <s v="Late"/>
    <x v="2"/>
    <x v="4"/>
  </r>
  <r>
    <s v="PO000218"/>
    <s v="SUP00072"/>
    <s v="PROD00176"/>
    <d v="2022-10-21T00:00:00"/>
    <n v="16"/>
    <n v="54.5676062196017"/>
    <d v="2022-11-05T00:00:00"/>
    <d v="2022-11-03T00:00:00"/>
    <n v="873.08169951362697"/>
    <n v="-2"/>
    <x v="83"/>
    <s v="India"/>
    <s v="Central"/>
    <x v="1"/>
    <n v="0"/>
    <s v="No"/>
    <n v="1"/>
    <s v="On Time"/>
    <x v="3"/>
    <x v="4"/>
  </r>
  <r>
    <s v="PO000219"/>
    <s v="SUP00029"/>
    <s v="PROD00047"/>
    <d v="2021-02-12T00:00:00"/>
    <n v="9"/>
    <n v="18.335071763589202"/>
    <d v="2021-02-28T00:00:00"/>
    <d v="2021-03-05T00:00:00"/>
    <n v="165.015645872303"/>
    <n v="5"/>
    <x v="47"/>
    <s v="China"/>
    <s v="West"/>
    <x v="0"/>
    <n v="1"/>
    <s v="Yes"/>
    <n v="0"/>
    <s v="Late"/>
    <x v="1"/>
    <x v="9"/>
  </r>
  <r>
    <s v="PO000220"/>
    <s v="SUP00018"/>
    <s v="PROD00097"/>
    <d v="2022-06-14T00:00:00"/>
    <n v="9"/>
    <n v="79.2843615776967"/>
    <d v="2022-06-30T00:00:00"/>
    <d v="2022-07-05T00:00:00"/>
    <n v="713.55925419926996"/>
    <n v="5"/>
    <x v="8"/>
    <s v="UK"/>
    <s v="West"/>
    <x v="2"/>
    <n v="0"/>
    <s v="No"/>
    <n v="0"/>
    <s v="Late"/>
    <x v="3"/>
    <x v="1"/>
  </r>
  <r>
    <s v="PO000221"/>
    <s v="SUP00080"/>
    <s v="PROD00019"/>
    <d v="2023-11-05T00:00:00"/>
    <n v="5"/>
    <n v="42.930627967548602"/>
    <d v="2023-11-20T00:00:00"/>
    <d v="2023-11-19T00:00:00"/>
    <n v="214.653139837743"/>
    <n v="-1"/>
    <x v="70"/>
    <s v="USA"/>
    <s v="North"/>
    <x v="2"/>
    <n v="0"/>
    <s v="No"/>
    <n v="1"/>
    <s v="On Time"/>
    <x v="2"/>
    <x v="6"/>
  </r>
  <r>
    <s v="PO000222"/>
    <s v="SUP00073"/>
    <s v="PROD00088"/>
    <d v="2022-03-19T00:00:00"/>
    <n v="9"/>
    <n v="40.441281418788002"/>
    <d v="2022-03-30T00:00:00"/>
    <d v="2022-04-01T00:00:00"/>
    <n v="363.97153276909199"/>
    <n v="2"/>
    <x v="42"/>
    <s v="China"/>
    <s v="East"/>
    <x v="2"/>
    <n v="1"/>
    <s v="Yes"/>
    <n v="0"/>
    <s v="Late"/>
    <x v="3"/>
    <x v="0"/>
  </r>
  <r>
    <s v="PO000223"/>
    <s v="SUP00066"/>
    <s v="PROD00177"/>
    <d v="2023-01-24T00:00:00"/>
    <n v="8"/>
    <n v="24.5000992382977"/>
    <d v="2023-02-14T00:00:00"/>
    <d v="2023-02-16T00:00:00"/>
    <n v="196.000793906382"/>
    <n v="2"/>
    <x v="65"/>
    <s v="India"/>
    <s v="West"/>
    <x v="2"/>
    <n v="0"/>
    <s v="No"/>
    <n v="0"/>
    <s v="Late"/>
    <x v="2"/>
    <x v="10"/>
  </r>
  <r>
    <s v="PO000224"/>
    <s v="SUP00059"/>
    <s v="PROD00181"/>
    <d v="2022-05-16T00:00:00"/>
    <n v="12"/>
    <n v="15.4106319368172"/>
    <d v="2022-06-05T00:00:00"/>
    <d v="2022-06-06T00:00:00"/>
    <n v="184.92758324180599"/>
    <n v="1"/>
    <x v="0"/>
    <s v="India"/>
    <s v="North"/>
    <x v="0"/>
    <n v="0"/>
    <s v="No"/>
    <n v="0"/>
    <s v="Late"/>
    <x v="3"/>
    <x v="3"/>
  </r>
  <r>
    <s v="PO000225"/>
    <s v="SUP00097"/>
    <s v="PROD00156"/>
    <d v="2022-04-23T00:00:00"/>
    <n v="15"/>
    <n v="70.376306790458699"/>
    <d v="2022-05-16T00:00:00"/>
    <d v="2022-05-17T00:00:00"/>
    <n v="1055.6446018568799"/>
    <n v="1"/>
    <x v="2"/>
    <s v="USA"/>
    <s v="Central"/>
    <x v="2"/>
    <n v="1"/>
    <s v="Yes"/>
    <n v="0"/>
    <s v="Late"/>
    <x v="3"/>
    <x v="8"/>
  </r>
  <r>
    <s v="PO000226"/>
    <s v="SUP00091"/>
    <s v="PROD00101"/>
    <d v="2021-06-03T00:00:00"/>
    <n v="9"/>
    <n v="3.7641489462887798"/>
    <d v="2021-06-23T00:00:00"/>
    <d v="2021-06-21T00:00:00"/>
    <n v="33.877340516598998"/>
    <n v="-2"/>
    <x v="77"/>
    <s v="China"/>
    <s v="South"/>
    <x v="1"/>
    <n v="0"/>
    <s v="No"/>
    <n v="1"/>
    <s v="On Time"/>
    <x v="1"/>
    <x v="1"/>
  </r>
  <r>
    <s v="PO000227"/>
    <s v="SUP00015"/>
    <s v="PROD00016"/>
    <d v="2023-11-23T00:00:00"/>
    <n v="18"/>
    <n v="35.874447734499299"/>
    <d v="2023-12-14T00:00:00"/>
    <d v="2023-12-15T00:00:00"/>
    <n v="645.74005922098797"/>
    <n v="1"/>
    <x v="51"/>
    <s v="China"/>
    <s v="South"/>
    <x v="0"/>
    <n v="1"/>
    <s v="Yes"/>
    <n v="0"/>
    <s v="Late"/>
    <x v="2"/>
    <x v="6"/>
  </r>
  <r>
    <s v="PO000228"/>
    <s v="SUP00079"/>
    <s v="PROD00075"/>
    <d v="2022-10-28T00:00:00"/>
    <n v="8"/>
    <n v="44.928217988180698"/>
    <d v="2022-11-14T00:00:00"/>
    <d v="2022-11-14T00:00:00"/>
    <n v="359.42574390544598"/>
    <n v="0"/>
    <x v="55"/>
    <s v="Denmark"/>
    <s v="South"/>
    <x v="0"/>
    <n v="0"/>
    <s v="No"/>
    <n v="1"/>
    <s v="On Time"/>
    <x v="3"/>
    <x v="4"/>
  </r>
  <r>
    <s v="PO000229"/>
    <s v="SUP00090"/>
    <s v="PROD00119"/>
    <d v="2022-01-31T00:00:00"/>
    <n v="14"/>
    <n v="6.1297057151461498"/>
    <d v="2022-02-17T00:00:00"/>
    <d v="2022-02-18T00:00:00"/>
    <n v="85.815880012046094"/>
    <n v="1"/>
    <x v="9"/>
    <s v="Canada"/>
    <s v="East"/>
    <x v="1"/>
    <n v="1"/>
    <s v="Yes"/>
    <n v="0"/>
    <s v="Late"/>
    <x v="3"/>
    <x v="10"/>
  </r>
  <r>
    <s v="PO000230"/>
    <s v="SUP00011"/>
    <s v="PROD00154"/>
    <d v="2021-03-13T00:00:00"/>
    <n v="17"/>
    <n v="17.703870518930799"/>
    <d v="2021-03-31T00:00:00"/>
    <d v="2021-04-05T00:00:00"/>
    <n v="300.96579882182402"/>
    <n v="5"/>
    <x v="37"/>
    <s v="UK"/>
    <s v="East"/>
    <x v="3"/>
    <n v="1"/>
    <s v="Yes"/>
    <n v="0"/>
    <s v="Late"/>
    <x v="1"/>
    <x v="0"/>
  </r>
  <r>
    <s v="PO000231"/>
    <s v="SUP00100"/>
    <s v="PROD00086"/>
    <d v="2021-07-10T00:00:00"/>
    <n v="11"/>
    <n v="7.4214887223685899"/>
    <d v="2021-07-26T00:00:00"/>
    <d v="2021-07-29T00:00:00"/>
    <n v="81.6363759460545"/>
    <n v="3"/>
    <x v="45"/>
    <s v="Canada"/>
    <s v="Central"/>
    <x v="1"/>
    <n v="0"/>
    <s v="No"/>
    <n v="0"/>
    <s v="Late"/>
    <x v="1"/>
    <x v="5"/>
  </r>
  <r>
    <s v="PO000232"/>
    <s v="SUP00098"/>
    <s v="PROD00178"/>
    <d v="2022-04-28T00:00:00"/>
    <n v="13"/>
    <n v="79.004608350252894"/>
    <d v="2022-05-22T00:00:00"/>
    <d v="2022-05-26T00:00:00"/>
    <n v="1027.0599085532799"/>
    <n v="4"/>
    <x v="38"/>
    <s v="Germany"/>
    <s v="North"/>
    <x v="3"/>
    <n v="1"/>
    <s v="Yes"/>
    <n v="0"/>
    <s v="Late"/>
    <x v="3"/>
    <x v="8"/>
  </r>
  <r>
    <s v="PO000233"/>
    <s v="SUP00045"/>
    <s v="PROD00125"/>
    <d v="2023-02-22T00:00:00"/>
    <n v="15"/>
    <n v="57.363984403978698"/>
    <d v="2023-03-05T00:00:00"/>
    <d v="2023-03-09T00:00:00"/>
    <n v="860.45976605967996"/>
    <n v="4"/>
    <x v="84"/>
    <s v="Canada"/>
    <s v="North"/>
    <x v="3"/>
    <n v="1"/>
    <s v="Yes"/>
    <n v="0"/>
    <s v="Late"/>
    <x v="2"/>
    <x v="9"/>
  </r>
  <r>
    <s v="PO000234"/>
    <s v="SUP00060"/>
    <s v="PROD00098"/>
    <d v="2023-12-30T00:00:00"/>
    <n v="7"/>
    <n v="57.390769986272801"/>
    <d v="2024-01-18T00:00:00"/>
    <d v="2024-01-21T00:00:00"/>
    <n v="401.73538990390898"/>
    <n v="3"/>
    <x v="85"/>
    <s v="UK"/>
    <s v="North"/>
    <x v="3"/>
    <n v="1"/>
    <s v="Yes"/>
    <n v="0"/>
    <s v="Late"/>
    <x v="2"/>
    <x v="7"/>
  </r>
  <r>
    <s v="PO000235"/>
    <s v="SUP00065"/>
    <s v="PROD00124"/>
    <d v="2024-01-24T00:00:00"/>
    <n v="11"/>
    <n v="66.2739350437148"/>
    <d v="2024-02-06T00:00:00"/>
    <d v="2024-02-03T00:00:00"/>
    <n v="729.01328548086201"/>
    <n v="-3"/>
    <x v="16"/>
    <s v="Brazil"/>
    <s v="East"/>
    <x v="1"/>
    <n v="1"/>
    <s v="Yes"/>
    <n v="1"/>
    <s v="On Time"/>
    <x v="0"/>
    <x v="10"/>
  </r>
  <r>
    <s v="PO000236"/>
    <s v="SUP00052"/>
    <s v="PROD00091"/>
    <d v="2021-11-08T00:00:00"/>
    <n v="10"/>
    <n v="65.332537158843607"/>
    <d v="2021-11-25T00:00:00"/>
    <d v="2021-11-24T00:00:00"/>
    <n v="653.32537158843604"/>
    <n v="-1"/>
    <x v="80"/>
    <s v="Brazil"/>
    <s v="West"/>
    <x v="1"/>
    <n v="1"/>
    <s v="Yes"/>
    <n v="1"/>
    <s v="On Time"/>
    <x v="1"/>
    <x v="6"/>
  </r>
  <r>
    <s v="PO000237"/>
    <s v="SUP00065"/>
    <s v="PROD00089"/>
    <d v="2022-08-11T00:00:00"/>
    <n v="10"/>
    <n v="13.002941919474701"/>
    <d v="2022-09-03T00:00:00"/>
    <d v="2022-09-03T00:00:00"/>
    <n v="130.02941919474699"/>
    <n v="0"/>
    <x v="16"/>
    <s v="Brazil"/>
    <s v="East"/>
    <x v="1"/>
    <n v="1"/>
    <s v="Yes"/>
    <n v="1"/>
    <s v="On Time"/>
    <x v="3"/>
    <x v="2"/>
  </r>
  <r>
    <s v="PO000238"/>
    <s v="SUP00092"/>
    <s v="PROD00144"/>
    <d v="2021-07-15T00:00:00"/>
    <n v="10"/>
    <n v="72.135650986559497"/>
    <d v="2021-08-05T00:00:00"/>
    <d v="2021-08-05T00:00:00"/>
    <n v="721.35650986559494"/>
    <n v="0"/>
    <x v="27"/>
    <s v="UK"/>
    <s v="West"/>
    <x v="0"/>
    <n v="0"/>
    <s v="No"/>
    <n v="1"/>
    <s v="On Time"/>
    <x v="1"/>
    <x v="5"/>
  </r>
  <r>
    <s v="PO000239"/>
    <s v="SUP00058"/>
    <s v="PROD00016"/>
    <d v="2021-03-29T00:00:00"/>
    <n v="12"/>
    <n v="13.5759056428774"/>
    <d v="2021-04-15T00:00:00"/>
    <d v="2021-04-14T00:00:00"/>
    <n v="162.91086771452899"/>
    <n v="-1"/>
    <x v="86"/>
    <s v="China"/>
    <s v="East"/>
    <x v="2"/>
    <n v="1"/>
    <s v="Yes"/>
    <n v="1"/>
    <s v="On Time"/>
    <x v="1"/>
    <x v="0"/>
  </r>
  <r>
    <s v="PO000240"/>
    <s v="SUP00041"/>
    <s v="PROD00175"/>
    <d v="2021-08-02T00:00:00"/>
    <n v="9"/>
    <n v="75.044877032064207"/>
    <d v="2021-08-25T00:00:00"/>
    <d v="2021-08-30T00:00:00"/>
    <n v="675.40389328857805"/>
    <n v="5"/>
    <x v="72"/>
    <s v="Germany"/>
    <s v="West"/>
    <x v="1"/>
    <n v="0"/>
    <s v="No"/>
    <n v="0"/>
    <s v="Late"/>
    <x v="1"/>
    <x v="2"/>
  </r>
  <r>
    <s v="PO000241"/>
    <s v="SUP00089"/>
    <s v="PROD00131"/>
    <d v="2021-09-24T00:00:00"/>
    <n v="6"/>
    <n v="5.6356369719246002"/>
    <d v="2021-10-17T00:00:00"/>
    <d v="2021-10-18T00:00:00"/>
    <n v="33.8138218315476"/>
    <n v="1"/>
    <x v="87"/>
    <s v="Canada"/>
    <s v="North"/>
    <x v="0"/>
    <n v="0"/>
    <s v="No"/>
    <n v="0"/>
    <s v="Late"/>
    <x v="1"/>
    <x v="11"/>
  </r>
  <r>
    <s v="PO000242"/>
    <s v="SUP00074"/>
    <s v="PROD00125"/>
    <d v="2023-08-02T00:00:00"/>
    <n v="16"/>
    <n v="54.2246642174632"/>
    <d v="2023-08-25T00:00:00"/>
    <d v="2023-08-22T00:00:00"/>
    <n v="867.594627479412"/>
    <n v="-3"/>
    <x v="48"/>
    <s v="Canada"/>
    <s v="South"/>
    <x v="0"/>
    <n v="1"/>
    <s v="Yes"/>
    <n v="1"/>
    <s v="On Time"/>
    <x v="2"/>
    <x v="2"/>
  </r>
  <r>
    <s v="PO000243"/>
    <s v="SUP00098"/>
    <s v="PROD00086"/>
    <d v="2023-05-19T00:00:00"/>
    <n v="15"/>
    <n v="12.8278653284436"/>
    <d v="2023-06-03T00:00:00"/>
    <d v="2023-06-04T00:00:00"/>
    <n v="192.417979926654"/>
    <n v="1"/>
    <x v="38"/>
    <s v="Germany"/>
    <s v="North"/>
    <x v="3"/>
    <n v="1"/>
    <s v="Yes"/>
    <n v="0"/>
    <s v="Late"/>
    <x v="2"/>
    <x v="3"/>
  </r>
  <r>
    <s v="PO000244"/>
    <s v="SUP00011"/>
    <s v="PROD00112"/>
    <d v="2022-10-10T00:00:00"/>
    <n v="11"/>
    <n v="65.896372801617701"/>
    <d v="2022-10-28T00:00:00"/>
    <d v="2022-10-31T00:00:00"/>
    <n v="724.860100817795"/>
    <n v="3"/>
    <x v="37"/>
    <s v="UK"/>
    <s v="East"/>
    <x v="3"/>
    <n v="1"/>
    <s v="Yes"/>
    <n v="0"/>
    <s v="Late"/>
    <x v="3"/>
    <x v="4"/>
  </r>
  <r>
    <s v="PO000245"/>
    <s v="SUP00092"/>
    <s v="PROD00165"/>
    <d v="2023-02-27T00:00:00"/>
    <n v="12"/>
    <n v="34.802646276308998"/>
    <d v="2023-03-15T00:00:00"/>
    <d v="2023-03-19T00:00:00"/>
    <n v="417.63175531570801"/>
    <n v="4"/>
    <x v="27"/>
    <s v="UK"/>
    <s v="West"/>
    <x v="0"/>
    <n v="0"/>
    <s v="No"/>
    <n v="0"/>
    <s v="Late"/>
    <x v="2"/>
    <x v="9"/>
  </r>
  <r>
    <s v="PO000246"/>
    <s v="SUP00100"/>
    <s v="PROD00026"/>
    <d v="2022-10-09T00:00:00"/>
    <n v="13"/>
    <n v="37.395460892717303"/>
    <d v="2022-10-24T00:00:00"/>
    <d v="2022-10-25T00:00:00"/>
    <n v="486.14099160532498"/>
    <n v="1"/>
    <x v="45"/>
    <s v="Canada"/>
    <s v="Central"/>
    <x v="1"/>
    <n v="0"/>
    <s v="No"/>
    <n v="0"/>
    <s v="Late"/>
    <x v="3"/>
    <x v="4"/>
  </r>
  <r>
    <s v="PO000247"/>
    <s v="SUP00012"/>
    <s v="PROD00179"/>
    <d v="2021-10-13T00:00:00"/>
    <n v="9"/>
    <n v="35.299166676683299"/>
    <d v="2021-10-26T00:00:00"/>
    <d v="2021-10-31T00:00:00"/>
    <n v="317.69250009015002"/>
    <n v="5"/>
    <x v="88"/>
    <s v="China"/>
    <s v="East"/>
    <x v="3"/>
    <n v="0"/>
    <s v="No"/>
    <n v="0"/>
    <s v="Late"/>
    <x v="1"/>
    <x v="4"/>
  </r>
  <r>
    <s v="PO000248"/>
    <s v="SUP00011"/>
    <s v="PROD00008"/>
    <d v="2021-03-23T00:00:00"/>
    <n v="13"/>
    <n v="41.1509142295752"/>
    <d v="2021-04-10T00:00:00"/>
    <d v="2021-04-16T00:00:00"/>
    <n v="534.96188498447805"/>
    <n v="6"/>
    <x v="37"/>
    <s v="UK"/>
    <s v="East"/>
    <x v="3"/>
    <n v="1"/>
    <s v="Yes"/>
    <n v="0"/>
    <s v="Late"/>
    <x v="1"/>
    <x v="0"/>
  </r>
  <r>
    <s v="PO000249"/>
    <s v="SUP00079"/>
    <s v="PROD00182"/>
    <d v="2022-10-12T00:00:00"/>
    <n v="10"/>
    <n v="5.6261480054828503"/>
    <d v="2022-10-31T00:00:00"/>
    <d v="2022-11-03T00:00:00"/>
    <n v="56.261480054828503"/>
    <n v="3"/>
    <x v="55"/>
    <s v="Denmark"/>
    <s v="South"/>
    <x v="0"/>
    <n v="0"/>
    <s v="No"/>
    <n v="0"/>
    <s v="Late"/>
    <x v="3"/>
    <x v="4"/>
  </r>
  <r>
    <s v="PO000250"/>
    <s v="SUP00007"/>
    <s v="PROD00135"/>
    <d v="2021-02-05T00:00:00"/>
    <n v="11"/>
    <n v="62.2011118138782"/>
    <d v="2021-02-27T00:00:00"/>
    <d v="2021-02-28T00:00:00"/>
    <n v="684.21222995265998"/>
    <n v="1"/>
    <x v="24"/>
    <s v="China"/>
    <s v="East"/>
    <x v="1"/>
    <n v="1"/>
    <s v="Yes"/>
    <n v="0"/>
    <s v="Late"/>
    <x v="1"/>
    <x v="9"/>
  </r>
  <r>
    <s v="PO000251"/>
    <s v="SUP00059"/>
    <s v="PROD00074"/>
    <d v="2021-02-18T00:00:00"/>
    <n v="11"/>
    <n v="75.704641706265306"/>
    <d v="2021-03-01T00:00:00"/>
    <d v="2021-03-02T00:00:00"/>
    <n v="832.75105876891905"/>
    <n v="1"/>
    <x v="0"/>
    <s v="India"/>
    <s v="North"/>
    <x v="0"/>
    <n v="0"/>
    <s v="No"/>
    <n v="0"/>
    <s v="Late"/>
    <x v="1"/>
    <x v="9"/>
  </r>
  <r>
    <s v="PO000252"/>
    <s v="SUP00068"/>
    <s v="PROD00152"/>
    <d v="2021-05-03T00:00:00"/>
    <n v="14"/>
    <n v="49.074279939953101"/>
    <d v="2021-05-22T00:00:00"/>
    <d v="2021-05-25T00:00:00"/>
    <n v="687.03991915934296"/>
    <n v="3"/>
    <x v="12"/>
    <s v="UK"/>
    <s v="South"/>
    <x v="3"/>
    <n v="1"/>
    <s v="Yes"/>
    <n v="0"/>
    <s v="Late"/>
    <x v="1"/>
    <x v="3"/>
  </r>
  <r>
    <s v="PO000253"/>
    <s v="SUP00078"/>
    <s v="PROD00014"/>
    <d v="2022-04-13T00:00:00"/>
    <n v="9"/>
    <n v="26.3645392329583"/>
    <d v="2022-04-23T00:00:00"/>
    <d v="2022-04-24T00:00:00"/>
    <n v="237.28085309662501"/>
    <n v="1"/>
    <x v="56"/>
    <s v="Germany"/>
    <s v="North"/>
    <x v="0"/>
    <n v="0"/>
    <s v="No"/>
    <n v="0"/>
    <s v="Late"/>
    <x v="3"/>
    <x v="8"/>
  </r>
  <r>
    <s v="PO000254"/>
    <s v="SUP00098"/>
    <s v="PROD00166"/>
    <d v="2021-06-26T00:00:00"/>
    <n v="12"/>
    <n v="16.985465137054"/>
    <d v="2021-07-16T00:00:00"/>
    <d v="2021-07-16T00:00:00"/>
    <n v="203.825581644648"/>
    <n v="0"/>
    <x v="38"/>
    <s v="Germany"/>
    <s v="North"/>
    <x v="3"/>
    <n v="1"/>
    <s v="Yes"/>
    <n v="1"/>
    <s v="On Time"/>
    <x v="1"/>
    <x v="1"/>
  </r>
  <r>
    <s v="PO000255"/>
    <s v="SUP00078"/>
    <s v="PROD00085"/>
    <d v="2023-11-01T00:00:00"/>
    <n v="4"/>
    <n v="31.4106263068761"/>
    <d v="2023-11-19T00:00:00"/>
    <d v="2023-11-20T00:00:00"/>
    <n v="125.642505227504"/>
    <n v="1"/>
    <x v="56"/>
    <s v="Germany"/>
    <s v="North"/>
    <x v="0"/>
    <n v="0"/>
    <s v="No"/>
    <n v="0"/>
    <s v="Late"/>
    <x v="2"/>
    <x v="6"/>
  </r>
  <r>
    <s v="PO000256"/>
    <s v="SUP00048"/>
    <s v="PROD00058"/>
    <d v="2022-03-17T00:00:00"/>
    <n v="16"/>
    <n v="52.890325720816797"/>
    <d v="2022-04-02T00:00:00"/>
    <d v="2022-04-02T00:00:00"/>
    <n v="846.24521153307001"/>
    <n v="0"/>
    <x v="4"/>
    <s v="Denmark"/>
    <s v="West"/>
    <x v="2"/>
    <n v="1"/>
    <s v="Yes"/>
    <n v="1"/>
    <s v="On Time"/>
    <x v="3"/>
    <x v="0"/>
  </r>
  <r>
    <s v="PO000257"/>
    <s v="SUP00030"/>
    <s v="PROD00179"/>
    <d v="2022-01-06T00:00:00"/>
    <n v="16"/>
    <n v="33.533410847842603"/>
    <d v="2022-01-22T00:00:00"/>
    <d v="2022-01-20T00:00:00"/>
    <n v="536.53457356548199"/>
    <n v="-2"/>
    <x v="29"/>
    <s v="India"/>
    <s v="Central"/>
    <x v="0"/>
    <n v="0"/>
    <s v="No"/>
    <n v="1"/>
    <s v="On Time"/>
    <x v="3"/>
    <x v="10"/>
  </r>
  <r>
    <s v="PO000258"/>
    <s v="SUP00081"/>
    <s v="PROD00129"/>
    <d v="2022-08-24T00:00:00"/>
    <n v="11"/>
    <n v="65.213074467945503"/>
    <d v="2022-09-16T00:00:00"/>
    <d v="2022-09-21T00:00:00"/>
    <n v="717.34381914740004"/>
    <n v="5"/>
    <x v="66"/>
    <s v="India"/>
    <s v="Central"/>
    <x v="0"/>
    <n v="1"/>
    <s v="Yes"/>
    <n v="0"/>
    <s v="Late"/>
    <x v="3"/>
    <x v="2"/>
  </r>
  <r>
    <s v="PO000259"/>
    <s v="SUP00039"/>
    <s v="PROD00041"/>
    <d v="2022-09-28T00:00:00"/>
    <n v="10"/>
    <n v="75.371756369507693"/>
    <d v="2022-10-13T00:00:00"/>
    <d v="2022-10-15T00:00:00"/>
    <n v="753.71756369507705"/>
    <n v="2"/>
    <x v="7"/>
    <s v="Denmark"/>
    <s v="South"/>
    <x v="0"/>
    <n v="1"/>
    <s v="Yes"/>
    <n v="0"/>
    <s v="Late"/>
    <x v="3"/>
    <x v="11"/>
  </r>
  <r>
    <s v="PO000260"/>
    <s v="SUP00099"/>
    <s v="PROD00040"/>
    <d v="2022-01-26T00:00:00"/>
    <n v="12"/>
    <n v="21.234024595847799"/>
    <d v="2022-02-18T00:00:00"/>
    <d v="2022-02-19T00:00:00"/>
    <n v="254.808295150173"/>
    <n v="1"/>
    <x v="19"/>
    <s v="Denmark"/>
    <s v="South"/>
    <x v="0"/>
    <n v="0"/>
    <s v="No"/>
    <n v="0"/>
    <s v="Late"/>
    <x v="3"/>
    <x v="10"/>
  </r>
  <r>
    <s v="PO000261"/>
    <s v="SUP00092"/>
    <s v="PROD00158"/>
    <d v="2021-10-17T00:00:00"/>
    <n v="14"/>
    <n v="15.9494362047151"/>
    <d v="2021-11-09T00:00:00"/>
    <d v="2021-11-07T00:00:00"/>
    <n v="223.29210686601201"/>
    <n v="-2"/>
    <x v="27"/>
    <s v="UK"/>
    <s v="West"/>
    <x v="0"/>
    <n v="0"/>
    <s v="No"/>
    <n v="1"/>
    <s v="On Time"/>
    <x v="1"/>
    <x v="4"/>
  </r>
  <r>
    <s v="PO000262"/>
    <s v="SUP00052"/>
    <s v="PROD00016"/>
    <d v="2023-03-30T00:00:00"/>
    <n v="14"/>
    <n v="34.845726586719103"/>
    <d v="2023-04-18T00:00:00"/>
    <d v="2023-04-19T00:00:00"/>
    <n v="487.84017221406799"/>
    <n v="1"/>
    <x v="80"/>
    <s v="Brazil"/>
    <s v="West"/>
    <x v="1"/>
    <n v="1"/>
    <s v="Yes"/>
    <n v="0"/>
    <s v="Late"/>
    <x v="2"/>
    <x v="0"/>
  </r>
  <r>
    <s v="PO000263"/>
    <s v="SUP00016"/>
    <s v="PROD00037"/>
    <d v="2022-06-29T00:00:00"/>
    <n v="14"/>
    <n v="53.439130034257602"/>
    <d v="2022-07-20T00:00:00"/>
    <d v="2022-07-23T00:00:00"/>
    <n v="748.14782047960705"/>
    <n v="3"/>
    <x v="39"/>
    <s v="China"/>
    <s v="East"/>
    <x v="0"/>
    <n v="0"/>
    <s v="No"/>
    <n v="0"/>
    <s v="Late"/>
    <x v="3"/>
    <x v="1"/>
  </r>
  <r>
    <s v="PO000264"/>
    <s v="SUP00077"/>
    <s v="PROD00087"/>
    <d v="2021-10-18T00:00:00"/>
    <n v="8"/>
    <n v="59.6917904344212"/>
    <d v="2021-11-04T00:00:00"/>
    <d v="2021-11-10T00:00:00"/>
    <n v="477.53432347536898"/>
    <n v="6"/>
    <x v="10"/>
    <s v="India"/>
    <s v="West"/>
    <x v="1"/>
    <n v="0"/>
    <s v="No"/>
    <n v="0"/>
    <s v="Late"/>
    <x v="1"/>
    <x v="4"/>
  </r>
  <r>
    <s v="PO000265"/>
    <s v="SUP00093"/>
    <s v="PROD00175"/>
    <d v="2023-10-14T00:00:00"/>
    <n v="17"/>
    <n v="20.7836862185993"/>
    <d v="2023-11-02T00:00:00"/>
    <d v="2023-11-08T00:00:00"/>
    <n v="353.322665716188"/>
    <n v="6"/>
    <x v="20"/>
    <s v="USA"/>
    <s v="Central"/>
    <x v="2"/>
    <n v="0"/>
    <s v="No"/>
    <n v="0"/>
    <s v="Late"/>
    <x v="2"/>
    <x v="4"/>
  </r>
  <r>
    <s v="PO000266"/>
    <s v="SUP00041"/>
    <s v="PROD00051"/>
    <d v="2021-10-01T00:00:00"/>
    <n v="10"/>
    <n v="21.573534801540699"/>
    <d v="2021-10-12T00:00:00"/>
    <d v="2021-10-14T00:00:00"/>
    <n v="215.735348015407"/>
    <n v="2"/>
    <x v="72"/>
    <s v="Germany"/>
    <s v="West"/>
    <x v="1"/>
    <n v="0"/>
    <s v="No"/>
    <n v="0"/>
    <s v="Late"/>
    <x v="1"/>
    <x v="4"/>
  </r>
  <r>
    <s v="PO000267"/>
    <s v="SUP00016"/>
    <s v="PROD00160"/>
    <d v="2021-05-22T00:00:00"/>
    <n v="12"/>
    <n v="44.8773815416993"/>
    <d v="2021-06-13T00:00:00"/>
    <d v="2021-06-11T00:00:00"/>
    <n v="538.52857850039197"/>
    <n v="-2"/>
    <x v="39"/>
    <s v="China"/>
    <s v="East"/>
    <x v="0"/>
    <n v="0"/>
    <s v="No"/>
    <n v="1"/>
    <s v="On Time"/>
    <x v="1"/>
    <x v="3"/>
  </r>
  <r>
    <s v="PO000268"/>
    <s v="SUP00035"/>
    <s v="PROD00085"/>
    <d v="2024-01-28T00:00:00"/>
    <n v="13"/>
    <n v="30.4522377654603"/>
    <d v="2024-02-09T00:00:00"/>
    <d v="2024-02-13T00:00:00"/>
    <n v="395.87909095098399"/>
    <n v="4"/>
    <x v="25"/>
    <s v="Denmark"/>
    <s v="Central"/>
    <x v="1"/>
    <n v="1"/>
    <s v="Yes"/>
    <n v="0"/>
    <s v="Late"/>
    <x v="0"/>
    <x v="10"/>
  </r>
  <r>
    <s v="PO000269"/>
    <s v="SUP00022"/>
    <s v="PROD00155"/>
    <d v="2023-02-09T00:00:00"/>
    <n v="11"/>
    <n v="26.036679296114599"/>
    <d v="2023-02-28T00:00:00"/>
    <d v="2023-03-05T00:00:00"/>
    <n v="286.403472257261"/>
    <n v="5"/>
    <x v="60"/>
    <s v="India"/>
    <s v="South"/>
    <x v="1"/>
    <n v="0"/>
    <s v="No"/>
    <n v="0"/>
    <s v="Late"/>
    <x v="2"/>
    <x v="9"/>
  </r>
  <r>
    <s v="PO000270"/>
    <s v="SUP00093"/>
    <s v="PROD00016"/>
    <d v="2023-09-12T00:00:00"/>
    <n v="9"/>
    <n v="43.129207550346202"/>
    <d v="2023-10-03T00:00:00"/>
    <d v="2023-10-07T00:00:00"/>
    <n v="388.16286795311601"/>
    <n v="4"/>
    <x v="20"/>
    <s v="USA"/>
    <s v="Central"/>
    <x v="2"/>
    <n v="0"/>
    <s v="No"/>
    <n v="0"/>
    <s v="Late"/>
    <x v="2"/>
    <x v="11"/>
  </r>
  <r>
    <s v="PO000271"/>
    <s v="SUP00017"/>
    <s v="PROD00157"/>
    <d v="2021-02-20T00:00:00"/>
    <n v="12"/>
    <n v="67.239977547098903"/>
    <d v="2021-03-02T00:00:00"/>
    <d v="2021-02-27T00:00:00"/>
    <n v="806.87973056518695"/>
    <n v="-3"/>
    <x v="52"/>
    <s v="India"/>
    <s v="East"/>
    <x v="1"/>
    <n v="0"/>
    <s v="No"/>
    <n v="1"/>
    <s v="On Time"/>
    <x v="1"/>
    <x v="9"/>
  </r>
  <r>
    <s v="PO000272"/>
    <s v="SUP00097"/>
    <s v="PROD00027"/>
    <d v="2023-04-15T00:00:00"/>
    <n v="17"/>
    <n v="42.555473179387697"/>
    <d v="2023-04-28T00:00:00"/>
    <d v="2023-04-27T00:00:00"/>
    <n v="723.44304404959098"/>
    <n v="-1"/>
    <x v="2"/>
    <s v="USA"/>
    <s v="Central"/>
    <x v="2"/>
    <n v="1"/>
    <s v="Yes"/>
    <n v="1"/>
    <s v="On Time"/>
    <x v="2"/>
    <x v="8"/>
  </r>
  <r>
    <s v="PO000273"/>
    <s v="SUP00039"/>
    <s v="PROD00200"/>
    <d v="2021-08-14T00:00:00"/>
    <n v="9"/>
    <n v="73.097718067492593"/>
    <d v="2021-09-04T00:00:00"/>
    <d v="2021-09-03T00:00:00"/>
    <n v="657.87946260743297"/>
    <n v="-1"/>
    <x v="7"/>
    <s v="Denmark"/>
    <s v="South"/>
    <x v="0"/>
    <n v="1"/>
    <s v="Yes"/>
    <n v="1"/>
    <s v="On Time"/>
    <x v="1"/>
    <x v="2"/>
  </r>
  <r>
    <s v="PO000274"/>
    <s v="SUP00025"/>
    <s v="PROD00133"/>
    <d v="2021-11-03T00:00:00"/>
    <n v="13"/>
    <n v="12.4696602173341"/>
    <d v="2021-11-15T00:00:00"/>
    <d v="2021-11-18T00:00:00"/>
    <n v="162.10558282534399"/>
    <n v="3"/>
    <x v="6"/>
    <s v="Denmark"/>
    <s v="Central"/>
    <x v="2"/>
    <n v="0"/>
    <s v="No"/>
    <n v="0"/>
    <s v="Late"/>
    <x v="1"/>
    <x v="6"/>
  </r>
  <r>
    <s v="PO000275"/>
    <s v="SUP00033"/>
    <s v="PROD00016"/>
    <d v="2021-04-01T00:00:00"/>
    <n v="7"/>
    <n v="72.151990510038104"/>
    <d v="2021-04-17T00:00:00"/>
    <d v="2021-04-23T00:00:00"/>
    <n v="505.06393357026599"/>
    <n v="6"/>
    <x v="54"/>
    <s v="USA"/>
    <s v="South"/>
    <x v="0"/>
    <n v="0"/>
    <s v="No"/>
    <n v="0"/>
    <s v="Late"/>
    <x v="1"/>
    <x v="8"/>
  </r>
  <r>
    <s v="PO000276"/>
    <s v="SUP00072"/>
    <s v="PROD00196"/>
    <d v="2022-03-08T00:00:00"/>
    <n v="15"/>
    <n v="75.6642997591008"/>
    <d v="2022-03-24T00:00:00"/>
    <d v="2022-03-28T00:00:00"/>
    <n v="1134.9644963865101"/>
    <n v="4"/>
    <x v="83"/>
    <s v="India"/>
    <s v="Central"/>
    <x v="1"/>
    <n v="0"/>
    <s v="No"/>
    <n v="0"/>
    <s v="Late"/>
    <x v="3"/>
    <x v="0"/>
  </r>
  <r>
    <s v="PO000277"/>
    <s v="SUP00084"/>
    <s v="PROD00172"/>
    <d v="2023-01-03T00:00:00"/>
    <n v="13"/>
    <n v="72.6022334828494"/>
    <d v="2023-01-13T00:00:00"/>
    <d v="2023-01-11T00:00:00"/>
    <n v="943.82903527704298"/>
    <n v="-2"/>
    <x v="35"/>
    <s v="Canada"/>
    <s v="West"/>
    <x v="1"/>
    <n v="1"/>
    <s v="Yes"/>
    <n v="1"/>
    <s v="On Time"/>
    <x v="2"/>
    <x v="10"/>
  </r>
  <r>
    <s v="PO000278"/>
    <s v="SUP00038"/>
    <s v="PROD00077"/>
    <d v="2022-07-18T00:00:00"/>
    <n v="15"/>
    <n v="16.129516436534999"/>
    <d v="2022-07-31T00:00:00"/>
    <d v="2022-07-29T00:00:00"/>
    <n v="241.94274654802601"/>
    <n v="-2"/>
    <x v="34"/>
    <s v="Germany"/>
    <s v="South"/>
    <x v="1"/>
    <n v="0"/>
    <s v="No"/>
    <n v="1"/>
    <s v="On Time"/>
    <x v="3"/>
    <x v="5"/>
  </r>
  <r>
    <s v="PO000279"/>
    <s v="SUP00017"/>
    <s v="PROD00168"/>
    <d v="2021-07-19T00:00:00"/>
    <n v="13"/>
    <n v="20.486450129432701"/>
    <d v="2021-08-07T00:00:00"/>
    <d v="2021-08-08T00:00:00"/>
    <n v="266.32385168262499"/>
    <n v="1"/>
    <x v="52"/>
    <s v="India"/>
    <s v="East"/>
    <x v="1"/>
    <n v="0"/>
    <s v="No"/>
    <n v="0"/>
    <s v="Late"/>
    <x v="1"/>
    <x v="5"/>
  </r>
  <r>
    <s v="PO000280"/>
    <s v="SUP00023"/>
    <s v="PROD00137"/>
    <d v="2023-12-05T00:00:00"/>
    <n v="16"/>
    <n v="50.959455184546997"/>
    <d v="2023-12-18T00:00:00"/>
    <d v="2023-12-17T00:00:00"/>
    <n v="815.35128295275297"/>
    <n v="-1"/>
    <x v="3"/>
    <s v="Brazil"/>
    <s v="South"/>
    <x v="0"/>
    <n v="1"/>
    <s v="Yes"/>
    <n v="1"/>
    <s v="On Time"/>
    <x v="2"/>
    <x v="7"/>
  </r>
  <r>
    <s v="PO000281"/>
    <s v="SUP00058"/>
    <s v="PROD00200"/>
    <d v="2021-12-11T00:00:00"/>
    <n v="14"/>
    <n v="71.657515950638199"/>
    <d v="2021-12-21T00:00:00"/>
    <d v="2021-12-18T00:00:00"/>
    <n v="1003.20522330893"/>
    <n v="-3"/>
    <x v="86"/>
    <s v="China"/>
    <s v="East"/>
    <x v="2"/>
    <n v="1"/>
    <s v="Yes"/>
    <n v="1"/>
    <s v="On Time"/>
    <x v="1"/>
    <x v="7"/>
  </r>
  <r>
    <s v="PO000282"/>
    <s v="SUP00029"/>
    <s v="PROD00166"/>
    <d v="2023-06-22T00:00:00"/>
    <n v="14"/>
    <n v="3.8793239738107199"/>
    <d v="2023-07-14T00:00:00"/>
    <d v="2023-07-17T00:00:00"/>
    <n v="54.310535633350099"/>
    <n v="3"/>
    <x v="47"/>
    <s v="China"/>
    <s v="West"/>
    <x v="0"/>
    <n v="1"/>
    <s v="Yes"/>
    <n v="0"/>
    <s v="Late"/>
    <x v="2"/>
    <x v="1"/>
  </r>
  <r>
    <s v="PO000283"/>
    <s v="SUP00040"/>
    <s v="PROD00032"/>
    <d v="2022-02-02T00:00:00"/>
    <n v="15"/>
    <n v="64.569289267689797"/>
    <d v="2022-02-17T00:00:00"/>
    <d v="2022-02-14T00:00:00"/>
    <n v="968.53933901534697"/>
    <n v="-3"/>
    <x v="58"/>
    <s v="Denmark"/>
    <s v="East"/>
    <x v="2"/>
    <n v="0"/>
    <s v="No"/>
    <n v="1"/>
    <s v="On Time"/>
    <x v="3"/>
    <x v="9"/>
  </r>
  <r>
    <s v="PO000284"/>
    <s v="SUP00091"/>
    <s v="PROD00010"/>
    <d v="2023-10-23T00:00:00"/>
    <n v="18"/>
    <n v="47.444083915900897"/>
    <d v="2023-11-05T00:00:00"/>
    <d v="2023-11-03T00:00:00"/>
    <n v="853.993510486216"/>
    <n v="-2"/>
    <x v="77"/>
    <s v="China"/>
    <s v="South"/>
    <x v="1"/>
    <n v="0"/>
    <s v="No"/>
    <n v="1"/>
    <s v="On Time"/>
    <x v="2"/>
    <x v="4"/>
  </r>
  <r>
    <s v="PO000285"/>
    <s v="SUP00076"/>
    <s v="PROD00024"/>
    <d v="2023-02-08T00:00:00"/>
    <n v="7"/>
    <n v="29.617391811356299"/>
    <d v="2023-03-04T00:00:00"/>
    <d v="2023-03-06T00:00:00"/>
    <n v="207.32174267949401"/>
    <n v="2"/>
    <x v="89"/>
    <s v="USA"/>
    <s v="South"/>
    <x v="2"/>
    <n v="1"/>
    <s v="Yes"/>
    <n v="0"/>
    <s v="Late"/>
    <x v="2"/>
    <x v="9"/>
  </r>
  <r>
    <s v="PO000286"/>
    <s v="SUP00082"/>
    <s v="PROD00013"/>
    <d v="2022-02-12T00:00:00"/>
    <n v="11"/>
    <n v="57.785858685740401"/>
    <d v="2022-03-03T00:00:00"/>
    <d v="2022-03-06T00:00:00"/>
    <n v="635.64444554314503"/>
    <n v="3"/>
    <x v="76"/>
    <s v="India"/>
    <s v="North"/>
    <x v="1"/>
    <n v="1"/>
    <s v="Yes"/>
    <n v="0"/>
    <s v="Late"/>
    <x v="3"/>
    <x v="9"/>
  </r>
  <r>
    <s v="PO000287"/>
    <s v="SUP00056"/>
    <s v="PROD00078"/>
    <d v="2022-10-07T00:00:00"/>
    <n v="10"/>
    <n v="42.731129129901198"/>
    <d v="2022-10-18T00:00:00"/>
    <d v="2022-10-20T00:00:00"/>
    <n v="427.311291299012"/>
    <n v="2"/>
    <x v="13"/>
    <s v="China"/>
    <s v="North"/>
    <x v="2"/>
    <n v="0"/>
    <s v="No"/>
    <n v="0"/>
    <s v="Late"/>
    <x v="3"/>
    <x v="4"/>
  </r>
  <r>
    <s v="PO000288"/>
    <s v="SUP00043"/>
    <s v="PROD00105"/>
    <d v="2022-04-17T00:00:00"/>
    <n v="10"/>
    <n v="16.3970888628414"/>
    <d v="2022-05-08T00:00:00"/>
    <d v="2022-05-07T00:00:00"/>
    <n v="163.970888628414"/>
    <n v="-1"/>
    <x v="23"/>
    <s v="India"/>
    <s v="Central"/>
    <x v="1"/>
    <n v="0"/>
    <s v="No"/>
    <n v="1"/>
    <s v="On Time"/>
    <x v="3"/>
    <x v="8"/>
  </r>
  <r>
    <s v="PO000289"/>
    <s v="SUP00053"/>
    <s v="PROD00052"/>
    <d v="2024-03-12T00:00:00"/>
    <n v="10"/>
    <n v="8.0735559464733306"/>
    <d v="2024-04-04T00:00:00"/>
    <d v="2024-04-03T00:00:00"/>
    <n v="80.735559464733299"/>
    <n v="-1"/>
    <x v="18"/>
    <s v="India"/>
    <s v="North"/>
    <x v="2"/>
    <n v="1"/>
    <s v="Yes"/>
    <n v="1"/>
    <s v="On Time"/>
    <x v="0"/>
    <x v="0"/>
  </r>
  <r>
    <s v="PO000290"/>
    <s v="SUP00011"/>
    <s v="PROD00134"/>
    <d v="2023-07-04T00:00:00"/>
    <n v="11"/>
    <n v="38.6640445128862"/>
    <d v="2023-07-28T00:00:00"/>
    <d v="2023-07-27T00:00:00"/>
    <n v="425.304489641749"/>
    <n v="-1"/>
    <x v="37"/>
    <s v="UK"/>
    <s v="East"/>
    <x v="3"/>
    <n v="1"/>
    <s v="Yes"/>
    <n v="1"/>
    <s v="On Time"/>
    <x v="2"/>
    <x v="5"/>
  </r>
  <r>
    <s v="PO000291"/>
    <s v="SUP00005"/>
    <s v="PROD00057"/>
    <d v="2021-10-20T00:00:00"/>
    <n v="13"/>
    <n v="46.937008209945802"/>
    <d v="2021-11-07T00:00:00"/>
    <d v="2021-11-07T00:00:00"/>
    <n v="610.18110672929595"/>
    <n v="0"/>
    <x v="17"/>
    <s v="Canada"/>
    <s v="North"/>
    <x v="1"/>
    <n v="1"/>
    <s v="Yes"/>
    <n v="1"/>
    <s v="On Time"/>
    <x v="1"/>
    <x v="4"/>
  </r>
  <r>
    <s v="PO000292"/>
    <s v="SUP00053"/>
    <s v="PROD00165"/>
    <d v="2023-12-28T00:00:00"/>
    <n v="17"/>
    <n v="31.102527965686601"/>
    <d v="2024-01-10T00:00:00"/>
    <d v="2024-01-16T00:00:00"/>
    <n v="528.74297541667204"/>
    <n v="6"/>
    <x v="18"/>
    <s v="India"/>
    <s v="North"/>
    <x v="2"/>
    <n v="1"/>
    <s v="Yes"/>
    <n v="0"/>
    <s v="Late"/>
    <x v="2"/>
    <x v="7"/>
  </r>
  <r>
    <s v="PO000293"/>
    <s v="SUP00085"/>
    <s v="PROD00168"/>
    <d v="2022-12-17T00:00:00"/>
    <n v="9"/>
    <n v="26.553542990995901"/>
    <d v="2023-01-03T00:00:00"/>
    <d v="2022-12-31T00:00:00"/>
    <n v="238.981886918963"/>
    <n v="-3"/>
    <x v="1"/>
    <s v="Germany"/>
    <s v="Central"/>
    <x v="1"/>
    <n v="1"/>
    <s v="Yes"/>
    <n v="1"/>
    <s v="On Time"/>
    <x v="3"/>
    <x v="7"/>
  </r>
  <r>
    <s v="PO000294"/>
    <s v="SUP00046"/>
    <s v="PROD00121"/>
    <d v="2021-08-06T00:00:00"/>
    <n v="15"/>
    <n v="29.703313209106401"/>
    <d v="2021-08-20T00:00:00"/>
    <d v="2021-08-17T00:00:00"/>
    <n v="445.54969813659699"/>
    <n v="-3"/>
    <x v="61"/>
    <s v="Brazil"/>
    <s v="South"/>
    <x v="3"/>
    <n v="1"/>
    <s v="Yes"/>
    <n v="1"/>
    <s v="On Time"/>
    <x v="1"/>
    <x v="2"/>
  </r>
  <r>
    <s v="PO000295"/>
    <s v="SUP00012"/>
    <s v="PROD00165"/>
    <d v="2021-10-27T00:00:00"/>
    <n v="7"/>
    <n v="73.906259385469397"/>
    <d v="2021-11-10T00:00:00"/>
    <d v="2021-11-11T00:00:00"/>
    <n v="517.34381569828497"/>
    <n v="1"/>
    <x v="88"/>
    <s v="China"/>
    <s v="East"/>
    <x v="3"/>
    <n v="0"/>
    <s v="No"/>
    <n v="0"/>
    <s v="Late"/>
    <x v="1"/>
    <x v="4"/>
  </r>
  <r>
    <s v="PO000296"/>
    <s v="SUP00010"/>
    <s v="PROD00056"/>
    <d v="2021-04-21T00:00:00"/>
    <n v="15"/>
    <n v="5.0253406534500398"/>
    <d v="2021-05-03T00:00:00"/>
    <d v="2021-05-07T00:00:00"/>
    <n v="75.380109801750606"/>
    <n v="4"/>
    <x v="82"/>
    <s v="Denmark"/>
    <s v="Central"/>
    <x v="3"/>
    <n v="0"/>
    <s v="No"/>
    <n v="0"/>
    <s v="Late"/>
    <x v="1"/>
    <x v="8"/>
  </r>
  <r>
    <s v="PO000297"/>
    <s v="SUP00031"/>
    <s v="PROD00153"/>
    <d v="2024-04-02T00:00:00"/>
    <n v="9"/>
    <n v="33.3056878851758"/>
    <d v="2024-04-23T00:00:00"/>
    <d v="2024-04-28T00:00:00"/>
    <n v="299.75119096658199"/>
    <n v="5"/>
    <x v="33"/>
    <s v="USA"/>
    <s v="West"/>
    <x v="3"/>
    <n v="0"/>
    <s v="No"/>
    <n v="0"/>
    <s v="Late"/>
    <x v="0"/>
    <x v="8"/>
  </r>
  <r>
    <s v="PO000298"/>
    <s v="SUP00069"/>
    <s v="PROD00137"/>
    <d v="2021-02-12T00:00:00"/>
    <n v="11"/>
    <n v="60.219709383235802"/>
    <d v="2021-02-26T00:00:00"/>
    <d v="2021-02-25T00:00:00"/>
    <n v="662.41680321559397"/>
    <n v="-1"/>
    <x v="90"/>
    <s v="China"/>
    <s v="Central"/>
    <x v="2"/>
    <n v="0"/>
    <s v="No"/>
    <n v="1"/>
    <s v="On Time"/>
    <x v="1"/>
    <x v="9"/>
  </r>
  <r>
    <s v="PO000299"/>
    <s v="SUP00030"/>
    <s v="PROD00178"/>
    <d v="2021-01-22T00:00:00"/>
    <n v="6"/>
    <n v="21.0255220765624"/>
    <d v="2021-02-12T00:00:00"/>
    <d v="2021-02-15T00:00:00"/>
    <n v="126.15313245937401"/>
    <n v="3"/>
    <x v="29"/>
    <s v="India"/>
    <s v="Central"/>
    <x v="0"/>
    <n v="0"/>
    <s v="No"/>
    <n v="0"/>
    <s v="Late"/>
    <x v="1"/>
    <x v="10"/>
  </r>
  <r>
    <s v="PO000300"/>
    <s v="SUP00074"/>
    <s v="PROD00028"/>
    <d v="2022-12-11T00:00:00"/>
    <n v="9"/>
    <n v="32.118802331799699"/>
    <d v="2022-12-27T00:00:00"/>
    <d v="2022-12-25T00:00:00"/>
    <n v="289.06922098619702"/>
    <n v="-2"/>
    <x v="48"/>
    <s v="Canada"/>
    <s v="South"/>
    <x v="0"/>
    <n v="1"/>
    <s v="Yes"/>
    <n v="1"/>
    <s v="On Time"/>
    <x v="3"/>
    <x v="7"/>
  </r>
  <r>
    <s v="PO000301"/>
    <s v="SUP00058"/>
    <s v="PROD00032"/>
    <d v="2022-05-10T00:00:00"/>
    <n v="9"/>
    <n v="43.818240399276497"/>
    <d v="2022-05-20T00:00:00"/>
    <d v="2022-05-22T00:00:00"/>
    <n v="394.364163593488"/>
    <n v="2"/>
    <x v="86"/>
    <s v="China"/>
    <s v="East"/>
    <x v="2"/>
    <n v="1"/>
    <s v="Yes"/>
    <n v="0"/>
    <s v="Late"/>
    <x v="3"/>
    <x v="3"/>
  </r>
  <r>
    <s v="PO000302"/>
    <s v="SUP00082"/>
    <s v="PROD00164"/>
    <d v="2024-03-16T00:00:00"/>
    <n v="9"/>
    <n v="75.894447211075502"/>
    <d v="2024-04-09T00:00:00"/>
    <d v="2024-04-12T00:00:00"/>
    <n v="683.05002489967899"/>
    <n v="3"/>
    <x v="76"/>
    <s v="India"/>
    <s v="North"/>
    <x v="1"/>
    <n v="1"/>
    <s v="Yes"/>
    <n v="0"/>
    <s v="Late"/>
    <x v="0"/>
    <x v="0"/>
  </r>
  <r>
    <s v="PO000303"/>
    <s v="SUP00003"/>
    <s v="PROD00012"/>
    <d v="2021-08-11T00:00:00"/>
    <n v="13"/>
    <n v="46.756341303689602"/>
    <d v="2021-09-02T00:00:00"/>
    <d v="2021-09-04T00:00:00"/>
    <n v="607.83243694796499"/>
    <n v="2"/>
    <x v="91"/>
    <s v="India"/>
    <s v="Central"/>
    <x v="0"/>
    <n v="1"/>
    <s v="Yes"/>
    <n v="0"/>
    <s v="Late"/>
    <x v="1"/>
    <x v="2"/>
  </r>
  <r>
    <s v="PO000304"/>
    <s v="SUP00072"/>
    <s v="PROD00076"/>
    <d v="2022-01-03T00:00:00"/>
    <n v="11"/>
    <n v="64.290359185126405"/>
    <d v="2022-01-21T00:00:00"/>
    <d v="2022-01-19T00:00:00"/>
    <n v="707.19395103639101"/>
    <n v="-2"/>
    <x v="83"/>
    <s v="India"/>
    <s v="Central"/>
    <x v="1"/>
    <n v="0"/>
    <s v="No"/>
    <n v="1"/>
    <s v="On Time"/>
    <x v="3"/>
    <x v="10"/>
  </r>
  <r>
    <s v="PO000305"/>
    <s v="SUP00015"/>
    <s v="PROD00177"/>
    <d v="2023-05-07T00:00:00"/>
    <n v="6"/>
    <n v="21.9085338944986"/>
    <d v="2023-05-28T00:00:00"/>
    <d v="2023-05-29T00:00:00"/>
    <n v="131.451203366991"/>
    <n v="1"/>
    <x v="51"/>
    <s v="China"/>
    <s v="South"/>
    <x v="0"/>
    <n v="1"/>
    <s v="Yes"/>
    <n v="0"/>
    <s v="Late"/>
    <x v="2"/>
    <x v="3"/>
  </r>
  <r>
    <s v="PO000306"/>
    <s v="SUP00087"/>
    <s v="PROD00085"/>
    <d v="2022-03-19T00:00:00"/>
    <n v="17"/>
    <n v="32.2617769661572"/>
    <d v="2022-03-29T00:00:00"/>
    <d v="2022-03-26T00:00:00"/>
    <n v="548.45020842467295"/>
    <n v="-3"/>
    <x v="14"/>
    <s v="UK"/>
    <s v="Central"/>
    <x v="2"/>
    <n v="0"/>
    <s v="No"/>
    <n v="1"/>
    <s v="On Time"/>
    <x v="3"/>
    <x v="0"/>
  </r>
  <r>
    <s v="PO000307"/>
    <s v="SUP00053"/>
    <s v="PROD00153"/>
    <d v="2024-03-09T00:00:00"/>
    <n v="10"/>
    <n v="13.5052052215314"/>
    <d v="2024-03-29T00:00:00"/>
    <d v="2024-03-29T00:00:00"/>
    <n v="135.05205221531401"/>
    <n v="0"/>
    <x v="18"/>
    <s v="India"/>
    <s v="North"/>
    <x v="2"/>
    <n v="1"/>
    <s v="Yes"/>
    <n v="1"/>
    <s v="On Time"/>
    <x v="0"/>
    <x v="0"/>
  </r>
  <r>
    <s v="PO000308"/>
    <s v="SUP00072"/>
    <s v="PROD00092"/>
    <d v="2022-01-13T00:00:00"/>
    <n v="14"/>
    <n v="48.345469458925002"/>
    <d v="2022-01-28T00:00:00"/>
    <d v="2022-02-02T00:00:00"/>
    <n v="676.83657242494996"/>
    <n v="5"/>
    <x v="83"/>
    <s v="India"/>
    <s v="Central"/>
    <x v="1"/>
    <n v="0"/>
    <s v="No"/>
    <n v="0"/>
    <s v="Late"/>
    <x v="3"/>
    <x v="10"/>
  </r>
  <r>
    <s v="PO000309"/>
    <s v="SUP00099"/>
    <s v="PROD00104"/>
    <d v="2022-07-19T00:00:00"/>
    <n v="15"/>
    <n v="62.978544645077598"/>
    <d v="2022-07-31T00:00:00"/>
    <d v="2022-08-04T00:00:00"/>
    <n v="944.67816967616398"/>
    <n v="4"/>
    <x v="19"/>
    <s v="Denmark"/>
    <s v="South"/>
    <x v="0"/>
    <n v="0"/>
    <s v="No"/>
    <n v="0"/>
    <s v="Late"/>
    <x v="3"/>
    <x v="5"/>
  </r>
  <r>
    <s v="PO000310"/>
    <s v="SUP00075"/>
    <s v="PROD00142"/>
    <d v="2022-11-10T00:00:00"/>
    <n v="7"/>
    <n v="21.9105867178944"/>
    <d v="2022-12-02T00:00:00"/>
    <d v="2022-12-03T00:00:00"/>
    <n v="153.374107025261"/>
    <n v="1"/>
    <x v="11"/>
    <s v="USA"/>
    <s v="Central"/>
    <x v="1"/>
    <n v="1"/>
    <s v="Yes"/>
    <n v="0"/>
    <s v="Late"/>
    <x v="3"/>
    <x v="6"/>
  </r>
  <r>
    <s v="PO000311"/>
    <s v="SUP00076"/>
    <s v="PROD00047"/>
    <d v="2022-02-27T00:00:00"/>
    <n v="15"/>
    <n v="28.029583658455898"/>
    <d v="2022-03-19T00:00:00"/>
    <d v="2022-03-22T00:00:00"/>
    <n v="420.443754876838"/>
    <n v="3"/>
    <x v="89"/>
    <s v="USA"/>
    <s v="South"/>
    <x v="2"/>
    <n v="1"/>
    <s v="Yes"/>
    <n v="0"/>
    <s v="Late"/>
    <x v="3"/>
    <x v="9"/>
  </r>
  <r>
    <s v="PO000312"/>
    <s v="SUP00050"/>
    <s v="PROD00069"/>
    <d v="2022-05-31T00:00:00"/>
    <n v="13"/>
    <n v="70.069499576472396"/>
    <d v="2022-06-10T00:00:00"/>
    <d v="2022-06-12T00:00:00"/>
    <n v="910.903494494141"/>
    <n v="2"/>
    <x v="75"/>
    <s v="Denmark"/>
    <s v="West"/>
    <x v="1"/>
    <n v="0"/>
    <s v="No"/>
    <n v="0"/>
    <s v="Late"/>
    <x v="3"/>
    <x v="3"/>
  </r>
  <r>
    <s v="PO000313"/>
    <s v="SUP00020"/>
    <s v="PROD00087"/>
    <d v="2021-02-20T00:00:00"/>
    <n v="10"/>
    <n v="3.3485748747338802"/>
    <d v="2021-03-08T00:00:00"/>
    <d v="2021-03-06T00:00:00"/>
    <n v="33.485748747338803"/>
    <n v="-2"/>
    <x v="21"/>
    <s v="Canada"/>
    <s v="Central"/>
    <x v="3"/>
    <n v="1"/>
    <s v="Yes"/>
    <n v="1"/>
    <s v="On Time"/>
    <x v="1"/>
    <x v="9"/>
  </r>
  <r>
    <s v="PO000314"/>
    <s v="SUP00096"/>
    <s v="PROD00116"/>
    <d v="2024-02-27T00:00:00"/>
    <n v="12"/>
    <n v="48.530367525258796"/>
    <d v="2024-03-22T00:00:00"/>
    <d v="2024-03-23T00:00:00"/>
    <n v="582.36441030310596"/>
    <n v="1"/>
    <x v="26"/>
    <s v="India"/>
    <s v="South"/>
    <x v="1"/>
    <n v="0"/>
    <s v="No"/>
    <n v="0"/>
    <s v="Late"/>
    <x v="0"/>
    <x v="9"/>
  </r>
  <r>
    <s v="PO000315"/>
    <s v="SUP00028"/>
    <s v="PROD00142"/>
    <d v="2021-02-27T00:00:00"/>
    <n v="11"/>
    <n v="42.916515759544403"/>
    <d v="2021-03-15T00:00:00"/>
    <d v="2021-03-13T00:00:00"/>
    <n v="472.08167335498899"/>
    <n v="-2"/>
    <x v="92"/>
    <s v="Canada"/>
    <s v="East"/>
    <x v="3"/>
    <n v="0"/>
    <s v="No"/>
    <n v="1"/>
    <s v="On Time"/>
    <x v="1"/>
    <x v="9"/>
  </r>
  <r>
    <s v="PO000316"/>
    <s v="SUP00027"/>
    <s v="PROD00147"/>
    <d v="2021-12-21T00:00:00"/>
    <n v="9"/>
    <n v="53.3462168957887"/>
    <d v="2022-01-06T00:00:00"/>
    <d v="2022-01-08T00:00:00"/>
    <n v="480.11595206209802"/>
    <n v="2"/>
    <x v="53"/>
    <s v="Brazil"/>
    <s v="Central"/>
    <x v="0"/>
    <n v="0"/>
    <s v="No"/>
    <n v="0"/>
    <s v="Late"/>
    <x v="1"/>
    <x v="7"/>
  </r>
  <r>
    <s v="PO000317"/>
    <s v="SUP00044"/>
    <s v="PROD00054"/>
    <d v="2023-02-23T00:00:00"/>
    <n v="14"/>
    <n v="37.969858508216397"/>
    <d v="2023-03-17T00:00:00"/>
    <d v="2023-03-22T00:00:00"/>
    <n v="531.57801911502997"/>
    <n v="5"/>
    <x v="21"/>
    <s v="Germany"/>
    <s v="Central"/>
    <x v="1"/>
    <n v="1"/>
    <s v="Yes"/>
    <n v="0"/>
    <s v="Late"/>
    <x v="2"/>
    <x v="9"/>
  </r>
  <r>
    <s v="PO000318"/>
    <s v="SUP00030"/>
    <s v="PROD00155"/>
    <d v="2023-11-21T00:00:00"/>
    <n v="11"/>
    <n v="24.534568828989599"/>
    <d v="2023-12-04T00:00:00"/>
    <d v="2023-12-02T00:00:00"/>
    <n v="269.88025711888599"/>
    <n v="-2"/>
    <x v="29"/>
    <s v="India"/>
    <s v="Central"/>
    <x v="0"/>
    <n v="0"/>
    <s v="No"/>
    <n v="1"/>
    <s v="On Time"/>
    <x v="2"/>
    <x v="6"/>
  </r>
  <r>
    <s v="PO000319"/>
    <s v="SUP00013"/>
    <s v="PROD00070"/>
    <d v="2023-08-10T00:00:00"/>
    <n v="10"/>
    <n v="38.8345547860038"/>
    <d v="2023-08-27T00:00:00"/>
    <d v="2023-08-31T00:00:00"/>
    <n v="388.34554786003798"/>
    <n v="4"/>
    <x v="31"/>
    <s v="China"/>
    <s v="North"/>
    <x v="2"/>
    <n v="1"/>
    <s v="Yes"/>
    <n v="0"/>
    <s v="Late"/>
    <x v="2"/>
    <x v="2"/>
  </r>
  <r>
    <s v="PO000320"/>
    <s v="SUP00039"/>
    <s v="PROD00165"/>
    <d v="2022-06-22T00:00:00"/>
    <n v="13"/>
    <n v="25.3516346374523"/>
    <d v="2022-07-11T00:00:00"/>
    <d v="2022-07-08T00:00:00"/>
    <n v="329.57125028688"/>
    <n v="-3"/>
    <x v="7"/>
    <s v="Denmark"/>
    <s v="South"/>
    <x v="0"/>
    <n v="1"/>
    <s v="Yes"/>
    <n v="1"/>
    <s v="On Time"/>
    <x v="3"/>
    <x v="1"/>
  </r>
  <r>
    <s v="PO000321"/>
    <s v="SUP00056"/>
    <s v="PROD00121"/>
    <d v="2024-02-06T00:00:00"/>
    <n v="12"/>
    <n v="11.3082591094675"/>
    <d v="2024-02-27T00:00:00"/>
    <d v="2024-02-27T00:00:00"/>
    <n v="135.69910931360999"/>
    <n v="0"/>
    <x v="13"/>
    <s v="China"/>
    <s v="North"/>
    <x v="2"/>
    <n v="0"/>
    <s v="No"/>
    <n v="1"/>
    <s v="On Time"/>
    <x v="0"/>
    <x v="9"/>
  </r>
  <r>
    <s v="PO000322"/>
    <s v="SUP00005"/>
    <s v="PROD00007"/>
    <d v="2021-08-22T00:00:00"/>
    <n v="11"/>
    <n v="17.055427179871199"/>
    <d v="2021-09-11T00:00:00"/>
    <d v="2021-09-15T00:00:00"/>
    <n v="187.609698978583"/>
    <n v="4"/>
    <x v="17"/>
    <s v="Canada"/>
    <s v="North"/>
    <x v="1"/>
    <n v="1"/>
    <s v="Yes"/>
    <n v="0"/>
    <s v="Late"/>
    <x v="1"/>
    <x v="2"/>
  </r>
  <r>
    <s v="PO000323"/>
    <s v="SUP00058"/>
    <s v="PROD00049"/>
    <d v="2023-05-25T00:00:00"/>
    <n v="10"/>
    <n v="34.645212507321403"/>
    <d v="2023-06-14T00:00:00"/>
    <d v="2023-06-18T00:00:00"/>
    <n v="346.45212507321401"/>
    <n v="4"/>
    <x v="86"/>
    <s v="China"/>
    <s v="East"/>
    <x v="2"/>
    <n v="1"/>
    <s v="Yes"/>
    <n v="0"/>
    <s v="Late"/>
    <x v="2"/>
    <x v="3"/>
  </r>
  <r>
    <s v="PO000324"/>
    <s v="SUP00081"/>
    <s v="PROD00028"/>
    <d v="2023-10-15T00:00:00"/>
    <n v="10"/>
    <n v="40.649246306417602"/>
    <d v="2023-11-06T00:00:00"/>
    <d v="2023-11-12T00:00:00"/>
    <n v="406.49246306417598"/>
    <n v="6"/>
    <x v="66"/>
    <s v="India"/>
    <s v="Central"/>
    <x v="0"/>
    <n v="1"/>
    <s v="Yes"/>
    <n v="0"/>
    <s v="Late"/>
    <x v="2"/>
    <x v="4"/>
  </r>
  <r>
    <s v="PO000325"/>
    <s v="SUP00033"/>
    <s v="PROD00037"/>
    <d v="2021-05-19T00:00:00"/>
    <n v="11"/>
    <n v="55.964817573600698"/>
    <d v="2021-05-30T00:00:00"/>
    <d v="2021-06-03T00:00:00"/>
    <n v="615.61299330960696"/>
    <n v="4"/>
    <x v="54"/>
    <s v="USA"/>
    <s v="South"/>
    <x v="0"/>
    <n v="0"/>
    <s v="No"/>
    <n v="0"/>
    <s v="Late"/>
    <x v="1"/>
    <x v="3"/>
  </r>
  <r>
    <s v="PO000326"/>
    <s v="SUP00027"/>
    <s v="PROD00049"/>
    <d v="2023-09-26T00:00:00"/>
    <n v="5"/>
    <n v="52.966038826101901"/>
    <d v="2023-10-20T00:00:00"/>
    <d v="2023-10-20T00:00:00"/>
    <n v="264.83019413050903"/>
    <n v="0"/>
    <x v="53"/>
    <s v="Brazil"/>
    <s v="Central"/>
    <x v="0"/>
    <n v="0"/>
    <s v="No"/>
    <n v="1"/>
    <s v="On Time"/>
    <x v="2"/>
    <x v="11"/>
  </r>
  <r>
    <s v="PO000327"/>
    <s v="SUP00046"/>
    <s v="PROD00064"/>
    <d v="2021-04-11T00:00:00"/>
    <n v="9"/>
    <n v="36.945626478723"/>
    <d v="2021-04-25T00:00:00"/>
    <d v="2021-04-28T00:00:00"/>
    <n v="332.510638308507"/>
    <n v="3"/>
    <x v="61"/>
    <s v="Brazil"/>
    <s v="South"/>
    <x v="3"/>
    <n v="1"/>
    <s v="Yes"/>
    <n v="0"/>
    <s v="Late"/>
    <x v="1"/>
    <x v="8"/>
  </r>
  <r>
    <s v="PO000328"/>
    <s v="SUP00075"/>
    <s v="PROD00069"/>
    <d v="2021-10-22T00:00:00"/>
    <n v="8"/>
    <n v="57.812721565646399"/>
    <d v="2021-11-03T00:00:00"/>
    <d v="2021-11-01T00:00:00"/>
    <n v="462.50177252517102"/>
    <n v="-2"/>
    <x v="11"/>
    <s v="USA"/>
    <s v="Central"/>
    <x v="1"/>
    <n v="1"/>
    <s v="Yes"/>
    <n v="1"/>
    <s v="On Time"/>
    <x v="1"/>
    <x v="4"/>
  </r>
  <r>
    <s v="PO000329"/>
    <s v="SUP00044"/>
    <s v="PROD00148"/>
    <d v="2023-03-16T00:00:00"/>
    <n v="12"/>
    <n v="69.747540784407903"/>
    <d v="2023-04-04T00:00:00"/>
    <d v="2023-04-09T00:00:00"/>
    <n v="836.97048941289495"/>
    <n v="5"/>
    <x v="21"/>
    <s v="Germany"/>
    <s v="Central"/>
    <x v="1"/>
    <n v="1"/>
    <s v="Yes"/>
    <n v="0"/>
    <s v="Late"/>
    <x v="2"/>
    <x v="0"/>
  </r>
  <r>
    <s v="PO000330"/>
    <s v="SUP00089"/>
    <s v="PROD00008"/>
    <d v="2022-02-23T00:00:00"/>
    <n v="5"/>
    <n v="33.849874758262096"/>
    <d v="2022-03-18T00:00:00"/>
    <d v="2022-03-19T00:00:00"/>
    <n v="169.24937379131001"/>
    <n v="1"/>
    <x v="87"/>
    <s v="Canada"/>
    <s v="North"/>
    <x v="0"/>
    <n v="0"/>
    <s v="No"/>
    <n v="0"/>
    <s v="Late"/>
    <x v="3"/>
    <x v="9"/>
  </r>
  <r>
    <s v="PO000331"/>
    <s v="SUP00067"/>
    <s v="PROD00019"/>
    <d v="2022-06-22T00:00:00"/>
    <n v="8"/>
    <n v="31.513777904906"/>
    <d v="2022-07-14T00:00:00"/>
    <d v="2022-07-20T00:00:00"/>
    <n v="252.110223239248"/>
    <n v="6"/>
    <x v="22"/>
    <s v="UK"/>
    <s v="South"/>
    <x v="3"/>
    <n v="1"/>
    <s v="Yes"/>
    <n v="0"/>
    <s v="Late"/>
    <x v="3"/>
    <x v="1"/>
  </r>
  <r>
    <s v="PO000332"/>
    <s v="SUP00032"/>
    <s v="PROD00001"/>
    <d v="2023-08-09T00:00:00"/>
    <n v="10"/>
    <n v="79.868512681948005"/>
    <d v="2023-08-31T00:00:00"/>
    <d v="2023-08-30T00:00:00"/>
    <n v="798.68512681948005"/>
    <n v="-1"/>
    <x v="15"/>
    <s v="Germany"/>
    <s v="South"/>
    <x v="0"/>
    <n v="0"/>
    <s v="No"/>
    <n v="1"/>
    <s v="On Time"/>
    <x v="2"/>
    <x v="2"/>
  </r>
  <r>
    <s v="PO000333"/>
    <s v="SUP00034"/>
    <s v="PROD00028"/>
    <d v="2023-12-05T00:00:00"/>
    <n v="13"/>
    <n v="31.0039281436955"/>
    <d v="2023-12-15T00:00:00"/>
    <d v="2023-12-12T00:00:00"/>
    <n v="403.05106586804101"/>
    <n v="-3"/>
    <x v="67"/>
    <s v="Brazil"/>
    <s v="North"/>
    <x v="1"/>
    <n v="1"/>
    <s v="Yes"/>
    <n v="1"/>
    <s v="On Time"/>
    <x v="2"/>
    <x v="7"/>
  </r>
  <r>
    <s v="PO000334"/>
    <s v="SUP00069"/>
    <s v="PROD00022"/>
    <d v="2022-06-18T00:00:00"/>
    <n v="10"/>
    <n v="67.821317495207296"/>
    <d v="2022-07-12T00:00:00"/>
    <d v="2022-07-15T00:00:00"/>
    <n v="678.21317495207302"/>
    <n v="3"/>
    <x v="90"/>
    <s v="China"/>
    <s v="Central"/>
    <x v="2"/>
    <n v="0"/>
    <s v="No"/>
    <n v="0"/>
    <s v="Late"/>
    <x v="3"/>
    <x v="1"/>
  </r>
  <r>
    <s v="PO000335"/>
    <s v="SUP00098"/>
    <s v="PROD00056"/>
    <d v="2022-11-11T00:00:00"/>
    <n v="8"/>
    <n v="53.756098712978797"/>
    <d v="2022-12-02T00:00:00"/>
    <d v="2022-12-05T00:00:00"/>
    <n v="430.04878970382998"/>
    <n v="3"/>
    <x v="38"/>
    <s v="Germany"/>
    <s v="North"/>
    <x v="3"/>
    <n v="1"/>
    <s v="Yes"/>
    <n v="0"/>
    <s v="Late"/>
    <x v="3"/>
    <x v="6"/>
  </r>
  <r>
    <s v="PO000336"/>
    <s v="SUP00028"/>
    <s v="PROD00014"/>
    <d v="2022-10-07T00:00:00"/>
    <n v="16"/>
    <n v="53.453299018083797"/>
    <d v="2022-10-21T00:00:00"/>
    <d v="2022-10-25T00:00:00"/>
    <n v="855.25278428934098"/>
    <n v="4"/>
    <x v="92"/>
    <s v="Canada"/>
    <s v="East"/>
    <x v="3"/>
    <n v="0"/>
    <s v="No"/>
    <n v="0"/>
    <s v="Late"/>
    <x v="3"/>
    <x v="4"/>
  </r>
  <r>
    <s v="PO000337"/>
    <s v="SUP00021"/>
    <s v="PROD00007"/>
    <d v="2023-07-19T00:00:00"/>
    <n v="20"/>
    <n v="47.668050647985503"/>
    <d v="2023-08-09T00:00:00"/>
    <d v="2023-08-10T00:00:00"/>
    <n v="953.36101295971105"/>
    <n v="1"/>
    <x v="19"/>
    <s v="Germany"/>
    <s v="Central"/>
    <x v="1"/>
    <n v="1"/>
    <s v="Yes"/>
    <n v="0"/>
    <s v="Late"/>
    <x v="2"/>
    <x v="5"/>
  </r>
  <r>
    <s v="PO000338"/>
    <s v="SUP00038"/>
    <s v="PROD00099"/>
    <d v="2021-05-31T00:00:00"/>
    <n v="12"/>
    <n v="71.015488882917893"/>
    <d v="2021-06-17T00:00:00"/>
    <d v="2021-06-20T00:00:00"/>
    <n v="852.185866595015"/>
    <n v="3"/>
    <x v="34"/>
    <s v="Germany"/>
    <s v="South"/>
    <x v="1"/>
    <n v="0"/>
    <s v="No"/>
    <n v="0"/>
    <s v="Late"/>
    <x v="1"/>
    <x v="3"/>
  </r>
  <r>
    <s v="PO000339"/>
    <s v="SUP00075"/>
    <s v="PROD00136"/>
    <d v="2023-06-19T00:00:00"/>
    <n v="8"/>
    <n v="10.066587342421499"/>
    <d v="2023-07-08T00:00:00"/>
    <d v="2023-07-12T00:00:00"/>
    <n v="80.532698739372506"/>
    <n v="4"/>
    <x v="11"/>
    <s v="USA"/>
    <s v="Central"/>
    <x v="1"/>
    <n v="1"/>
    <s v="Yes"/>
    <n v="0"/>
    <s v="Late"/>
    <x v="2"/>
    <x v="1"/>
  </r>
  <r>
    <s v="PO000340"/>
    <s v="SUP00053"/>
    <s v="PROD00044"/>
    <d v="2021-01-19T00:00:00"/>
    <n v="14"/>
    <n v="31.518047838176798"/>
    <d v="2021-02-07T00:00:00"/>
    <d v="2021-02-09T00:00:00"/>
    <n v="441.25266973447498"/>
    <n v="2"/>
    <x v="18"/>
    <s v="India"/>
    <s v="North"/>
    <x v="2"/>
    <n v="1"/>
    <s v="Yes"/>
    <n v="0"/>
    <s v="Late"/>
    <x v="1"/>
    <x v="10"/>
  </r>
  <r>
    <s v="PO000341"/>
    <s v="SUP00069"/>
    <s v="PROD00197"/>
    <d v="2021-10-13T00:00:00"/>
    <n v="11"/>
    <n v="30.1562942247126"/>
    <d v="2021-10-26T00:00:00"/>
    <d v="2021-10-25T00:00:00"/>
    <n v="331.719236471839"/>
    <n v="-1"/>
    <x v="90"/>
    <s v="China"/>
    <s v="Central"/>
    <x v="2"/>
    <n v="0"/>
    <s v="No"/>
    <n v="1"/>
    <s v="On Time"/>
    <x v="1"/>
    <x v="4"/>
  </r>
  <r>
    <s v="PO000342"/>
    <s v="SUP00045"/>
    <s v="PROD00178"/>
    <d v="2022-05-12T00:00:00"/>
    <n v="13"/>
    <n v="5.2601333348385797"/>
    <d v="2022-05-23T00:00:00"/>
    <d v="2022-05-27T00:00:00"/>
    <n v="68.381733352901605"/>
    <n v="4"/>
    <x v="84"/>
    <s v="Canada"/>
    <s v="North"/>
    <x v="3"/>
    <n v="1"/>
    <s v="Yes"/>
    <n v="0"/>
    <s v="Late"/>
    <x v="3"/>
    <x v="3"/>
  </r>
  <r>
    <s v="PO000343"/>
    <s v="SUP00043"/>
    <s v="PROD00083"/>
    <d v="2023-06-17T00:00:00"/>
    <n v="17"/>
    <n v="24.218698954452599"/>
    <d v="2023-06-27T00:00:00"/>
    <d v="2023-07-02T00:00:00"/>
    <n v="411.71788222569398"/>
    <n v="5"/>
    <x v="23"/>
    <s v="India"/>
    <s v="Central"/>
    <x v="1"/>
    <n v="0"/>
    <s v="No"/>
    <n v="0"/>
    <s v="Late"/>
    <x v="2"/>
    <x v="1"/>
  </r>
  <r>
    <s v="PO000344"/>
    <s v="SUP00036"/>
    <s v="PROD00057"/>
    <d v="2023-12-25T00:00:00"/>
    <n v="10"/>
    <n v="67.702057418375503"/>
    <d v="2024-01-09T00:00:00"/>
    <d v="2024-01-07T00:00:00"/>
    <n v="677.020574183755"/>
    <n v="-2"/>
    <x v="40"/>
    <s v="Canada"/>
    <s v="West"/>
    <x v="3"/>
    <n v="1"/>
    <s v="Yes"/>
    <n v="1"/>
    <s v="On Time"/>
    <x v="2"/>
    <x v="7"/>
  </r>
  <r>
    <s v="PO000345"/>
    <s v="SUP00098"/>
    <s v="PROD00187"/>
    <d v="2021-06-27T00:00:00"/>
    <n v="10"/>
    <n v="10.108317614951901"/>
    <d v="2021-07-08T00:00:00"/>
    <d v="2021-07-06T00:00:00"/>
    <n v="101.08317614951901"/>
    <n v="-2"/>
    <x v="38"/>
    <s v="Germany"/>
    <s v="North"/>
    <x v="3"/>
    <n v="1"/>
    <s v="Yes"/>
    <n v="1"/>
    <s v="On Time"/>
    <x v="1"/>
    <x v="1"/>
  </r>
  <r>
    <s v="PO000346"/>
    <s v="SUP00047"/>
    <s v="PROD00025"/>
    <d v="2022-03-26T00:00:00"/>
    <n v="9"/>
    <n v="79.739358192736105"/>
    <d v="2022-04-08T00:00:00"/>
    <d v="2022-04-13T00:00:00"/>
    <n v="717.65422373462502"/>
    <n v="5"/>
    <x v="93"/>
    <s v="UK"/>
    <s v="Central"/>
    <x v="3"/>
    <n v="0"/>
    <s v="No"/>
    <n v="0"/>
    <s v="Late"/>
    <x v="3"/>
    <x v="0"/>
  </r>
  <r>
    <s v="PO000347"/>
    <s v="SUP00030"/>
    <s v="PROD00151"/>
    <d v="2022-12-26T00:00:00"/>
    <n v="9"/>
    <n v="48.221386657929102"/>
    <d v="2023-01-15T00:00:00"/>
    <d v="2023-01-17T00:00:00"/>
    <n v="433.992479921361"/>
    <n v="2"/>
    <x v="29"/>
    <s v="India"/>
    <s v="Central"/>
    <x v="0"/>
    <n v="0"/>
    <s v="No"/>
    <n v="0"/>
    <s v="Late"/>
    <x v="3"/>
    <x v="7"/>
  </r>
  <r>
    <s v="PO000348"/>
    <s v="SUP00077"/>
    <s v="PROD00115"/>
    <d v="2023-06-20T00:00:00"/>
    <n v="10"/>
    <n v="58.807176319403197"/>
    <d v="2023-07-06T00:00:00"/>
    <d v="2023-07-03T00:00:00"/>
    <n v="588.07176319403197"/>
    <n v="-3"/>
    <x v="10"/>
    <s v="India"/>
    <s v="West"/>
    <x v="1"/>
    <n v="0"/>
    <s v="No"/>
    <n v="1"/>
    <s v="On Time"/>
    <x v="2"/>
    <x v="1"/>
  </r>
  <r>
    <s v="PO000349"/>
    <s v="SUP00013"/>
    <s v="PROD00177"/>
    <d v="2023-08-12T00:00:00"/>
    <n v="22"/>
    <n v="72.791096284076602"/>
    <d v="2023-09-03T00:00:00"/>
    <d v="2023-09-01T00:00:00"/>
    <n v="1601.4041182496801"/>
    <n v="-2"/>
    <x v="31"/>
    <s v="China"/>
    <s v="North"/>
    <x v="2"/>
    <n v="1"/>
    <s v="Yes"/>
    <n v="1"/>
    <s v="On Time"/>
    <x v="2"/>
    <x v="2"/>
  </r>
  <r>
    <s v="PO000350"/>
    <s v="SUP00047"/>
    <s v="PROD00012"/>
    <d v="2024-02-02T00:00:00"/>
    <n v="13"/>
    <n v="26.651269024724701"/>
    <d v="2024-02-15T00:00:00"/>
    <d v="2024-02-20T00:00:00"/>
    <n v="346.466497321421"/>
    <n v="5"/>
    <x v="93"/>
    <s v="UK"/>
    <s v="Central"/>
    <x v="3"/>
    <n v="0"/>
    <s v="No"/>
    <n v="0"/>
    <s v="Late"/>
    <x v="0"/>
    <x v="9"/>
  </r>
  <r>
    <s v="PO000351"/>
    <s v="SUP00050"/>
    <s v="PROD00120"/>
    <d v="2021-01-22T00:00:00"/>
    <n v="11"/>
    <n v="43.156867770378597"/>
    <d v="2021-02-09T00:00:00"/>
    <d v="2021-02-10T00:00:00"/>
    <n v="474.72554547416502"/>
    <n v="1"/>
    <x v="75"/>
    <s v="Denmark"/>
    <s v="West"/>
    <x v="1"/>
    <n v="0"/>
    <s v="No"/>
    <n v="0"/>
    <s v="Late"/>
    <x v="1"/>
    <x v="10"/>
  </r>
  <r>
    <s v="PO000352"/>
    <s v="SUP00017"/>
    <s v="PROD00120"/>
    <d v="2021-11-20T00:00:00"/>
    <n v="7"/>
    <n v="55.369876864231699"/>
    <d v="2021-12-12T00:00:00"/>
    <d v="2021-12-17T00:00:00"/>
    <n v="387.589138049621"/>
    <n v="5"/>
    <x v="52"/>
    <s v="India"/>
    <s v="East"/>
    <x v="1"/>
    <n v="0"/>
    <s v="No"/>
    <n v="0"/>
    <s v="Late"/>
    <x v="1"/>
    <x v="6"/>
  </r>
  <r>
    <s v="PO000353"/>
    <s v="SUP00076"/>
    <s v="PROD00133"/>
    <d v="2021-09-10T00:00:00"/>
    <n v="5"/>
    <n v="64.691781205039504"/>
    <d v="2021-09-30T00:00:00"/>
    <d v="2021-09-27T00:00:00"/>
    <n v="323.458906025197"/>
    <n v="-3"/>
    <x v="89"/>
    <s v="USA"/>
    <s v="South"/>
    <x v="2"/>
    <n v="1"/>
    <s v="Yes"/>
    <n v="1"/>
    <s v="On Time"/>
    <x v="1"/>
    <x v="11"/>
  </r>
  <r>
    <s v="PO000354"/>
    <s v="SUP00010"/>
    <s v="PROD00194"/>
    <d v="2023-09-27T00:00:00"/>
    <n v="13"/>
    <n v="55.6176359646497"/>
    <d v="2023-10-18T00:00:00"/>
    <d v="2023-10-18T00:00:00"/>
    <n v="723.02926754044699"/>
    <n v="0"/>
    <x v="82"/>
    <s v="Denmark"/>
    <s v="Central"/>
    <x v="3"/>
    <n v="0"/>
    <s v="No"/>
    <n v="1"/>
    <s v="On Time"/>
    <x v="2"/>
    <x v="11"/>
  </r>
  <r>
    <s v="PO000355"/>
    <s v="SUP00006"/>
    <s v="PROD00068"/>
    <d v="2022-12-09T00:00:00"/>
    <n v="6"/>
    <n v="77.427361550386195"/>
    <d v="2022-12-25T00:00:00"/>
    <d v="2022-12-26T00:00:00"/>
    <n v="464.564169302317"/>
    <n v="1"/>
    <x v="78"/>
    <s v="USA"/>
    <s v="East"/>
    <x v="0"/>
    <n v="1"/>
    <s v="Yes"/>
    <n v="0"/>
    <s v="Late"/>
    <x v="3"/>
    <x v="7"/>
  </r>
  <r>
    <s v="PO000356"/>
    <s v="SUP00074"/>
    <s v="PROD00168"/>
    <d v="2022-02-20T00:00:00"/>
    <n v="7"/>
    <n v="22.447384790188799"/>
    <d v="2022-03-15T00:00:00"/>
    <d v="2022-03-17T00:00:00"/>
    <n v="157.13169353132099"/>
    <n v="2"/>
    <x v="48"/>
    <s v="Canada"/>
    <s v="South"/>
    <x v="0"/>
    <n v="1"/>
    <s v="Yes"/>
    <n v="0"/>
    <s v="Late"/>
    <x v="3"/>
    <x v="9"/>
  </r>
  <r>
    <s v="PO000357"/>
    <s v="SUP00055"/>
    <s v="PROD00016"/>
    <d v="2022-10-11T00:00:00"/>
    <n v="10"/>
    <n v="77.814999632381202"/>
    <d v="2022-10-31T00:00:00"/>
    <d v="2022-10-31T00:00:00"/>
    <n v="778.14999632381205"/>
    <n v="0"/>
    <x v="49"/>
    <s v="China"/>
    <s v="East"/>
    <x v="0"/>
    <n v="1"/>
    <s v="Yes"/>
    <n v="1"/>
    <s v="On Time"/>
    <x v="3"/>
    <x v="4"/>
  </r>
  <r>
    <s v="PO000358"/>
    <s v="SUP00041"/>
    <s v="PROD00165"/>
    <d v="2024-01-29T00:00:00"/>
    <n v="11"/>
    <n v="49.6130584767023"/>
    <d v="2024-02-11T00:00:00"/>
    <d v="2024-02-11T00:00:00"/>
    <n v="545.74364324372505"/>
    <n v="0"/>
    <x v="72"/>
    <s v="Germany"/>
    <s v="West"/>
    <x v="1"/>
    <n v="0"/>
    <s v="No"/>
    <n v="1"/>
    <s v="On Time"/>
    <x v="0"/>
    <x v="10"/>
  </r>
  <r>
    <s v="PO000359"/>
    <s v="SUP00054"/>
    <s v="PROD00090"/>
    <d v="2023-08-01T00:00:00"/>
    <n v="13"/>
    <n v="72.254953044744198"/>
    <d v="2023-08-11T00:00:00"/>
    <d v="2023-08-08T00:00:00"/>
    <n v="939.31438958167496"/>
    <n v="-3"/>
    <x v="73"/>
    <s v="Canada"/>
    <s v="South"/>
    <x v="3"/>
    <n v="1"/>
    <s v="Yes"/>
    <n v="1"/>
    <s v="On Time"/>
    <x v="2"/>
    <x v="2"/>
  </r>
  <r>
    <s v="PO000360"/>
    <s v="SUP00086"/>
    <s v="PROD00089"/>
    <d v="2023-11-10T00:00:00"/>
    <n v="6"/>
    <n v="15.403970799743901"/>
    <d v="2023-11-23T00:00:00"/>
    <d v="2023-11-29T00:00:00"/>
    <n v="92.423824798463798"/>
    <n v="6"/>
    <x v="69"/>
    <s v="Denmark"/>
    <s v="South"/>
    <x v="0"/>
    <n v="1"/>
    <s v="Yes"/>
    <n v="0"/>
    <s v="Late"/>
    <x v="2"/>
    <x v="6"/>
  </r>
  <r>
    <s v="PO000361"/>
    <s v="SUP00070"/>
    <s v="PROD00075"/>
    <d v="2022-07-06T00:00:00"/>
    <n v="15"/>
    <n v="31.284249493155802"/>
    <d v="2022-07-22T00:00:00"/>
    <d v="2022-07-28T00:00:00"/>
    <n v="469.26374239733701"/>
    <n v="6"/>
    <x v="32"/>
    <s v="USA"/>
    <s v="Central"/>
    <x v="3"/>
    <n v="0"/>
    <s v="No"/>
    <n v="0"/>
    <s v="Late"/>
    <x v="3"/>
    <x v="5"/>
  </r>
  <r>
    <s v="PO000362"/>
    <s v="SUP00006"/>
    <s v="PROD00105"/>
    <d v="2021-02-21T00:00:00"/>
    <n v="10"/>
    <n v="19.768778151015699"/>
    <d v="2021-03-04T00:00:00"/>
    <d v="2021-03-08T00:00:00"/>
    <n v="197.68778151015701"/>
    <n v="4"/>
    <x v="78"/>
    <s v="USA"/>
    <s v="East"/>
    <x v="0"/>
    <n v="1"/>
    <s v="Yes"/>
    <n v="0"/>
    <s v="Late"/>
    <x v="1"/>
    <x v="9"/>
  </r>
  <r>
    <s v="PO000363"/>
    <s v="SUP00040"/>
    <s v="PROD00046"/>
    <d v="2022-12-25T00:00:00"/>
    <n v="9"/>
    <n v="52.777093124989499"/>
    <d v="2023-01-08T00:00:00"/>
    <d v="2023-01-13T00:00:00"/>
    <n v="474.99383812490601"/>
    <n v="5"/>
    <x v="58"/>
    <s v="Denmark"/>
    <s v="East"/>
    <x v="2"/>
    <n v="0"/>
    <s v="No"/>
    <n v="0"/>
    <s v="Late"/>
    <x v="3"/>
    <x v="7"/>
  </r>
  <r>
    <s v="PO000364"/>
    <s v="SUP00067"/>
    <s v="PROD00025"/>
    <d v="2021-02-05T00:00:00"/>
    <n v="17"/>
    <n v="4.0285093912714203"/>
    <d v="2021-03-01T00:00:00"/>
    <d v="2021-03-05T00:00:00"/>
    <n v="68.484659651614194"/>
    <n v="4"/>
    <x v="22"/>
    <s v="UK"/>
    <s v="South"/>
    <x v="3"/>
    <n v="1"/>
    <s v="Yes"/>
    <n v="0"/>
    <s v="Late"/>
    <x v="1"/>
    <x v="9"/>
  </r>
  <r>
    <s v="PO000365"/>
    <s v="SUP00021"/>
    <s v="PROD00035"/>
    <d v="2023-08-31T00:00:00"/>
    <n v="10"/>
    <n v="14.180684894788"/>
    <d v="2023-09-18T00:00:00"/>
    <d v="2023-09-19T00:00:00"/>
    <n v="141.80684894788001"/>
    <n v="1"/>
    <x v="19"/>
    <s v="Germany"/>
    <s v="Central"/>
    <x v="1"/>
    <n v="1"/>
    <s v="Yes"/>
    <n v="0"/>
    <s v="Late"/>
    <x v="2"/>
    <x v="2"/>
  </r>
  <r>
    <s v="PO000366"/>
    <s v="SUP00035"/>
    <s v="PROD00099"/>
    <d v="2024-04-08T00:00:00"/>
    <n v="10"/>
    <n v="34.739063180511401"/>
    <d v="2024-04-25T00:00:00"/>
    <d v="2024-04-22T00:00:00"/>
    <n v="347.39063180511403"/>
    <n v="-3"/>
    <x v="25"/>
    <s v="Denmark"/>
    <s v="Central"/>
    <x v="1"/>
    <n v="1"/>
    <s v="Yes"/>
    <n v="1"/>
    <s v="On Time"/>
    <x v="0"/>
    <x v="8"/>
  </r>
  <r>
    <s v="PO000367"/>
    <s v="SUP00061"/>
    <s v="PROD00139"/>
    <d v="2023-11-16T00:00:00"/>
    <n v="10"/>
    <n v="42.523389185698598"/>
    <d v="2023-11-30T00:00:00"/>
    <d v="2023-11-28T00:00:00"/>
    <n v="425.23389185698602"/>
    <n v="-2"/>
    <x v="71"/>
    <s v="India"/>
    <s v="South"/>
    <x v="2"/>
    <n v="0"/>
    <s v="No"/>
    <n v="1"/>
    <s v="On Time"/>
    <x v="2"/>
    <x v="6"/>
  </r>
  <r>
    <s v="PO000368"/>
    <s v="SUP00100"/>
    <s v="PROD00033"/>
    <d v="2023-10-31T00:00:00"/>
    <n v="14"/>
    <n v="39.067968311405302"/>
    <d v="2023-11-13T00:00:00"/>
    <d v="2023-11-11T00:00:00"/>
    <n v="546.95155635967501"/>
    <n v="-2"/>
    <x v="45"/>
    <s v="Canada"/>
    <s v="Central"/>
    <x v="1"/>
    <n v="0"/>
    <s v="No"/>
    <n v="1"/>
    <s v="On Time"/>
    <x v="2"/>
    <x v="4"/>
  </r>
  <r>
    <s v="PO000369"/>
    <s v="SUP00037"/>
    <s v="PROD00042"/>
    <d v="2021-09-29T00:00:00"/>
    <n v="10"/>
    <n v="76.990580408196905"/>
    <d v="2021-10-16T00:00:00"/>
    <d v="2021-10-17T00:00:00"/>
    <n v="769.90580408196899"/>
    <n v="1"/>
    <x v="46"/>
    <s v="Denmark"/>
    <s v="East"/>
    <x v="1"/>
    <n v="0"/>
    <s v="No"/>
    <n v="0"/>
    <s v="Late"/>
    <x v="1"/>
    <x v="11"/>
  </r>
  <r>
    <s v="PO000370"/>
    <s v="SUP00013"/>
    <s v="PROD00141"/>
    <d v="2023-02-21T00:00:00"/>
    <n v="3"/>
    <n v="72.663596736847694"/>
    <d v="2023-03-04T00:00:00"/>
    <d v="2023-03-04T00:00:00"/>
    <n v="217.990790210543"/>
    <n v="0"/>
    <x v="31"/>
    <s v="China"/>
    <s v="North"/>
    <x v="2"/>
    <n v="1"/>
    <s v="Yes"/>
    <n v="1"/>
    <s v="On Time"/>
    <x v="2"/>
    <x v="9"/>
  </r>
  <r>
    <s v="PO000371"/>
    <s v="SUP00077"/>
    <s v="PROD00024"/>
    <d v="2022-07-28T00:00:00"/>
    <n v="11"/>
    <n v="64.294434686751799"/>
    <d v="2022-08-10T00:00:00"/>
    <d v="2022-08-16T00:00:00"/>
    <n v="707.23878155426996"/>
    <n v="6"/>
    <x v="10"/>
    <s v="India"/>
    <s v="West"/>
    <x v="1"/>
    <n v="0"/>
    <s v="No"/>
    <n v="0"/>
    <s v="Late"/>
    <x v="3"/>
    <x v="5"/>
  </r>
  <r>
    <s v="PO000372"/>
    <s v="SUP00078"/>
    <s v="PROD00074"/>
    <d v="2023-03-19T00:00:00"/>
    <n v="12"/>
    <n v="44.209428232733501"/>
    <d v="2023-04-12T00:00:00"/>
    <d v="2023-04-11T00:00:00"/>
    <n v="530.51313879280201"/>
    <n v="-1"/>
    <x v="56"/>
    <s v="Germany"/>
    <s v="North"/>
    <x v="0"/>
    <n v="0"/>
    <s v="No"/>
    <n v="1"/>
    <s v="On Time"/>
    <x v="2"/>
    <x v="0"/>
  </r>
  <r>
    <s v="PO000373"/>
    <s v="SUP00049"/>
    <s v="PROD00127"/>
    <d v="2023-12-20T00:00:00"/>
    <n v="12"/>
    <n v="45.4781581323832"/>
    <d v="2024-01-05T00:00:00"/>
    <d v="2024-01-08T00:00:00"/>
    <n v="545.737897588598"/>
    <n v="3"/>
    <x v="71"/>
    <s v="Canada"/>
    <s v="East"/>
    <x v="0"/>
    <n v="1"/>
    <s v="Yes"/>
    <n v="0"/>
    <s v="Late"/>
    <x v="2"/>
    <x v="7"/>
  </r>
  <r>
    <s v="PO000374"/>
    <s v="SUP00033"/>
    <s v="PROD00026"/>
    <d v="2022-08-26T00:00:00"/>
    <n v="15"/>
    <n v="23.925639151508001"/>
    <d v="2022-09-16T00:00:00"/>
    <d v="2022-09-16T00:00:00"/>
    <n v="358.88458727262002"/>
    <n v="0"/>
    <x v="54"/>
    <s v="USA"/>
    <s v="South"/>
    <x v="0"/>
    <n v="0"/>
    <s v="No"/>
    <n v="1"/>
    <s v="On Time"/>
    <x v="3"/>
    <x v="2"/>
  </r>
  <r>
    <s v="PO000375"/>
    <s v="SUP00053"/>
    <s v="PROD00095"/>
    <d v="2021-12-10T00:00:00"/>
    <n v="13"/>
    <n v="55.907119335583801"/>
    <d v="2021-12-31T00:00:00"/>
    <d v="2022-01-01T00:00:00"/>
    <n v="726.79255136258905"/>
    <n v="1"/>
    <x v="18"/>
    <s v="India"/>
    <s v="North"/>
    <x v="2"/>
    <n v="1"/>
    <s v="Yes"/>
    <n v="0"/>
    <s v="Late"/>
    <x v="1"/>
    <x v="7"/>
  </r>
  <r>
    <s v="PO000376"/>
    <s v="SUP00034"/>
    <s v="PROD00029"/>
    <d v="2023-07-14T00:00:00"/>
    <n v="8"/>
    <n v="52.1027493660646"/>
    <d v="2023-07-29T00:00:00"/>
    <d v="2023-07-27T00:00:00"/>
    <n v="416.82199492851697"/>
    <n v="-2"/>
    <x v="67"/>
    <s v="Brazil"/>
    <s v="North"/>
    <x v="1"/>
    <n v="1"/>
    <s v="Yes"/>
    <n v="1"/>
    <s v="On Time"/>
    <x v="2"/>
    <x v="5"/>
  </r>
  <r>
    <s v="PO000377"/>
    <s v="SUP00005"/>
    <s v="PROD00107"/>
    <d v="2021-04-25T00:00:00"/>
    <n v="7"/>
    <n v="37.569602235796701"/>
    <d v="2021-05-05T00:00:00"/>
    <d v="2021-05-10T00:00:00"/>
    <n v="262.98721565057701"/>
    <n v="5"/>
    <x v="17"/>
    <s v="Canada"/>
    <s v="North"/>
    <x v="1"/>
    <n v="1"/>
    <s v="Yes"/>
    <n v="0"/>
    <s v="Late"/>
    <x v="1"/>
    <x v="8"/>
  </r>
  <r>
    <s v="PO000378"/>
    <s v="SUP00051"/>
    <s v="PROD00099"/>
    <d v="2021-01-22T00:00:00"/>
    <n v="9"/>
    <n v="38.971387464162397"/>
    <d v="2021-02-10T00:00:00"/>
    <d v="2021-02-14T00:00:00"/>
    <n v="350.74248717746201"/>
    <n v="4"/>
    <x v="57"/>
    <s v="UK"/>
    <s v="South"/>
    <x v="1"/>
    <n v="0"/>
    <s v="No"/>
    <n v="0"/>
    <s v="Late"/>
    <x v="1"/>
    <x v="10"/>
  </r>
  <r>
    <s v="PO000379"/>
    <s v="SUP00001"/>
    <s v="PROD00150"/>
    <d v="2021-11-18T00:00:00"/>
    <n v="10"/>
    <n v="63.325457481417203"/>
    <d v="2021-12-05T00:00:00"/>
    <d v="2021-12-03T00:00:00"/>
    <n v="633.25457481417197"/>
    <n v="-2"/>
    <x v="36"/>
    <s v="USA"/>
    <s v="West"/>
    <x v="3"/>
    <n v="0"/>
    <s v="No"/>
    <n v="1"/>
    <s v="On Time"/>
    <x v="1"/>
    <x v="6"/>
  </r>
  <r>
    <s v="PO000380"/>
    <s v="SUP00008"/>
    <s v="PROD00129"/>
    <d v="2021-07-24T00:00:00"/>
    <n v="9"/>
    <n v="55.9739774311819"/>
    <d v="2021-08-13T00:00:00"/>
    <d v="2021-08-12T00:00:00"/>
    <n v="503.76579688063703"/>
    <n v="-1"/>
    <x v="79"/>
    <s v="USA"/>
    <s v="Central"/>
    <x v="3"/>
    <n v="0"/>
    <s v="No"/>
    <n v="1"/>
    <s v="On Time"/>
    <x v="1"/>
    <x v="5"/>
  </r>
  <r>
    <s v="PO000381"/>
    <s v="SUP00035"/>
    <s v="PROD00120"/>
    <d v="2023-06-28T00:00:00"/>
    <n v="11"/>
    <n v="7.7408786874004996"/>
    <d v="2023-07-11T00:00:00"/>
    <d v="2023-07-10T00:00:00"/>
    <n v="85.149665561405499"/>
    <n v="-1"/>
    <x v="25"/>
    <s v="Denmark"/>
    <s v="Central"/>
    <x v="1"/>
    <n v="1"/>
    <s v="Yes"/>
    <n v="1"/>
    <s v="On Time"/>
    <x v="2"/>
    <x v="1"/>
  </r>
  <r>
    <s v="PO000382"/>
    <s v="SUP00034"/>
    <s v="PROD00017"/>
    <d v="2023-10-07T00:00:00"/>
    <n v="9"/>
    <n v="12.4079220144197"/>
    <d v="2023-10-27T00:00:00"/>
    <d v="2023-10-27T00:00:00"/>
    <n v="111.671298129777"/>
    <n v="0"/>
    <x v="67"/>
    <s v="Brazil"/>
    <s v="North"/>
    <x v="1"/>
    <n v="1"/>
    <s v="Yes"/>
    <n v="1"/>
    <s v="On Time"/>
    <x v="2"/>
    <x v="4"/>
  </r>
  <r>
    <s v="PO000383"/>
    <s v="SUP00061"/>
    <s v="PROD00165"/>
    <d v="2021-04-07T00:00:00"/>
    <n v="13"/>
    <n v="70.966015905410501"/>
    <d v="2021-05-01T00:00:00"/>
    <d v="2021-04-28T00:00:00"/>
    <n v="922.55820677033705"/>
    <n v="-3"/>
    <x v="71"/>
    <s v="India"/>
    <s v="South"/>
    <x v="2"/>
    <n v="0"/>
    <s v="No"/>
    <n v="1"/>
    <s v="On Time"/>
    <x v="1"/>
    <x v="8"/>
  </r>
  <r>
    <s v="PO000384"/>
    <s v="SUP00058"/>
    <s v="PROD00024"/>
    <d v="2021-08-20T00:00:00"/>
    <n v="11"/>
    <n v="38.656485487796999"/>
    <d v="2021-09-07T00:00:00"/>
    <d v="2021-09-13T00:00:00"/>
    <n v="425.22134036576699"/>
    <n v="6"/>
    <x v="86"/>
    <s v="China"/>
    <s v="East"/>
    <x v="2"/>
    <n v="1"/>
    <s v="Yes"/>
    <n v="0"/>
    <s v="Late"/>
    <x v="1"/>
    <x v="2"/>
  </r>
  <r>
    <s v="PO000385"/>
    <s v="SUP00035"/>
    <s v="PROD00093"/>
    <d v="2022-06-18T00:00:00"/>
    <n v="6"/>
    <n v="42.755936407705299"/>
    <d v="2022-07-11T00:00:00"/>
    <d v="2022-07-13T00:00:00"/>
    <n v="256.53561844623198"/>
    <n v="2"/>
    <x v="25"/>
    <s v="Denmark"/>
    <s v="Central"/>
    <x v="1"/>
    <n v="1"/>
    <s v="Yes"/>
    <n v="0"/>
    <s v="Late"/>
    <x v="3"/>
    <x v="1"/>
  </r>
  <r>
    <s v="PO000386"/>
    <s v="SUP00088"/>
    <s v="PROD00155"/>
    <d v="2022-06-22T00:00:00"/>
    <n v="14"/>
    <n v="61.419143230924199"/>
    <d v="2022-07-05T00:00:00"/>
    <d v="2022-07-11T00:00:00"/>
    <n v="859.86800523293903"/>
    <n v="6"/>
    <x v="41"/>
    <s v="Brazil"/>
    <s v="East"/>
    <x v="3"/>
    <n v="0"/>
    <s v="No"/>
    <n v="0"/>
    <s v="Late"/>
    <x v="3"/>
    <x v="1"/>
  </r>
  <r>
    <s v="PO000387"/>
    <s v="SUP00036"/>
    <s v="PROD00110"/>
    <d v="2021-07-15T00:00:00"/>
    <n v="8"/>
    <n v="56.839610469102503"/>
    <d v="2021-07-25T00:00:00"/>
    <d v="2021-07-31T00:00:00"/>
    <n v="454.71688375282002"/>
    <n v="6"/>
    <x v="40"/>
    <s v="Canada"/>
    <s v="West"/>
    <x v="3"/>
    <n v="1"/>
    <s v="Yes"/>
    <n v="0"/>
    <s v="Late"/>
    <x v="1"/>
    <x v="5"/>
  </r>
  <r>
    <s v="PO000388"/>
    <s v="SUP00019"/>
    <s v="PROD00024"/>
    <d v="2023-08-10T00:00:00"/>
    <n v="12"/>
    <n v="27.799240286342599"/>
    <d v="2023-08-24T00:00:00"/>
    <d v="2023-08-25T00:00:00"/>
    <n v="333.59088343611103"/>
    <n v="1"/>
    <x v="63"/>
    <s v="Denmark"/>
    <s v="West"/>
    <x v="2"/>
    <n v="0"/>
    <s v="No"/>
    <n v="0"/>
    <s v="Late"/>
    <x v="2"/>
    <x v="2"/>
  </r>
  <r>
    <s v="PO000389"/>
    <s v="SUP00014"/>
    <s v="PROD00097"/>
    <d v="2022-03-09T00:00:00"/>
    <n v="6"/>
    <n v="55.400776387823001"/>
    <d v="2022-04-01T00:00:00"/>
    <d v="2022-03-30T00:00:00"/>
    <n v="332.40465832693798"/>
    <n v="-2"/>
    <x v="59"/>
    <s v="Germany"/>
    <s v="West"/>
    <x v="1"/>
    <n v="0"/>
    <s v="No"/>
    <n v="1"/>
    <s v="On Time"/>
    <x v="3"/>
    <x v="0"/>
  </r>
  <r>
    <s v="PO000390"/>
    <s v="SUP00042"/>
    <s v="PROD00191"/>
    <d v="2023-01-08T00:00:00"/>
    <n v="12"/>
    <n v="65.5746662927789"/>
    <d v="2023-01-29T00:00:00"/>
    <d v="2023-02-01T00:00:00"/>
    <n v="786.89599551334697"/>
    <n v="3"/>
    <x v="64"/>
    <s v="India"/>
    <s v="West"/>
    <x v="2"/>
    <n v="0"/>
    <s v="No"/>
    <n v="0"/>
    <s v="Late"/>
    <x v="2"/>
    <x v="10"/>
  </r>
  <r>
    <s v="PO000391"/>
    <s v="SUP00041"/>
    <s v="PROD00162"/>
    <d v="2023-01-21T00:00:00"/>
    <n v="13"/>
    <n v="75.425171438418701"/>
    <d v="2023-02-07T00:00:00"/>
    <d v="2023-02-12T00:00:00"/>
    <n v="980.52722869944296"/>
    <n v="5"/>
    <x v="72"/>
    <s v="Germany"/>
    <s v="West"/>
    <x v="1"/>
    <n v="0"/>
    <s v="No"/>
    <n v="0"/>
    <s v="Late"/>
    <x v="2"/>
    <x v="10"/>
  </r>
  <r>
    <s v="PO000392"/>
    <s v="SUP00075"/>
    <s v="PROD00108"/>
    <d v="2023-07-26T00:00:00"/>
    <n v="12"/>
    <n v="43.229132515747096"/>
    <d v="2023-08-15T00:00:00"/>
    <d v="2023-08-21T00:00:00"/>
    <n v="518.74959018896504"/>
    <n v="6"/>
    <x v="11"/>
    <s v="USA"/>
    <s v="Central"/>
    <x v="1"/>
    <n v="1"/>
    <s v="Yes"/>
    <n v="0"/>
    <s v="Late"/>
    <x v="2"/>
    <x v="5"/>
  </r>
  <r>
    <s v="PO000393"/>
    <s v="SUP00045"/>
    <s v="PROD00073"/>
    <d v="2022-03-03T00:00:00"/>
    <n v="13"/>
    <n v="56.082397254342297"/>
    <d v="2022-03-14T00:00:00"/>
    <d v="2022-03-19T00:00:00"/>
    <n v="729.07116430644896"/>
    <n v="5"/>
    <x v="84"/>
    <s v="Canada"/>
    <s v="North"/>
    <x v="3"/>
    <n v="1"/>
    <s v="Yes"/>
    <n v="0"/>
    <s v="Late"/>
    <x v="3"/>
    <x v="0"/>
  </r>
  <r>
    <s v="PO000394"/>
    <s v="SUP00070"/>
    <s v="PROD00131"/>
    <d v="2021-12-11T00:00:00"/>
    <n v="9"/>
    <n v="70.787545401240607"/>
    <d v="2021-12-25T00:00:00"/>
    <d v="2021-12-26T00:00:00"/>
    <n v="637.08790861116495"/>
    <n v="1"/>
    <x v="32"/>
    <s v="USA"/>
    <s v="Central"/>
    <x v="3"/>
    <n v="0"/>
    <s v="No"/>
    <n v="0"/>
    <s v="Late"/>
    <x v="1"/>
    <x v="7"/>
  </r>
  <r>
    <s v="PO000395"/>
    <s v="SUP00049"/>
    <s v="PROD00037"/>
    <d v="2022-01-18T00:00:00"/>
    <n v="8"/>
    <n v="48.731061104471898"/>
    <d v="2022-01-31T00:00:00"/>
    <d v="2022-01-29T00:00:00"/>
    <n v="389.84848883577502"/>
    <n v="-2"/>
    <x v="71"/>
    <s v="Canada"/>
    <s v="East"/>
    <x v="0"/>
    <n v="1"/>
    <s v="Yes"/>
    <n v="1"/>
    <s v="On Time"/>
    <x v="3"/>
    <x v="10"/>
  </r>
  <r>
    <s v="PO000396"/>
    <s v="SUP00095"/>
    <s v="PROD00027"/>
    <d v="2023-04-22T00:00:00"/>
    <n v="7"/>
    <n v="67.796738370822695"/>
    <d v="2023-05-15T00:00:00"/>
    <d v="2023-05-21T00:00:00"/>
    <n v="474.577168595758"/>
    <n v="6"/>
    <x v="74"/>
    <s v="China"/>
    <s v="Central"/>
    <x v="1"/>
    <n v="0"/>
    <s v="No"/>
    <n v="0"/>
    <s v="Late"/>
    <x v="2"/>
    <x v="8"/>
  </r>
  <r>
    <s v="PO000397"/>
    <s v="SUP00052"/>
    <s v="PROD00080"/>
    <d v="2023-10-05T00:00:00"/>
    <n v="15"/>
    <n v="59.867278450142798"/>
    <d v="2023-10-23T00:00:00"/>
    <d v="2023-10-21T00:00:00"/>
    <n v="898.00917675214203"/>
    <n v="-2"/>
    <x v="80"/>
    <s v="Brazil"/>
    <s v="West"/>
    <x v="1"/>
    <n v="1"/>
    <s v="Yes"/>
    <n v="1"/>
    <s v="On Time"/>
    <x v="2"/>
    <x v="4"/>
  </r>
  <r>
    <s v="PO000398"/>
    <s v="SUP00023"/>
    <s v="PROD00047"/>
    <d v="2023-11-15T00:00:00"/>
    <n v="9"/>
    <n v="30.307510665518901"/>
    <d v="2023-11-27T00:00:00"/>
    <d v="2023-12-01T00:00:00"/>
    <n v="272.76759598966999"/>
    <n v="4"/>
    <x v="3"/>
    <s v="Brazil"/>
    <s v="South"/>
    <x v="0"/>
    <n v="1"/>
    <s v="Yes"/>
    <n v="0"/>
    <s v="Late"/>
    <x v="2"/>
    <x v="6"/>
  </r>
  <r>
    <s v="PO000399"/>
    <s v="SUP00023"/>
    <s v="PROD00159"/>
    <d v="2022-09-22T00:00:00"/>
    <n v="14"/>
    <n v="65.230673540248503"/>
    <d v="2022-10-09T00:00:00"/>
    <d v="2022-10-14T00:00:00"/>
    <n v="913.22942956348004"/>
    <n v="5"/>
    <x v="3"/>
    <s v="Brazil"/>
    <s v="South"/>
    <x v="0"/>
    <n v="1"/>
    <s v="Yes"/>
    <n v="0"/>
    <s v="Late"/>
    <x v="3"/>
    <x v="11"/>
  </r>
  <r>
    <s v="PO000400"/>
    <s v="SUP00071"/>
    <s v="PROD00011"/>
    <d v="2021-03-02T00:00:00"/>
    <n v="8"/>
    <n v="32.0403734948828"/>
    <d v="2021-03-19T00:00:00"/>
    <d v="2021-03-20T00:00:00"/>
    <n v="256.322987959062"/>
    <n v="1"/>
    <x v="50"/>
    <s v="Denmark"/>
    <s v="South"/>
    <x v="3"/>
    <n v="1"/>
    <s v="Yes"/>
    <n v="0"/>
    <s v="Late"/>
    <x v="1"/>
    <x v="0"/>
  </r>
  <r>
    <s v="PO000401"/>
    <s v="SUP00069"/>
    <s v="PROD00165"/>
    <d v="2021-02-11T00:00:00"/>
    <n v="7"/>
    <n v="35.416169256607702"/>
    <d v="2021-03-02T00:00:00"/>
    <d v="2021-02-27T00:00:00"/>
    <n v="247.913184796254"/>
    <n v="-3"/>
    <x v="90"/>
    <s v="China"/>
    <s v="Central"/>
    <x v="2"/>
    <n v="0"/>
    <s v="No"/>
    <n v="1"/>
    <s v="On Time"/>
    <x v="1"/>
    <x v="9"/>
  </r>
  <r>
    <s v="PO000402"/>
    <s v="SUP00075"/>
    <s v="PROD00053"/>
    <d v="2022-11-27T00:00:00"/>
    <n v="11"/>
    <n v="61.017263315012897"/>
    <d v="2022-12-17T00:00:00"/>
    <d v="2022-12-15T00:00:00"/>
    <n v="671.18989646514206"/>
    <n v="-2"/>
    <x v="11"/>
    <s v="USA"/>
    <s v="Central"/>
    <x v="1"/>
    <n v="1"/>
    <s v="Yes"/>
    <n v="1"/>
    <s v="On Time"/>
    <x v="3"/>
    <x v="6"/>
  </r>
  <r>
    <s v="PO000403"/>
    <s v="SUP00005"/>
    <s v="PROD00085"/>
    <d v="2021-09-14T00:00:00"/>
    <n v="8"/>
    <n v="55.105789294433897"/>
    <d v="2021-10-07T00:00:00"/>
    <d v="2021-10-11T00:00:00"/>
    <n v="440.84631435547101"/>
    <n v="4"/>
    <x v="17"/>
    <s v="Canada"/>
    <s v="North"/>
    <x v="1"/>
    <n v="1"/>
    <s v="Yes"/>
    <n v="0"/>
    <s v="Late"/>
    <x v="1"/>
    <x v="11"/>
  </r>
  <r>
    <s v="PO000404"/>
    <s v="SUP00003"/>
    <s v="PROD00062"/>
    <d v="2024-01-02T00:00:00"/>
    <n v="10"/>
    <n v="27.988363504056998"/>
    <d v="2024-01-16T00:00:00"/>
    <d v="2024-01-19T00:00:00"/>
    <n v="279.88363504057003"/>
    <n v="3"/>
    <x v="91"/>
    <s v="India"/>
    <s v="Central"/>
    <x v="0"/>
    <n v="1"/>
    <s v="Yes"/>
    <n v="0"/>
    <s v="Late"/>
    <x v="0"/>
    <x v="10"/>
  </r>
  <r>
    <s v="PO000405"/>
    <s v="SUP00003"/>
    <s v="PROD00064"/>
    <d v="2022-08-28T00:00:00"/>
    <n v="14"/>
    <n v="10.610803977676399"/>
    <d v="2022-09-13T00:00:00"/>
    <d v="2022-09-18T00:00:00"/>
    <n v="148.55125568746999"/>
    <n v="5"/>
    <x v="91"/>
    <s v="India"/>
    <s v="Central"/>
    <x v="0"/>
    <n v="1"/>
    <s v="Yes"/>
    <n v="0"/>
    <s v="Late"/>
    <x v="3"/>
    <x v="2"/>
  </r>
  <r>
    <s v="PO000406"/>
    <s v="SUP00099"/>
    <s v="PROD00113"/>
    <d v="2023-08-11T00:00:00"/>
    <n v="15"/>
    <n v="77.352644353048703"/>
    <d v="2023-09-03T00:00:00"/>
    <d v="2023-09-01T00:00:00"/>
    <n v="1160.2896652957299"/>
    <n v="-2"/>
    <x v="19"/>
    <s v="Denmark"/>
    <s v="South"/>
    <x v="0"/>
    <n v="0"/>
    <s v="No"/>
    <n v="1"/>
    <s v="On Time"/>
    <x v="2"/>
    <x v="2"/>
  </r>
  <r>
    <s v="PO000407"/>
    <s v="SUP00002"/>
    <s v="PROD00090"/>
    <d v="2023-04-02T00:00:00"/>
    <n v="6"/>
    <n v="51.314846522385203"/>
    <d v="2023-04-25T00:00:00"/>
    <d v="2023-04-24T00:00:00"/>
    <n v="307.88907913431098"/>
    <n v="-1"/>
    <x v="94"/>
    <s v="China"/>
    <s v="South"/>
    <x v="1"/>
    <n v="0"/>
    <s v="No"/>
    <n v="1"/>
    <s v="On Time"/>
    <x v="2"/>
    <x v="8"/>
  </r>
  <r>
    <s v="PO000408"/>
    <s v="SUP00038"/>
    <s v="PROD00076"/>
    <d v="2022-05-26T00:00:00"/>
    <n v="11"/>
    <n v="66.462026420324094"/>
    <d v="2022-06-07T00:00:00"/>
    <d v="2022-06-04T00:00:00"/>
    <n v="731.082290623566"/>
    <n v="-3"/>
    <x v="34"/>
    <s v="Germany"/>
    <s v="South"/>
    <x v="1"/>
    <n v="0"/>
    <s v="No"/>
    <n v="1"/>
    <s v="On Time"/>
    <x v="3"/>
    <x v="3"/>
  </r>
  <r>
    <s v="PO000409"/>
    <s v="SUP00036"/>
    <s v="PROD00146"/>
    <d v="2022-10-16T00:00:00"/>
    <n v="4"/>
    <n v="4.0277316945545198"/>
    <d v="2022-11-03T00:00:00"/>
    <d v="2022-11-05T00:00:00"/>
    <n v="16.110926778218101"/>
    <n v="2"/>
    <x v="40"/>
    <s v="Canada"/>
    <s v="West"/>
    <x v="3"/>
    <n v="1"/>
    <s v="Yes"/>
    <n v="0"/>
    <s v="Late"/>
    <x v="3"/>
    <x v="4"/>
  </r>
  <r>
    <s v="PO000410"/>
    <s v="SUP00015"/>
    <s v="PROD00199"/>
    <d v="2021-02-05T00:00:00"/>
    <n v="7"/>
    <n v="14.622981918470201"/>
    <d v="2021-02-17T00:00:00"/>
    <d v="2021-02-23T00:00:00"/>
    <n v="102.360873429292"/>
    <n v="6"/>
    <x v="51"/>
    <s v="China"/>
    <s v="South"/>
    <x v="0"/>
    <n v="1"/>
    <s v="Yes"/>
    <n v="0"/>
    <s v="Late"/>
    <x v="1"/>
    <x v="9"/>
  </r>
  <r>
    <s v="PO000411"/>
    <s v="SUP00002"/>
    <s v="PROD00188"/>
    <d v="2023-03-09T00:00:00"/>
    <n v="8"/>
    <n v="32.039550811405697"/>
    <d v="2023-04-02T00:00:00"/>
    <d v="2023-04-03T00:00:00"/>
    <n v="256.31640649124603"/>
    <n v="1"/>
    <x v="94"/>
    <s v="China"/>
    <s v="South"/>
    <x v="1"/>
    <n v="0"/>
    <s v="No"/>
    <n v="0"/>
    <s v="Late"/>
    <x v="2"/>
    <x v="0"/>
  </r>
  <r>
    <s v="PO000412"/>
    <s v="SUP00063"/>
    <s v="PROD00100"/>
    <d v="2023-09-19T00:00:00"/>
    <n v="4"/>
    <n v="5.7234883675024602"/>
    <d v="2023-10-03T00:00:00"/>
    <d v="2023-10-04T00:00:00"/>
    <n v="22.893953470009802"/>
    <n v="1"/>
    <x v="30"/>
    <s v="Denmark"/>
    <s v="North"/>
    <x v="1"/>
    <n v="0"/>
    <s v="No"/>
    <n v="0"/>
    <s v="Late"/>
    <x v="2"/>
    <x v="11"/>
  </r>
  <r>
    <s v="PO000413"/>
    <s v="SUP00057"/>
    <s v="PROD00049"/>
    <d v="2023-07-11T00:00:00"/>
    <n v="11"/>
    <n v="31.131860156182501"/>
    <d v="2023-07-29T00:00:00"/>
    <d v="2023-07-31T00:00:00"/>
    <n v="342.45046171800698"/>
    <n v="2"/>
    <x v="68"/>
    <s v="UK"/>
    <s v="South"/>
    <x v="3"/>
    <n v="1"/>
    <s v="Yes"/>
    <n v="0"/>
    <s v="Late"/>
    <x v="2"/>
    <x v="5"/>
  </r>
  <r>
    <s v="PO000414"/>
    <s v="SUP00097"/>
    <s v="PROD00052"/>
    <d v="2021-09-21T00:00:00"/>
    <n v="11"/>
    <n v="77.253559523791097"/>
    <d v="2021-10-07T00:00:00"/>
    <d v="2021-10-09T00:00:00"/>
    <n v="849.78915476170198"/>
    <n v="2"/>
    <x v="2"/>
    <s v="USA"/>
    <s v="Central"/>
    <x v="2"/>
    <n v="1"/>
    <s v="Yes"/>
    <n v="0"/>
    <s v="Late"/>
    <x v="1"/>
    <x v="11"/>
  </r>
  <r>
    <s v="PO000415"/>
    <s v="SUP00030"/>
    <s v="PROD00001"/>
    <d v="2021-06-10T00:00:00"/>
    <n v="6"/>
    <n v="40.693032047234801"/>
    <d v="2021-06-22T00:00:00"/>
    <d v="2021-06-24T00:00:00"/>
    <n v="244.15819228340899"/>
    <n v="2"/>
    <x v="29"/>
    <s v="India"/>
    <s v="Central"/>
    <x v="0"/>
    <n v="0"/>
    <s v="No"/>
    <n v="0"/>
    <s v="Late"/>
    <x v="1"/>
    <x v="1"/>
  </r>
  <r>
    <s v="PO000416"/>
    <s v="SUP00068"/>
    <s v="PROD00098"/>
    <d v="2022-04-05T00:00:00"/>
    <n v="13"/>
    <n v="13.6519436932261"/>
    <d v="2022-04-27T00:00:00"/>
    <d v="2022-04-27T00:00:00"/>
    <n v="177.47526801193899"/>
    <n v="0"/>
    <x v="12"/>
    <s v="UK"/>
    <s v="South"/>
    <x v="3"/>
    <n v="1"/>
    <s v="Yes"/>
    <n v="1"/>
    <s v="On Time"/>
    <x v="3"/>
    <x v="8"/>
  </r>
  <r>
    <s v="PO000417"/>
    <s v="SUP00077"/>
    <s v="PROD00037"/>
    <d v="2021-09-04T00:00:00"/>
    <n v="14"/>
    <n v="47.191802199832097"/>
    <d v="2021-09-28T00:00:00"/>
    <d v="2021-09-28T00:00:00"/>
    <n v="660.68523079764896"/>
    <n v="0"/>
    <x v="10"/>
    <s v="India"/>
    <s v="West"/>
    <x v="1"/>
    <n v="0"/>
    <s v="No"/>
    <n v="1"/>
    <s v="On Time"/>
    <x v="1"/>
    <x v="11"/>
  </r>
  <r>
    <s v="PO000418"/>
    <s v="SUP00086"/>
    <s v="PROD00163"/>
    <d v="2022-04-30T00:00:00"/>
    <n v="15"/>
    <n v="61.049482652379297"/>
    <d v="2022-05-14T00:00:00"/>
    <d v="2022-05-18T00:00:00"/>
    <n v="915.74223978568898"/>
    <n v="4"/>
    <x v="69"/>
    <s v="Denmark"/>
    <s v="South"/>
    <x v="0"/>
    <n v="1"/>
    <s v="Yes"/>
    <n v="0"/>
    <s v="Late"/>
    <x v="3"/>
    <x v="8"/>
  </r>
  <r>
    <s v="PO000419"/>
    <s v="SUP00037"/>
    <s v="PROD00005"/>
    <d v="2021-10-09T00:00:00"/>
    <n v="10"/>
    <n v="54.3455422653957"/>
    <d v="2021-10-21T00:00:00"/>
    <d v="2021-10-18T00:00:00"/>
    <n v="543.45542265395704"/>
    <n v="-3"/>
    <x v="46"/>
    <s v="Denmark"/>
    <s v="East"/>
    <x v="1"/>
    <n v="0"/>
    <s v="No"/>
    <n v="1"/>
    <s v="On Time"/>
    <x v="1"/>
    <x v="4"/>
  </r>
  <r>
    <s v="PO000420"/>
    <s v="SUP00025"/>
    <s v="PROD00056"/>
    <d v="2022-10-30T00:00:00"/>
    <n v="12"/>
    <n v="47.746025803366699"/>
    <d v="2022-11-14T00:00:00"/>
    <d v="2022-11-18T00:00:00"/>
    <n v="572.95230964040002"/>
    <n v="4"/>
    <x v="6"/>
    <s v="Denmark"/>
    <s v="Central"/>
    <x v="2"/>
    <n v="0"/>
    <s v="No"/>
    <n v="0"/>
    <s v="Late"/>
    <x v="3"/>
    <x v="4"/>
  </r>
  <r>
    <s v="PO000421"/>
    <s v="SUP00005"/>
    <s v="PROD00183"/>
    <d v="2021-04-07T00:00:00"/>
    <n v="14"/>
    <n v="40.3484069264724"/>
    <d v="2021-04-28T00:00:00"/>
    <d v="2021-05-03T00:00:00"/>
    <n v="564.87769697061299"/>
    <n v="5"/>
    <x v="17"/>
    <s v="Canada"/>
    <s v="North"/>
    <x v="1"/>
    <n v="1"/>
    <s v="Yes"/>
    <n v="0"/>
    <s v="Late"/>
    <x v="1"/>
    <x v="8"/>
  </r>
  <r>
    <s v="PO000422"/>
    <s v="SUP00076"/>
    <s v="PROD00068"/>
    <d v="2021-07-25T00:00:00"/>
    <n v="14"/>
    <n v="49.6114287246155"/>
    <d v="2021-08-07T00:00:00"/>
    <d v="2021-08-11T00:00:00"/>
    <n v="694.56000214461699"/>
    <n v="4"/>
    <x v="89"/>
    <s v="USA"/>
    <s v="South"/>
    <x v="2"/>
    <n v="1"/>
    <s v="Yes"/>
    <n v="0"/>
    <s v="Late"/>
    <x v="1"/>
    <x v="5"/>
  </r>
  <r>
    <s v="PO000423"/>
    <s v="SUP00003"/>
    <s v="PROD00153"/>
    <d v="2022-02-18T00:00:00"/>
    <n v="7"/>
    <n v="12.269537144109099"/>
    <d v="2022-03-05T00:00:00"/>
    <d v="2022-03-06T00:00:00"/>
    <n v="85.886760008764199"/>
    <n v="1"/>
    <x v="91"/>
    <s v="India"/>
    <s v="Central"/>
    <x v="0"/>
    <n v="1"/>
    <s v="Yes"/>
    <n v="0"/>
    <s v="Late"/>
    <x v="3"/>
    <x v="9"/>
  </r>
  <r>
    <s v="PO000424"/>
    <s v="SUP00054"/>
    <s v="PROD00106"/>
    <d v="2023-07-17T00:00:00"/>
    <n v="13"/>
    <n v="52.646075273157798"/>
    <d v="2023-08-01T00:00:00"/>
    <d v="2023-08-05T00:00:00"/>
    <n v="684.39897855105198"/>
    <n v="4"/>
    <x v="73"/>
    <s v="Canada"/>
    <s v="South"/>
    <x v="3"/>
    <n v="1"/>
    <s v="Yes"/>
    <n v="0"/>
    <s v="Late"/>
    <x v="2"/>
    <x v="5"/>
  </r>
  <r>
    <s v="PO000425"/>
    <s v="SUP00070"/>
    <s v="PROD00174"/>
    <d v="2023-03-30T00:00:00"/>
    <n v="15"/>
    <n v="9.8289098931400005"/>
    <d v="2023-04-23T00:00:00"/>
    <d v="2023-04-24T00:00:00"/>
    <n v="147.4336483971"/>
    <n v="1"/>
    <x v="32"/>
    <s v="USA"/>
    <s v="Central"/>
    <x v="3"/>
    <n v="0"/>
    <s v="No"/>
    <n v="0"/>
    <s v="Late"/>
    <x v="2"/>
    <x v="0"/>
  </r>
  <r>
    <s v="PO000426"/>
    <s v="SUP00098"/>
    <s v="PROD00188"/>
    <d v="2023-01-27T00:00:00"/>
    <n v="15"/>
    <n v="40.978061506173802"/>
    <d v="2023-02-15T00:00:00"/>
    <d v="2023-02-15T00:00:00"/>
    <n v="614.67092259260801"/>
    <n v="0"/>
    <x v="38"/>
    <s v="Germany"/>
    <s v="North"/>
    <x v="3"/>
    <n v="1"/>
    <s v="Yes"/>
    <n v="1"/>
    <s v="On Time"/>
    <x v="2"/>
    <x v="10"/>
  </r>
  <r>
    <s v="PO000427"/>
    <s v="SUP00066"/>
    <s v="PROD00093"/>
    <d v="2021-04-13T00:00:00"/>
    <n v="16"/>
    <n v="29.982365647497399"/>
    <d v="2021-04-23T00:00:00"/>
    <d v="2021-04-23T00:00:00"/>
    <n v="479.71785035995902"/>
    <n v="0"/>
    <x v="65"/>
    <s v="India"/>
    <s v="West"/>
    <x v="2"/>
    <n v="0"/>
    <s v="No"/>
    <n v="1"/>
    <s v="On Time"/>
    <x v="1"/>
    <x v="8"/>
  </r>
  <r>
    <s v="PO000428"/>
    <s v="SUP00066"/>
    <s v="PROD00170"/>
    <d v="2023-05-26T00:00:00"/>
    <n v="10"/>
    <n v="51.541561265747298"/>
    <d v="2023-06-10T00:00:00"/>
    <d v="2023-06-11T00:00:00"/>
    <n v="515.41561265747305"/>
    <n v="1"/>
    <x v="65"/>
    <s v="India"/>
    <s v="West"/>
    <x v="2"/>
    <n v="0"/>
    <s v="No"/>
    <n v="0"/>
    <s v="Late"/>
    <x v="2"/>
    <x v="3"/>
  </r>
  <r>
    <s v="PO000429"/>
    <s v="SUP00056"/>
    <s v="PROD00125"/>
    <d v="2021-06-16T00:00:00"/>
    <n v="12"/>
    <n v="6.2644019286491197"/>
    <d v="2021-07-06T00:00:00"/>
    <d v="2021-07-05T00:00:00"/>
    <n v="75.172823143789401"/>
    <n v="-1"/>
    <x v="13"/>
    <s v="China"/>
    <s v="North"/>
    <x v="2"/>
    <n v="0"/>
    <s v="No"/>
    <n v="1"/>
    <s v="On Time"/>
    <x v="1"/>
    <x v="1"/>
  </r>
  <r>
    <s v="PO000430"/>
    <s v="SUP00082"/>
    <s v="PROD00134"/>
    <d v="2021-08-07T00:00:00"/>
    <n v="15"/>
    <n v="77.017404093576204"/>
    <d v="2021-08-20T00:00:00"/>
    <d v="2021-08-26T00:00:00"/>
    <n v="1155.26106140364"/>
    <n v="6"/>
    <x v="76"/>
    <s v="India"/>
    <s v="North"/>
    <x v="1"/>
    <n v="1"/>
    <s v="Yes"/>
    <n v="0"/>
    <s v="Late"/>
    <x v="1"/>
    <x v="2"/>
  </r>
  <r>
    <s v="PO000431"/>
    <s v="SUP00075"/>
    <s v="PROD00199"/>
    <d v="2024-02-03T00:00:00"/>
    <n v="10"/>
    <n v="33.588139177215297"/>
    <d v="2024-02-17T00:00:00"/>
    <d v="2024-02-23T00:00:00"/>
    <n v="335.88139177215299"/>
    <n v="6"/>
    <x v="11"/>
    <s v="USA"/>
    <s v="Central"/>
    <x v="1"/>
    <n v="1"/>
    <s v="Yes"/>
    <n v="0"/>
    <s v="Late"/>
    <x v="0"/>
    <x v="9"/>
  </r>
  <r>
    <s v="PO000432"/>
    <s v="SUP00092"/>
    <s v="PROD00047"/>
    <d v="2021-05-08T00:00:00"/>
    <n v="10"/>
    <n v="52.839435548963998"/>
    <d v="2021-05-27T00:00:00"/>
    <d v="2021-05-26T00:00:00"/>
    <n v="528.39435548964002"/>
    <n v="-1"/>
    <x v="27"/>
    <s v="UK"/>
    <s v="West"/>
    <x v="0"/>
    <n v="0"/>
    <s v="No"/>
    <n v="1"/>
    <s v="On Time"/>
    <x v="1"/>
    <x v="3"/>
  </r>
  <r>
    <s v="PO000433"/>
    <s v="SUP00026"/>
    <s v="PROD00082"/>
    <d v="2021-02-17T00:00:00"/>
    <n v="13"/>
    <n v="15.742334542468701"/>
    <d v="2021-02-27T00:00:00"/>
    <d v="2021-02-27T00:00:00"/>
    <n v="204.65034905209299"/>
    <n v="0"/>
    <x v="44"/>
    <s v="Denmark"/>
    <s v="East"/>
    <x v="1"/>
    <n v="1"/>
    <s v="Yes"/>
    <n v="1"/>
    <s v="On Time"/>
    <x v="1"/>
    <x v="9"/>
  </r>
  <r>
    <s v="PO000434"/>
    <s v="SUP00065"/>
    <s v="PROD00122"/>
    <d v="2022-08-04T00:00:00"/>
    <n v="12"/>
    <n v="61.781694911796997"/>
    <d v="2022-08-21T00:00:00"/>
    <d v="2022-08-22T00:00:00"/>
    <n v="741.38033894156399"/>
    <n v="1"/>
    <x v="16"/>
    <s v="Brazil"/>
    <s v="East"/>
    <x v="1"/>
    <n v="1"/>
    <s v="Yes"/>
    <n v="0"/>
    <s v="Late"/>
    <x v="3"/>
    <x v="2"/>
  </r>
  <r>
    <s v="PO000435"/>
    <s v="SUP00055"/>
    <s v="PROD00004"/>
    <d v="2024-04-12T00:00:00"/>
    <n v="9"/>
    <n v="76.844112111847906"/>
    <d v="2024-04-24T00:00:00"/>
    <d v="2024-04-28T00:00:00"/>
    <n v="691.59700900663097"/>
    <n v="4"/>
    <x v="49"/>
    <s v="China"/>
    <s v="East"/>
    <x v="0"/>
    <n v="1"/>
    <s v="Yes"/>
    <n v="0"/>
    <s v="Late"/>
    <x v="0"/>
    <x v="8"/>
  </r>
  <r>
    <s v="PO000436"/>
    <s v="SUP00059"/>
    <s v="PROD00117"/>
    <d v="2022-05-17T00:00:00"/>
    <n v="15"/>
    <n v="41.213631374388299"/>
    <d v="2022-06-07T00:00:00"/>
    <d v="2022-06-05T00:00:00"/>
    <n v="618.20447061582502"/>
    <n v="-2"/>
    <x v="0"/>
    <s v="India"/>
    <s v="North"/>
    <x v="0"/>
    <n v="0"/>
    <s v="No"/>
    <n v="1"/>
    <s v="On Time"/>
    <x v="3"/>
    <x v="3"/>
  </r>
  <r>
    <s v="PO000437"/>
    <s v="SUP00073"/>
    <s v="PROD00038"/>
    <d v="2023-01-22T00:00:00"/>
    <n v="11"/>
    <n v="34.485019012525399"/>
    <d v="2023-02-04T00:00:00"/>
    <d v="2023-02-09T00:00:00"/>
    <n v="379.33520913778"/>
    <n v="5"/>
    <x v="42"/>
    <s v="China"/>
    <s v="East"/>
    <x v="2"/>
    <n v="1"/>
    <s v="Yes"/>
    <n v="0"/>
    <s v="Late"/>
    <x v="2"/>
    <x v="10"/>
  </r>
  <r>
    <s v="PO000438"/>
    <s v="SUP00020"/>
    <s v="PROD00163"/>
    <d v="2022-03-29T00:00:00"/>
    <n v="12"/>
    <n v="67.721346708207093"/>
    <d v="2022-04-10T00:00:00"/>
    <d v="2022-04-11T00:00:00"/>
    <n v="812.65616049848495"/>
    <n v="1"/>
    <x v="21"/>
    <s v="Canada"/>
    <s v="Central"/>
    <x v="3"/>
    <n v="1"/>
    <s v="Yes"/>
    <n v="0"/>
    <s v="Late"/>
    <x v="3"/>
    <x v="0"/>
  </r>
  <r>
    <s v="PO000439"/>
    <s v="SUP00041"/>
    <s v="PROD00173"/>
    <d v="2022-11-01T00:00:00"/>
    <n v="10"/>
    <n v="3.7418928607113502"/>
    <d v="2022-11-18T00:00:00"/>
    <d v="2022-11-19T00:00:00"/>
    <n v="37.4189286071135"/>
    <n v="1"/>
    <x v="72"/>
    <s v="Germany"/>
    <s v="West"/>
    <x v="1"/>
    <n v="0"/>
    <s v="No"/>
    <n v="0"/>
    <s v="Late"/>
    <x v="3"/>
    <x v="6"/>
  </r>
  <r>
    <s v="PO000440"/>
    <s v="SUP00025"/>
    <s v="PROD00028"/>
    <d v="2021-01-21T00:00:00"/>
    <n v="10"/>
    <n v="60.545231380052499"/>
    <d v="2021-02-10T00:00:00"/>
    <d v="2021-02-08T00:00:00"/>
    <n v="605.45231380052496"/>
    <n v="-2"/>
    <x v="6"/>
    <s v="Denmark"/>
    <s v="Central"/>
    <x v="2"/>
    <n v="0"/>
    <s v="No"/>
    <n v="1"/>
    <s v="On Time"/>
    <x v="1"/>
    <x v="10"/>
  </r>
  <r>
    <s v="PO000441"/>
    <s v="SUP00080"/>
    <s v="PROD00155"/>
    <d v="2023-11-18T00:00:00"/>
    <n v="14"/>
    <n v="53.956255094076297"/>
    <d v="2023-12-09T00:00:00"/>
    <d v="2023-12-12T00:00:00"/>
    <n v="755.38757131706802"/>
    <n v="3"/>
    <x v="70"/>
    <s v="USA"/>
    <s v="North"/>
    <x v="2"/>
    <n v="0"/>
    <s v="No"/>
    <n v="0"/>
    <s v="Late"/>
    <x v="2"/>
    <x v="6"/>
  </r>
  <r>
    <s v="PO000442"/>
    <s v="SUP00005"/>
    <s v="PROD00001"/>
    <d v="2022-07-20T00:00:00"/>
    <n v="6"/>
    <n v="12.463036630004201"/>
    <d v="2022-08-08T00:00:00"/>
    <d v="2022-08-12T00:00:00"/>
    <n v="74.778219780025296"/>
    <n v="4"/>
    <x v="17"/>
    <s v="Canada"/>
    <s v="North"/>
    <x v="1"/>
    <n v="1"/>
    <s v="Yes"/>
    <n v="0"/>
    <s v="Late"/>
    <x v="3"/>
    <x v="5"/>
  </r>
  <r>
    <s v="PO000443"/>
    <s v="SUP00057"/>
    <s v="PROD00058"/>
    <d v="2022-07-21T00:00:00"/>
    <n v="13"/>
    <n v="68.411900912335994"/>
    <d v="2022-08-03T00:00:00"/>
    <d v="2022-07-31T00:00:00"/>
    <n v="889.35471186036898"/>
    <n v="-3"/>
    <x v="68"/>
    <s v="UK"/>
    <s v="South"/>
    <x v="3"/>
    <n v="1"/>
    <s v="Yes"/>
    <n v="1"/>
    <s v="On Time"/>
    <x v="3"/>
    <x v="5"/>
  </r>
  <r>
    <s v="PO000444"/>
    <s v="SUP00073"/>
    <s v="PROD00161"/>
    <d v="2024-01-20T00:00:00"/>
    <n v="6"/>
    <n v="66.516814839441196"/>
    <d v="2024-02-11T00:00:00"/>
    <d v="2024-02-11T00:00:00"/>
    <n v="399.100889036647"/>
    <n v="0"/>
    <x v="42"/>
    <s v="China"/>
    <s v="East"/>
    <x v="2"/>
    <n v="1"/>
    <s v="Yes"/>
    <n v="1"/>
    <s v="On Time"/>
    <x v="0"/>
    <x v="10"/>
  </r>
  <r>
    <s v="PO000445"/>
    <s v="SUP00061"/>
    <s v="PROD00033"/>
    <d v="2022-10-08T00:00:00"/>
    <n v="11"/>
    <n v="61.529619880981301"/>
    <d v="2022-10-24T00:00:00"/>
    <d v="2022-10-22T00:00:00"/>
    <n v="676.82581869079399"/>
    <n v="-2"/>
    <x v="71"/>
    <s v="India"/>
    <s v="South"/>
    <x v="2"/>
    <n v="0"/>
    <s v="No"/>
    <n v="1"/>
    <s v="On Time"/>
    <x v="3"/>
    <x v="4"/>
  </r>
  <r>
    <s v="PO000446"/>
    <s v="SUP00039"/>
    <s v="PROD00039"/>
    <d v="2022-07-22T00:00:00"/>
    <n v="14"/>
    <n v="29.0789832921865"/>
    <d v="2022-08-15T00:00:00"/>
    <d v="2022-08-19T00:00:00"/>
    <n v="407.10576609061098"/>
    <n v="4"/>
    <x v="7"/>
    <s v="Denmark"/>
    <s v="South"/>
    <x v="0"/>
    <n v="1"/>
    <s v="Yes"/>
    <n v="0"/>
    <s v="Late"/>
    <x v="3"/>
    <x v="5"/>
  </r>
  <r>
    <s v="PO000447"/>
    <s v="SUP00014"/>
    <s v="PROD00020"/>
    <d v="2021-07-20T00:00:00"/>
    <n v="8"/>
    <n v="39.443947018446003"/>
    <d v="2021-07-31T00:00:00"/>
    <d v="2021-07-30T00:00:00"/>
    <n v="315.55157614756803"/>
    <n v="-1"/>
    <x v="59"/>
    <s v="Germany"/>
    <s v="West"/>
    <x v="1"/>
    <n v="0"/>
    <s v="No"/>
    <n v="1"/>
    <s v="On Time"/>
    <x v="1"/>
    <x v="5"/>
  </r>
  <r>
    <s v="PO000448"/>
    <s v="SUP00018"/>
    <s v="PROD00050"/>
    <d v="2023-01-01T00:00:00"/>
    <n v="7"/>
    <n v="29.500692003595301"/>
    <d v="2023-01-21T00:00:00"/>
    <d v="2023-01-19T00:00:00"/>
    <n v="206.50484402516699"/>
    <n v="-2"/>
    <x v="8"/>
    <s v="UK"/>
    <s v="West"/>
    <x v="2"/>
    <n v="0"/>
    <s v="No"/>
    <n v="1"/>
    <s v="On Time"/>
    <x v="2"/>
    <x v="10"/>
  </r>
  <r>
    <s v="PO000449"/>
    <s v="SUP00090"/>
    <s v="PROD00019"/>
    <d v="2022-10-26T00:00:00"/>
    <n v="8"/>
    <n v="11.152251778070401"/>
    <d v="2022-11-11T00:00:00"/>
    <d v="2022-11-17T00:00:00"/>
    <n v="89.218014224563603"/>
    <n v="6"/>
    <x v="9"/>
    <s v="Canada"/>
    <s v="East"/>
    <x v="1"/>
    <n v="1"/>
    <s v="Yes"/>
    <n v="0"/>
    <s v="Late"/>
    <x v="3"/>
    <x v="4"/>
  </r>
  <r>
    <s v="PO000450"/>
    <s v="SUP00003"/>
    <s v="PROD00040"/>
    <d v="2021-03-16T00:00:00"/>
    <n v="16"/>
    <n v="22.223499344846399"/>
    <d v="2021-04-01T00:00:00"/>
    <d v="2021-04-03T00:00:00"/>
    <n v="355.57598951754301"/>
    <n v="2"/>
    <x v="91"/>
    <s v="India"/>
    <s v="Central"/>
    <x v="0"/>
    <n v="1"/>
    <s v="Yes"/>
    <n v="0"/>
    <s v="Late"/>
    <x v="1"/>
    <x v="0"/>
  </r>
  <r>
    <s v="PO000451"/>
    <s v="SUP00065"/>
    <s v="PROD00026"/>
    <d v="2022-08-27T00:00:00"/>
    <n v="16"/>
    <n v="18.295405961935501"/>
    <d v="2022-09-16T00:00:00"/>
    <d v="2022-09-17T00:00:00"/>
    <n v="292.72649539096801"/>
    <n v="1"/>
    <x v="16"/>
    <s v="Brazil"/>
    <s v="East"/>
    <x v="1"/>
    <n v="1"/>
    <s v="Yes"/>
    <n v="0"/>
    <s v="Late"/>
    <x v="3"/>
    <x v="2"/>
  </r>
  <r>
    <s v="PO000452"/>
    <s v="SUP00063"/>
    <s v="PROD00035"/>
    <d v="2022-11-22T00:00:00"/>
    <n v="9"/>
    <n v="13.964899395945199"/>
    <d v="2022-12-15T00:00:00"/>
    <d v="2022-12-13T00:00:00"/>
    <n v="125.684094563507"/>
    <n v="-2"/>
    <x v="30"/>
    <s v="Denmark"/>
    <s v="North"/>
    <x v="1"/>
    <n v="0"/>
    <s v="No"/>
    <n v="1"/>
    <s v="On Time"/>
    <x v="3"/>
    <x v="6"/>
  </r>
  <r>
    <s v="PO000453"/>
    <s v="SUP00056"/>
    <s v="PROD00128"/>
    <d v="2021-04-08T00:00:00"/>
    <n v="9"/>
    <n v="19.235062112451299"/>
    <d v="2021-04-21T00:00:00"/>
    <d v="2021-04-23T00:00:00"/>
    <n v="173.115559012061"/>
    <n v="2"/>
    <x v="13"/>
    <s v="China"/>
    <s v="North"/>
    <x v="2"/>
    <n v="0"/>
    <s v="No"/>
    <n v="0"/>
    <s v="Late"/>
    <x v="1"/>
    <x v="8"/>
  </r>
  <r>
    <s v="PO000454"/>
    <s v="SUP00067"/>
    <s v="PROD00118"/>
    <d v="2023-09-04T00:00:00"/>
    <n v="11"/>
    <n v="29.2868473408233"/>
    <d v="2023-09-15T00:00:00"/>
    <d v="2023-09-15T00:00:00"/>
    <n v="322.15532074905599"/>
    <n v="0"/>
    <x v="22"/>
    <s v="UK"/>
    <s v="South"/>
    <x v="3"/>
    <n v="1"/>
    <s v="Yes"/>
    <n v="1"/>
    <s v="On Time"/>
    <x v="2"/>
    <x v="11"/>
  </r>
  <r>
    <s v="PO000455"/>
    <s v="SUP00058"/>
    <s v="PROD00200"/>
    <d v="2023-08-20T00:00:00"/>
    <n v="6"/>
    <n v="41.620027607724801"/>
    <d v="2023-09-08T00:00:00"/>
    <d v="2023-09-10T00:00:00"/>
    <n v="249.72016564634899"/>
    <n v="2"/>
    <x v="86"/>
    <s v="China"/>
    <s v="East"/>
    <x v="2"/>
    <n v="1"/>
    <s v="Yes"/>
    <n v="0"/>
    <s v="Late"/>
    <x v="2"/>
    <x v="2"/>
  </r>
  <r>
    <s v="PO000456"/>
    <s v="SUP00075"/>
    <s v="PROD00125"/>
    <d v="2023-11-13T00:00:00"/>
    <n v="9"/>
    <n v="3.9392567615340899"/>
    <d v="2023-11-26T00:00:00"/>
    <d v="2023-11-30T00:00:00"/>
    <n v="35.453310853806798"/>
    <n v="4"/>
    <x v="11"/>
    <s v="USA"/>
    <s v="Central"/>
    <x v="1"/>
    <n v="1"/>
    <s v="Yes"/>
    <n v="0"/>
    <s v="Late"/>
    <x v="2"/>
    <x v="6"/>
  </r>
  <r>
    <s v="PO000457"/>
    <s v="SUP00031"/>
    <s v="PROD00022"/>
    <d v="2021-07-13T00:00:00"/>
    <n v="8"/>
    <n v="30.9939257580351"/>
    <d v="2021-08-01T00:00:00"/>
    <d v="2021-08-01T00:00:00"/>
    <n v="247.951406064281"/>
    <n v="0"/>
    <x v="33"/>
    <s v="USA"/>
    <s v="West"/>
    <x v="3"/>
    <n v="0"/>
    <s v="No"/>
    <n v="1"/>
    <s v="On Time"/>
    <x v="1"/>
    <x v="5"/>
  </r>
  <r>
    <s v="PO000458"/>
    <s v="SUP00011"/>
    <s v="PROD00103"/>
    <d v="2024-02-06T00:00:00"/>
    <n v="11"/>
    <n v="12.5085517296991"/>
    <d v="2024-02-25T00:00:00"/>
    <d v="2024-02-29T00:00:00"/>
    <n v="137.59406902669099"/>
    <n v="4"/>
    <x v="37"/>
    <s v="UK"/>
    <s v="East"/>
    <x v="3"/>
    <n v="1"/>
    <s v="Yes"/>
    <n v="0"/>
    <s v="Late"/>
    <x v="0"/>
    <x v="9"/>
  </r>
  <r>
    <s v="PO000459"/>
    <s v="SUP00037"/>
    <s v="PROD00023"/>
    <d v="2023-07-03T00:00:00"/>
    <n v="6"/>
    <n v="34.357348654284401"/>
    <d v="2023-07-14T00:00:00"/>
    <d v="2023-07-11T00:00:00"/>
    <n v="206.14409192570599"/>
    <n v="-3"/>
    <x v="46"/>
    <s v="Denmark"/>
    <s v="East"/>
    <x v="1"/>
    <n v="0"/>
    <s v="No"/>
    <n v="1"/>
    <s v="On Time"/>
    <x v="2"/>
    <x v="5"/>
  </r>
  <r>
    <s v="PO000460"/>
    <s v="SUP00014"/>
    <s v="PROD00188"/>
    <d v="2022-05-29T00:00:00"/>
    <n v="14"/>
    <n v="58.9595326985919"/>
    <d v="2022-06-22T00:00:00"/>
    <d v="2022-06-19T00:00:00"/>
    <n v="825.43345778028697"/>
    <n v="-3"/>
    <x v="59"/>
    <s v="Germany"/>
    <s v="West"/>
    <x v="1"/>
    <n v="0"/>
    <s v="No"/>
    <n v="1"/>
    <s v="On Time"/>
    <x v="3"/>
    <x v="3"/>
  </r>
  <r>
    <s v="PO000461"/>
    <s v="SUP00009"/>
    <s v="PROD00058"/>
    <d v="2022-08-23T00:00:00"/>
    <n v="10"/>
    <n v="64.533394148140005"/>
    <d v="2022-09-15T00:00:00"/>
    <d v="2022-09-21T00:00:00"/>
    <n v="645.33394148139996"/>
    <n v="6"/>
    <x v="95"/>
    <s v="China"/>
    <s v="North"/>
    <x v="1"/>
    <n v="1"/>
    <s v="Yes"/>
    <n v="0"/>
    <s v="Late"/>
    <x v="3"/>
    <x v="2"/>
  </r>
  <r>
    <s v="PO000462"/>
    <s v="SUP00026"/>
    <s v="PROD00037"/>
    <d v="2021-02-11T00:00:00"/>
    <n v="16"/>
    <n v="45.291430467186501"/>
    <d v="2021-02-24T00:00:00"/>
    <d v="2021-02-26T00:00:00"/>
    <n v="724.66288747498402"/>
    <n v="2"/>
    <x v="44"/>
    <s v="Denmark"/>
    <s v="East"/>
    <x v="1"/>
    <n v="1"/>
    <s v="Yes"/>
    <n v="0"/>
    <s v="Late"/>
    <x v="1"/>
    <x v="9"/>
  </r>
  <r>
    <s v="PO000463"/>
    <s v="SUP00001"/>
    <s v="PROD00148"/>
    <d v="2023-12-14T00:00:00"/>
    <n v="15"/>
    <n v="55.316271914808503"/>
    <d v="2024-01-01T00:00:00"/>
    <d v="2023-12-31T00:00:00"/>
    <n v="829.74407872212805"/>
    <n v="-1"/>
    <x v="36"/>
    <s v="USA"/>
    <s v="West"/>
    <x v="3"/>
    <n v="0"/>
    <s v="No"/>
    <n v="1"/>
    <s v="On Time"/>
    <x v="2"/>
    <x v="7"/>
  </r>
  <r>
    <s v="PO000464"/>
    <s v="SUP00066"/>
    <s v="PROD00014"/>
    <d v="2023-07-17T00:00:00"/>
    <n v="11"/>
    <n v="8.5556294173401408"/>
    <d v="2023-08-03T00:00:00"/>
    <d v="2023-08-03T00:00:00"/>
    <n v="94.111923590741597"/>
    <n v="0"/>
    <x v="65"/>
    <s v="India"/>
    <s v="West"/>
    <x v="2"/>
    <n v="0"/>
    <s v="No"/>
    <n v="1"/>
    <s v="On Time"/>
    <x v="2"/>
    <x v="5"/>
  </r>
  <r>
    <s v="PO000465"/>
    <s v="SUP00092"/>
    <s v="PROD00008"/>
    <d v="2023-02-27T00:00:00"/>
    <n v="11"/>
    <n v="10.419651811877101"/>
    <d v="2023-03-14T00:00:00"/>
    <d v="2023-03-20T00:00:00"/>
    <n v="114.616169930648"/>
    <n v="6"/>
    <x v="27"/>
    <s v="UK"/>
    <s v="West"/>
    <x v="0"/>
    <n v="0"/>
    <s v="No"/>
    <n v="0"/>
    <s v="Late"/>
    <x v="2"/>
    <x v="9"/>
  </r>
  <r>
    <s v="PO000466"/>
    <s v="SUP00059"/>
    <s v="PROD00171"/>
    <d v="2021-03-22T00:00:00"/>
    <n v="9"/>
    <n v="56.051303579535798"/>
    <d v="2021-04-14T00:00:00"/>
    <d v="2021-04-12T00:00:00"/>
    <n v="504.461732215822"/>
    <n v="-2"/>
    <x v="0"/>
    <s v="India"/>
    <s v="North"/>
    <x v="0"/>
    <n v="0"/>
    <s v="No"/>
    <n v="1"/>
    <s v="On Time"/>
    <x v="1"/>
    <x v="0"/>
  </r>
  <r>
    <s v="PO000467"/>
    <s v="SUP00011"/>
    <s v="PROD00023"/>
    <d v="2022-02-28T00:00:00"/>
    <n v="10"/>
    <n v="47.7200874253272"/>
    <d v="2022-03-10T00:00:00"/>
    <d v="2022-03-08T00:00:00"/>
    <n v="477.20087425327199"/>
    <n v="-2"/>
    <x v="37"/>
    <s v="UK"/>
    <s v="East"/>
    <x v="3"/>
    <n v="1"/>
    <s v="Yes"/>
    <n v="1"/>
    <s v="On Time"/>
    <x v="3"/>
    <x v="9"/>
  </r>
  <r>
    <s v="PO000468"/>
    <s v="SUP00003"/>
    <s v="PROD00193"/>
    <d v="2023-02-05T00:00:00"/>
    <n v="10"/>
    <n v="30.1010818390642"/>
    <d v="2023-02-18T00:00:00"/>
    <d v="2023-02-24T00:00:00"/>
    <n v="301.01081839064199"/>
    <n v="6"/>
    <x v="91"/>
    <s v="India"/>
    <s v="Central"/>
    <x v="0"/>
    <n v="1"/>
    <s v="Yes"/>
    <n v="0"/>
    <s v="Late"/>
    <x v="2"/>
    <x v="9"/>
  </r>
  <r>
    <s v="PO000469"/>
    <s v="SUP00005"/>
    <s v="PROD00148"/>
    <d v="2021-07-29T00:00:00"/>
    <n v="12"/>
    <n v="71.428141746603302"/>
    <d v="2021-08-10T00:00:00"/>
    <d v="2021-08-12T00:00:00"/>
    <n v="857.13770095923906"/>
    <n v="2"/>
    <x v="17"/>
    <s v="Canada"/>
    <s v="North"/>
    <x v="1"/>
    <n v="1"/>
    <s v="Yes"/>
    <n v="0"/>
    <s v="Late"/>
    <x v="1"/>
    <x v="5"/>
  </r>
  <r>
    <s v="PO000470"/>
    <s v="SUP00041"/>
    <s v="PROD00026"/>
    <d v="2023-07-06T00:00:00"/>
    <n v="14"/>
    <n v="58.136761708081103"/>
    <d v="2023-07-26T00:00:00"/>
    <d v="2023-07-25T00:00:00"/>
    <n v="813.914663913136"/>
    <n v="-1"/>
    <x v="72"/>
    <s v="Germany"/>
    <s v="West"/>
    <x v="1"/>
    <n v="0"/>
    <s v="No"/>
    <n v="1"/>
    <s v="On Time"/>
    <x v="2"/>
    <x v="5"/>
  </r>
  <r>
    <s v="PO000471"/>
    <s v="SUP00020"/>
    <s v="PROD00111"/>
    <d v="2023-12-14T00:00:00"/>
    <n v="13"/>
    <n v="28.437389326673799"/>
    <d v="2023-12-31T00:00:00"/>
    <d v="2024-01-05T00:00:00"/>
    <n v="369.68606124676"/>
    <n v="5"/>
    <x v="21"/>
    <s v="Canada"/>
    <s v="Central"/>
    <x v="3"/>
    <n v="1"/>
    <s v="Yes"/>
    <n v="0"/>
    <s v="Late"/>
    <x v="2"/>
    <x v="7"/>
  </r>
  <r>
    <s v="PO000472"/>
    <s v="SUP00075"/>
    <s v="PROD00130"/>
    <d v="2022-12-11T00:00:00"/>
    <n v="12"/>
    <n v="19.7375151714438"/>
    <d v="2022-12-30T00:00:00"/>
    <d v="2022-12-27T00:00:00"/>
    <n v="236.85018205732601"/>
    <n v="-3"/>
    <x v="11"/>
    <s v="USA"/>
    <s v="Central"/>
    <x v="1"/>
    <n v="1"/>
    <s v="Yes"/>
    <n v="1"/>
    <s v="On Time"/>
    <x v="3"/>
    <x v="7"/>
  </r>
  <r>
    <s v="PO000473"/>
    <s v="SUP00015"/>
    <s v="PROD00003"/>
    <d v="2023-01-05T00:00:00"/>
    <n v="14"/>
    <n v="44.082646103096998"/>
    <d v="2023-01-16T00:00:00"/>
    <d v="2023-01-16T00:00:00"/>
    <n v="617.15704544335802"/>
    <n v="0"/>
    <x v="51"/>
    <s v="China"/>
    <s v="South"/>
    <x v="0"/>
    <n v="1"/>
    <s v="Yes"/>
    <n v="1"/>
    <s v="On Time"/>
    <x v="2"/>
    <x v="10"/>
  </r>
  <r>
    <s v="PO000474"/>
    <s v="SUP00060"/>
    <s v="PROD00116"/>
    <d v="2021-01-31T00:00:00"/>
    <n v="10"/>
    <n v="63.542529323189797"/>
    <d v="2021-02-13T00:00:00"/>
    <d v="2021-02-11T00:00:00"/>
    <n v="635.42529323189797"/>
    <n v="-2"/>
    <x v="85"/>
    <s v="UK"/>
    <s v="North"/>
    <x v="3"/>
    <n v="1"/>
    <s v="Yes"/>
    <n v="1"/>
    <s v="On Time"/>
    <x v="1"/>
    <x v="10"/>
  </r>
  <r>
    <s v="PO000475"/>
    <s v="SUP00036"/>
    <s v="PROD00020"/>
    <d v="2022-04-12T00:00:00"/>
    <n v="10"/>
    <n v="52.250128102868899"/>
    <d v="2022-05-03T00:00:00"/>
    <d v="2022-04-30T00:00:00"/>
    <n v="522.50128102868905"/>
    <n v="-3"/>
    <x v="40"/>
    <s v="Canada"/>
    <s v="West"/>
    <x v="3"/>
    <n v="1"/>
    <s v="Yes"/>
    <n v="1"/>
    <s v="On Time"/>
    <x v="3"/>
    <x v="8"/>
  </r>
  <r>
    <s v="PO000476"/>
    <s v="SUP00081"/>
    <s v="PROD00108"/>
    <d v="2023-04-18T00:00:00"/>
    <n v="14"/>
    <n v="51.8332013936975"/>
    <d v="2023-05-11T00:00:00"/>
    <d v="2023-05-12T00:00:00"/>
    <n v="725.66481951176502"/>
    <n v="1"/>
    <x v="66"/>
    <s v="India"/>
    <s v="Central"/>
    <x v="0"/>
    <n v="1"/>
    <s v="Yes"/>
    <n v="0"/>
    <s v="Late"/>
    <x v="2"/>
    <x v="8"/>
  </r>
  <r>
    <s v="PO000477"/>
    <s v="SUP00055"/>
    <s v="PROD00010"/>
    <d v="2021-02-24T00:00:00"/>
    <n v="7"/>
    <n v="31.206183673390999"/>
    <d v="2021-03-07T00:00:00"/>
    <d v="2021-03-04T00:00:00"/>
    <n v="218.443285713737"/>
    <n v="-3"/>
    <x v="49"/>
    <s v="China"/>
    <s v="East"/>
    <x v="0"/>
    <n v="1"/>
    <s v="Yes"/>
    <n v="1"/>
    <s v="On Time"/>
    <x v="1"/>
    <x v="9"/>
  </r>
  <r>
    <s v="PO000478"/>
    <s v="SUP00024"/>
    <s v="PROD00029"/>
    <d v="2022-10-23T00:00:00"/>
    <n v="6"/>
    <n v="20.473486013183098"/>
    <d v="2022-11-07T00:00:00"/>
    <d v="2022-11-05T00:00:00"/>
    <n v="122.84091607909799"/>
    <n v="-2"/>
    <x v="5"/>
    <s v="UK"/>
    <s v="North"/>
    <x v="1"/>
    <n v="0"/>
    <s v="No"/>
    <n v="1"/>
    <s v="On Time"/>
    <x v="3"/>
    <x v="4"/>
  </r>
  <r>
    <s v="PO000479"/>
    <s v="SUP00067"/>
    <s v="PROD00192"/>
    <d v="2022-12-28T00:00:00"/>
    <n v="11"/>
    <n v="3.3954945593600101"/>
    <d v="2023-01-13T00:00:00"/>
    <d v="2023-01-17T00:00:00"/>
    <n v="37.350440152960203"/>
    <n v="4"/>
    <x v="22"/>
    <s v="UK"/>
    <s v="South"/>
    <x v="3"/>
    <n v="1"/>
    <s v="Yes"/>
    <n v="0"/>
    <s v="Late"/>
    <x v="3"/>
    <x v="7"/>
  </r>
  <r>
    <s v="PO000480"/>
    <s v="SUP00056"/>
    <s v="PROD00023"/>
    <d v="2023-07-08T00:00:00"/>
    <n v="10"/>
    <n v="20.0075812714385"/>
    <d v="2023-07-30T00:00:00"/>
    <d v="2023-07-27T00:00:00"/>
    <n v="200.07581271438499"/>
    <n v="-3"/>
    <x v="13"/>
    <s v="China"/>
    <s v="North"/>
    <x v="2"/>
    <n v="0"/>
    <s v="No"/>
    <n v="1"/>
    <s v="On Time"/>
    <x v="2"/>
    <x v="5"/>
  </r>
  <r>
    <s v="PO000481"/>
    <s v="SUP00069"/>
    <s v="PROD00192"/>
    <d v="2023-11-19T00:00:00"/>
    <n v="11"/>
    <n v="24.911667842685599"/>
    <d v="2023-12-01T00:00:00"/>
    <d v="2023-11-30T00:00:00"/>
    <n v="274.028346269542"/>
    <n v="-1"/>
    <x v="90"/>
    <s v="China"/>
    <s v="Central"/>
    <x v="2"/>
    <n v="0"/>
    <s v="No"/>
    <n v="1"/>
    <s v="On Time"/>
    <x v="2"/>
    <x v="6"/>
  </r>
  <r>
    <s v="PO000482"/>
    <s v="SUP00044"/>
    <s v="PROD00105"/>
    <d v="2021-12-21T00:00:00"/>
    <n v="11"/>
    <n v="38.998950283533098"/>
    <d v="2022-01-12T00:00:00"/>
    <d v="2022-01-13T00:00:00"/>
    <n v="428.98845311886402"/>
    <n v="1"/>
    <x v="21"/>
    <s v="Germany"/>
    <s v="Central"/>
    <x v="1"/>
    <n v="1"/>
    <s v="Yes"/>
    <n v="0"/>
    <s v="Late"/>
    <x v="1"/>
    <x v="7"/>
  </r>
  <r>
    <s v="PO000483"/>
    <s v="SUP00073"/>
    <s v="PROD00059"/>
    <d v="2022-07-23T00:00:00"/>
    <n v="7"/>
    <n v="24.951529197011201"/>
    <d v="2022-08-04T00:00:00"/>
    <d v="2022-08-08T00:00:00"/>
    <n v="174.660704379078"/>
    <n v="4"/>
    <x v="42"/>
    <s v="China"/>
    <s v="East"/>
    <x v="2"/>
    <n v="1"/>
    <s v="Yes"/>
    <n v="0"/>
    <s v="Late"/>
    <x v="3"/>
    <x v="5"/>
  </r>
  <r>
    <s v="PO000484"/>
    <s v="SUP00079"/>
    <s v="PROD00030"/>
    <d v="2022-08-21T00:00:00"/>
    <n v="8"/>
    <n v="50.795884548037598"/>
    <d v="2022-09-14T00:00:00"/>
    <d v="2022-09-11T00:00:00"/>
    <n v="406.36707638430101"/>
    <n v="-3"/>
    <x v="55"/>
    <s v="Denmark"/>
    <s v="South"/>
    <x v="0"/>
    <n v="0"/>
    <s v="No"/>
    <n v="1"/>
    <s v="On Time"/>
    <x v="3"/>
    <x v="2"/>
  </r>
  <r>
    <s v="PO000485"/>
    <s v="SUP00079"/>
    <s v="PROD00196"/>
    <d v="2022-08-27T00:00:00"/>
    <n v="9"/>
    <n v="33.672971062004699"/>
    <d v="2022-09-07T00:00:00"/>
    <d v="2022-09-09T00:00:00"/>
    <n v="303.05673955804201"/>
    <n v="2"/>
    <x v="55"/>
    <s v="Denmark"/>
    <s v="South"/>
    <x v="0"/>
    <n v="0"/>
    <s v="No"/>
    <n v="0"/>
    <s v="Late"/>
    <x v="3"/>
    <x v="2"/>
  </r>
  <r>
    <s v="PO000486"/>
    <s v="SUP00007"/>
    <s v="PROD00024"/>
    <d v="2022-10-29T00:00:00"/>
    <n v="10"/>
    <n v="41.170682316881397"/>
    <d v="2022-11-11T00:00:00"/>
    <d v="2022-11-14T00:00:00"/>
    <n v="411.70682316881403"/>
    <n v="3"/>
    <x v="24"/>
    <s v="China"/>
    <s v="East"/>
    <x v="1"/>
    <n v="1"/>
    <s v="Yes"/>
    <n v="0"/>
    <s v="Late"/>
    <x v="3"/>
    <x v="4"/>
  </r>
  <r>
    <s v="PO000487"/>
    <s v="SUP00084"/>
    <s v="PROD00174"/>
    <d v="2021-06-26T00:00:00"/>
    <n v="3"/>
    <n v="55.524191077172901"/>
    <d v="2021-07-20T00:00:00"/>
    <d v="2021-07-17T00:00:00"/>
    <n v="166.57257323151799"/>
    <n v="-3"/>
    <x v="35"/>
    <s v="Canada"/>
    <s v="West"/>
    <x v="1"/>
    <n v="1"/>
    <s v="Yes"/>
    <n v="1"/>
    <s v="On Time"/>
    <x v="1"/>
    <x v="1"/>
  </r>
  <r>
    <s v="PO000488"/>
    <s v="SUP00046"/>
    <s v="PROD00083"/>
    <d v="2021-10-05T00:00:00"/>
    <n v="18"/>
    <n v="5.0244432684317903"/>
    <d v="2021-10-23T00:00:00"/>
    <d v="2021-10-27T00:00:00"/>
    <n v="90.439978831772294"/>
    <n v="4"/>
    <x v="61"/>
    <s v="Brazil"/>
    <s v="South"/>
    <x v="3"/>
    <n v="1"/>
    <s v="Yes"/>
    <n v="0"/>
    <s v="Late"/>
    <x v="1"/>
    <x v="4"/>
  </r>
  <r>
    <s v="PO000489"/>
    <s v="SUP00043"/>
    <s v="PROD00185"/>
    <d v="2022-11-25T00:00:00"/>
    <n v="18"/>
    <n v="66.537065948821606"/>
    <d v="2022-12-07T00:00:00"/>
    <d v="2022-12-10T00:00:00"/>
    <n v="1197.66718707879"/>
    <n v="3"/>
    <x v="23"/>
    <s v="India"/>
    <s v="Central"/>
    <x v="1"/>
    <n v="0"/>
    <s v="No"/>
    <n v="0"/>
    <s v="Late"/>
    <x v="3"/>
    <x v="6"/>
  </r>
  <r>
    <s v="PO000490"/>
    <s v="SUP00049"/>
    <s v="PROD00179"/>
    <d v="2022-02-10T00:00:00"/>
    <n v="9"/>
    <n v="50.664116973312602"/>
    <d v="2022-03-06T00:00:00"/>
    <d v="2022-03-12T00:00:00"/>
    <n v="455.97705275981298"/>
    <n v="6"/>
    <x v="71"/>
    <s v="Canada"/>
    <s v="East"/>
    <x v="0"/>
    <n v="1"/>
    <s v="Yes"/>
    <n v="0"/>
    <s v="Late"/>
    <x v="3"/>
    <x v="9"/>
  </r>
  <r>
    <s v="PO000491"/>
    <s v="SUP00017"/>
    <s v="PROD00069"/>
    <d v="2021-01-09T00:00:00"/>
    <n v="12"/>
    <n v="8.6368725003252695"/>
    <d v="2021-02-01T00:00:00"/>
    <d v="2021-02-02T00:00:00"/>
    <n v="103.642470003903"/>
    <n v="1"/>
    <x v="52"/>
    <s v="India"/>
    <s v="East"/>
    <x v="1"/>
    <n v="0"/>
    <s v="No"/>
    <n v="0"/>
    <s v="Late"/>
    <x v="1"/>
    <x v="10"/>
  </r>
  <r>
    <s v="PO000492"/>
    <s v="SUP00004"/>
    <s v="PROD00141"/>
    <d v="2021-03-11T00:00:00"/>
    <n v="9"/>
    <n v="56.459343686882399"/>
    <d v="2021-04-02T00:00:00"/>
    <d v="2021-04-03T00:00:00"/>
    <n v="508.13409318194198"/>
    <n v="1"/>
    <x v="28"/>
    <s v="USA"/>
    <s v="North"/>
    <x v="1"/>
    <n v="0"/>
    <s v="No"/>
    <n v="0"/>
    <s v="Late"/>
    <x v="1"/>
    <x v="0"/>
  </r>
  <r>
    <s v="PO000493"/>
    <s v="SUP00061"/>
    <s v="PROD00052"/>
    <d v="2022-02-01T00:00:00"/>
    <n v="14"/>
    <n v="59.133407894161103"/>
    <d v="2022-02-25T00:00:00"/>
    <d v="2022-02-24T00:00:00"/>
    <n v="827.86771051825599"/>
    <n v="-1"/>
    <x v="71"/>
    <s v="India"/>
    <s v="South"/>
    <x v="2"/>
    <n v="0"/>
    <s v="No"/>
    <n v="1"/>
    <s v="On Time"/>
    <x v="3"/>
    <x v="9"/>
  </r>
  <r>
    <s v="PO000494"/>
    <s v="SUP00023"/>
    <s v="PROD00014"/>
    <d v="2022-07-02T00:00:00"/>
    <n v="11"/>
    <n v="68.322111259401197"/>
    <d v="2022-07-22T00:00:00"/>
    <d v="2022-07-19T00:00:00"/>
    <n v="751.543223853413"/>
    <n v="-3"/>
    <x v="3"/>
    <s v="Brazil"/>
    <s v="South"/>
    <x v="0"/>
    <n v="1"/>
    <s v="Yes"/>
    <n v="1"/>
    <s v="On Time"/>
    <x v="3"/>
    <x v="5"/>
  </r>
  <r>
    <s v="PO000495"/>
    <s v="SUP00059"/>
    <s v="PROD00111"/>
    <d v="2022-02-10T00:00:00"/>
    <n v="12"/>
    <n v="61.0105986212875"/>
    <d v="2022-02-24T00:00:00"/>
    <d v="2022-02-24T00:00:00"/>
    <n v="732.12718345544999"/>
    <n v="0"/>
    <x v="0"/>
    <s v="India"/>
    <s v="North"/>
    <x v="0"/>
    <n v="0"/>
    <s v="No"/>
    <n v="1"/>
    <s v="On Time"/>
    <x v="3"/>
    <x v="9"/>
  </r>
  <r>
    <s v="PO000496"/>
    <s v="SUP00044"/>
    <s v="PROD00196"/>
    <d v="2021-09-19T00:00:00"/>
    <n v="15"/>
    <n v="33.281793474363703"/>
    <d v="2021-10-11T00:00:00"/>
    <d v="2021-10-09T00:00:00"/>
    <n v="499.22690211545603"/>
    <n v="-2"/>
    <x v="21"/>
    <s v="Germany"/>
    <s v="Central"/>
    <x v="1"/>
    <n v="1"/>
    <s v="Yes"/>
    <n v="1"/>
    <s v="On Time"/>
    <x v="1"/>
    <x v="11"/>
  </r>
  <r>
    <s v="PO000497"/>
    <s v="SUP00044"/>
    <s v="PROD00068"/>
    <d v="2022-04-15T00:00:00"/>
    <n v="10"/>
    <n v="72.416768761401002"/>
    <d v="2022-05-08T00:00:00"/>
    <d v="2022-05-13T00:00:00"/>
    <n v="724.16768761400999"/>
    <n v="5"/>
    <x v="21"/>
    <s v="Germany"/>
    <s v="Central"/>
    <x v="1"/>
    <n v="1"/>
    <s v="Yes"/>
    <n v="0"/>
    <s v="Late"/>
    <x v="3"/>
    <x v="8"/>
  </r>
  <r>
    <s v="PO000498"/>
    <s v="SUP00060"/>
    <s v="PROD00195"/>
    <d v="2022-12-18T00:00:00"/>
    <n v="12"/>
    <n v="35.8318975363973"/>
    <d v="2023-01-02T00:00:00"/>
    <d v="2023-01-05T00:00:00"/>
    <n v="429.98277043676802"/>
    <n v="3"/>
    <x v="85"/>
    <s v="UK"/>
    <s v="North"/>
    <x v="3"/>
    <n v="1"/>
    <s v="Yes"/>
    <n v="0"/>
    <s v="Late"/>
    <x v="3"/>
    <x v="7"/>
  </r>
  <r>
    <s v="PO000499"/>
    <s v="SUP00093"/>
    <s v="PROD00038"/>
    <d v="2024-01-17T00:00:00"/>
    <n v="16"/>
    <n v="53.657623131039202"/>
    <d v="2024-02-09T00:00:00"/>
    <d v="2024-02-08T00:00:00"/>
    <n v="858.521970096627"/>
    <n v="-1"/>
    <x v="20"/>
    <s v="USA"/>
    <s v="Central"/>
    <x v="2"/>
    <n v="0"/>
    <s v="No"/>
    <n v="1"/>
    <s v="On Time"/>
    <x v="0"/>
    <x v="10"/>
  </r>
  <r>
    <s v="PO000500"/>
    <s v="SUP00063"/>
    <s v="PROD00067"/>
    <d v="2023-12-05T00:00:00"/>
    <n v="8"/>
    <n v="75.051849618908406"/>
    <d v="2023-12-26T00:00:00"/>
    <d v="2023-12-31T00:00:00"/>
    <n v="600.41479695126702"/>
    <n v="5"/>
    <x v="30"/>
    <s v="Denmark"/>
    <s v="North"/>
    <x v="1"/>
    <n v="0"/>
    <s v="No"/>
    <n v="0"/>
    <s v="Late"/>
    <x v="2"/>
    <x v="7"/>
  </r>
  <r>
    <s v="PO000501"/>
    <s v="SUP00026"/>
    <s v="PROD00191"/>
    <d v="2024-01-09T00:00:00"/>
    <n v="14"/>
    <n v="76.824831471027693"/>
    <d v="2024-01-21T00:00:00"/>
    <d v="2024-01-22T00:00:00"/>
    <n v="1075.54764059438"/>
    <n v="1"/>
    <x v="44"/>
    <s v="Denmark"/>
    <s v="East"/>
    <x v="1"/>
    <n v="1"/>
    <s v="Yes"/>
    <n v="0"/>
    <s v="Late"/>
    <x v="0"/>
    <x v="10"/>
  </r>
  <r>
    <s v="PO000502"/>
    <s v="SUP00092"/>
    <s v="PROD00167"/>
    <d v="2021-08-14T00:00:00"/>
    <n v="4"/>
    <n v="18.675441137430798"/>
    <d v="2021-09-03T00:00:00"/>
    <d v="2021-09-05T00:00:00"/>
    <n v="74.701764549723194"/>
    <n v="2"/>
    <x v="27"/>
    <s v="UK"/>
    <s v="West"/>
    <x v="0"/>
    <n v="0"/>
    <s v="No"/>
    <n v="0"/>
    <s v="Late"/>
    <x v="1"/>
    <x v="2"/>
  </r>
  <r>
    <s v="PO000503"/>
    <s v="SUP00086"/>
    <s v="PROD00126"/>
    <d v="2023-06-23T00:00:00"/>
    <n v="11"/>
    <n v="72.014843746686793"/>
    <d v="2023-07-15T00:00:00"/>
    <d v="2023-07-14T00:00:00"/>
    <n v="792.16328121355502"/>
    <n v="-1"/>
    <x v="69"/>
    <s v="Denmark"/>
    <s v="South"/>
    <x v="0"/>
    <n v="1"/>
    <s v="Yes"/>
    <n v="1"/>
    <s v="On Time"/>
    <x v="2"/>
    <x v="1"/>
  </r>
  <r>
    <s v="PO000504"/>
    <s v="SUP00037"/>
    <s v="PROD00180"/>
    <d v="2024-02-28T00:00:00"/>
    <n v="16"/>
    <n v="18.5969604796143"/>
    <d v="2024-03-19T00:00:00"/>
    <d v="2024-03-24T00:00:00"/>
    <n v="297.55136767382999"/>
    <n v="5"/>
    <x v="46"/>
    <s v="Denmark"/>
    <s v="East"/>
    <x v="1"/>
    <n v="0"/>
    <s v="No"/>
    <n v="0"/>
    <s v="Late"/>
    <x v="0"/>
    <x v="9"/>
  </r>
  <r>
    <s v="PO000505"/>
    <s v="SUP00018"/>
    <s v="PROD00025"/>
    <d v="2023-06-23T00:00:00"/>
    <n v="8"/>
    <n v="56.784179482850803"/>
    <d v="2023-07-09T00:00:00"/>
    <d v="2023-07-11T00:00:00"/>
    <n v="454.27343586280602"/>
    <n v="2"/>
    <x v="8"/>
    <s v="UK"/>
    <s v="West"/>
    <x v="2"/>
    <n v="0"/>
    <s v="No"/>
    <n v="0"/>
    <s v="Late"/>
    <x v="2"/>
    <x v="1"/>
  </r>
  <r>
    <s v="PO000506"/>
    <s v="SUP00018"/>
    <s v="PROD00173"/>
    <d v="2021-08-16T00:00:00"/>
    <n v="11"/>
    <n v="26.3178017025398"/>
    <d v="2021-08-27T00:00:00"/>
    <d v="2021-08-30T00:00:00"/>
    <n v="289.495818727938"/>
    <n v="3"/>
    <x v="8"/>
    <s v="UK"/>
    <s v="West"/>
    <x v="2"/>
    <n v="0"/>
    <s v="No"/>
    <n v="0"/>
    <s v="Late"/>
    <x v="1"/>
    <x v="2"/>
  </r>
  <r>
    <s v="PO000507"/>
    <s v="SUP00063"/>
    <s v="PROD00135"/>
    <d v="2021-03-16T00:00:00"/>
    <n v="11"/>
    <n v="54.547841563101301"/>
    <d v="2021-03-31T00:00:00"/>
    <d v="2021-03-29T00:00:00"/>
    <n v="600.02625719411503"/>
    <n v="-2"/>
    <x v="30"/>
    <s v="Denmark"/>
    <s v="North"/>
    <x v="1"/>
    <n v="0"/>
    <s v="No"/>
    <n v="1"/>
    <s v="On Time"/>
    <x v="1"/>
    <x v="0"/>
  </r>
  <r>
    <s v="PO000508"/>
    <s v="SUP00017"/>
    <s v="PROD00104"/>
    <d v="2024-03-23T00:00:00"/>
    <n v="15"/>
    <n v="54.883859994490301"/>
    <d v="2024-04-08T00:00:00"/>
    <d v="2024-04-12T00:00:00"/>
    <n v="823.25789991735496"/>
    <n v="4"/>
    <x v="52"/>
    <s v="India"/>
    <s v="East"/>
    <x v="1"/>
    <n v="0"/>
    <s v="No"/>
    <n v="0"/>
    <s v="Late"/>
    <x v="0"/>
    <x v="0"/>
  </r>
  <r>
    <s v="PO000509"/>
    <s v="SUP00069"/>
    <s v="PROD00046"/>
    <d v="2022-04-05T00:00:00"/>
    <n v="11"/>
    <n v="16.1981356478165"/>
    <d v="2022-04-19T00:00:00"/>
    <d v="2022-04-17T00:00:00"/>
    <n v="178.17949212598199"/>
    <n v="-2"/>
    <x v="90"/>
    <s v="China"/>
    <s v="Central"/>
    <x v="2"/>
    <n v="0"/>
    <s v="No"/>
    <n v="1"/>
    <s v="On Time"/>
    <x v="3"/>
    <x v="8"/>
  </r>
  <r>
    <s v="PO000510"/>
    <s v="SUP00017"/>
    <s v="PROD00025"/>
    <d v="2021-04-20T00:00:00"/>
    <n v="7"/>
    <n v="61.513404688826903"/>
    <d v="2021-05-06T00:00:00"/>
    <d v="2021-05-10T00:00:00"/>
    <n v="430.593832821788"/>
    <n v="4"/>
    <x v="52"/>
    <s v="India"/>
    <s v="East"/>
    <x v="1"/>
    <n v="0"/>
    <s v="No"/>
    <n v="0"/>
    <s v="Late"/>
    <x v="1"/>
    <x v="8"/>
  </r>
  <r>
    <s v="PO000511"/>
    <s v="SUP00082"/>
    <s v="PROD00156"/>
    <d v="2021-01-16T00:00:00"/>
    <n v="10"/>
    <n v="20.815617306055199"/>
    <d v="2021-01-29T00:00:00"/>
    <d v="2021-01-27T00:00:00"/>
    <n v="208.15617306055199"/>
    <n v="-2"/>
    <x v="76"/>
    <s v="India"/>
    <s v="North"/>
    <x v="1"/>
    <n v="1"/>
    <s v="Yes"/>
    <n v="1"/>
    <s v="On Time"/>
    <x v="1"/>
    <x v="10"/>
  </r>
  <r>
    <s v="PO000512"/>
    <s v="SUP00064"/>
    <s v="PROD00172"/>
    <d v="2022-09-25T00:00:00"/>
    <n v="13"/>
    <n v="26.000503856039099"/>
    <d v="2022-10-09T00:00:00"/>
    <d v="2022-10-13T00:00:00"/>
    <n v="338.00655012850899"/>
    <n v="4"/>
    <x v="28"/>
    <s v="Brazil"/>
    <s v="North"/>
    <x v="0"/>
    <n v="1"/>
    <s v="Yes"/>
    <n v="0"/>
    <s v="Late"/>
    <x v="3"/>
    <x v="11"/>
  </r>
  <r>
    <s v="PO000513"/>
    <s v="SUP00023"/>
    <s v="PROD00005"/>
    <d v="2021-03-13T00:00:00"/>
    <n v="13"/>
    <n v="39.443253178328398"/>
    <d v="2021-04-02T00:00:00"/>
    <d v="2021-04-02T00:00:00"/>
    <n v="512.76229131826994"/>
    <n v="0"/>
    <x v="3"/>
    <s v="Brazil"/>
    <s v="South"/>
    <x v="0"/>
    <n v="1"/>
    <s v="Yes"/>
    <n v="1"/>
    <s v="On Time"/>
    <x v="1"/>
    <x v="0"/>
  </r>
  <r>
    <s v="PO000514"/>
    <s v="SUP00021"/>
    <s v="PROD00102"/>
    <d v="2023-02-24T00:00:00"/>
    <n v="11"/>
    <n v="32.1858212361131"/>
    <d v="2023-03-10T00:00:00"/>
    <d v="2023-03-07T00:00:00"/>
    <n v="354.04403359724398"/>
    <n v="-3"/>
    <x v="19"/>
    <s v="Germany"/>
    <s v="Central"/>
    <x v="1"/>
    <n v="1"/>
    <s v="Yes"/>
    <n v="1"/>
    <s v="On Time"/>
    <x v="2"/>
    <x v="9"/>
  </r>
  <r>
    <s v="PO000515"/>
    <s v="SUP00042"/>
    <s v="PROD00059"/>
    <d v="2024-03-21T00:00:00"/>
    <n v="14"/>
    <n v="49.896043804473301"/>
    <d v="2024-04-02T00:00:00"/>
    <d v="2024-04-05T00:00:00"/>
    <n v="698.54461326262697"/>
    <n v="3"/>
    <x v="64"/>
    <s v="India"/>
    <s v="West"/>
    <x v="2"/>
    <n v="0"/>
    <s v="No"/>
    <n v="0"/>
    <s v="Late"/>
    <x v="0"/>
    <x v="0"/>
  </r>
  <r>
    <s v="PO000516"/>
    <s v="SUP00012"/>
    <s v="PROD00045"/>
    <d v="2021-04-23T00:00:00"/>
    <n v="15"/>
    <n v="55.458473919896903"/>
    <d v="2021-05-11T00:00:00"/>
    <d v="2021-05-14T00:00:00"/>
    <n v="831.87710879845395"/>
    <n v="3"/>
    <x v="88"/>
    <s v="China"/>
    <s v="East"/>
    <x v="3"/>
    <n v="0"/>
    <s v="No"/>
    <n v="0"/>
    <s v="Late"/>
    <x v="1"/>
    <x v="8"/>
  </r>
  <r>
    <s v="PO000517"/>
    <s v="SUP00095"/>
    <s v="PROD00069"/>
    <d v="2021-02-18T00:00:00"/>
    <n v="23"/>
    <n v="69.956223480732405"/>
    <d v="2021-03-13T00:00:00"/>
    <d v="2021-03-18T00:00:00"/>
    <n v="1608.99314005684"/>
    <n v="5"/>
    <x v="74"/>
    <s v="China"/>
    <s v="Central"/>
    <x v="1"/>
    <n v="0"/>
    <s v="No"/>
    <n v="0"/>
    <s v="Late"/>
    <x v="1"/>
    <x v="9"/>
  </r>
  <r>
    <s v="PO000518"/>
    <s v="SUP00020"/>
    <s v="PROD00161"/>
    <d v="2022-05-25T00:00:00"/>
    <n v="16"/>
    <n v="37.304560794334002"/>
    <d v="2022-06-06T00:00:00"/>
    <d v="2022-06-04T00:00:00"/>
    <n v="596.87297270934403"/>
    <n v="-2"/>
    <x v="21"/>
    <s v="Canada"/>
    <s v="Central"/>
    <x v="3"/>
    <n v="1"/>
    <s v="Yes"/>
    <n v="1"/>
    <s v="On Time"/>
    <x v="3"/>
    <x v="3"/>
  </r>
  <r>
    <s v="PO000519"/>
    <s v="SUP00005"/>
    <s v="PROD00162"/>
    <d v="2022-10-19T00:00:00"/>
    <n v="6"/>
    <n v="66.8929697015584"/>
    <d v="2022-11-12T00:00:00"/>
    <d v="2022-11-16T00:00:00"/>
    <n v="401.35781820935"/>
    <n v="4"/>
    <x v="17"/>
    <s v="Canada"/>
    <s v="North"/>
    <x v="1"/>
    <n v="1"/>
    <s v="Yes"/>
    <n v="0"/>
    <s v="Late"/>
    <x v="3"/>
    <x v="4"/>
  </r>
  <r>
    <s v="PO000520"/>
    <s v="SUP00055"/>
    <s v="PROD00037"/>
    <d v="2023-02-21T00:00:00"/>
    <n v="13"/>
    <n v="14.788230554402499"/>
    <d v="2023-03-11T00:00:00"/>
    <d v="2023-03-15T00:00:00"/>
    <n v="192.246997207232"/>
    <n v="4"/>
    <x v="49"/>
    <s v="China"/>
    <s v="East"/>
    <x v="0"/>
    <n v="1"/>
    <s v="Yes"/>
    <n v="0"/>
    <s v="Late"/>
    <x v="2"/>
    <x v="9"/>
  </r>
  <r>
    <s v="PO000521"/>
    <s v="SUP00077"/>
    <s v="PROD00079"/>
    <d v="2022-12-29T00:00:00"/>
    <n v="12"/>
    <n v="75.133151705296896"/>
    <d v="2023-01-22T00:00:00"/>
    <d v="2023-01-23T00:00:00"/>
    <n v="901.59782046356304"/>
    <n v="1"/>
    <x v="10"/>
    <s v="India"/>
    <s v="West"/>
    <x v="1"/>
    <n v="0"/>
    <s v="No"/>
    <n v="0"/>
    <s v="Late"/>
    <x v="3"/>
    <x v="7"/>
  </r>
  <r>
    <s v="PO000522"/>
    <s v="SUP00077"/>
    <s v="PROD00060"/>
    <d v="2022-08-07T00:00:00"/>
    <n v="10"/>
    <n v="27.057295990249699"/>
    <d v="2022-08-26T00:00:00"/>
    <d v="2022-08-28T00:00:00"/>
    <n v="270.57295990249702"/>
    <n v="2"/>
    <x v="10"/>
    <s v="India"/>
    <s v="West"/>
    <x v="1"/>
    <n v="0"/>
    <s v="No"/>
    <n v="0"/>
    <s v="Late"/>
    <x v="3"/>
    <x v="2"/>
  </r>
  <r>
    <s v="PO000523"/>
    <s v="SUP00034"/>
    <s v="PROD00084"/>
    <d v="2021-01-27T00:00:00"/>
    <n v="8"/>
    <n v="31.485837237087001"/>
    <d v="2021-02-14T00:00:00"/>
    <d v="2021-02-12T00:00:00"/>
    <n v="251.88669789669601"/>
    <n v="-2"/>
    <x v="67"/>
    <s v="Brazil"/>
    <s v="North"/>
    <x v="1"/>
    <n v="1"/>
    <s v="Yes"/>
    <n v="1"/>
    <s v="On Time"/>
    <x v="1"/>
    <x v="10"/>
  </r>
  <r>
    <s v="PO000524"/>
    <s v="SUP00003"/>
    <s v="PROD00183"/>
    <d v="2022-08-12T00:00:00"/>
    <n v="17"/>
    <n v="44.674005029691401"/>
    <d v="2022-09-01T00:00:00"/>
    <d v="2022-09-05T00:00:00"/>
    <n v="759.45808550475397"/>
    <n v="4"/>
    <x v="91"/>
    <s v="India"/>
    <s v="Central"/>
    <x v="0"/>
    <n v="1"/>
    <s v="Yes"/>
    <n v="0"/>
    <s v="Late"/>
    <x v="3"/>
    <x v="2"/>
  </r>
  <r>
    <s v="PO000525"/>
    <s v="SUP00099"/>
    <s v="PROD00177"/>
    <d v="2023-07-04T00:00:00"/>
    <n v="8"/>
    <n v="11.555228551424999"/>
    <d v="2023-07-14T00:00:00"/>
    <d v="2023-07-13T00:00:00"/>
    <n v="92.441828411400294"/>
    <n v="-1"/>
    <x v="19"/>
    <s v="Denmark"/>
    <s v="South"/>
    <x v="0"/>
    <n v="0"/>
    <s v="No"/>
    <n v="1"/>
    <s v="On Time"/>
    <x v="2"/>
    <x v="5"/>
  </r>
  <r>
    <s v="PO000526"/>
    <s v="SUP00088"/>
    <s v="PROD00111"/>
    <d v="2023-06-16T00:00:00"/>
    <n v="14"/>
    <n v="50.453160693111997"/>
    <d v="2023-07-08T00:00:00"/>
    <d v="2023-07-13T00:00:00"/>
    <n v="706.34424970356804"/>
    <n v="5"/>
    <x v="41"/>
    <s v="Brazil"/>
    <s v="East"/>
    <x v="3"/>
    <n v="0"/>
    <s v="No"/>
    <n v="0"/>
    <s v="Late"/>
    <x v="2"/>
    <x v="1"/>
  </r>
  <r>
    <s v="PO000527"/>
    <s v="SUP00077"/>
    <s v="PROD00029"/>
    <d v="2021-02-03T00:00:00"/>
    <n v="8"/>
    <n v="14.2051917876807"/>
    <d v="2021-02-21T00:00:00"/>
    <d v="2021-02-25T00:00:00"/>
    <n v="113.64153430144501"/>
    <n v="4"/>
    <x v="10"/>
    <s v="India"/>
    <s v="West"/>
    <x v="1"/>
    <n v="0"/>
    <s v="No"/>
    <n v="0"/>
    <s v="Late"/>
    <x v="1"/>
    <x v="9"/>
  </r>
  <r>
    <s v="PO000528"/>
    <s v="SUP00042"/>
    <s v="PROD00056"/>
    <d v="2021-08-29T00:00:00"/>
    <n v="7"/>
    <n v="40.490000562049602"/>
    <d v="2021-09-10T00:00:00"/>
    <d v="2021-09-09T00:00:00"/>
    <n v="283.43000393434698"/>
    <n v="-1"/>
    <x v="64"/>
    <s v="India"/>
    <s v="West"/>
    <x v="2"/>
    <n v="0"/>
    <s v="No"/>
    <n v="1"/>
    <s v="On Time"/>
    <x v="1"/>
    <x v="2"/>
  </r>
  <r>
    <s v="PO000529"/>
    <s v="SUP00052"/>
    <s v="PROD00081"/>
    <d v="2021-10-13T00:00:00"/>
    <n v="8"/>
    <n v="47.209808521034901"/>
    <d v="2021-11-04T00:00:00"/>
    <d v="2021-11-07T00:00:00"/>
    <n v="377.67846816827898"/>
    <n v="3"/>
    <x v="80"/>
    <s v="Brazil"/>
    <s v="West"/>
    <x v="1"/>
    <n v="1"/>
    <s v="Yes"/>
    <n v="0"/>
    <s v="Late"/>
    <x v="1"/>
    <x v="4"/>
  </r>
  <r>
    <s v="PO000530"/>
    <s v="SUP00025"/>
    <s v="PROD00068"/>
    <d v="2022-06-11T00:00:00"/>
    <n v="10"/>
    <n v="46.9254505529453"/>
    <d v="2022-06-27T00:00:00"/>
    <d v="2022-06-25T00:00:00"/>
    <n v="469.25450552945301"/>
    <n v="-2"/>
    <x v="6"/>
    <s v="Denmark"/>
    <s v="Central"/>
    <x v="2"/>
    <n v="0"/>
    <s v="No"/>
    <n v="1"/>
    <s v="On Time"/>
    <x v="3"/>
    <x v="1"/>
  </r>
  <r>
    <s v="PO000531"/>
    <s v="SUP00025"/>
    <s v="PROD00027"/>
    <d v="2021-11-30T00:00:00"/>
    <n v="11"/>
    <n v="49.9536832380956"/>
    <d v="2021-12-17T00:00:00"/>
    <d v="2021-12-22T00:00:00"/>
    <n v="549.49051561905196"/>
    <n v="5"/>
    <x v="6"/>
    <s v="Denmark"/>
    <s v="Central"/>
    <x v="2"/>
    <n v="0"/>
    <s v="No"/>
    <n v="0"/>
    <s v="Late"/>
    <x v="1"/>
    <x v="6"/>
  </r>
  <r>
    <s v="PO000532"/>
    <s v="SUP00060"/>
    <s v="PROD00023"/>
    <d v="2022-04-15T00:00:00"/>
    <n v="5"/>
    <n v="76.509659140845201"/>
    <d v="2022-04-26T00:00:00"/>
    <d v="2022-04-23T00:00:00"/>
    <n v="382.54829570422601"/>
    <n v="-3"/>
    <x v="85"/>
    <s v="UK"/>
    <s v="North"/>
    <x v="3"/>
    <n v="1"/>
    <s v="Yes"/>
    <n v="1"/>
    <s v="On Time"/>
    <x v="3"/>
    <x v="8"/>
  </r>
  <r>
    <s v="PO000533"/>
    <s v="SUP00053"/>
    <s v="PROD00137"/>
    <d v="2021-02-03T00:00:00"/>
    <n v="10"/>
    <n v="48.710446335786699"/>
    <d v="2021-02-23T00:00:00"/>
    <d v="2021-02-21T00:00:00"/>
    <n v="487.104463357866"/>
    <n v="-2"/>
    <x v="18"/>
    <s v="India"/>
    <s v="North"/>
    <x v="2"/>
    <n v="1"/>
    <s v="Yes"/>
    <n v="1"/>
    <s v="On Time"/>
    <x v="1"/>
    <x v="9"/>
  </r>
  <r>
    <s v="PO000534"/>
    <s v="SUP00096"/>
    <s v="PROD00083"/>
    <d v="2023-09-14T00:00:00"/>
    <n v="10"/>
    <n v="54.956665736723998"/>
    <d v="2023-09-27T00:00:00"/>
    <d v="2023-09-26T00:00:00"/>
    <n v="549.56665736724005"/>
    <n v="-1"/>
    <x v="26"/>
    <s v="India"/>
    <s v="South"/>
    <x v="1"/>
    <n v="0"/>
    <s v="No"/>
    <n v="1"/>
    <s v="On Time"/>
    <x v="2"/>
    <x v="11"/>
  </r>
  <r>
    <s v="PO000535"/>
    <s v="SUP00095"/>
    <s v="PROD00137"/>
    <d v="2023-12-16T00:00:00"/>
    <n v="15"/>
    <n v="70.965692243761595"/>
    <d v="2024-01-02T00:00:00"/>
    <d v="2024-01-02T00:00:00"/>
    <n v="1064.48538365642"/>
    <n v="0"/>
    <x v="74"/>
    <s v="China"/>
    <s v="Central"/>
    <x v="1"/>
    <n v="0"/>
    <s v="No"/>
    <n v="1"/>
    <s v="On Time"/>
    <x v="2"/>
    <x v="7"/>
  </r>
  <r>
    <s v="PO000536"/>
    <s v="SUP00023"/>
    <s v="PROD00174"/>
    <d v="2023-05-09T00:00:00"/>
    <n v="10"/>
    <n v="23.849074283696499"/>
    <d v="2023-05-21T00:00:00"/>
    <d v="2023-05-27T00:00:00"/>
    <n v="238.49074283696501"/>
    <n v="6"/>
    <x v="3"/>
    <s v="Brazil"/>
    <s v="South"/>
    <x v="0"/>
    <n v="1"/>
    <s v="Yes"/>
    <n v="0"/>
    <s v="Late"/>
    <x v="2"/>
    <x v="3"/>
  </r>
  <r>
    <s v="PO000537"/>
    <s v="SUP00023"/>
    <s v="PROD00041"/>
    <d v="2022-02-05T00:00:00"/>
    <n v="8"/>
    <n v="79.956484674323505"/>
    <d v="2022-02-15T00:00:00"/>
    <d v="2022-02-12T00:00:00"/>
    <n v="639.65187739458804"/>
    <n v="-3"/>
    <x v="3"/>
    <s v="Brazil"/>
    <s v="South"/>
    <x v="0"/>
    <n v="1"/>
    <s v="Yes"/>
    <n v="1"/>
    <s v="On Time"/>
    <x v="3"/>
    <x v="9"/>
  </r>
  <r>
    <s v="PO000538"/>
    <s v="SUP00064"/>
    <s v="PROD00132"/>
    <d v="2023-05-02T00:00:00"/>
    <n v="12"/>
    <n v="12.3823661034943"/>
    <d v="2023-05-17T00:00:00"/>
    <d v="2023-05-20T00:00:00"/>
    <n v="148.58839324193099"/>
    <n v="3"/>
    <x v="28"/>
    <s v="Brazil"/>
    <s v="North"/>
    <x v="0"/>
    <n v="1"/>
    <s v="Yes"/>
    <n v="0"/>
    <s v="Late"/>
    <x v="2"/>
    <x v="3"/>
  </r>
  <r>
    <s v="PO000539"/>
    <s v="SUP00083"/>
    <s v="PROD00113"/>
    <d v="2021-11-27T00:00:00"/>
    <n v="8"/>
    <n v="30.9909705318444"/>
    <d v="2021-12-12T00:00:00"/>
    <d v="2021-12-10T00:00:00"/>
    <n v="247.927764254755"/>
    <n v="-2"/>
    <x v="43"/>
    <s v="China"/>
    <s v="South"/>
    <x v="0"/>
    <n v="0"/>
    <s v="No"/>
    <n v="1"/>
    <s v="On Time"/>
    <x v="1"/>
    <x v="6"/>
  </r>
  <r>
    <s v="PO000540"/>
    <s v="SUP00005"/>
    <s v="PROD00151"/>
    <d v="2021-06-30T00:00:00"/>
    <n v="6"/>
    <n v="16.771079136670799"/>
    <d v="2021-07-11T00:00:00"/>
    <d v="2021-07-10T00:00:00"/>
    <n v="100.626474820025"/>
    <n v="-1"/>
    <x v="17"/>
    <s v="Canada"/>
    <s v="North"/>
    <x v="1"/>
    <n v="1"/>
    <s v="Yes"/>
    <n v="1"/>
    <s v="On Time"/>
    <x v="1"/>
    <x v="1"/>
  </r>
  <r>
    <s v="PO000541"/>
    <s v="SUP00024"/>
    <s v="PROD00193"/>
    <d v="2021-07-18T00:00:00"/>
    <n v="11"/>
    <n v="57.959275349880798"/>
    <d v="2021-08-01T00:00:00"/>
    <d v="2021-08-01T00:00:00"/>
    <n v="637.55202884868902"/>
    <n v="0"/>
    <x v="5"/>
    <s v="UK"/>
    <s v="North"/>
    <x v="1"/>
    <n v="0"/>
    <s v="No"/>
    <n v="1"/>
    <s v="On Time"/>
    <x v="1"/>
    <x v="5"/>
  </r>
  <r>
    <s v="PO000542"/>
    <s v="SUP00005"/>
    <s v="PROD00178"/>
    <d v="2024-02-13T00:00:00"/>
    <n v="8"/>
    <n v="74.689363018940199"/>
    <d v="2024-02-28T00:00:00"/>
    <d v="2024-02-27T00:00:00"/>
    <n v="597.51490415152102"/>
    <n v="-1"/>
    <x v="17"/>
    <s v="Canada"/>
    <s v="North"/>
    <x v="1"/>
    <n v="1"/>
    <s v="Yes"/>
    <n v="1"/>
    <s v="On Time"/>
    <x v="0"/>
    <x v="9"/>
  </r>
  <r>
    <s v="PO000543"/>
    <s v="SUP00032"/>
    <s v="PROD00116"/>
    <d v="2021-10-24T00:00:00"/>
    <n v="14"/>
    <n v="22.318775494970101"/>
    <d v="2021-11-13T00:00:00"/>
    <d v="2021-11-13T00:00:00"/>
    <n v="312.46285692958202"/>
    <n v="0"/>
    <x v="15"/>
    <s v="Germany"/>
    <s v="South"/>
    <x v="0"/>
    <n v="0"/>
    <s v="No"/>
    <n v="1"/>
    <s v="On Time"/>
    <x v="1"/>
    <x v="4"/>
  </r>
  <r>
    <s v="PO000544"/>
    <s v="SUP00019"/>
    <s v="PROD00114"/>
    <d v="2023-04-12T00:00:00"/>
    <n v="8"/>
    <n v="25.554403465401499"/>
    <d v="2023-05-06T00:00:00"/>
    <d v="2023-05-04T00:00:00"/>
    <n v="204.43522772321199"/>
    <n v="-2"/>
    <x v="63"/>
    <s v="Denmark"/>
    <s v="West"/>
    <x v="2"/>
    <n v="0"/>
    <s v="No"/>
    <n v="1"/>
    <s v="On Time"/>
    <x v="2"/>
    <x v="8"/>
  </r>
  <r>
    <s v="PO000545"/>
    <s v="SUP00082"/>
    <s v="PROD00128"/>
    <d v="2021-09-30T00:00:00"/>
    <n v="5"/>
    <n v="11.9593869189803"/>
    <d v="2021-10-19T00:00:00"/>
    <d v="2021-10-19T00:00:00"/>
    <n v="59.7969345949017"/>
    <n v="0"/>
    <x v="76"/>
    <s v="India"/>
    <s v="North"/>
    <x v="1"/>
    <n v="1"/>
    <s v="Yes"/>
    <n v="1"/>
    <s v="On Time"/>
    <x v="1"/>
    <x v="11"/>
  </r>
  <r>
    <s v="PO000546"/>
    <s v="SUP00003"/>
    <s v="PROD00128"/>
    <d v="2021-05-15T00:00:00"/>
    <n v="12"/>
    <n v="30.991689008411701"/>
    <d v="2021-05-29T00:00:00"/>
    <d v="2021-06-04T00:00:00"/>
    <n v="371.90026810094002"/>
    <n v="6"/>
    <x v="91"/>
    <s v="India"/>
    <s v="Central"/>
    <x v="0"/>
    <n v="1"/>
    <s v="Yes"/>
    <n v="0"/>
    <s v="Late"/>
    <x v="1"/>
    <x v="3"/>
  </r>
  <r>
    <s v="PO000547"/>
    <s v="SUP00055"/>
    <s v="PROD00047"/>
    <d v="2021-05-10T00:00:00"/>
    <n v="11"/>
    <n v="17.740907162855802"/>
    <d v="2021-05-22T00:00:00"/>
    <d v="2021-05-26T00:00:00"/>
    <n v="195.14997879141399"/>
    <n v="4"/>
    <x v="49"/>
    <s v="China"/>
    <s v="East"/>
    <x v="0"/>
    <n v="1"/>
    <s v="Yes"/>
    <n v="0"/>
    <s v="Late"/>
    <x v="1"/>
    <x v="3"/>
  </r>
  <r>
    <s v="PO000548"/>
    <s v="SUP00059"/>
    <s v="PROD00113"/>
    <d v="2023-05-19T00:00:00"/>
    <n v="19"/>
    <n v="27.868535870263798"/>
    <d v="2023-06-09T00:00:00"/>
    <d v="2023-06-07T00:00:00"/>
    <n v="529.50218153501305"/>
    <n v="-2"/>
    <x v="0"/>
    <s v="India"/>
    <s v="North"/>
    <x v="0"/>
    <n v="0"/>
    <s v="No"/>
    <n v="1"/>
    <s v="On Time"/>
    <x v="2"/>
    <x v="3"/>
  </r>
  <r>
    <s v="PO000549"/>
    <s v="SUP00067"/>
    <s v="PROD00026"/>
    <d v="2023-04-22T00:00:00"/>
    <n v="6"/>
    <n v="50.712710492731198"/>
    <d v="2023-05-14T00:00:00"/>
    <d v="2023-05-13T00:00:00"/>
    <n v="304.27626295638697"/>
    <n v="-1"/>
    <x v="22"/>
    <s v="UK"/>
    <s v="South"/>
    <x v="3"/>
    <n v="1"/>
    <s v="Yes"/>
    <n v="1"/>
    <s v="On Time"/>
    <x v="2"/>
    <x v="8"/>
  </r>
  <r>
    <s v="PO000550"/>
    <s v="SUP00094"/>
    <s v="PROD00097"/>
    <d v="2021-01-19T00:00:00"/>
    <n v="13"/>
    <n v="32.976419447767299"/>
    <d v="2021-01-30T00:00:00"/>
    <d v="2021-01-30T00:00:00"/>
    <n v="428.69345282097601"/>
    <n v="0"/>
    <x v="62"/>
    <s v="USA"/>
    <s v="North"/>
    <x v="2"/>
    <n v="0"/>
    <s v="No"/>
    <n v="1"/>
    <s v="On Time"/>
    <x v="1"/>
    <x v="10"/>
  </r>
  <r>
    <s v="PO000551"/>
    <s v="SUP00020"/>
    <s v="PROD00177"/>
    <d v="2022-02-04T00:00:00"/>
    <n v="11"/>
    <n v="10.057012495192399"/>
    <d v="2022-02-24T00:00:00"/>
    <d v="2022-02-25T00:00:00"/>
    <n v="110.627137447116"/>
    <n v="1"/>
    <x v="21"/>
    <s v="Canada"/>
    <s v="Central"/>
    <x v="3"/>
    <n v="1"/>
    <s v="Yes"/>
    <n v="0"/>
    <s v="Late"/>
    <x v="3"/>
    <x v="9"/>
  </r>
  <r>
    <s v="PO000552"/>
    <s v="SUP00083"/>
    <s v="PROD00016"/>
    <d v="2021-11-02T00:00:00"/>
    <n v="4"/>
    <n v="16.633463059489699"/>
    <d v="2021-11-19T00:00:00"/>
    <d v="2021-11-17T00:00:00"/>
    <n v="66.533852237958996"/>
    <n v="-2"/>
    <x v="43"/>
    <s v="China"/>
    <s v="South"/>
    <x v="0"/>
    <n v="0"/>
    <s v="No"/>
    <n v="1"/>
    <s v="On Time"/>
    <x v="1"/>
    <x v="6"/>
  </r>
  <r>
    <s v="PO000553"/>
    <s v="SUP00090"/>
    <s v="PROD00076"/>
    <d v="2023-06-21T00:00:00"/>
    <n v="6"/>
    <n v="39.521925721653901"/>
    <d v="2023-07-05T00:00:00"/>
    <d v="2023-07-03T00:00:00"/>
    <n v="237.13155432992301"/>
    <n v="-2"/>
    <x v="9"/>
    <s v="Canada"/>
    <s v="East"/>
    <x v="1"/>
    <n v="1"/>
    <s v="Yes"/>
    <n v="1"/>
    <s v="On Time"/>
    <x v="2"/>
    <x v="1"/>
  </r>
  <r>
    <s v="PO000554"/>
    <s v="SUP00067"/>
    <s v="PROD00179"/>
    <d v="2022-07-11T00:00:00"/>
    <n v="8"/>
    <n v="51.798144478342202"/>
    <d v="2022-07-25T00:00:00"/>
    <d v="2022-07-26T00:00:00"/>
    <n v="414.38515582673801"/>
    <n v="1"/>
    <x v="22"/>
    <s v="UK"/>
    <s v="South"/>
    <x v="3"/>
    <n v="1"/>
    <s v="Yes"/>
    <n v="0"/>
    <s v="Late"/>
    <x v="3"/>
    <x v="5"/>
  </r>
  <r>
    <s v="PO000555"/>
    <s v="SUP00041"/>
    <s v="PROD00139"/>
    <d v="2023-10-30T00:00:00"/>
    <n v="8"/>
    <n v="12.1121960862999"/>
    <d v="2023-11-13T00:00:00"/>
    <d v="2023-11-19T00:00:00"/>
    <n v="96.897568690399595"/>
    <n v="6"/>
    <x v="72"/>
    <s v="Germany"/>
    <s v="West"/>
    <x v="1"/>
    <n v="0"/>
    <s v="No"/>
    <n v="0"/>
    <s v="Late"/>
    <x v="2"/>
    <x v="4"/>
  </r>
  <r>
    <s v="PO000556"/>
    <s v="SUP00075"/>
    <s v="PROD00021"/>
    <d v="2021-12-29T00:00:00"/>
    <n v="10"/>
    <n v="59.882204769670302"/>
    <d v="2022-01-16T00:00:00"/>
    <d v="2022-01-16T00:00:00"/>
    <n v="598.82204769670398"/>
    <n v="0"/>
    <x v="11"/>
    <s v="USA"/>
    <s v="Central"/>
    <x v="1"/>
    <n v="1"/>
    <s v="Yes"/>
    <n v="1"/>
    <s v="On Time"/>
    <x v="1"/>
    <x v="7"/>
  </r>
  <r>
    <s v="PO000557"/>
    <s v="SUP00034"/>
    <s v="PROD00181"/>
    <d v="2022-02-07T00:00:00"/>
    <n v="11"/>
    <n v="30.577884722266099"/>
    <d v="2022-02-17T00:00:00"/>
    <d v="2022-02-17T00:00:00"/>
    <n v="336.35673194492699"/>
    <n v="0"/>
    <x v="67"/>
    <s v="Brazil"/>
    <s v="North"/>
    <x v="1"/>
    <n v="1"/>
    <s v="Yes"/>
    <n v="1"/>
    <s v="On Time"/>
    <x v="3"/>
    <x v="9"/>
  </r>
  <r>
    <s v="PO000558"/>
    <s v="SUP00022"/>
    <s v="PROD00054"/>
    <d v="2021-11-14T00:00:00"/>
    <n v="8"/>
    <n v="27.112482216577899"/>
    <d v="2021-12-08T00:00:00"/>
    <d v="2021-12-08T00:00:00"/>
    <n v="216.89985773262299"/>
    <n v="0"/>
    <x v="60"/>
    <s v="India"/>
    <s v="South"/>
    <x v="1"/>
    <n v="0"/>
    <s v="No"/>
    <n v="1"/>
    <s v="On Time"/>
    <x v="1"/>
    <x v="6"/>
  </r>
  <r>
    <s v="PO000559"/>
    <s v="SUP00058"/>
    <s v="PROD00195"/>
    <d v="2021-01-30T00:00:00"/>
    <n v="13"/>
    <n v="44.785595352356502"/>
    <d v="2021-02-20T00:00:00"/>
    <d v="2021-02-22T00:00:00"/>
    <n v="582.212739580635"/>
    <n v="2"/>
    <x v="86"/>
    <s v="China"/>
    <s v="East"/>
    <x v="2"/>
    <n v="1"/>
    <s v="Yes"/>
    <n v="0"/>
    <s v="Late"/>
    <x v="1"/>
    <x v="10"/>
  </r>
  <r>
    <s v="PO000560"/>
    <s v="SUP00080"/>
    <s v="PROD00169"/>
    <d v="2022-04-05T00:00:00"/>
    <n v="19"/>
    <n v="9.5084978042195001"/>
    <d v="2022-04-27T00:00:00"/>
    <d v="2022-04-27T00:00:00"/>
    <n v="180.66145828017"/>
    <n v="0"/>
    <x v="70"/>
    <s v="USA"/>
    <s v="North"/>
    <x v="2"/>
    <n v="0"/>
    <s v="No"/>
    <n v="1"/>
    <s v="On Time"/>
    <x v="3"/>
    <x v="8"/>
  </r>
  <r>
    <s v="PO000561"/>
    <s v="SUP00068"/>
    <s v="PROD00056"/>
    <d v="2022-12-25T00:00:00"/>
    <n v="10"/>
    <n v="47.869275157980198"/>
    <d v="2023-01-06T00:00:00"/>
    <d v="2023-01-03T00:00:00"/>
    <n v="478.69275157980201"/>
    <n v="-3"/>
    <x v="12"/>
    <s v="UK"/>
    <s v="South"/>
    <x v="3"/>
    <n v="1"/>
    <s v="Yes"/>
    <n v="1"/>
    <s v="On Time"/>
    <x v="3"/>
    <x v="7"/>
  </r>
  <r>
    <s v="PO000562"/>
    <s v="SUP00085"/>
    <s v="PROD00031"/>
    <d v="2021-02-12T00:00:00"/>
    <n v="9"/>
    <n v="29.829906984975"/>
    <d v="2021-03-04T00:00:00"/>
    <d v="2021-03-04T00:00:00"/>
    <n v="268.469162864775"/>
    <n v="0"/>
    <x v="1"/>
    <s v="Germany"/>
    <s v="Central"/>
    <x v="1"/>
    <n v="1"/>
    <s v="Yes"/>
    <n v="1"/>
    <s v="On Time"/>
    <x v="1"/>
    <x v="9"/>
  </r>
  <r>
    <s v="PO000563"/>
    <s v="SUP00084"/>
    <s v="PROD00141"/>
    <d v="2021-07-09T00:00:00"/>
    <n v="14"/>
    <n v="55.189000412151501"/>
    <d v="2021-07-26T00:00:00"/>
    <d v="2021-08-01T00:00:00"/>
    <n v="772.64600577012095"/>
    <n v="6"/>
    <x v="35"/>
    <s v="Canada"/>
    <s v="West"/>
    <x v="1"/>
    <n v="1"/>
    <s v="Yes"/>
    <n v="0"/>
    <s v="Late"/>
    <x v="1"/>
    <x v="5"/>
  </r>
  <r>
    <s v="PO000564"/>
    <s v="SUP00018"/>
    <s v="PROD00105"/>
    <d v="2022-10-21T00:00:00"/>
    <n v="8"/>
    <n v="16.9338477456368"/>
    <d v="2022-11-03T00:00:00"/>
    <d v="2022-11-05T00:00:00"/>
    <n v="135.47078196509401"/>
    <n v="2"/>
    <x v="8"/>
    <s v="UK"/>
    <s v="West"/>
    <x v="2"/>
    <n v="0"/>
    <s v="No"/>
    <n v="0"/>
    <s v="Late"/>
    <x v="3"/>
    <x v="4"/>
  </r>
  <r>
    <s v="PO000565"/>
    <s v="SUP00054"/>
    <s v="PROD00077"/>
    <d v="2023-07-01T00:00:00"/>
    <n v="13"/>
    <n v="45.502324026506002"/>
    <d v="2023-07-11T00:00:00"/>
    <d v="2023-07-08T00:00:00"/>
    <n v="591.53021234457799"/>
    <n v="-3"/>
    <x v="73"/>
    <s v="Canada"/>
    <s v="South"/>
    <x v="3"/>
    <n v="1"/>
    <s v="Yes"/>
    <n v="1"/>
    <s v="On Time"/>
    <x v="2"/>
    <x v="5"/>
  </r>
  <r>
    <s v="PO000566"/>
    <s v="SUP00008"/>
    <s v="PROD00068"/>
    <d v="2021-01-16T00:00:00"/>
    <n v="10"/>
    <n v="27.684592653332601"/>
    <d v="2021-02-08T00:00:00"/>
    <d v="2021-02-05T00:00:00"/>
    <n v="276.84592653332601"/>
    <n v="-3"/>
    <x v="79"/>
    <s v="USA"/>
    <s v="Central"/>
    <x v="3"/>
    <n v="0"/>
    <s v="No"/>
    <n v="1"/>
    <s v="On Time"/>
    <x v="1"/>
    <x v="10"/>
  </r>
  <r>
    <s v="PO000567"/>
    <s v="SUP00049"/>
    <s v="PROD00140"/>
    <d v="2021-04-13T00:00:00"/>
    <n v="15"/>
    <n v="77.612308245394502"/>
    <d v="2021-04-28T00:00:00"/>
    <d v="2021-04-26T00:00:00"/>
    <n v="1164.1846236809099"/>
    <n v="-2"/>
    <x v="71"/>
    <s v="Canada"/>
    <s v="East"/>
    <x v="0"/>
    <n v="1"/>
    <s v="Yes"/>
    <n v="1"/>
    <s v="On Time"/>
    <x v="1"/>
    <x v="8"/>
  </r>
  <r>
    <s v="PO000568"/>
    <s v="SUP00084"/>
    <s v="PROD00136"/>
    <d v="2021-04-29T00:00:00"/>
    <n v="16"/>
    <n v="33.034861637563999"/>
    <d v="2021-05-22T00:00:00"/>
    <d v="2021-05-21T00:00:00"/>
    <n v="528.55778620102399"/>
    <n v="-1"/>
    <x v="35"/>
    <s v="Canada"/>
    <s v="West"/>
    <x v="1"/>
    <n v="1"/>
    <s v="Yes"/>
    <n v="1"/>
    <s v="On Time"/>
    <x v="1"/>
    <x v="8"/>
  </r>
  <r>
    <s v="PO000569"/>
    <s v="SUP00086"/>
    <s v="PROD00073"/>
    <d v="2022-12-13T00:00:00"/>
    <n v="8"/>
    <n v="66.597404322223795"/>
    <d v="2023-01-06T00:00:00"/>
    <d v="2023-01-05T00:00:00"/>
    <n v="532.77923457779002"/>
    <n v="-1"/>
    <x v="69"/>
    <s v="Denmark"/>
    <s v="South"/>
    <x v="0"/>
    <n v="1"/>
    <s v="Yes"/>
    <n v="1"/>
    <s v="On Time"/>
    <x v="3"/>
    <x v="7"/>
  </r>
  <r>
    <s v="PO000570"/>
    <s v="SUP00094"/>
    <s v="PROD00127"/>
    <d v="2023-12-10T00:00:00"/>
    <n v="12"/>
    <n v="10.186341348098701"/>
    <d v="2023-12-20T00:00:00"/>
    <d v="2023-12-25T00:00:00"/>
    <n v="122.236096177184"/>
    <n v="5"/>
    <x v="62"/>
    <s v="USA"/>
    <s v="North"/>
    <x v="2"/>
    <n v="0"/>
    <s v="No"/>
    <n v="0"/>
    <s v="Late"/>
    <x v="2"/>
    <x v="7"/>
  </r>
  <r>
    <s v="PO000571"/>
    <s v="SUP00094"/>
    <s v="PROD00058"/>
    <d v="2021-02-14T00:00:00"/>
    <n v="7"/>
    <n v="9.0687558119335101"/>
    <d v="2021-03-04T00:00:00"/>
    <d v="2021-03-08T00:00:00"/>
    <n v="63.481290683534503"/>
    <n v="4"/>
    <x v="62"/>
    <s v="USA"/>
    <s v="North"/>
    <x v="2"/>
    <n v="0"/>
    <s v="No"/>
    <n v="0"/>
    <s v="Late"/>
    <x v="1"/>
    <x v="9"/>
  </r>
  <r>
    <s v="PO000572"/>
    <s v="SUP00080"/>
    <s v="PROD00009"/>
    <d v="2023-03-24T00:00:00"/>
    <n v="16"/>
    <n v="64.006494395555194"/>
    <d v="2023-04-08T00:00:00"/>
    <d v="2023-04-09T00:00:00"/>
    <n v="1024.1039103288799"/>
    <n v="1"/>
    <x v="70"/>
    <s v="USA"/>
    <s v="North"/>
    <x v="2"/>
    <n v="0"/>
    <s v="No"/>
    <n v="0"/>
    <s v="Late"/>
    <x v="2"/>
    <x v="0"/>
  </r>
  <r>
    <s v="PO000573"/>
    <s v="SUP00004"/>
    <s v="PROD00013"/>
    <d v="2023-09-23T00:00:00"/>
    <n v="12"/>
    <n v="76.866063156785501"/>
    <d v="2023-10-14T00:00:00"/>
    <d v="2023-10-18T00:00:00"/>
    <n v="922.39275788142595"/>
    <n v="4"/>
    <x v="28"/>
    <s v="USA"/>
    <s v="North"/>
    <x v="1"/>
    <n v="0"/>
    <s v="No"/>
    <n v="0"/>
    <s v="Late"/>
    <x v="2"/>
    <x v="11"/>
  </r>
  <r>
    <s v="PO000574"/>
    <s v="SUP00092"/>
    <s v="PROD00089"/>
    <d v="2023-09-10T00:00:00"/>
    <n v="11"/>
    <n v="33.344575294958901"/>
    <d v="2023-10-01T00:00:00"/>
    <d v="2023-10-04T00:00:00"/>
    <n v="366.79032824454799"/>
    <n v="3"/>
    <x v="27"/>
    <s v="UK"/>
    <s v="West"/>
    <x v="0"/>
    <n v="0"/>
    <s v="No"/>
    <n v="0"/>
    <s v="Late"/>
    <x v="2"/>
    <x v="11"/>
  </r>
  <r>
    <s v="PO000575"/>
    <s v="SUP00036"/>
    <s v="PROD00159"/>
    <d v="2023-09-30T00:00:00"/>
    <n v="13"/>
    <n v="74.103666154328394"/>
    <d v="2023-10-17T00:00:00"/>
    <d v="2023-10-23T00:00:00"/>
    <n v="963.34766000626905"/>
    <n v="6"/>
    <x v="40"/>
    <s v="Canada"/>
    <s v="West"/>
    <x v="3"/>
    <n v="1"/>
    <s v="Yes"/>
    <n v="0"/>
    <s v="Late"/>
    <x v="2"/>
    <x v="11"/>
  </r>
  <r>
    <s v="PO000576"/>
    <s v="SUP00005"/>
    <s v="PROD00171"/>
    <d v="2022-03-12T00:00:00"/>
    <n v="8"/>
    <n v="21.432313406955199"/>
    <d v="2022-03-29T00:00:00"/>
    <d v="2022-03-31T00:00:00"/>
    <n v="171.45850725564199"/>
    <n v="2"/>
    <x v="17"/>
    <s v="Canada"/>
    <s v="North"/>
    <x v="1"/>
    <n v="1"/>
    <s v="Yes"/>
    <n v="0"/>
    <s v="Late"/>
    <x v="3"/>
    <x v="0"/>
  </r>
  <r>
    <s v="PO000577"/>
    <s v="SUP00042"/>
    <s v="PROD00109"/>
    <d v="2021-10-23T00:00:00"/>
    <n v="15"/>
    <n v="76.950438303983404"/>
    <d v="2021-11-04T00:00:00"/>
    <d v="2021-11-10T00:00:00"/>
    <n v="1154.2565745597501"/>
    <n v="6"/>
    <x v="64"/>
    <s v="India"/>
    <s v="West"/>
    <x v="2"/>
    <n v="0"/>
    <s v="No"/>
    <n v="0"/>
    <s v="Late"/>
    <x v="1"/>
    <x v="4"/>
  </r>
  <r>
    <s v="PO000578"/>
    <s v="SUP00088"/>
    <s v="PROD00189"/>
    <d v="2022-07-09T00:00:00"/>
    <n v="12"/>
    <n v="55.252846683942103"/>
    <d v="2022-07-21T00:00:00"/>
    <d v="2022-07-27T00:00:00"/>
    <n v="663.03416020730594"/>
    <n v="6"/>
    <x v="41"/>
    <s v="Brazil"/>
    <s v="East"/>
    <x v="3"/>
    <n v="0"/>
    <s v="No"/>
    <n v="0"/>
    <s v="Late"/>
    <x v="3"/>
    <x v="5"/>
  </r>
  <r>
    <s v="PO000579"/>
    <s v="SUP00014"/>
    <s v="PROD00054"/>
    <d v="2021-12-31T00:00:00"/>
    <n v="11"/>
    <n v="72.897932431633294"/>
    <d v="2022-01-24T00:00:00"/>
    <d v="2022-01-26T00:00:00"/>
    <n v="801.87725674796695"/>
    <n v="2"/>
    <x v="59"/>
    <s v="Germany"/>
    <s v="West"/>
    <x v="1"/>
    <n v="0"/>
    <s v="No"/>
    <n v="0"/>
    <s v="Late"/>
    <x v="1"/>
    <x v="7"/>
  </r>
  <r>
    <s v="PO000580"/>
    <s v="SUP00038"/>
    <s v="PROD00050"/>
    <d v="2023-06-10T00:00:00"/>
    <n v="15"/>
    <n v="68.248321922616796"/>
    <d v="2023-06-30T00:00:00"/>
    <d v="2023-06-30T00:00:00"/>
    <n v="1023.72482883925"/>
    <n v="0"/>
    <x v="34"/>
    <s v="Germany"/>
    <s v="South"/>
    <x v="1"/>
    <n v="0"/>
    <s v="No"/>
    <n v="1"/>
    <s v="On Time"/>
    <x v="2"/>
    <x v="1"/>
  </r>
  <r>
    <s v="PO000581"/>
    <s v="SUP00046"/>
    <s v="PROD00021"/>
    <d v="2023-03-02T00:00:00"/>
    <n v="10"/>
    <n v="12.426858633641"/>
    <d v="2023-03-22T00:00:00"/>
    <d v="2023-03-20T00:00:00"/>
    <n v="124.26858633641"/>
    <n v="-2"/>
    <x v="61"/>
    <s v="Brazil"/>
    <s v="South"/>
    <x v="3"/>
    <n v="1"/>
    <s v="Yes"/>
    <n v="1"/>
    <s v="On Time"/>
    <x v="2"/>
    <x v="0"/>
  </r>
  <r>
    <s v="PO000582"/>
    <s v="SUP00096"/>
    <s v="PROD00199"/>
    <d v="2021-09-21T00:00:00"/>
    <n v="11"/>
    <n v="13.029709030700401"/>
    <d v="2021-10-10T00:00:00"/>
    <d v="2021-10-08T00:00:00"/>
    <n v="143.32679933770399"/>
    <n v="-2"/>
    <x v="26"/>
    <s v="India"/>
    <s v="South"/>
    <x v="1"/>
    <n v="0"/>
    <s v="No"/>
    <n v="1"/>
    <s v="On Time"/>
    <x v="1"/>
    <x v="11"/>
  </r>
  <r>
    <s v="PO000583"/>
    <s v="SUP00040"/>
    <s v="PROD00002"/>
    <d v="2022-03-23T00:00:00"/>
    <n v="11"/>
    <n v="36.818308194581597"/>
    <d v="2022-04-16T00:00:00"/>
    <d v="2022-04-20T00:00:00"/>
    <n v="405.00139014039701"/>
    <n v="4"/>
    <x v="58"/>
    <s v="Denmark"/>
    <s v="East"/>
    <x v="2"/>
    <n v="0"/>
    <s v="No"/>
    <n v="0"/>
    <s v="Late"/>
    <x v="3"/>
    <x v="0"/>
  </r>
  <r>
    <s v="PO000584"/>
    <s v="SUP00043"/>
    <s v="PROD00003"/>
    <d v="2022-07-01T00:00:00"/>
    <n v="11"/>
    <n v="7.8558742183302899"/>
    <d v="2022-07-16T00:00:00"/>
    <d v="2022-07-19T00:00:00"/>
    <n v="86.414616401633197"/>
    <n v="3"/>
    <x v="23"/>
    <s v="India"/>
    <s v="Central"/>
    <x v="1"/>
    <n v="0"/>
    <s v="No"/>
    <n v="0"/>
    <s v="Late"/>
    <x v="3"/>
    <x v="5"/>
  </r>
  <r>
    <s v="PO000585"/>
    <s v="SUP00039"/>
    <s v="PROD00151"/>
    <d v="2021-03-20T00:00:00"/>
    <n v="12"/>
    <n v="37.755997190417702"/>
    <d v="2021-04-05T00:00:00"/>
    <d v="2021-04-08T00:00:00"/>
    <n v="453.07196628501299"/>
    <n v="3"/>
    <x v="7"/>
    <s v="Denmark"/>
    <s v="South"/>
    <x v="0"/>
    <n v="1"/>
    <s v="Yes"/>
    <n v="0"/>
    <s v="Late"/>
    <x v="1"/>
    <x v="0"/>
  </r>
  <r>
    <s v="PO000586"/>
    <s v="SUP00063"/>
    <s v="PROD00065"/>
    <d v="2024-02-25T00:00:00"/>
    <n v="12"/>
    <n v="31.1159658719465"/>
    <d v="2024-03-18T00:00:00"/>
    <d v="2024-03-17T00:00:00"/>
    <n v="373.391590463358"/>
    <n v="-1"/>
    <x v="30"/>
    <s v="Denmark"/>
    <s v="North"/>
    <x v="1"/>
    <n v="0"/>
    <s v="No"/>
    <n v="1"/>
    <s v="On Time"/>
    <x v="0"/>
    <x v="9"/>
  </r>
  <r>
    <s v="PO000587"/>
    <s v="SUP00036"/>
    <s v="PROD00126"/>
    <d v="2022-01-15T00:00:00"/>
    <n v="8"/>
    <n v="13.863059640127901"/>
    <d v="2022-02-02T00:00:00"/>
    <d v="2022-01-30T00:00:00"/>
    <n v="110.90447712102301"/>
    <n v="-3"/>
    <x v="40"/>
    <s v="Canada"/>
    <s v="West"/>
    <x v="3"/>
    <n v="1"/>
    <s v="Yes"/>
    <n v="1"/>
    <s v="On Time"/>
    <x v="3"/>
    <x v="10"/>
  </r>
  <r>
    <s v="PO000588"/>
    <s v="SUP00055"/>
    <s v="PROD00108"/>
    <d v="2023-11-04T00:00:00"/>
    <n v="12"/>
    <n v="66.712904690513994"/>
    <d v="2023-11-15T00:00:00"/>
    <d v="2023-11-16T00:00:00"/>
    <n v="800.55485628616702"/>
    <n v="1"/>
    <x v="49"/>
    <s v="China"/>
    <s v="East"/>
    <x v="0"/>
    <n v="1"/>
    <s v="Yes"/>
    <n v="0"/>
    <s v="Late"/>
    <x v="2"/>
    <x v="6"/>
  </r>
  <r>
    <s v="PO000589"/>
    <s v="SUP00031"/>
    <s v="PROD00108"/>
    <d v="2023-12-14T00:00:00"/>
    <n v="18"/>
    <n v="60.269750339739197"/>
    <d v="2024-01-07T00:00:00"/>
    <d v="2024-01-13T00:00:00"/>
    <n v="1084.8555061152999"/>
    <n v="6"/>
    <x v="33"/>
    <s v="USA"/>
    <s v="West"/>
    <x v="3"/>
    <n v="0"/>
    <s v="No"/>
    <n v="0"/>
    <s v="Late"/>
    <x v="2"/>
    <x v="7"/>
  </r>
  <r>
    <s v="PO000590"/>
    <s v="SUP00029"/>
    <s v="PROD00067"/>
    <d v="2024-01-24T00:00:00"/>
    <n v="9"/>
    <n v="55.838172931035999"/>
    <d v="2024-02-13T00:00:00"/>
    <d v="2024-02-18T00:00:00"/>
    <n v="502.543556379324"/>
    <n v="5"/>
    <x v="47"/>
    <s v="China"/>
    <s v="West"/>
    <x v="0"/>
    <n v="1"/>
    <s v="Yes"/>
    <n v="0"/>
    <s v="Late"/>
    <x v="0"/>
    <x v="10"/>
  </r>
  <r>
    <s v="PO000591"/>
    <s v="SUP00045"/>
    <s v="PROD00101"/>
    <d v="2022-07-20T00:00:00"/>
    <n v="13"/>
    <n v="27.682277550725999"/>
    <d v="2022-08-01T00:00:00"/>
    <d v="2022-08-07T00:00:00"/>
    <n v="359.86960815943797"/>
    <n v="6"/>
    <x v="84"/>
    <s v="Canada"/>
    <s v="North"/>
    <x v="3"/>
    <n v="1"/>
    <s v="Yes"/>
    <n v="0"/>
    <s v="Late"/>
    <x v="3"/>
    <x v="5"/>
  </r>
  <r>
    <s v="PO000592"/>
    <s v="SUP00037"/>
    <s v="PROD00148"/>
    <d v="2022-03-02T00:00:00"/>
    <n v="9"/>
    <n v="52.088794943255998"/>
    <d v="2022-03-15T00:00:00"/>
    <d v="2022-03-21T00:00:00"/>
    <n v="468.79915448930399"/>
    <n v="6"/>
    <x v="46"/>
    <s v="Denmark"/>
    <s v="East"/>
    <x v="1"/>
    <n v="0"/>
    <s v="No"/>
    <n v="0"/>
    <s v="Late"/>
    <x v="3"/>
    <x v="0"/>
  </r>
  <r>
    <s v="PO000593"/>
    <s v="SUP00083"/>
    <s v="PROD00142"/>
    <d v="2021-08-04T00:00:00"/>
    <n v="11"/>
    <n v="13.9910411486869"/>
    <d v="2021-08-21T00:00:00"/>
    <d v="2021-08-20T00:00:00"/>
    <n v="153.90145263555601"/>
    <n v="-1"/>
    <x v="43"/>
    <s v="China"/>
    <s v="South"/>
    <x v="0"/>
    <n v="0"/>
    <s v="No"/>
    <n v="1"/>
    <s v="On Time"/>
    <x v="1"/>
    <x v="2"/>
  </r>
  <r>
    <s v="PO000594"/>
    <s v="SUP00023"/>
    <s v="PROD00177"/>
    <d v="2023-06-07T00:00:00"/>
    <n v="12"/>
    <n v="68.125441736821799"/>
    <d v="2023-06-20T00:00:00"/>
    <d v="2023-06-17T00:00:00"/>
    <n v="817.50530084186096"/>
    <n v="-3"/>
    <x v="3"/>
    <s v="Brazil"/>
    <s v="South"/>
    <x v="0"/>
    <n v="1"/>
    <s v="Yes"/>
    <n v="1"/>
    <s v="On Time"/>
    <x v="2"/>
    <x v="1"/>
  </r>
  <r>
    <s v="PO000595"/>
    <s v="SUP00048"/>
    <s v="PROD00018"/>
    <d v="2023-11-22T00:00:00"/>
    <n v="18"/>
    <n v="16.590298336726701"/>
    <d v="2023-12-08T00:00:00"/>
    <d v="2023-12-06T00:00:00"/>
    <n v="298.62537006108101"/>
    <n v="-2"/>
    <x v="4"/>
    <s v="Denmark"/>
    <s v="West"/>
    <x v="2"/>
    <n v="1"/>
    <s v="Yes"/>
    <n v="1"/>
    <s v="On Time"/>
    <x v="2"/>
    <x v="6"/>
  </r>
  <r>
    <s v="PO000596"/>
    <s v="SUP00085"/>
    <s v="PROD00070"/>
    <d v="2021-06-08T00:00:00"/>
    <n v="14"/>
    <n v="37.701849422149998"/>
    <d v="2021-06-25T00:00:00"/>
    <d v="2021-06-28T00:00:00"/>
    <n v="527.82589191010004"/>
    <n v="3"/>
    <x v="1"/>
    <s v="Germany"/>
    <s v="Central"/>
    <x v="1"/>
    <n v="1"/>
    <s v="Yes"/>
    <n v="0"/>
    <s v="Late"/>
    <x v="1"/>
    <x v="1"/>
  </r>
  <r>
    <s v="PO000597"/>
    <s v="SUP00047"/>
    <s v="PROD00056"/>
    <d v="2023-02-17T00:00:00"/>
    <n v="7"/>
    <n v="18.617803210227699"/>
    <d v="2023-03-01T00:00:00"/>
    <d v="2023-03-01T00:00:00"/>
    <n v="130.32462247159401"/>
    <n v="0"/>
    <x v="93"/>
    <s v="UK"/>
    <s v="Central"/>
    <x v="3"/>
    <n v="0"/>
    <s v="No"/>
    <n v="1"/>
    <s v="On Time"/>
    <x v="2"/>
    <x v="9"/>
  </r>
  <r>
    <s v="PO000598"/>
    <s v="SUP00005"/>
    <s v="PROD00055"/>
    <d v="2023-10-03T00:00:00"/>
    <n v="12"/>
    <n v="68.034730014945794"/>
    <d v="2023-10-22T00:00:00"/>
    <d v="2023-10-22T00:00:00"/>
    <n v="816.41676017934901"/>
    <n v="0"/>
    <x v="17"/>
    <s v="Canada"/>
    <s v="North"/>
    <x v="1"/>
    <n v="1"/>
    <s v="Yes"/>
    <n v="1"/>
    <s v="On Time"/>
    <x v="2"/>
    <x v="4"/>
  </r>
  <r>
    <s v="PO000599"/>
    <s v="SUP00068"/>
    <s v="PROD00049"/>
    <d v="2024-02-12T00:00:00"/>
    <n v="6"/>
    <n v="45.930931092778799"/>
    <d v="2024-02-23T00:00:00"/>
    <d v="2024-02-28T00:00:00"/>
    <n v="275.58558655667298"/>
    <n v="5"/>
    <x v="12"/>
    <s v="UK"/>
    <s v="South"/>
    <x v="3"/>
    <n v="1"/>
    <s v="Yes"/>
    <n v="0"/>
    <s v="Late"/>
    <x v="0"/>
    <x v="9"/>
  </r>
  <r>
    <s v="PO000600"/>
    <s v="SUP00042"/>
    <s v="PROD00123"/>
    <d v="2022-02-27T00:00:00"/>
    <n v="8"/>
    <n v="70.517949976877702"/>
    <d v="2022-03-11T00:00:00"/>
    <d v="2022-03-16T00:00:00"/>
    <n v="564.14359981502105"/>
    <n v="5"/>
    <x v="64"/>
    <s v="India"/>
    <s v="West"/>
    <x v="2"/>
    <n v="0"/>
    <s v="No"/>
    <n v="0"/>
    <s v="Late"/>
    <x v="3"/>
    <x v="9"/>
  </r>
  <r>
    <s v="PO000601"/>
    <s v="SUP00077"/>
    <s v="PROD00088"/>
    <d v="2023-06-07T00:00:00"/>
    <n v="11"/>
    <n v="10.4243532815614"/>
    <d v="2023-06-26T00:00:00"/>
    <d v="2023-07-01T00:00:00"/>
    <n v="114.667886097175"/>
    <n v="5"/>
    <x v="10"/>
    <s v="India"/>
    <s v="West"/>
    <x v="1"/>
    <n v="0"/>
    <s v="No"/>
    <n v="0"/>
    <s v="Late"/>
    <x v="2"/>
    <x v="1"/>
  </r>
  <r>
    <s v="PO000602"/>
    <s v="SUP00045"/>
    <s v="PROD00070"/>
    <d v="2021-06-17T00:00:00"/>
    <n v="14"/>
    <n v="14.196997479849299"/>
    <d v="2021-07-06T00:00:00"/>
    <d v="2021-07-07T00:00:00"/>
    <n v="198.75796471789101"/>
    <n v="1"/>
    <x v="84"/>
    <s v="Canada"/>
    <s v="North"/>
    <x v="3"/>
    <n v="1"/>
    <s v="Yes"/>
    <n v="0"/>
    <s v="Late"/>
    <x v="1"/>
    <x v="1"/>
  </r>
  <r>
    <s v="PO000603"/>
    <s v="SUP00072"/>
    <s v="PROD00071"/>
    <d v="2023-01-12T00:00:00"/>
    <n v="9"/>
    <n v="9.0133120549460592"/>
    <d v="2023-02-04T00:00:00"/>
    <d v="2023-02-01T00:00:00"/>
    <n v="81.119808494514501"/>
    <n v="-3"/>
    <x v="83"/>
    <s v="India"/>
    <s v="Central"/>
    <x v="1"/>
    <n v="0"/>
    <s v="No"/>
    <n v="1"/>
    <s v="On Time"/>
    <x v="2"/>
    <x v="10"/>
  </r>
  <r>
    <s v="PO000604"/>
    <s v="SUP00073"/>
    <s v="PROD00161"/>
    <d v="2021-06-26T00:00:00"/>
    <n v="12"/>
    <n v="25.611510105026198"/>
    <d v="2021-07-17T00:00:00"/>
    <d v="2021-07-14T00:00:00"/>
    <n v="307.33812126031398"/>
    <n v="-3"/>
    <x v="42"/>
    <s v="China"/>
    <s v="East"/>
    <x v="2"/>
    <n v="1"/>
    <s v="Yes"/>
    <n v="1"/>
    <s v="On Time"/>
    <x v="1"/>
    <x v="1"/>
  </r>
  <r>
    <s v="PO000605"/>
    <s v="SUP00092"/>
    <s v="PROD00122"/>
    <d v="2022-03-18T00:00:00"/>
    <n v="12"/>
    <n v="66.771948989550907"/>
    <d v="2022-03-30T00:00:00"/>
    <d v="2022-04-03T00:00:00"/>
    <n v="801.263387874611"/>
    <n v="4"/>
    <x v="27"/>
    <s v="UK"/>
    <s v="West"/>
    <x v="0"/>
    <n v="0"/>
    <s v="No"/>
    <n v="0"/>
    <s v="Late"/>
    <x v="3"/>
    <x v="0"/>
  </r>
  <r>
    <s v="PO000606"/>
    <s v="SUP00024"/>
    <s v="PROD00107"/>
    <d v="2022-09-11T00:00:00"/>
    <n v="12"/>
    <n v="43.290321713994103"/>
    <d v="2022-09-25T00:00:00"/>
    <d v="2022-09-29T00:00:00"/>
    <n v="519.48386056792901"/>
    <n v="4"/>
    <x v="5"/>
    <s v="UK"/>
    <s v="North"/>
    <x v="1"/>
    <n v="0"/>
    <s v="No"/>
    <n v="0"/>
    <s v="Late"/>
    <x v="3"/>
    <x v="11"/>
  </r>
  <r>
    <s v="PO000607"/>
    <s v="SUP00052"/>
    <s v="PROD00013"/>
    <d v="2021-11-02T00:00:00"/>
    <n v="11"/>
    <n v="12.781728718271101"/>
    <d v="2021-11-14T00:00:00"/>
    <d v="2021-11-18T00:00:00"/>
    <n v="140.59901590098201"/>
    <n v="4"/>
    <x v="80"/>
    <s v="Brazil"/>
    <s v="West"/>
    <x v="1"/>
    <n v="1"/>
    <s v="Yes"/>
    <n v="0"/>
    <s v="Late"/>
    <x v="1"/>
    <x v="6"/>
  </r>
  <r>
    <s v="PO000608"/>
    <s v="SUP00017"/>
    <s v="PROD00136"/>
    <d v="2023-11-08T00:00:00"/>
    <n v="11"/>
    <n v="78.343676043460405"/>
    <d v="2023-11-21T00:00:00"/>
    <d v="2023-11-22T00:00:00"/>
    <n v="861.78043647806498"/>
    <n v="1"/>
    <x v="52"/>
    <s v="India"/>
    <s v="East"/>
    <x v="1"/>
    <n v="0"/>
    <s v="No"/>
    <n v="0"/>
    <s v="Late"/>
    <x v="2"/>
    <x v="6"/>
  </r>
  <r>
    <s v="PO000609"/>
    <s v="SUP00074"/>
    <s v="PROD00139"/>
    <d v="2024-03-19T00:00:00"/>
    <n v="9"/>
    <n v="18.9292862842583"/>
    <d v="2024-04-10T00:00:00"/>
    <d v="2024-04-10T00:00:00"/>
    <n v="170.36357655832401"/>
    <n v="0"/>
    <x v="48"/>
    <s v="Canada"/>
    <s v="South"/>
    <x v="0"/>
    <n v="1"/>
    <s v="Yes"/>
    <n v="1"/>
    <s v="On Time"/>
    <x v="0"/>
    <x v="0"/>
  </r>
  <r>
    <s v="PO000610"/>
    <s v="SUP00085"/>
    <s v="PROD00193"/>
    <d v="2023-02-24T00:00:00"/>
    <n v="5"/>
    <n v="21.397357027782601"/>
    <d v="2023-03-15T00:00:00"/>
    <d v="2023-03-18T00:00:00"/>
    <n v="106.98678513891301"/>
    <n v="3"/>
    <x v="1"/>
    <s v="Germany"/>
    <s v="Central"/>
    <x v="1"/>
    <n v="1"/>
    <s v="Yes"/>
    <n v="0"/>
    <s v="Late"/>
    <x v="2"/>
    <x v="9"/>
  </r>
  <r>
    <s v="PO000611"/>
    <s v="SUP00021"/>
    <s v="PROD00075"/>
    <d v="2023-10-13T00:00:00"/>
    <n v="7"/>
    <n v="54.100345438448798"/>
    <d v="2023-11-03T00:00:00"/>
    <d v="2023-11-02T00:00:00"/>
    <n v="378.702418069141"/>
    <n v="-1"/>
    <x v="19"/>
    <s v="Germany"/>
    <s v="Central"/>
    <x v="1"/>
    <n v="1"/>
    <s v="Yes"/>
    <n v="1"/>
    <s v="On Time"/>
    <x v="2"/>
    <x v="4"/>
  </r>
  <r>
    <s v="PO000612"/>
    <s v="SUP00054"/>
    <s v="PROD00137"/>
    <d v="2023-07-16T00:00:00"/>
    <n v="9"/>
    <n v="44.098139609661303"/>
    <d v="2023-07-26T00:00:00"/>
    <d v="2023-07-27T00:00:00"/>
    <n v="396.88325648695098"/>
    <n v="1"/>
    <x v="73"/>
    <s v="Canada"/>
    <s v="South"/>
    <x v="3"/>
    <n v="1"/>
    <s v="Yes"/>
    <n v="0"/>
    <s v="Late"/>
    <x v="2"/>
    <x v="5"/>
  </r>
  <r>
    <s v="PO000613"/>
    <s v="SUP00008"/>
    <s v="PROD00089"/>
    <d v="2023-07-01T00:00:00"/>
    <n v="12"/>
    <n v="5.13124452542172"/>
    <d v="2023-07-11T00:00:00"/>
    <d v="2023-07-13T00:00:00"/>
    <n v="61.574934305060701"/>
    <n v="2"/>
    <x v="79"/>
    <s v="USA"/>
    <s v="Central"/>
    <x v="3"/>
    <n v="0"/>
    <s v="No"/>
    <n v="0"/>
    <s v="Late"/>
    <x v="2"/>
    <x v="5"/>
  </r>
  <r>
    <s v="PO000614"/>
    <s v="SUP00003"/>
    <s v="PROD00129"/>
    <d v="2023-08-04T00:00:00"/>
    <n v="8"/>
    <n v="78.368268467943096"/>
    <d v="2023-08-20T00:00:00"/>
    <d v="2023-08-21T00:00:00"/>
    <n v="626.946147743545"/>
    <n v="1"/>
    <x v="91"/>
    <s v="India"/>
    <s v="Central"/>
    <x v="0"/>
    <n v="1"/>
    <s v="Yes"/>
    <n v="0"/>
    <s v="Late"/>
    <x v="2"/>
    <x v="2"/>
  </r>
  <r>
    <s v="PO000615"/>
    <s v="SUP00012"/>
    <s v="PROD00066"/>
    <d v="2023-10-13T00:00:00"/>
    <n v="11"/>
    <n v="9.4110025999075599"/>
    <d v="2023-10-27T00:00:00"/>
    <d v="2023-10-28T00:00:00"/>
    <n v="103.52102859898299"/>
    <n v="1"/>
    <x v="88"/>
    <s v="China"/>
    <s v="East"/>
    <x v="3"/>
    <n v="0"/>
    <s v="No"/>
    <n v="0"/>
    <s v="Late"/>
    <x v="2"/>
    <x v="4"/>
  </r>
  <r>
    <s v="PO000616"/>
    <s v="SUP00080"/>
    <s v="PROD00071"/>
    <d v="2022-07-14T00:00:00"/>
    <n v="10"/>
    <n v="76.669042980393002"/>
    <d v="2022-07-30T00:00:00"/>
    <d v="2022-08-02T00:00:00"/>
    <n v="766.69042980392999"/>
    <n v="3"/>
    <x v="70"/>
    <s v="USA"/>
    <s v="North"/>
    <x v="2"/>
    <n v="0"/>
    <s v="No"/>
    <n v="0"/>
    <s v="Late"/>
    <x v="3"/>
    <x v="5"/>
  </r>
  <r>
    <s v="PO000617"/>
    <s v="SUP00013"/>
    <s v="PROD00117"/>
    <d v="2021-08-31T00:00:00"/>
    <n v="11"/>
    <n v="26.826157292881899"/>
    <d v="2021-09-19T00:00:00"/>
    <d v="2021-09-20T00:00:00"/>
    <n v="295.08773022170101"/>
    <n v="1"/>
    <x v="31"/>
    <s v="China"/>
    <s v="North"/>
    <x v="2"/>
    <n v="1"/>
    <s v="Yes"/>
    <n v="0"/>
    <s v="Late"/>
    <x v="1"/>
    <x v="2"/>
  </r>
  <r>
    <s v="PO000618"/>
    <s v="SUP00031"/>
    <s v="PROD00020"/>
    <d v="2021-02-01T00:00:00"/>
    <n v="9"/>
    <n v="52.652739462248"/>
    <d v="2021-02-21T00:00:00"/>
    <d v="2021-02-25T00:00:00"/>
    <n v="473.87465516023201"/>
    <n v="4"/>
    <x v="33"/>
    <s v="USA"/>
    <s v="West"/>
    <x v="3"/>
    <n v="0"/>
    <s v="No"/>
    <n v="0"/>
    <s v="Late"/>
    <x v="1"/>
    <x v="9"/>
  </r>
  <r>
    <s v="PO000619"/>
    <s v="SUP00088"/>
    <s v="PROD00018"/>
    <d v="2022-05-31T00:00:00"/>
    <n v="11"/>
    <n v="3.4939928257038702"/>
    <d v="2022-06-19T00:00:00"/>
    <d v="2022-06-21T00:00:00"/>
    <n v="38.433921082742501"/>
    <n v="2"/>
    <x v="41"/>
    <s v="Brazil"/>
    <s v="East"/>
    <x v="3"/>
    <n v="0"/>
    <s v="No"/>
    <n v="0"/>
    <s v="Late"/>
    <x v="3"/>
    <x v="3"/>
  </r>
  <r>
    <s v="PO000620"/>
    <s v="SUP00087"/>
    <s v="PROD00089"/>
    <d v="2021-06-20T00:00:00"/>
    <n v="14"/>
    <n v="52.641836511714203"/>
    <d v="2021-07-12T00:00:00"/>
    <d v="2021-07-18T00:00:00"/>
    <n v="736.98571116399899"/>
    <n v="6"/>
    <x v="14"/>
    <s v="UK"/>
    <s v="Central"/>
    <x v="2"/>
    <n v="0"/>
    <s v="No"/>
    <n v="0"/>
    <s v="Late"/>
    <x v="1"/>
    <x v="1"/>
  </r>
  <r>
    <s v="PO000621"/>
    <s v="SUP00089"/>
    <s v="PROD00192"/>
    <d v="2024-03-19T00:00:00"/>
    <n v="13"/>
    <n v="78.975853394742401"/>
    <d v="2024-03-30T00:00:00"/>
    <d v="2024-03-29T00:00:00"/>
    <n v="1026.68609413165"/>
    <n v="-1"/>
    <x v="87"/>
    <s v="Canada"/>
    <s v="North"/>
    <x v="0"/>
    <n v="0"/>
    <s v="No"/>
    <n v="1"/>
    <s v="On Time"/>
    <x v="0"/>
    <x v="0"/>
  </r>
  <r>
    <s v="PO000622"/>
    <s v="SUP00055"/>
    <s v="PROD00022"/>
    <d v="2024-02-28T00:00:00"/>
    <n v="8"/>
    <n v="76.676520099655903"/>
    <d v="2024-03-23T00:00:00"/>
    <d v="2024-03-26T00:00:00"/>
    <n v="613.412160797247"/>
    <n v="3"/>
    <x v="49"/>
    <s v="China"/>
    <s v="East"/>
    <x v="0"/>
    <n v="1"/>
    <s v="Yes"/>
    <n v="0"/>
    <s v="Late"/>
    <x v="0"/>
    <x v="9"/>
  </r>
  <r>
    <s v="PO000623"/>
    <s v="SUP00057"/>
    <s v="PROD00026"/>
    <d v="2024-04-08T00:00:00"/>
    <n v="11"/>
    <n v="21.490030423802299"/>
    <d v="2024-04-26T00:00:00"/>
    <d v="2024-04-28T00:00:00"/>
    <n v="236.39033466182499"/>
    <n v="2"/>
    <x v="68"/>
    <s v="UK"/>
    <s v="South"/>
    <x v="3"/>
    <n v="1"/>
    <s v="Yes"/>
    <n v="0"/>
    <s v="Late"/>
    <x v="0"/>
    <x v="8"/>
  </r>
  <r>
    <s v="PO000624"/>
    <s v="SUP00001"/>
    <s v="PROD00198"/>
    <d v="2021-04-19T00:00:00"/>
    <n v="8"/>
    <n v="23.831496713734701"/>
    <d v="2021-04-29T00:00:00"/>
    <d v="2021-04-30T00:00:00"/>
    <n v="190.65197370987801"/>
    <n v="1"/>
    <x v="36"/>
    <s v="USA"/>
    <s v="West"/>
    <x v="3"/>
    <n v="0"/>
    <s v="No"/>
    <n v="0"/>
    <s v="Late"/>
    <x v="1"/>
    <x v="8"/>
  </r>
  <r>
    <s v="PO000625"/>
    <s v="SUP00070"/>
    <s v="PROD00118"/>
    <d v="2023-03-04T00:00:00"/>
    <n v="12"/>
    <n v="8.0761752917325502"/>
    <d v="2023-03-23T00:00:00"/>
    <d v="2023-03-23T00:00:00"/>
    <n v="96.914103500790603"/>
    <n v="0"/>
    <x v="32"/>
    <s v="USA"/>
    <s v="Central"/>
    <x v="3"/>
    <n v="0"/>
    <s v="No"/>
    <n v="1"/>
    <s v="On Time"/>
    <x v="2"/>
    <x v="0"/>
  </r>
  <r>
    <s v="PO000626"/>
    <s v="SUP00041"/>
    <s v="PROD00148"/>
    <d v="2021-06-18T00:00:00"/>
    <n v="11"/>
    <n v="62.105210859092502"/>
    <d v="2021-07-06T00:00:00"/>
    <d v="2021-07-04T00:00:00"/>
    <n v="683.15731945001801"/>
    <n v="-2"/>
    <x v="72"/>
    <s v="Germany"/>
    <s v="West"/>
    <x v="1"/>
    <n v="0"/>
    <s v="No"/>
    <n v="1"/>
    <s v="On Time"/>
    <x v="1"/>
    <x v="1"/>
  </r>
  <r>
    <s v="PO000627"/>
    <s v="SUP00075"/>
    <s v="PROD00066"/>
    <d v="2024-01-09T00:00:00"/>
    <n v="10"/>
    <n v="41.663547117221"/>
    <d v="2024-01-26T00:00:00"/>
    <d v="2024-01-26T00:00:00"/>
    <n v="416.63547117220998"/>
    <n v="0"/>
    <x v="11"/>
    <s v="USA"/>
    <s v="Central"/>
    <x v="1"/>
    <n v="1"/>
    <s v="Yes"/>
    <n v="1"/>
    <s v="On Time"/>
    <x v="0"/>
    <x v="10"/>
  </r>
  <r>
    <s v="PO000628"/>
    <s v="SUP00052"/>
    <s v="PROD00138"/>
    <d v="2021-06-11T00:00:00"/>
    <n v="16"/>
    <n v="43.041852399869803"/>
    <d v="2021-07-01T00:00:00"/>
    <d v="2021-06-28T00:00:00"/>
    <n v="688.66963839791595"/>
    <n v="-3"/>
    <x v="80"/>
    <s v="Brazil"/>
    <s v="West"/>
    <x v="1"/>
    <n v="1"/>
    <s v="Yes"/>
    <n v="1"/>
    <s v="On Time"/>
    <x v="1"/>
    <x v="1"/>
  </r>
  <r>
    <s v="PO000629"/>
    <s v="SUP00013"/>
    <s v="PROD00065"/>
    <d v="2021-05-24T00:00:00"/>
    <n v="16"/>
    <n v="28.626855043828701"/>
    <d v="2021-06-16T00:00:00"/>
    <d v="2021-06-17T00:00:00"/>
    <n v="458.029680701259"/>
    <n v="1"/>
    <x v="31"/>
    <s v="China"/>
    <s v="North"/>
    <x v="2"/>
    <n v="1"/>
    <s v="Yes"/>
    <n v="0"/>
    <s v="Late"/>
    <x v="1"/>
    <x v="3"/>
  </r>
  <r>
    <s v="PO000630"/>
    <s v="SUP00014"/>
    <s v="PROD00083"/>
    <d v="2022-03-27T00:00:00"/>
    <n v="10"/>
    <n v="57.085016689539898"/>
    <d v="2022-04-18T00:00:00"/>
    <d v="2022-04-21T00:00:00"/>
    <n v="570.85016689539896"/>
    <n v="3"/>
    <x v="59"/>
    <s v="Germany"/>
    <s v="West"/>
    <x v="1"/>
    <n v="0"/>
    <s v="No"/>
    <n v="0"/>
    <s v="Late"/>
    <x v="3"/>
    <x v="0"/>
  </r>
  <r>
    <s v="PO000631"/>
    <s v="SUP00016"/>
    <s v="PROD00013"/>
    <d v="2022-04-18T00:00:00"/>
    <n v="11"/>
    <n v="23.876158539248099"/>
    <d v="2022-04-28T00:00:00"/>
    <d v="2022-05-02T00:00:00"/>
    <n v="262.63774393172901"/>
    <n v="4"/>
    <x v="39"/>
    <s v="China"/>
    <s v="East"/>
    <x v="0"/>
    <n v="0"/>
    <s v="No"/>
    <n v="0"/>
    <s v="Late"/>
    <x v="3"/>
    <x v="8"/>
  </r>
  <r>
    <s v="PO000632"/>
    <s v="SUP00091"/>
    <s v="PROD00192"/>
    <d v="2024-03-06T00:00:00"/>
    <n v="7"/>
    <n v="10.0427797676367"/>
    <d v="2024-03-22T00:00:00"/>
    <d v="2024-03-25T00:00:00"/>
    <n v="70.299458373457099"/>
    <n v="3"/>
    <x v="77"/>
    <s v="China"/>
    <s v="South"/>
    <x v="1"/>
    <n v="0"/>
    <s v="No"/>
    <n v="0"/>
    <s v="Late"/>
    <x v="0"/>
    <x v="0"/>
  </r>
  <r>
    <s v="PO000633"/>
    <s v="SUP00076"/>
    <s v="PROD00200"/>
    <d v="2022-02-10T00:00:00"/>
    <n v="8"/>
    <n v="69.430328558470094"/>
    <d v="2022-02-28T00:00:00"/>
    <d v="2022-03-06T00:00:00"/>
    <n v="555.44262846775996"/>
    <n v="6"/>
    <x v="89"/>
    <s v="USA"/>
    <s v="South"/>
    <x v="2"/>
    <n v="1"/>
    <s v="Yes"/>
    <n v="0"/>
    <s v="Late"/>
    <x v="3"/>
    <x v="9"/>
  </r>
  <r>
    <s v="PO000634"/>
    <s v="SUP00041"/>
    <s v="PROD00097"/>
    <d v="2024-03-04T00:00:00"/>
    <n v="13"/>
    <n v="53.609390064827799"/>
    <d v="2024-03-22T00:00:00"/>
    <d v="2024-03-27T00:00:00"/>
    <n v="696.92207084276095"/>
    <n v="5"/>
    <x v="72"/>
    <s v="Germany"/>
    <s v="West"/>
    <x v="1"/>
    <n v="0"/>
    <s v="No"/>
    <n v="0"/>
    <s v="Late"/>
    <x v="0"/>
    <x v="0"/>
  </r>
  <r>
    <s v="PO000635"/>
    <s v="SUP00021"/>
    <s v="PROD00013"/>
    <d v="2022-11-17T00:00:00"/>
    <n v="11"/>
    <n v="32.848178888499703"/>
    <d v="2022-12-10T00:00:00"/>
    <d v="2022-12-12T00:00:00"/>
    <n v="361.32996777349598"/>
    <n v="2"/>
    <x v="19"/>
    <s v="Germany"/>
    <s v="Central"/>
    <x v="1"/>
    <n v="1"/>
    <s v="Yes"/>
    <n v="0"/>
    <s v="Late"/>
    <x v="3"/>
    <x v="6"/>
  </r>
  <r>
    <s v="PO000636"/>
    <s v="SUP00092"/>
    <s v="PROD00067"/>
    <d v="2023-07-15T00:00:00"/>
    <n v="7"/>
    <n v="57.980531610390003"/>
    <d v="2023-08-01T00:00:00"/>
    <d v="2023-08-04T00:00:00"/>
    <n v="405.86372127273"/>
    <n v="3"/>
    <x v="27"/>
    <s v="UK"/>
    <s v="West"/>
    <x v="0"/>
    <n v="0"/>
    <s v="No"/>
    <n v="0"/>
    <s v="Late"/>
    <x v="2"/>
    <x v="5"/>
  </r>
  <r>
    <s v="PO000637"/>
    <s v="SUP00100"/>
    <s v="PROD00003"/>
    <d v="2021-01-18T00:00:00"/>
    <n v="6"/>
    <n v="63.810143819086697"/>
    <d v="2021-01-29T00:00:00"/>
    <d v="2021-01-28T00:00:00"/>
    <n v="382.86086291452"/>
    <n v="-1"/>
    <x v="45"/>
    <s v="Canada"/>
    <s v="Central"/>
    <x v="1"/>
    <n v="0"/>
    <s v="No"/>
    <n v="1"/>
    <s v="On Time"/>
    <x v="1"/>
    <x v="10"/>
  </r>
  <r>
    <s v="PO000638"/>
    <s v="SUP00075"/>
    <s v="PROD00104"/>
    <d v="2022-06-17T00:00:00"/>
    <n v="5"/>
    <n v="56.840723950559301"/>
    <d v="2022-07-02T00:00:00"/>
    <d v="2022-07-08T00:00:00"/>
    <n v="284.20361975279599"/>
    <n v="6"/>
    <x v="11"/>
    <s v="USA"/>
    <s v="Central"/>
    <x v="1"/>
    <n v="1"/>
    <s v="Yes"/>
    <n v="0"/>
    <s v="Late"/>
    <x v="3"/>
    <x v="1"/>
  </r>
  <r>
    <s v="PO000639"/>
    <s v="SUP00095"/>
    <s v="PROD00199"/>
    <d v="2023-07-12T00:00:00"/>
    <n v="13"/>
    <n v="60.069912302026196"/>
    <d v="2023-07-25T00:00:00"/>
    <d v="2023-07-29T00:00:00"/>
    <n v="780.90885992634105"/>
    <n v="4"/>
    <x v="74"/>
    <s v="China"/>
    <s v="Central"/>
    <x v="1"/>
    <n v="0"/>
    <s v="No"/>
    <n v="0"/>
    <s v="Late"/>
    <x v="2"/>
    <x v="5"/>
  </r>
  <r>
    <s v="PO000640"/>
    <s v="SUP00003"/>
    <s v="PROD00005"/>
    <d v="2023-02-25T00:00:00"/>
    <n v="10"/>
    <n v="71.565113910148597"/>
    <d v="2023-03-12T00:00:00"/>
    <d v="2023-03-18T00:00:00"/>
    <n v="715.65113910148602"/>
    <n v="6"/>
    <x v="91"/>
    <s v="India"/>
    <s v="Central"/>
    <x v="0"/>
    <n v="1"/>
    <s v="Yes"/>
    <n v="0"/>
    <s v="Late"/>
    <x v="2"/>
    <x v="9"/>
  </r>
  <r>
    <s v="PO000641"/>
    <s v="SUP00092"/>
    <s v="PROD00054"/>
    <d v="2023-02-09T00:00:00"/>
    <n v="15"/>
    <n v="57.476374674558002"/>
    <d v="2023-03-05T00:00:00"/>
    <d v="2023-03-02T00:00:00"/>
    <n v="862.14562011836995"/>
    <n v="-3"/>
    <x v="27"/>
    <s v="UK"/>
    <s v="West"/>
    <x v="0"/>
    <n v="0"/>
    <s v="No"/>
    <n v="1"/>
    <s v="On Time"/>
    <x v="2"/>
    <x v="9"/>
  </r>
  <r>
    <s v="PO000642"/>
    <s v="SUP00096"/>
    <s v="PROD00170"/>
    <d v="2021-11-09T00:00:00"/>
    <n v="12"/>
    <n v="45.7775549235865"/>
    <d v="2021-11-19T00:00:00"/>
    <d v="2021-11-20T00:00:00"/>
    <n v="549.33065908303797"/>
    <n v="1"/>
    <x v="26"/>
    <s v="India"/>
    <s v="South"/>
    <x v="1"/>
    <n v="0"/>
    <s v="No"/>
    <n v="0"/>
    <s v="Late"/>
    <x v="1"/>
    <x v="6"/>
  </r>
  <r>
    <s v="PO000643"/>
    <s v="SUP00029"/>
    <s v="PROD00027"/>
    <d v="2022-02-03T00:00:00"/>
    <n v="10"/>
    <n v="24.787986948042601"/>
    <d v="2022-02-19T00:00:00"/>
    <d v="2022-02-25T00:00:00"/>
    <n v="247.87986948042601"/>
    <n v="6"/>
    <x v="47"/>
    <s v="China"/>
    <s v="West"/>
    <x v="0"/>
    <n v="1"/>
    <s v="Yes"/>
    <n v="0"/>
    <s v="Late"/>
    <x v="3"/>
    <x v="9"/>
  </r>
  <r>
    <s v="PO000644"/>
    <s v="SUP00063"/>
    <s v="PROD00071"/>
    <d v="2022-01-15T00:00:00"/>
    <n v="6"/>
    <n v="64.944238720595095"/>
    <d v="2022-02-02T00:00:00"/>
    <d v="2022-02-02T00:00:00"/>
    <n v="389.66543232356997"/>
    <n v="0"/>
    <x v="30"/>
    <s v="Denmark"/>
    <s v="North"/>
    <x v="1"/>
    <n v="0"/>
    <s v="No"/>
    <n v="1"/>
    <s v="On Time"/>
    <x v="3"/>
    <x v="10"/>
  </r>
  <r>
    <s v="PO000645"/>
    <s v="SUP00037"/>
    <s v="PROD00027"/>
    <d v="2021-01-04T00:00:00"/>
    <n v="10"/>
    <n v="44.180562703579398"/>
    <d v="2021-01-26T00:00:00"/>
    <d v="2021-01-31T00:00:00"/>
    <n v="441.80562703579398"/>
    <n v="5"/>
    <x v="46"/>
    <s v="Denmark"/>
    <s v="East"/>
    <x v="1"/>
    <n v="0"/>
    <s v="No"/>
    <n v="0"/>
    <s v="Late"/>
    <x v="1"/>
    <x v="10"/>
  </r>
  <r>
    <s v="PO000646"/>
    <s v="SUP00055"/>
    <s v="PROD00126"/>
    <d v="2023-06-30T00:00:00"/>
    <n v="10"/>
    <n v="75.245397952022401"/>
    <d v="2023-07-12T00:00:00"/>
    <d v="2023-07-17T00:00:00"/>
    <n v="752.45397952022404"/>
    <n v="5"/>
    <x v="49"/>
    <s v="China"/>
    <s v="East"/>
    <x v="0"/>
    <n v="1"/>
    <s v="Yes"/>
    <n v="0"/>
    <s v="Late"/>
    <x v="2"/>
    <x v="1"/>
  </r>
  <r>
    <s v="PO000647"/>
    <s v="SUP00100"/>
    <s v="PROD00020"/>
    <d v="2024-01-06T00:00:00"/>
    <n v="10"/>
    <n v="69.125607262840603"/>
    <d v="2024-01-21T00:00:00"/>
    <d v="2024-01-22T00:00:00"/>
    <n v="691.25607262840595"/>
    <n v="1"/>
    <x v="45"/>
    <s v="Canada"/>
    <s v="Central"/>
    <x v="1"/>
    <n v="0"/>
    <s v="No"/>
    <n v="0"/>
    <s v="Late"/>
    <x v="0"/>
    <x v="10"/>
  </r>
  <r>
    <s v="PO000648"/>
    <s v="SUP00064"/>
    <s v="PROD00009"/>
    <d v="2022-08-06T00:00:00"/>
    <n v="9"/>
    <n v="23.727954382872799"/>
    <d v="2022-08-18T00:00:00"/>
    <d v="2022-08-20T00:00:00"/>
    <n v="213.551589445855"/>
    <n v="2"/>
    <x v="28"/>
    <s v="Brazil"/>
    <s v="North"/>
    <x v="0"/>
    <n v="1"/>
    <s v="Yes"/>
    <n v="0"/>
    <s v="Late"/>
    <x v="3"/>
    <x v="2"/>
  </r>
  <r>
    <s v="PO000649"/>
    <s v="SUP00085"/>
    <s v="PROD00191"/>
    <d v="2021-02-23T00:00:00"/>
    <n v="15"/>
    <n v="64.979938799469096"/>
    <d v="2021-03-09T00:00:00"/>
    <d v="2021-03-15T00:00:00"/>
    <n v="974.69908199203701"/>
    <n v="6"/>
    <x v="1"/>
    <s v="Germany"/>
    <s v="Central"/>
    <x v="1"/>
    <n v="1"/>
    <s v="Yes"/>
    <n v="0"/>
    <s v="Late"/>
    <x v="1"/>
    <x v="9"/>
  </r>
  <r>
    <s v="PO000650"/>
    <s v="SUP00041"/>
    <s v="PROD00060"/>
    <d v="2021-02-20T00:00:00"/>
    <n v="6"/>
    <n v="45.233207855426301"/>
    <d v="2021-03-06T00:00:00"/>
    <d v="2021-03-06T00:00:00"/>
    <n v="271.399247132558"/>
    <n v="0"/>
    <x v="72"/>
    <s v="Germany"/>
    <s v="West"/>
    <x v="1"/>
    <n v="0"/>
    <s v="No"/>
    <n v="1"/>
    <s v="On Time"/>
    <x v="1"/>
    <x v="9"/>
  </r>
  <r>
    <s v="PO000651"/>
    <s v="SUP00046"/>
    <s v="PROD00013"/>
    <d v="2022-03-25T00:00:00"/>
    <n v="9"/>
    <n v="51.294493241617303"/>
    <d v="2022-04-12T00:00:00"/>
    <d v="2022-04-09T00:00:00"/>
    <n v="461.650439174555"/>
    <n v="-3"/>
    <x v="61"/>
    <s v="Brazil"/>
    <s v="South"/>
    <x v="3"/>
    <n v="1"/>
    <s v="Yes"/>
    <n v="1"/>
    <s v="On Time"/>
    <x v="3"/>
    <x v="0"/>
  </r>
  <r>
    <s v="PO000652"/>
    <s v="SUP00058"/>
    <s v="PROD00006"/>
    <d v="2023-02-14T00:00:00"/>
    <n v="10"/>
    <n v="19.994809969933002"/>
    <d v="2023-03-09T00:00:00"/>
    <d v="2023-03-13T00:00:00"/>
    <n v="199.94809969932999"/>
    <n v="4"/>
    <x v="86"/>
    <s v="China"/>
    <s v="East"/>
    <x v="2"/>
    <n v="1"/>
    <s v="Yes"/>
    <n v="0"/>
    <s v="Late"/>
    <x v="2"/>
    <x v="9"/>
  </r>
  <r>
    <s v="PO000653"/>
    <s v="SUP00096"/>
    <s v="PROD00131"/>
    <d v="2024-03-21T00:00:00"/>
    <n v="4"/>
    <n v="35.390010959707901"/>
    <d v="2024-04-13T00:00:00"/>
    <d v="2024-04-11T00:00:00"/>
    <n v="141.56004383883101"/>
    <n v="-2"/>
    <x v="26"/>
    <s v="India"/>
    <s v="South"/>
    <x v="1"/>
    <n v="0"/>
    <s v="No"/>
    <n v="1"/>
    <s v="On Time"/>
    <x v="0"/>
    <x v="0"/>
  </r>
  <r>
    <s v="PO000654"/>
    <s v="SUP00029"/>
    <s v="PROD00084"/>
    <d v="2022-02-21T00:00:00"/>
    <n v="14"/>
    <n v="23.298906168713401"/>
    <d v="2022-03-13T00:00:00"/>
    <d v="2022-03-17T00:00:00"/>
    <n v="326.18468636198799"/>
    <n v="4"/>
    <x v="47"/>
    <s v="China"/>
    <s v="West"/>
    <x v="0"/>
    <n v="1"/>
    <s v="Yes"/>
    <n v="0"/>
    <s v="Late"/>
    <x v="3"/>
    <x v="9"/>
  </r>
  <r>
    <s v="PO000655"/>
    <s v="SUP00007"/>
    <s v="PROD00014"/>
    <d v="2024-01-27T00:00:00"/>
    <n v="11"/>
    <n v="3.5458572532155199"/>
    <d v="2024-02-17T00:00:00"/>
    <d v="2024-02-16T00:00:00"/>
    <n v="39.004429785370696"/>
    <n v="-1"/>
    <x v="24"/>
    <s v="China"/>
    <s v="East"/>
    <x v="1"/>
    <n v="1"/>
    <s v="Yes"/>
    <n v="1"/>
    <s v="On Time"/>
    <x v="0"/>
    <x v="10"/>
  </r>
  <r>
    <s v="PO000656"/>
    <s v="SUP00012"/>
    <s v="PROD00133"/>
    <d v="2023-12-31T00:00:00"/>
    <n v="13"/>
    <n v="74.781659052556506"/>
    <d v="2024-01-22T00:00:00"/>
    <d v="2024-01-25T00:00:00"/>
    <n v="972.16156768323503"/>
    <n v="3"/>
    <x v="88"/>
    <s v="China"/>
    <s v="East"/>
    <x v="3"/>
    <n v="0"/>
    <s v="No"/>
    <n v="0"/>
    <s v="Late"/>
    <x v="2"/>
    <x v="7"/>
  </r>
  <r>
    <s v="PO000657"/>
    <s v="SUP00062"/>
    <s v="PROD00006"/>
    <d v="2024-01-12T00:00:00"/>
    <n v="12"/>
    <n v="36.775118988209996"/>
    <d v="2024-01-26T00:00:00"/>
    <d v="2024-01-23T00:00:00"/>
    <n v="441.30142785852001"/>
    <n v="-3"/>
    <x v="81"/>
    <s v="Brazil"/>
    <s v="Central"/>
    <x v="0"/>
    <n v="0"/>
    <s v="No"/>
    <n v="1"/>
    <s v="On Time"/>
    <x v="0"/>
    <x v="10"/>
  </r>
  <r>
    <s v="PO000658"/>
    <s v="SUP00041"/>
    <s v="PROD00183"/>
    <d v="2022-11-14T00:00:00"/>
    <n v="10"/>
    <n v="14.742036885854301"/>
    <d v="2022-11-30T00:00:00"/>
    <d v="2022-11-28T00:00:00"/>
    <n v="147.42036885854299"/>
    <n v="-2"/>
    <x v="72"/>
    <s v="Germany"/>
    <s v="West"/>
    <x v="1"/>
    <n v="0"/>
    <s v="No"/>
    <n v="1"/>
    <s v="On Time"/>
    <x v="3"/>
    <x v="6"/>
  </r>
  <r>
    <s v="PO000659"/>
    <s v="SUP00011"/>
    <s v="PROD00136"/>
    <d v="2024-04-03T00:00:00"/>
    <n v="17"/>
    <n v="32.236986960613301"/>
    <d v="2024-04-27T00:00:00"/>
    <d v="2024-04-24T00:00:00"/>
    <n v="548.02877833042703"/>
    <n v="-3"/>
    <x v="37"/>
    <s v="UK"/>
    <s v="East"/>
    <x v="3"/>
    <n v="1"/>
    <s v="Yes"/>
    <n v="1"/>
    <s v="On Time"/>
    <x v="0"/>
    <x v="8"/>
  </r>
  <r>
    <s v="PO000660"/>
    <s v="SUP00061"/>
    <s v="PROD00125"/>
    <d v="2023-04-20T00:00:00"/>
    <n v="15"/>
    <n v="40.218449791930603"/>
    <d v="2023-05-07T00:00:00"/>
    <d v="2023-05-12T00:00:00"/>
    <n v="603.27674687895899"/>
    <n v="5"/>
    <x v="71"/>
    <s v="India"/>
    <s v="South"/>
    <x v="2"/>
    <n v="0"/>
    <s v="No"/>
    <n v="0"/>
    <s v="Late"/>
    <x v="2"/>
    <x v="8"/>
  </r>
  <r>
    <s v="PO000661"/>
    <s v="SUP00001"/>
    <s v="PROD00188"/>
    <d v="2022-02-05T00:00:00"/>
    <n v="12"/>
    <n v="43.185315285176003"/>
    <d v="2022-03-01T00:00:00"/>
    <d v="2022-03-06T00:00:00"/>
    <n v="518.22378342211198"/>
    <n v="5"/>
    <x v="36"/>
    <s v="USA"/>
    <s v="West"/>
    <x v="3"/>
    <n v="0"/>
    <s v="No"/>
    <n v="0"/>
    <s v="Late"/>
    <x v="3"/>
    <x v="9"/>
  </r>
  <r>
    <s v="PO000662"/>
    <s v="SUP00071"/>
    <s v="PROD00049"/>
    <d v="2021-02-25T00:00:00"/>
    <n v="15"/>
    <n v="18.653394606895599"/>
    <d v="2021-03-12T00:00:00"/>
    <d v="2021-03-13T00:00:00"/>
    <n v="279.80091910343498"/>
    <n v="1"/>
    <x v="50"/>
    <s v="Denmark"/>
    <s v="South"/>
    <x v="3"/>
    <n v="1"/>
    <s v="Yes"/>
    <n v="0"/>
    <s v="Late"/>
    <x v="1"/>
    <x v="9"/>
  </r>
  <r>
    <s v="PO000663"/>
    <s v="SUP00085"/>
    <s v="PROD00018"/>
    <d v="2022-08-02T00:00:00"/>
    <n v="12"/>
    <n v="47.769589858361201"/>
    <d v="2022-08-15T00:00:00"/>
    <d v="2022-08-13T00:00:00"/>
    <n v="573.23507830033395"/>
    <n v="-2"/>
    <x v="1"/>
    <s v="Germany"/>
    <s v="Central"/>
    <x v="1"/>
    <n v="1"/>
    <s v="Yes"/>
    <n v="1"/>
    <s v="On Time"/>
    <x v="3"/>
    <x v="2"/>
  </r>
  <r>
    <s v="PO000664"/>
    <s v="SUP00031"/>
    <s v="PROD00189"/>
    <d v="2023-02-18T00:00:00"/>
    <n v="11"/>
    <n v="56.545573131423097"/>
    <d v="2023-03-05T00:00:00"/>
    <d v="2023-03-09T00:00:00"/>
    <n v="622.001304445654"/>
    <n v="4"/>
    <x v="33"/>
    <s v="USA"/>
    <s v="West"/>
    <x v="3"/>
    <n v="0"/>
    <s v="No"/>
    <n v="0"/>
    <s v="Late"/>
    <x v="2"/>
    <x v="9"/>
  </r>
  <r>
    <s v="PO000665"/>
    <s v="SUP00009"/>
    <s v="PROD00011"/>
    <d v="2023-12-23T00:00:00"/>
    <n v="10"/>
    <n v="45.883242691297198"/>
    <d v="2024-01-02T00:00:00"/>
    <d v="2023-12-30T00:00:00"/>
    <n v="458.83242691297198"/>
    <n v="-3"/>
    <x v="95"/>
    <s v="China"/>
    <s v="North"/>
    <x v="1"/>
    <n v="1"/>
    <s v="Yes"/>
    <n v="1"/>
    <s v="On Time"/>
    <x v="2"/>
    <x v="7"/>
  </r>
  <r>
    <s v="PO000666"/>
    <s v="SUP00082"/>
    <s v="PROD00060"/>
    <d v="2022-04-29T00:00:00"/>
    <n v="6"/>
    <n v="10.778791460244999"/>
    <d v="2022-05-12T00:00:00"/>
    <d v="2022-05-18T00:00:00"/>
    <n v="64.672748761470203"/>
    <n v="6"/>
    <x v="76"/>
    <s v="India"/>
    <s v="North"/>
    <x v="1"/>
    <n v="1"/>
    <s v="Yes"/>
    <n v="0"/>
    <s v="Late"/>
    <x v="3"/>
    <x v="8"/>
  </r>
  <r>
    <s v="PO000667"/>
    <s v="SUP00087"/>
    <s v="PROD00117"/>
    <d v="2023-09-08T00:00:00"/>
    <n v="11"/>
    <n v="74.909394718544803"/>
    <d v="2023-09-21T00:00:00"/>
    <d v="2023-09-22T00:00:00"/>
    <n v="824.00334190399303"/>
    <n v="1"/>
    <x v="14"/>
    <s v="UK"/>
    <s v="Central"/>
    <x v="2"/>
    <n v="0"/>
    <s v="No"/>
    <n v="0"/>
    <s v="Late"/>
    <x v="2"/>
    <x v="11"/>
  </r>
  <r>
    <s v="PO000668"/>
    <s v="SUP00071"/>
    <s v="PROD00105"/>
    <d v="2022-02-10T00:00:00"/>
    <n v="5"/>
    <n v="59.104152704681503"/>
    <d v="2022-03-01T00:00:00"/>
    <d v="2022-03-02T00:00:00"/>
    <n v="295.52076352340703"/>
    <n v="1"/>
    <x v="50"/>
    <s v="Denmark"/>
    <s v="South"/>
    <x v="3"/>
    <n v="1"/>
    <s v="Yes"/>
    <n v="0"/>
    <s v="Late"/>
    <x v="3"/>
    <x v="9"/>
  </r>
  <r>
    <s v="PO000669"/>
    <s v="SUP00071"/>
    <s v="PROD00072"/>
    <d v="2021-04-02T00:00:00"/>
    <n v="9"/>
    <n v="20.6253786760027"/>
    <d v="2021-04-25T00:00:00"/>
    <d v="2021-04-27T00:00:00"/>
    <n v="185.62840808402399"/>
    <n v="2"/>
    <x v="50"/>
    <s v="Denmark"/>
    <s v="South"/>
    <x v="3"/>
    <n v="1"/>
    <s v="Yes"/>
    <n v="0"/>
    <s v="Late"/>
    <x v="1"/>
    <x v="8"/>
  </r>
  <r>
    <s v="PO000670"/>
    <s v="SUP00099"/>
    <s v="PROD00184"/>
    <d v="2022-04-02T00:00:00"/>
    <n v="13"/>
    <n v="50.097233014505299"/>
    <d v="2022-04-23T00:00:00"/>
    <d v="2022-04-21T00:00:00"/>
    <n v="651.264029188569"/>
    <n v="-2"/>
    <x v="19"/>
    <s v="Denmark"/>
    <s v="South"/>
    <x v="0"/>
    <n v="0"/>
    <s v="No"/>
    <n v="1"/>
    <s v="On Time"/>
    <x v="3"/>
    <x v="8"/>
  </r>
  <r>
    <s v="PO000671"/>
    <s v="SUP00073"/>
    <s v="PROD00143"/>
    <d v="2021-02-26T00:00:00"/>
    <n v="15"/>
    <n v="71.138030205759193"/>
    <d v="2021-03-18T00:00:00"/>
    <d v="2021-03-15T00:00:00"/>
    <n v="1067.07045308638"/>
    <n v="-3"/>
    <x v="42"/>
    <s v="China"/>
    <s v="East"/>
    <x v="2"/>
    <n v="1"/>
    <s v="Yes"/>
    <n v="1"/>
    <s v="On Time"/>
    <x v="1"/>
    <x v="9"/>
  </r>
  <r>
    <s v="PO000672"/>
    <s v="SUP00045"/>
    <s v="PROD00006"/>
    <d v="2023-09-30T00:00:00"/>
    <n v="13"/>
    <n v="77.789928146591194"/>
    <d v="2023-10-22T00:00:00"/>
    <d v="2023-10-25T00:00:00"/>
    <n v="1011.26906590568"/>
    <n v="3"/>
    <x v="84"/>
    <s v="Canada"/>
    <s v="North"/>
    <x v="3"/>
    <n v="1"/>
    <s v="Yes"/>
    <n v="0"/>
    <s v="Late"/>
    <x v="2"/>
    <x v="11"/>
  </r>
  <r>
    <s v="PO000673"/>
    <s v="SUP00070"/>
    <s v="PROD00034"/>
    <d v="2022-04-14T00:00:00"/>
    <n v="6"/>
    <n v="48.777375420572298"/>
    <d v="2022-05-07T00:00:00"/>
    <d v="2022-05-06T00:00:00"/>
    <n v="292.66425252343299"/>
    <n v="-1"/>
    <x v="32"/>
    <s v="USA"/>
    <s v="Central"/>
    <x v="3"/>
    <n v="0"/>
    <s v="No"/>
    <n v="1"/>
    <s v="On Time"/>
    <x v="3"/>
    <x v="8"/>
  </r>
  <r>
    <s v="PO000674"/>
    <s v="SUP00040"/>
    <s v="PROD00124"/>
    <d v="2021-07-27T00:00:00"/>
    <n v="8"/>
    <n v="62.199404997843097"/>
    <d v="2021-08-10T00:00:00"/>
    <d v="2021-08-11T00:00:00"/>
    <n v="497.595239982745"/>
    <n v="1"/>
    <x v="58"/>
    <s v="Denmark"/>
    <s v="East"/>
    <x v="2"/>
    <n v="0"/>
    <s v="No"/>
    <n v="0"/>
    <s v="Late"/>
    <x v="1"/>
    <x v="5"/>
  </r>
  <r>
    <s v="PO000675"/>
    <s v="SUP00034"/>
    <s v="PROD00152"/>
    <d v="2023-12-30T00:00:00"/>
    <n v="9"/>
    <n v="7.6484093959715302"/>
    <d v="2024-01-23T00:00:00"/>
    <d v="2024-01-29T00:00:00"/>
    <n v="68.835684563743698"/>
    <n v="6"/>
    <x v="67"/>
    <s v="Brazil"/>
    <s v="North"/>
    <x v="1"/>
    <n v="1"/>
    <s v="Yes"/>
    <n v="0"/>
    <s v="Late"/>
    <x v="2"/>
    <x v="7"/>
  </r>
  <r>
    <s v="PO000676"/>
    <s v="SUP00064"/>
    <s v="PROD00048"/>
    <d v="2021-05-16T00:00:00"/>
    <n v="8"/>
    <n v="72.5329452179556"/>
    <d v="2021-06-09T00:00:00"/>
    <d v="2021-06-13T00:00:00"/>
    <n v="580.26356174364503"/>
    <n v="4"/>
    <x v="28"/>
    <s v="Brazil"/>
    <s v="North"/>
    <x v="0"/>
    <n v="1"/>
    <s v="Yes"/>
    <n v="0"/>
    <s v="Late"/>
    <x v="1"/>
    <x v="3"/>
  </r>
  <r>
    <s v="PO000677"/>
    <s v="SUP00062"/>
    <s v="PROD00087"/>
    <d v="2021-04-09T00:00:00"/>
    <n v="8"/>
    <n v="47.8503909296956"/>
    <d v="2021-04-19T00:00:00"/>
    <d v="2021-04-25T00:00:00"/>
    <n v="382.803127437564"/>
    <n v="6"/>
    <x v="81"/>
    <s v="Brazil"/>
    <s v="Central"/>
    <x v="0"/>
    <n v="0"/>
    <s v="No"/>
    <n v="0"/>
    <s v="Late"/>
    <x v="1"/>
    <x v="8"/>
  </r>
  <r>
    <s v="PO000678"/>
    <s v="SUP00024"/>
    <s v="PROD00115"/>
    <d v="2022-05-14T00:00:00"/>
    <n v="11"/>
    <n v="13.4827008102743"/>
    <d v="2022-05-24T00:00:00"/>
    <d v="2022-05-27T00:00:00"/>
    <n v="148.309708913018"/>
    <n v="3"/>
    <x v="5"/>
    <s v="UK"/>
    <s v="North"/>
    <x v="1"/>
    <n v="0"/>
    <s v="No"/>
    <n v="0"/>
    <s v="Late"/>
    <x v="3"/>
    <x v="3"/>
  </r>
  <r>
    <s v="PO000679"/>
    <s v="SUP00083"/>
    <s v="PROD00032"/>
    <d v="2021-02-27T00:00:00"/>
    <n v="8"/>
    <n v="22.040235665523099"/>
    <d v="2021-03-21T00:00:00"/>
    <d v="2021-03-18T00:00:00"/>
    <n v="176.32188532418499"/>
    <n v="-3"/>
    <x v="43"/>
    <s v="China"/>
    <s v="South"/>
    <x v="0"/>
    <n v="0"/>
    <s v="No"/>
    <n v="1"/>
    <s v="On Time"/>
    <x v="1"/>
    <x v="9"/>
  </r>
  <r>
    <s v="PO000680"/>
    <s v="SUP00010"/>
    <s v="PROD00200"/>
    <d v="2022-02-16T00:00:00"/>
    <n v="12"/>
    <n v="29.693968914047101"/>
    <d v="2022-03-01T00:00:00"/>
    <d v="2022-03-06T00:00:00"/>
    <n v="356.32762696856503"/>
    <n v="5"/>
    <x v="82"/>
    <s v="Denmark"/>
    <s v="Central"/>
    <x v="3"/>
    <n v="0"/>
    <s v="No"/>
    <n v="0"/>
    <s v="Late"/>
    <x v="3"/>
    <x v="9"/>
  </r>
  <r>
    <s v="PO000681"/>
    <s v="SUP00020"/>
    <s v="PROD00004"/>
    <d v="2021-05-16T00:00:00"/>
    <n v="11"/>
    <n v="27.7728235860897"/>
    <d v="2021-06-03T00:00:00"/>
    <d v="2021-06-09T00:00:00"/>
    <n v="305.50105944698703"/>
    <n v="6"/>
    <x v="21"/>
    <s v="Canada"/>
    <s v="Central"/>
    <x v="3"/>
    <n v="1"/>
    <s v="Yes"/>
    <n v="0"/>
    <s v="Late"/>
    <x v="1"/>
    <x v="3"/>
  </r>
  <r>
    <s v="PO000682"/>
    <s v="SUP00055"/>
    <s v="PROD00100"/>
    <d v="2021-09-28T00:00:00"/>
    <n v="11"/>
    <n v="62.854618568833899"/>
    <d v="2021-10-22T00:00:00"/>
    <d v="2021-10-28T00:00:00"/>
    <n v="691.40080425717304"/>
    <n v="6"/>
    <x v="49"/>
    <s v="China"/>
    <s v="East"/>
    <x v="0"/>
    <n v="1"/>
    <s v="Yes"/>
    <n v="0"/>
    <s v="Late"/>
    <x v="1"/>
    <x v="11"/>
  </r>
  <r>
    <s v="PO000683"/>
    <s v="SUP00087"/>
    <s v="PROD00074"/>
    <d v="2022-12-01T00:00:00"/>
    <n v="11"/>
    <n v="35.779826263020297"/>
    <d v="2022-12-15T00:00:00"/>
    <d v="2022-12-21T00:00:00"/>
    <n v="393.57808889322399"/>
    <n v="6"/>
    <x v="14"/>
    <s v="UK"/>
    <s v="Central"/>
    <x v="2"/>
    <n v="0"/>
    <s v="No"/>
    <n v="0"/>
    <s v="Late"/>
    <x v="3"/>
    <x v="7"/>
  </r>
  <r>
    <s v="PO000684"/>
    <s v="SUP00004"/>
    <s v="PROD00152"/>
    <d v="2022-10-31T00:00:00"/>
    <n v="12"/>
    <n v="44.741437635801297"/>
    <d v="2022-11-14T00:00:00"/>
    <d v="2022-11-17T00:00:00"/>
    <n v="536.89725162961497"/>
    <n v="3"/>
    <x v="28"/>
    <s v="USA"/>
    <s v="North"/>
    <x v="1"/>
    <n v="0"/>
    <s v="No"/>
    <n v="0"/>
    <s v="Late"/>
    <x v="3"/>
    <x v="4"/>
  </r>
  <r>
    <s v="PO000685"/>
    <s v="SUP00013"/>
    <s v="PROD00093"/>
    <d v="2024-04-09T00:00:00"/>
    <n v="9"/>
    <n v="20.6381570823484"/>
    <d v="2024-04-21T00:00:00"/>
    <d v="2024-04-27T00:00:00"/>
    <n v="185.74341374113601"/>
    <n v="6"/>
    <x v="31"/>
    <s v="China"/>
    <s v="North"/>
    <x v="2"/>
    <n v="1"/>
    <s v="Yes"/>
    <n v="0"/>
    <s v="Late"/>
    <x v="0"/>
    <x v="8"/>
  </r>
  <r>
    <s v="PO000686"/>
    <s v="SUP00091"/>
    <s v="PROD00017"/>
    <d v="2024-01-13T00:00:00"/>
    <n v="10"/>
    <n v="22.445654546326299"/>
    <d v="2024-01-30T00:00:00"/>
    <d v="2024-02-05T00:00:00"/>
    <n v="224.45654546326301"/>
    <n v="6"/>
    <x v="77"/>
    <s v="China"/>
    <s v="South"/>
    <x v="1"/>
    <n v="0"/>
    <s v="No"/>
    <n v="0"/>
    <s v="Late"/>
    <x v="0"/>
    <x v="10"/>
  </r>
  <r>
    <s v="PO000687"/>
    <s v="SUP00050"/>
    <s v="PROD00098"/>
    <d v="2022-06-08T00:00:00"/>
    <n v="11"/>
    <n v="19.1710681452033"/>
    <d v="2022-07-02T00:00:00"/>
    <d v="2022-07-03T00:00:00"/>
    <n v="210.88174959723699"/>
    <n v="1"/>
    <x v="75"/>
    <s v="Denmark"/>
    <s v="West"/>
    <x v="1"/>
    <n v="0"/>
    <s v="No"/>
    <n v="0"/>
    <s v="Late"/>
    <x v="3"/>
    <x v="1"/>
  </r>
  <r>
    <s v="PO000688"/>
    <s v="SUP00099"/>
    <s v="PROD00063"/>
    <d v="2023-10-03T00:00:00"/>
    <n v="8"/>
    <n v="31.595080613800299"/>
    <d v="2023-10-22T00:00:00"/>
    <d v="2023-10-21T00:00:00"/>
    <n v="252.76064491040199"/>
    <n v="-1"/>
    <x v="19"/>
    <s v="Denmark"/>
    <s v="South"/>
    <x v="0"/>
    <n v="0"/>
    <s v="No"/>
    <n v="1"/>
    <s v="On Time"/>
    <x v="2"/>
    <x v="4"/>
  </r>
  <r>
    <s v="PO000689"/>
    <s v="SUP00031"/>
    <s v="PROD00054"/>
    <d v="2023-08-09T00:00:00"/>
    <n v="9"/>
    <n v="63.624308833011703"/>
    <d v="2023-08-30T00:00:00"/>
    <d v="2023-09-02T00:00:00"/>
    <n v="572.61877949710504"/>
    <n v="3"/>
    <x v="33"/>
    <s v="USA"/>
    <s v="West"/>
    <x v="3"/>
    <n v="0"/>
    <s v="No"/>
    <n v="0"/>
    <s v="Late"/>
    <x v="2"/>
    <x v="2"/>
  </r>
  <r>
    <s v="PO000690"/>
    <s v="SUP00028"/>
    <s v="PROD00132"/>
    <d v="2024-03-09T00:00:00"/>
    <n v="11"/>
    <n v="51.114958986810102"/>
    <d v="2024-04-02T00:00:00"/>
    <d v="2024-04-01T00:00:00"/>
    <n v="562.26454885491103"/>
    <n v="-1"/>
    <x v="92"/>
    <s v="Canada"/>
    <s v="East"/>
    <x v="3"/>
    <n v="0"/>
    <s v="No"/>
    <n v="1"/>
    <s v="On Time"/>
    <x v="0"/>
    <x v="0"/>
  </r>
  <r>
    <s v="PO000691"/>
    <s v="SUP00077"/>
    <s v="PROD00184"/>
    <d v="2024-02-15T00:00:00"/>
    <n v="12"/>
    <n v="17.668394031706001"/>
    <d v="2024-03-01T00:00:00"/>
    <d v="2024-03-06T00:00:00"/>
    <n v="212.02072838047201"/>
    <n v="5"/>
    <x v="10"/>
    <s v="India"/>
    <s v="West"/>
    <x v="1"/>
    <n v="0"/>
    <s v="No"/>
    <n v="0"/>
    <s v="Late"/>
    <x v="0"/>
    <x v="9"/>
  </r>
  <r>
    <s v="PO000692"/>
    <s v="SUP00078"/>
    <s v="PROD00103"/>
    <d v="2022-03-28T00:00:00"/>
    <n v="11"/>
    <n v="71.874861080467994"/>
    <d v="2022-04-16T00:00:00"/>
    <d v="2022-04-13T00:00:00"/>
    <n v="790.62347188514798"/>
    <n v="-3"/>
    <x v="56"/>
    <s v="Germany"/>
    <s v="North"/>
    <x v="0"/>
    <n v="0"/>
    <s v="No"/>
    <n v="1"/>
    <s v="On Time"/>
    <x v="3"/>
    <x v="0"/>
  </r>
  <r>
    <s v="PO000693"/>
    <s v="SUP00099"/>
    <s v="PROD00109"/>
    <d v="2021-04-24T00:00:00"/>
    <n v="12"/>
    <n v="55.693808085605298"/>
    <d v="2021-05-07T00:00:00"/>
    <d v="2021-05-07T00:00:00"/>
    <n v="668.32569702726403"/>
    <n v="0"/>
    <x v="19"/>
    <s v="Denmark"/>
    <s v="South"/>
    <x v="0"/>
    <n v="0"/>
    <s v="No"/>
    <n v="1"/>
    <s v="On Time"/>
    <x v="1"/>
    <x v="8"/>
  </r>
  <r>
    <s v="PO000694"/>
    <s v="SUP00014"/>
    <s v="PROD00118"/>
    <d v="2021-06-23T00:00:00"/>
    <n v="7"/>
    <n v="78.018921746118494"/>
    <d v="2021-07-16T00:00:00"/>
    <d v="2021-07-17T00:00:00"/>
    <n v="546.13245222282899"/>
    <n v="1"/>
    <x v="59"/>
    <s v="Germany"/>
    <s v="West"/>
    <x v="1"/>
    <n v="0"/>
    <s v="No"/>
    <n v="0"/>
    <s v="Late"/>
    <x v="1"/>
    <x v="1"/>
  </r>
  <r>
    <s v="PO000695"/>
    <s v="SUP00021"/>
    <s v="PROD00047"/>
    <d v="2021-05-19T00:00:00"/>
    <n v="9"/>
    <n v="41.474784112719099"/>
    <d v="2021-06-10T00:00:00"/>
    <d v="2021-06-14T00:00:00"/>
    <n v="373.27305701447199"/>
    <n v="4"/>
    <x v="19"/>
    <s v="Germany"/>
    <s v="Central"/>
    <x v="1"/>
    <n v="1"/>
    <s v="Yes"/>
    <n v="0"/>
    <s v="Late"/>
    <x v="1"/>
    <x v="3"/>
  </r>
  <r>
    <s v="PO000696"/>
    <s v="SUP00046"/>
    <s v="PROD00164"/>
    <d v="2023-11-25T00:00:00"/>
    <n v="12"/>
    <n v="64.491908462772301"/>
    <d v="2023-12-12T00:00:00"/>
    <d v="2023-12-16T00:00:00"/>
    <n v="773.90290155326795"/>
    <n v="4"/>
    <x v="61"/>
    <s v="Brazil"/>
    <s v="South"/>
    <x v="3"/>
    <n v="1"/>
    <s v="Yes"/>
    <n v="0"/>
    <s v="Late"/>
    <x v="2"/>
    <x v="6"/>
  </r>
  <r>
    <s v="PO000697"/>
    <s v="SUP00010"/>
    <s v="PROD00113"/>
    <d v="2023-12-29T00:00:00"/>
    <n v="13"/>
    <n v="68.515331633258398"/>
    <d v="2024-01-20T00:00:00"/>
    <d v="2024-01-17T00:00:00"/>
    <n v="890.69931123235995"/>
    <n v="-3"/>
    <x v="82"/>
    <s v="Denmark"/>
    <s v="Central"/>
    <x v="3"/>
    <n v="0"/>
    <s v="No"/>
    <n v="1"/>
    <s v="On Time"/>
    <x v="2"/>
    <x v="7"/>
  </r>
  <r>
    <s v="PO000698"/>
    <s v="SUP00073"/>
    <s v="PROD00134"/>
    <d v="2023-08-08T00:00:00"/>
    <n v="7"/>
    <n v="30.736880873671598"/>
    <d v="2023-08-29T00:00:00"/>
    <d v="2023-08-30T00:00:00"/>
    <n v="215.15816611570099"/>
    <n v="1"/>
    <x v="42"/>
    <s v="China"/>
    <s v="East"/>
    <x v="2"/>
    <n v="1"/>
    <s v="Yes"/>
    <n v="0"/>
    <s v="Late"/>
    <x v="2"/>
    <x v="2"/>
  </r>
  <r>
    <s v="PO000699"/>
    <s v="SUP00075"/>
    <s v="PROD00198"/>
    <d v="2021-11-23T00:00:00"/>
    <n v="8"/>
    <n v="26.933945571837501"/>
    <d v="2021-12-12T00:00:00"/>
    <d v="2021-12-12T00:00:00"/>
    <n v="215.47156457470001"/>
    <n v="0"/>
    <x v="11"/>
    <s v="USA"/>
    <s v="Central"/>
    <x v="1"/>
    <n v="1"/>
    <s v="Yes"/>
    <n v="1"/>
    <s v="On Time"/>
    <x v="1"/>
    <x v="6"/>
  </r>
  <r>
    <s v="PO000700"/>
    <s v="SUP00012"/>
    <s v="PROD00071"/>
    <d v="2022-10-22T00:00:00"/>
    <n v="13"/>
    <n v="59.475164980699702"/>
    <d v="2022-11-10T00:00:00"/>
    <d v="2022-11-15T00:00:00"/>
    <n v="773.17714474909599"/>
    <n v="5"/>
    <x v="88"/>
    <s v="China"/>
    <s v="East"/>
    <x v="3"/>
    <n v="0"/>
    <s v="No"/>
    <n v="0"/>
    <s v="Late"/>
    <x v="3"/>
    <x v="4"/>
  </r>
  <r>
    <s v="PO000701"/>
    <s v="SUP00098"/>
    <s v="PROD00097"/>
    <d v="2021-05-31T00:00:00"/>
    <n v="17"/>
    <n v="17.431436629510699"/>
    <d v="2021-06-18T00:00:00"/>
    <d v="2021-06-23T00:00:00"/>
    <n v="296.334422701682"/>
    <n v="5"/>
    <x v="38"/>
    <s v="Germany"/>
    <s v="North"/>
    <x v="3"/>
    <n v="1"/>
    <s v="Yes"/>
    <n v="0"/>
    <s v="Late"/>
    <x v="1"/>
    <x v="3"/>
  </r>
  <r>
    <s v="PO000702"/>
    <s v="SUP00025"/>
    <s v="PROD00129"/>
    <d v="2022-09-18T00:00:00"/>
    <n v="18"/>
    <n v="17.772909242948099"/>
    <d v="2022-10-11T00:00:00"/>
    <d v="2022-10-10T00:00:00"/>
    <n v="319.91236637306702"/>
    <n v="-1"/>
    <x v="6"/>
    <s v="Denmark"/>
    <s v="Central"/>
    <x v="2"/>
    <n v="0"/>
    <s v="No"/>
    <n v="1"/>
    <s v="On Time"/>
    <x v="3"/>
    <x v="11"/>
  </r>
  <r>
    <s v="PO000703"/>
    <s v="SUP00088"/>
    <s v="PROD00161"/>
    <d v="2022-09-19T00:00:00"/>
    <n v="13"/>
    <n v="60.360526088517901"/>
    <d v="2022-09-30T00:00:00"/>
    <d v="2022-10-02T00:00:00"/>
    <n v="784.68683915073302"/>
    <n v="2"/>
    <x v="41"/>
    <s v="Brazil"/>
    <s v="East"/>
    <x v="3"/>
    <n v="0"/>
    <s v="No"/>
    <n v="0"/>
    <s v="Late"/>
    <x v="3"/>
    <x v="11"/>
  </r>
  <r>
    <s v="PO000704"/>
    <s v="SUP00085"/>
    <s v="PROD00180"/>
    <d v="2023-08-11T00:00:00"/>
    <n v="7"/>
    <n v="74.134114140601298"/>
    <d v="2023-08-28T00:00:00"/>
    <d v="2023-08-28T00:00:00"/>
    <n v="518.93879898420903"/>
    <n v="0"/>
    <x v="1"/>
    <s v="Germany"/>
    <s v="Central"/>
    <x v="1"/>
    <n v="1"/>
    <s v="Yes"/>
    <n v="1"/>
    <s v="On Time"/>
    <x v="2"/>
    <x v="2"/>
  </r>
  <r>
    <s v="PO000705"/>
    <s v="SUP00075"/>
    <s v="PROD00042"/>
    <d v="2022-05-17T00:00:00"/>
    <n v="12"/>
    <n v="49.269889183522402"/>
    <d v="2022-06-05T00:00:00"/>
    <d v="2022-06-06T00:00:00"/>
    <n v="591.23867020226896"/>
    <n v="1"/>
    <x v="11"/>
    <s v="USA"/>
    <s v="Central"/>
    <x v="1"/>
    <n v="1"/>
    <s v="Yes"/>
    <n v="0"/>
    <s v="Late"/>
    <x v="3"/>
    <x v="3"/>
  </r>
  <r>
    <s v="PO000706"/>
    <s v="SUP00050"/>
    <s v="PROD00091"/>
    <d v="2021-06-03T00:00:00"/>
    <n v="14"/>
    <n v="73.147076499188898"/>
    <d v="2021-06-18T00:00:00"/>
    <d v="2021-06-23T00:00:00"/>
    <n v="1024.0590709886401"/>
    <n v="5"/>
    <x v="75"/>
    <s v="Denmark"/>
    <s v="West"/>
    <x v="1"/>
    <n v="0"/>
    <s v="No"/>
    <n v="0"/>
    <s v="Late"/>
    <x v="1"/>
    <x v="1"/>
  </r>
  <r>
    <s v="PO000707"/>
    <s v="SUP00095"/>
    <s v="PROD00048"/>
    <d v="2021-01-16T00:00:00"/>
    <n v="11"/>
    <n v="43.037964812132302"/>
    <d v="2021-02-05T00:00:00"/>
    <d v="2021-02-06T00:00:00"/>
    <n v="473.41761293345502"/>
    <n v="1"/>
    <x v="74"/>
    <s v="China"/>
    <s v="Central"/>
    <x v="1"/>
    <n v="0"/>
    <s v="No"/>
    <n v="0"/>
    <s v="Late"/>
    <x v="1"/>
    <x v="10"/>
  </r>
  <r>
    <s v="PO000708"/>
    <s v="SUP00023"/>
    <s v="PROD00058"/>
    <d v="2023-07-17T00:00:00"/>
    <n v="5"/>
    <n v="57.9220821285477"/>
    <d v="2023-08-09T00:00:00"/>
    <d v="2023-08-06T00:00:00"/>
    <n v="289.61041064273797"/>
    <n v="-3"/>
    <x v="3"/>
    <s v="Brazil"/>
    <s v="South"/>
    <x v="0"/>
    <n v="1"/>
    <s v="Yes"/>
    <n v="1"/>
    <s v="On Time"/>
    <x v="2"/>
    <x v="5"/>
  </r>
  <r>
    <s v="PO000709"/>
    <s v="SUP00083"/>
    <s v="PROD00138"/>
    <d v="2021-11-09T00:00:00"/>
    <n v="10"/>
    <n v="18.180515953544099"/>
    <d v="2021-11-19T00:00:00"/>
    <d v="2021-11-22T00:00:00"/>
    <n v="181.80515953544099"/>
    <n v="3"/>
    <x v="43"/>
    <s v="China"/>
    <s v="South"/>
    <x v="0"/>
    <n v="0"/>
    <s v="No"/>
    <n v="0"/>
    <s v="Late"/>
    <x v="1"/>
    <x v="6"/>
  </r>
  <r>
    <s v="PO000710"/>
    <s v="SUP00100"/>
    <s v="PROD00161"/>
    <d v="2023-08-25T00:00:00"/>
    <n v="10"/>
    <n v="33.287375245548603"/>
    <d v="2023-09-06T00:00:00"/>
    <d v="2023-09-11T00:00:00"/>
    <n v="332.873752455486"/>
    <n v="5"/>
    <x v="45"/>
    <s v="Canada"/>
    <s v="Central"/>
    <x v="1"/>
    <n v="0"/>
    <s v="No"/>
    <n v="0"/>
    <s v="Late"/>
    <x v="2"/>
    <x v="2"/>
  </r>
  <r>
    <s v="PO000711"/>
    <s v="SUP00061"/>
    <s v="PROD00119"/>
    <d v="2023-07-29T00:00:00"/>
    <n v="11"/>
    <n v="7.2021294620463197"/>
    <d v="2023-08-12T00:00:00"/>
    <d v="2023-08-15T00:00:00"/>
    <n v="79.223424082509496"/>
    <n v="3"/>
    <x v="71"/>
    <s v="India"/>
    <s v="South"/>
    <x v="2"/>
    <n v="0"/>
    <s v="No"/>
    <n v="0"/>
    <s v="Late"/>
    <x v="2"/>
    <x v="5"/>
  </r>
  <r>
    <s v="PO000712"/>
    <s v="SUP00083"/>
    <s v="PROD00126"/>
    <d v="2022-03-20T00:00:00"/>
    <n v="12"/>
    <n v="57.721982667548701"/>
    <d v="2022-04-09T00:00:00"/>
    <d v="2022-04-09T00:00:00"/>
    <n v="692.66379201058396"/>
    <n v="0"/>
    <x v="43"/>
    <s v="China"/>
    <s v="South"/>
    <x v="0"/>
    <n v="0"/>
    <s v="No"/>
    <n v="1"/>
    <s v="On Time"/>
    <x v="3"/>
    <x v="0"/>
  </r>
  <r>
    <s v="PO000713"/>
    <s v="SUP00007"/>
    <s v="PROD00166"/>
    <d v="2022-01-02T00:00:00"/>
    <n v="10"/>
    <n v="45.791030946624801"/>
    <d v="2022-01-20T00:00:00"/>
    <d v="2022-01-23T00:00:00"/>
    <n v="457.91030946624801"/>
    <n v="3"/>
    <x v="24"/>
    <s v="China"/>
    <s v="East"/>
    <x v="1"/>
    <n v="1"/>
    <s v="Yes"/>
    <n v="0"/>
    <s v="Late"/>
    <x v="3"/>
    <x v="10"/>
  </r>
  <r>
    <s v="PO000714"/>
    <s v="SUP00049"/>
    <s v="PROD00114"/>
    <d v="2023-09-11T00:00:00"/>
    <n v="15"/>
    <n v="10.7201689641456"/>
    <d v="2023-10-02T00:00:00"/>
    <d v="2023-10-05T00:00:00"/>
    <n v="160.80253446218501"/>
    <n v="3"/>
    <x v="71"/>
    <s v="Canada"/>
    <s v="East"/>
    <x v="0"/>
    <n v="1"/>
    <s v="Yes"/>
    <n v="0"/>
    <s v="Late"/>
    <x v="2"/>
    <x v="11"/>
  </r>
  <r>
    <s v="PO000715"/>
    <s v="SUP00045"/>
    <s v="PROD00187"/>
    <d v="2021-12-08T00:00:00"/>
    <n v="11"/>
    <n v="51.163490195163099"/>
    <d v="2021-12-18T00:00:00"/>
    <d v="2021-12-23T00:00:00"/>
    <n v="562.79839214679396"/>
    <n v="5"/>
    <x v="84"/>
    <s v="Canada"/>
    <s v="North"/>
    <x v="3"/>
    <n v="1"/>
    <s v="Yes"/>
    <n v="0"/>
    <s v="Late"/>
    <x v="1"/>
    <x v="7"/>
  </r>
  <r>
    <s v="PO000716"/>
    <s v="SUP00022"/>
    <s v="PROD00029"/>
    <d v="2024-01-06T00:00:00"/>
    <n v="12"/>
    <n v="76.205508958703902"/>
    <d v="2024-01-30T00:00:00"/>
    <d v="2024-01-28T00:00:00"/>
    <n v="914.466107504447"/>
    <n v="-2"/>
    <x v="60"/>
    <s v="India"/>
    <s v="South"/>
    <x v="1"/>
    <n v="0"/>
    <s v="No"/>
    <n v="1"/>
    <s v="On Time"/>
    <x v="0"/>
    <x v="10"/>
  </r>
  <r>
    <s v="PO000717"/>
    <s v="SUP00026"/>
    <s v="PROD00183"/>
    <d v="2022-11-15T00:00:00"/>
    <n v="8"/>
    <n v="46.223930340913697"/>
    <d v="2022-12-09T00:00:00"/>
    <d v="2022-12-15T00:00:00"/>
    <n v="369.791442727309"/>
    <n v="6"/>
    <x v="44"/>
    <s v="Denmark"/>
    <s v="East"/>
    <x v="1"/>
    <n v="1"/>
    <s v="Yes"/>
    <n v="0"/>
    <s v="Late"/>
    <x v="3"/>
    <x v="6"/>
  </r>
  <r>
    <s v="PO000718"/>
    <s v="SUP00075"/>
    <s v="PROD00155"/>
    <d v="2022-06-19T00:00:00"/>
    <n v="12"/>
    <n v="76.062379012932993"/>
    <d v="2022-07-09T00:00:00"/>
    <d v="2022-07-06T00:00:00"/>
    <n v="912.74854815519598"/>
    <n v="-3"/>
    <x v="11"/>
    <s v="USA"/>
    <s v="Central"/>
    <x v="1"/>
    <n v="1"/>
    <s v="Yes"/>
    <n v="1"/>
    <s v="On Time"/>
    <x v="3"/>
    <x v="1"/>
  </r>
  <r>
    <s v="PO000719"/>
    <s v="SUP00017"/>
    <s v="PROD00020"/>
    <d v="2021-02-25T00:00:00"/>
    <n v="9"/>
    <n v="32.625907205720303"/>
    <d v="2021-03-07T00:00:00"/>
    <d v="2021-03-05T00:00:00"/>
    <n v="293.633164851483"/>
    <n v="-2"/>
    <x v="52"/>
    <s v="India"/>
    <s v="East"/>
    <x v="1"/>
    <n v="0"/>
    <s v="No"/>
    <n v="1"/>
    <s v="On Time"/>
    <x v="1"/>
    <x v="9"/>
  </r>
  <r>
    <s v="PO000720"/>
    <s v="SUP00048"/>
    <s v="PROD00075"/>
    <d v="2022-10-08T00:00:00"/>
    <n v="9"/>
    <n v="57.095886173998203"/>
    <d v="2022-10-30T00:00:00"/>
    <d v="2022-11-01T00:00:00"/>
    <n v="513.86297556598299"/>
    <n v="2"/>
    <x v="4"/>
    <s v="Denmark"/>
    <s v="West"/>
    <x v="2"/>
    <n v="1"/>
    <s v="Yes"/>
    <n v="0"/>
    <s v="Late"/>
    <x v="3"/>
    <x v="4"/>
  </r>
  <r>
    <s v="PO000721"/>
    <s v="SUP00082"/>
    <s v="PROD00036"/>
    <d v="2023-03-12T00:00:00"/>
    <n v="8"/>
    <n v="24.539762220969301"/>
    <d v="2023-03-29T00:00:00"/>
    <d v="2023-03-30T00:00:00"/>
    <n v="196.31809776775401"/>
    <n v="1"/>
    <x v="76"/>
    <s v="India"/>
    <s v="North"/>
    <x v="1"/>
    <n v="1"/>
    <s v="Yes"/>
    <n v="0"/>
    <s v="Late"/>
    <x v="2"/>
    <x v="0"/>
  </r>
  <r>
    <s v="PO000722"/>
    <s v="SUP00026"/>
    <s v="PROD00137"/>
    <d v="2023-10-26T00:00:00"/>
    <n v="6"/>
    <n v="14.399388856702799"/>
    <d v="2023-11-19T00:00:00"/>
    <d v="2023-11-23T00:00:00"/>
    <n v="86.396333140217095"/>
    <n v="4"/>
    <x v="44"/>
    <s v="Denmark"/>
    <s v="East"/>
    <x v="1"/>
    <n v="1"/>
    <s v="Yes"/>
    <n v="0"/>
    <s v="Late"/>
    <x v="2"/>
    <x v="4"/>
  </r>
  <r>
    <s v="PO000723"/>
    <s v="SUP00018"/>
    <s v="PROD00077"/>
    <d v="2022-07-03T00:00:00"/>
    <n v="12"/>
    <n v="76.638958954565695"/>
    <d v="2022-07-19T00:00:00"/>
    <d v="2022-07-24T00:00:00"/>
    <n v="919.66750745478896"/>
    <n v="5"/>
    <x v="8"/>
    <s v="UK"/>
    <s v="West"/>
    <x v="2"/>
    <n v="0"/>
    <s v="No"/>
    <n v="0"/>
    <s v="Late"/>
    <x v="3"/>
    <x v="5"/>
  </r>
  <r>
    <s v="PO000724"/>
    <s v="SUP00075"/>
    <s v="PROD00115"/>
    <d v="2021-05-29T00:00:00"/>
    <n v="12"/>
    <n v="26.4713172899977"/>
    <d v="2021-06-09T00:00:00"/>
    <d v="2021-06-10T00:00:00"/>
    <n v="317.65580747997302"/>
    <n v="1"/>
    <x v="11"/>
    <s v="USA"/>
    <s v="Central"/>
    <x v="1"/>
    <n v="1"/>
    <s v="Yes"/>
    <n v="0"/>
    <s v="Late"/>
    <x v="1"/>
    <x v="3"/>
  </r>
  <r>
    <s v="PO000725"/>
    <s v="SUP00099"/>
    <s v="PROD00077"/>
    <d v="2023-02-18T00:00:00"/>
    <n v="14"/>
    <n v="9.4627824025546499"/>
    <d v="2023-03-05T00:00:00"/>
    <d v="2023-03-03T00:00:00"/>
    <n v="132.47895363576501"/>
    <n v="-2"/>
    <x v="19"/>
    <s v="Denmark"/>
    <s v="South"/>
    <x v="0"/>
    <n v="0"/>
    <s v="No"/>
    <n v="1"/>
    <s v="On Time"/>
    <x v="2"/>
    <x v="9"/>
  </r>
  <r>
    <s v="PO000726"/>
    <s v="SUP00087"/>
    <s v="PROD00064"/>
    <d v="2024-03-29T00:00:00"/>
    <n v="10"/>
    <n v="10.9125590727668"/>
    <d v="2024-04-09T00:00:00"/>
    <d v="2024-04-13T00:00:00"/>
    <n v="109.125590727668"/>
    <n v="4"/>
    <x v="14"/>
    <s v="UK"/>
    <s v="Central"/>
    <x v="2"/>
    <n v="0"/>
    <s v="No"/>
    <n v="0"/>
    <s v="Late"/>
    <x v="0"/>
    <x v="0"/>
  </r>
  <r>
    <s v="PO000727"/>
    <s v="SUP00057"/>
    <s v="PROD00156"/>
    <d v="2021-08-26T00:00:00"/>
    <n v="6"/>
    <n v="27.607216555427701"/>
    <d v="2021-09-08T00:00:00"/>
    <d v="2021-09-13T00:00:00"/>
    <n v="165.64329933256599"/>
    <n v="5"/>
    <x v="68"/>
    <s v="UK"/>
    <s v="South"/>
    <x v="3"/>
    <n v="1"/>
    <s v="Yes"/>
    <n v="0"/>
    <s v="Late"/>
    <x v="1"/>
    <x v="2"/>
  </r>
  <r>
    <s v="PO000728"/>
    <s v="SUP00055"/>
    <s v="PROD00157"/>
    <d v="2022-02-18T00:00:00"/>
    <n v="10"/>
    <n v="31.738197188830299"/>
    <d v="2022-03-02T00:00:00"/>
    <d v="2022-03-07T00:00:00"/>
    <n v="317.38197188830299"/>
    <n v="5"/>
    <x v="49"/>
    <s v="China"/>
    <s v="East"/>
    <x v="0"/>
    <n v="1"/>
    <s v="Yes"/>
    <n v="0"/>
    <s v="Late"/>
    <x v="3"/>
    <x v="9"/>
  </r>
  <r>
    <s v="PO000729"/>
    <s v="SUP00019"/>
    <s v="PROD00137"/>
    <d v="2021-06-22T00:00:00"/>
    <n v="16"/>
    <n v="63.551859509602203"/>
    <d v="2021-07-08T00:00:00"/>
    <d v="2021-07-06T00:00:00"/>
    <n v="1016.82975215363"/>
    <n v="-2"/>
    <x v="63"/>
    <s v="Denmark"/>
    <s v="West"/>
    <x v="2"/>
    <n v="0"/>
    <s v="No"/>
    <n v="1"/>
    <s v="On Time"/>
    <x v="1"/>
    <x v="1"/>
  </r>
  <r>
    <s v="PO000730"/>
    <s v="SUP00061"/>
    <s v="PROD00050"/>
    <d v="2021-01-03T00:00:00"/>
    <n v="16"/>
    <n v="5.2853297245392996"/>
    <d v="2021-01-13T00:00:00"/>
    <d v="2021-01-16T00:00:00"/>
    <n v="84.565275592628794"/>
    <n v="3"/>
    <x v="71"/>
    <s v="India"/>
    <s v="South"/>
    <x v="2"/>
    <n v="0"/>
    <s v="No"/>
    <n v="0"/>
    <s v="Late"/>
    <x v="1"/>
    <x v="10"/>
  </r>
  <r>
    <s v="PO000731"/>
    <s v="SUP00090"/>
    <s v="PROD00159"/>
    <d v="2021-09-06T00:00:00"/>
    <n v="16"/>
    <n v="75.756015937392107"/>
    <d v="2021-09-25T00:00:00"/>
    <d v="2021-09-22T00:00:00"/>
    <n v="1212.0962549982701"/>
    <n v="-3"/>
    <x v="9"/>
    <s v="Canada"/>
    <s v="East"/>
    <x v="1"/>
    <n v="1"/>
    <s v="Yes"/>
    <n v="1"/>
    <s v="On Time"/>
    <x v="1"/>
    <x v="11"/>
  </r>
  <r>
    <s v="PO000732"/>
    <s v="SUP00023"/>
    <s v="PROD00130"/>
    <d v="2022-09-28T00:00:00"/>
    <n v="13"/>
    <n v="12.6029416957644"/>
    <d v="2022-10-11T00:00:00"/>
    <d v="2022-10-12T00:00:00"/>
    <n v="163.838242044937"/>
    <n v="1"/>
    <x v="3"/>
    <s v="Brazil"/>
    <s v="South"/>
    <x v="0"/>
    <n v="1"/>
    <s v="Yes"/>
    <n v="0"/>
    <s v="Late"/>
    <x v="3"/>
    <x v="11"/>
  </r>
  <r>
    <s v="PO000733"/>
    <s v="SUP00098"/>
    <s v="PROD00040"/>
    <d v="2023-06-21T00:00:00"/>
    <n v="12"/>
    <n v="66.7242293619815"/>
    <d v="2023-07-02T00:00:00"/>
    <d v="2023-07-08T00:00:00"/>
    <n v="800.69075234377794"/>
    <n v="6"/>
    <x v="38"/>
    <s v="Germany"/>
    <s v="North"/>
    <x v="3"/>
    <n v="1"/>
    <s v="Yes"/>
    <n v="0"/>
    <s v="Late"/>
    <x v="2"/>
    <x v="1"/>
  </r>
  <r>
    <s v="PO000734"/>
    <s v="SUP00069"/>
    <s v="PROD00121"/>
    <d v="2023-03-05T00:00:00"/>
    <n v="10"/>
    <n v="3.5556541688581702"/>
    <d v="2023-03-26T00:00:00"/>
    <d v="2023-03-28T00:00:00"/>
    <n v="35.556541688581703"/>
    <n v="2"/>
    <x v="90"/>
    <s v="China"/>
    <s v="Central"/>
    <x v="2"/>
    <n v="0"/>
    <s v="No"/>
    <n v="0"/>
    <s v="Late"/>
    <x v="2"/>
    <x v="0"/>
  </r>
  <r>
    <s v="PO000735"/>
    <s v="SUP00047"/>
    <s v="PROD00055"/>
    <d v="2021-04-12T00:00:00"/>
    <n v="6"/>
    <n v="58.495190557896599"/>
    <d v="2021-05-05T00:00:00"/>
    <d v="2021-05-11T00:00:00"/>
    <n v="350.97114334737898"/>
    <n v="6"/>
    <x v="93"/>
    <s v="UK"/>
    <s v="Central"/>
    <x v="3"/>
    <n v="0"/>
    <s v="No"/>
    <n v="0"/>
    <s v="Late"/>
    <x v="1"/>
    <x v="8"/>
  </r>
  <r>
    <s v="PO000736"/>
    <s v="SUP00068"/>
    <s v="PROD00082"/>
    <d v="2021-07-14T00:00:00"/>
    <n v="7"/>
    <n v="78.113506291191896"/>
    <d v="2021-07-31T00:00:00"/>
    <d v="2021-07-31T00:00:00"/>
    <n v="546.79454403834302"/>
    <n v="0"/>
    <x v="12"/>
    <s v="UK"/>
    <s v="South"/>
    <x v="3"/>
    <n v="1"/>
    <s v="Yes"/>
    <n v="1"/>
    <s v="On Time"/>
    <x v="1"/>
    <x v="5"/>
  </r>
  <r>
    <s v="PO000737"/>
    <s v="SUP00082"/>
    <s v="PROD00188"/>
    <d v="2021-07-12T00:00:00"/>
    <n v="10"/>
    <n v="43.754799149877798"/>
    <d v="2021-07-24T00:00:00"/>
    <d v="2021-07-30T00:00:00"/>
    <n v="437.547991498778"/>
    <n v="6"/>
    <x v="76"/>
    <s v="India"/>
    <s v="North"/>
    <x v="1"/>
    <n v="1"/>
    <s v="Yes"/>
    <n v="0"/>
    <s v="Late"/>
    <x v="1"/>
    <x v="5"/>
  </r>
  <r>
    <s v="PO000738"/>
    <s v="SUP00026"/>
    <s v="PROD00086"/>
    <d v="2022-02-16T00:00:00"/>
    <n v="9"/>
    <n v="48.626522284026301"/>
    <d v="2022-03-04T00:00:00"/>
    <d v="2022-03-08T00:00:00"/>
    <n v="437.63870055623602"/>
    <n v="4"/>
    <x v="44"/>
    <s v="Denmark"/>
    <s v="East"/>
    <x v="1"/>
    <n v="1"/>
    <s v="Yes"/>
    <n v="0"/>
    <s v="Late"/>
    <x v="3"/>
    <x v="9"/>
  </r>
  <r>
    <s v="PO000739"/>
    <s v="SUP00006"/>
    <s v="PROD00050"/>
    <d v="2022-06-26T00:00:00"/>
    <n v="14"/>
    <n v="68.383593291142802"/>
    <d v="2022-07-18T00:00:00"/>
    <d v="2022-07-18T00:00:00"/>
    <n v="957.37030607600002"/>
    <n v="0"/>
    <x v="78"/>
    <s v="USA"/>
    <s v="East"/>
    <x v="0"/>
    <n v="1"/>
    <s v="Yes"/>
    <n v="1"/>
    <s v="On Time"/>
    <x v="3"/>
    <x v="1"/>
  </r>
  <r>
    <s v="PO000740"/>
    <s v="SUP00077"/>
    <s v="PROD00143"/>
    <d v="2022-11-12T00:00:00"/>
    <n v="11"/>
    <n v="13.8934783036217"/>
    <d v="2022-12-01T00:00:00"/>
    <d v="2022-12-06T00:00:00"/>
    <n v="152.828261339839"/>
    <n v="5"/>
    <x v="10"/>
    <s v="India"/>
    <s v="West"/>
    <x v="1"/>
    <n v="0"/>
    <s v="No"/>
    <n v="0"/>
    <s v="Late"/>
    <x v="3"/>
    <x v="6"/>
  </r>
  <r>
    <s v="PO000741"/>
    <s v="SUP00089"/>
    <s v="PROD00184"/>
    <d v="2022-07-14T00:00:00"/>
    <n v="14"/>
    <n v="21.474759213000102"/>
    <d v="2022-08-07T00:00:00"/>
    <d v="2022-08-05T00:00:00"/>
    <n v="300.64662898200203"/>
    <n v="-2"/>
    <x v="87"/>
    <s v="Canada"/>
    <s v="North"/>
    <x v="0"/>
    <n v="0"/>
    <s v="No"/>
    <n v="1"/>
    <s v="On Time"/>
    <x v="3"/>
    <x v="5"/>
  </r>
  <r>
    <s v="PO000742"/>
    <s v="SUP00063"/>
    <s v="PROD00038"/>
    <d v="2023-07-06T00:00:00"/>
    <n v="18"/>
    <n v="40.539596007486701"/>
    <d v="2023-07-22T00:00:00"/>
    <d v="2023-07-21T00:00:00"/>
    <n v="729.71272813476105"/>
    <n v="-1"/>
    <x v="30"/>
    <s v="Denmark"/>
    <s v="North"/>
    <x v="1"/>
    <n v="0"/>
    <s v="No"/>
    <n v="1"/>
    <s v="On Time"/>
    <x v="2"/>
    <x v="5"/>
  </r>
  <r>
    <s v="PO000743"/>
    <s v="SUP00021"/>
    <s v="PROD00026"/>
    <d v="2024-02-21T00:00:00"/>
    <n v="9"/>
    <n v="41.8856562875972"/>
    <d v="2024-03-03T00:00:00"/>
    <d v="2024-03-05T00:00:00"/>
    <n v="376.97090658837499"/>
    <n v="2"/>
    <x v="19"/>
    <s v="Germany"/>
    <s v="Central"/>
    <x v="1"/>
    <n v="1"/>
    <s v="Yes"/>
    <n v="0"/>
    <s v="Late"/>
    <x v="0"/>
    <x v="9"/>
  </r>
  <r>
    <s v="PO000744"/>
    <s v="SUP00042"/>
    <s v="PROD00086"/>
    <d v="2022-05-19T00:00:00"/>
    <n v="12"/>
    <n v="38.8711455805174"/>
    <d v="2022-05-31T00:00:00"/>
    <d v="2022-06-03T00:00:00"/>
    <n v="466.453746966209"/>
    <n v="3"/>
    <x v="64"/>
    <s v="India"/>
    <s v="West"/>
    <x v="2"/>
    <n v="0"/>
    <s v="No"/>
    <n v="0"/>
    <s v="Late"/>
    <x v="3"/>
    <x v="3"/>
  </r>
  <r>
    <s v="PO000745"/>
    <s v="SUP00051"/>
    <s v="PROD00045"/>
    <d v="2022-08-15T00:00:00"/>
    <n v="15"/>
    <n v="40.7884328651229"/>
    <d v="2022-09-07T00:00:00"/>
    <d v="2022-09-04T00:00:00"/>
    <n v="611.82649297684304"/>
    <n v="-3"/>
    <x v="57"/>
    <s v="UK"/>
    <s v="South"/>
    <x v="1"/>
    <n v="0"/>
    <s v="No"/>
    <n v="1"/>
    <s v="On Time"/>
    <x v="3"/>
    <x v="2"/>
  </r>
  <r>
    <s v="PO000746"/>
    <s v="SUP00048"/>
    <s v="PROD00011"/>
    <d v="2022-10-27T00:00:00"/>
    <n v="18"/>
    <n v="57.852926024629198"/>
    <d v="2022-11-15T00:00:00"/>
    <d v="2022-11-19T00:00:00"/>
    <n v="1041.35266844332"/>
    <n v="4"/>
    <x v="4"/>
    <s v="Denmark"/>
    <s v="West"/>
    <x v="2"/>
    <n v="1"/>
    <s v="Yes"/>
    <n v="0"/>
    <s v="Late"/>
    <x v="3"/>
    <x v="4"/>
  </r>
  <r>
    <s v="PO000747"/>
    <s v="SUP00080"/>
    <s v="PROD00078"/>
    <d v="2024-03-22T00:00:00"/>
    <n v="10"/>
    <n v="63.457327449375001"/>
    <d v="2024-04-06T00:00:00"/>
    <d v="2024-04-08T00:00:00"/>
    <n v="634.57327449374998"/>
    <n v="2"/>
    <x v="70"/>
    <s v="USA"/>
    <s v="North"/>
    <x v="2"/>
    <n v="0"/>
    <s v="No"/>
    <n v="0"/>
    <s v="Late"/>
    <x v="0"/>
    <x v="0"/>
  </r>
  <r>
    <s v="PO000748"/>
    <s v="SUP00099"/>
    <s v="PROD00094"/>
    <d v="2023-11-16T00:00:00"/>
    <n v="9"/>
    <n v="7.4069499223704698"/>
    <d v="2023-12-05T00:00:00"/>
    <d v="2023-12-10T00:00:00"/>
    <n v="66.662549301334195"/>
    <n v="5"/>
    <x v="19"/>
    <s v="Denmark"/>
    <s v="South"/>
    <x v="0"/>
    <n v="0"/>
    <s v="No"/>
    <n v="0"/>
    <s v="Late"/>
    <x v="2"/>
    <x v="6"/>
  </r>
  <r>
    <s v="PO000749"/>
    <s v="SUP00032"/>
    <s v="PROD00139"/>
    <d v="2023-03-13T00:00:00"/>
    <n v="8"/>
    <n v="15.4156142619753"/>
    <d v="2023-03-24T00:00:00"/>
    <d v="2023-03-21T00:00:00"/>
    <n v="123.324914095803"/>
    <n v="-3"/>
    <x v="15"/>
    <s v="Germany"/>
    <s v="South"/>
    <x v="0"/>
    <n v="0"/>
    <s v="No"/>
    <n v="1"/>
    <s v="On Time"/>
    <x v="2"/>
    <x v="0"/>
  </r>
  <r>
    <s v="PO000750"/>
    <s v="SUP00070"/>
    <s v="PROD00134"/>
    <d v="2021-09-28T00:00:00"/>
    <n v="6"/>
    <n v="50.812838696939998"/>
    <d v="2021-10-10T00:00:00"/>
    <d v="2021-10-12T00:00:00"/>
    <n v="304.87703218164"/>
    <n v="2"/>
    <x v="32"/>
    <s v="USA"/>
    <s v="Central"/>
    <x v="3"/>
    <n v="0"/>
    <s v="No"/>
    <n v="0"/>
    <s v="Late"/>
    <x v="1"/>
    <x v="11"/>
  </r>
  <r>
    <s v="PO000751"/>
    <s v="SUP00009"/>
    <s v="PROD00016"/>
    <d v="2023-06-06T00:00:00"/>
    <n v="14"/>
    <n v="4.0805915719456696"/>
    <d v="2023-06-24T00:00:00"/>
    <d v="2023-06-25T00:00:00"/>
    <n v="57.128282007239299"/>
    <n v="1"/>
    <x v="95"/>
    <s v="China"/>
    <s v="North"/>
    <x v="1"/>
    <n v="1"/>
    <s v="Yes"/>
    <n v="0"/>
    <s v="Late"/>
    <x v="2"/>
    <x v="1"/>
  </r>
  <r>
    <s v="PO000752"/>
    <s v="SUP00059"/>
    <s v="PROD00143"/>
    <d v="2021-12-22T00:00:00"/>
    <n v="17"/>
    <n v="25.356327557946202"/>
    <d v="2022-01-15T00:00:00"/>
    <d v="2022-01-13T00:00:00"/>
    <n v="431.05756848508599"/>
    <n v="-2"/>
    <x v="0"/>
    <s v="India"/>
    <s v="North"/>
    <x v="0"/>
    <n v="0"/>
    <s v="No"/>
    <n v="1"/>
    <s v="On Time"/>
    <x v="1"/>
    <x v="7"/>
  </r>
  <r>
    <s v="PO000753"/>
    <s v="SUP00003"/>
    <s v="PROD00088"/>
    <d v="2021-04-18T00:00:00"/>
    <n v="12"/>
    <n v="5.82289578176968"/>
    <d v="2021-04-30T00:00:00"/>
    <d v="2021-04-27T00:00:00"/>
    <n v="69.8747493812361"/>
    <n v="-3"/>
    <x v="91"/>
    <s v="India"/>
    <s v="Central"/>
    <x v="0"/>
    <n v="1"/>
    <s v="Yes"/>
    <n v="1"/>
    <s v="On Time"/>
    <x v="1"/>
    <x v="8"/>
  </r>
  <r>
    <s v="PO000754"/>
    <s v="SUP00065"/>
    <s v="PROD00188"/>
    <d v="2023-09-29T00:00:00"/>
    <n v="13"/>
    <n v="40.042082957772401"/>
    <d v="2023-10-22T00:00:00"/>
    <d v="2023-10-28T00:00:00"/>
    <n v="520.54707845104099"/>
    <n v="6"/>
    <x v="16"/>
    <s v="Brazil"/>
    <s v="East"/>
    <x v="1"/>
    <n v="1"/>
    <s v="Yes"/>
    <n v="0"/>
    <s v="Late"/>
    <x v="2"/>
    <x v="11"/>
  </r>
  <r>
    <s v="PO000755"/>
    <s v="SUP00018"/>
    <s v="PROD00159"/>
    <d v="2023-10-25T00:00:00"/>
    <n v="10"/>
    <n v="51.395337861851502"/>
    <d v="2023-11-10T00:00:00"/>
    <d v="2023-11-14T00:00:00"/>
    <n v="513.95337861851499"/>
    <n v="4"/>
    <x v="8"/>
    <s v="UK"/>
    <s v="West"/>
    <x v="2"/>
    <n v="0"/>
    <s v="No"/>
    <n v="0"/>
    <s v="Late"/>
    <x v="2"/>
    <x v="4"/>
  </r>
  <r>
    <s v="PO000756"/>
    <s v="SUP00012"/>
    <s v="PROD00045"/>
    <d v="2022-02-07T00:00:00"/>
    <n v="9"/>
    <n v="44.253100922449399"/>
    <d v="2022-02-23T00:00:00"/>
    <d v="2022-02-21T00:00:00"/>
    <n v="398.27790830204498"/>
    <n v="-2"/>
    <x v="88"/>
    <s v="China"/>
    <s v="East"/>
    <x v="3"/>
    <n v="0"/>
    <s v="No"/>
    <n v="1"/>
    <s v="On Time"/>
    <x v="3"/>
    <x v="9"/>
  </r>
  <r>
    <s v="PO000757"/>
    <s v="SUP00089"/>
    <s v="PROD00169"/>
    <d v="2021-09-09T00:00:00"/>
    <n v="13"/>
    <n v="26.685587550073599"/>
    <d v="2021-09-23T00:00:00"/>
    <d v="2021-09-23T00:00:00"/>
    <n v="346.91263815095698"/>
    <n v="0"/>
    <x v="87"/>
    <s v="Canada"/>
    <s v="North"/>
    <x v="0"/>
    <n v="0"/>
    <s v="No"/>
    <n v="1"/>
    <s v="On Time"/>
    <x v="1"/>
    <x v="11"/>
  </r>
  <r>
    <s v="PO000758"/>
    <s v="SUP00051"/>
    <s v="PROD00107"/>
    <d v="2022-05-07T00:00:00"/>
    <n v="12"/>
    <n v="26.948130314756401"/>
    <d v="2022-05-20T00:00:00"/>
    <d v="2022-05-26T00:00:00"/>
    <n v="323.37756377707598"/>
    <n v="6"/>
    <x v="57"/>
    <s v="UK"/>
    <s v="South"/>
    <x v="1"/>
    <n v="0"/>
    <s v="No"/>
    <n v="0"/>
    <s v="Late"/>
    <x v="3"/>
    <x v="3"/>
  </r>
  <r>
    <s v="PO000759"/>
    <s v="SUP00017"/>
    <s v="PROD00001"/>
    <d v="2023-08-28T00:00:00"/>
    <n v="10"/>
    <n v="25.971177573496401"/>
    <d v="2023-09-20T00:00:00"/>
    <d v="2023-09-19T00:00:00"/>
    <n v="259.71177573496402"/>
    <n v="-1"/>
    <x v="52"/>
    <s v="India"/>
    <s v="East"/>
    <x v="1"/>
    <n v="0"/>
    <s v="No"/>
    <n v="1"/>
    <s v="On Time"/>
    <x v="2"/>
    <x v="2"/>
  </r>
  <r>
    <s v="PO000760"/>
    <s v="SUP00097"/>
    <s v="PROD00088"/>
    <d v="2022-04-13T00:00:00"/>
    <n v="12"/>
    <n v="5.69269356713425"/>
    <d v="2022-04-28T00:00:00"/>
    <d v="2022-05-02T00:00:00"/>
    <n v="68.312322805611004"/>
    <n v="4"/>
    <x v="2"/>
    <s v="USA"/>
    <s v="Central"/>
    <x v="2"/>
    <n v="1"/>
    <s v="Yes"/>
    <n v="0"/>
    <s v="Late"/>
    <x v="3"/>
    <x v="8"/>
  </r>
  <r>
    <s v="PO000761"/>
    <s v="SUP00098"/>
    <s v="PROD00195"/>
    <d v="2022-06-03T00:00:00"/>
    <n v="9"/>
    <n v="8.6927396162637791"/>
    <d v="2022-06-27T00:00:00"/>
    <d v="2022-06-25T00:00:00"/>
    <n v="78.234656546373998"/>
    <n v="-2"/>
    <x v="38"/>
    <s v="Germany"/>
    <s v="North"/>
    <x v="3"/>
    <n v="1"/>
    <s v="Yes"/>
    <n v="1"/>
    <s v="On Time"/>
    <x v="3"/>
    <x v="1"/>
  </r>
  <r>
    <s v="PO000762"/>
    <s v="SUP00032"/>
    <s v="PROD00074"/>
    <d v="2022-10-24T00:00:00"/>
    <n v="6"/>
    <n v="48.075156278795703"/>
    <d v="2022-11-13T00:00:00"/>
    <d v="2022-11-14T00:00:00"/>
    <n v="288.45093767277399"/>
    <n v="1"/>
    <x v="15"/>
    <s v="Germany"/>
    <s v="South"/>
    <x v="0"/>
    <n v="0"/>
    <s v="No"/>
    <n v="0"/>
    <s v="Late"/>
    <x v="3"/>
    <x v="4"/>
  </r>
  <r>
    <s v="PO000763"/>
    <s v="SUP00093"/>
    <s v="PROD00131"/>
    <d v="2024-01-02T00:00:00"/>
    <n v="7"/>
    <n v="13.7419545181071"/>
    <d v="2024-01-23T00:00:00"/>
    <d v="2024-01-25T00:00:00"/>
    <n v="96.193681626749793"/>
    <n v="2"/>
    <x v="20"/>
    <s v="USA"/>
    <s v="Central"/>
    <x v="2"/>
    <n v="0"/>
    <s v="No"/>
    <n v="0"/>
    <s v="Late"/>
    <x v="0"/>
    <x v="10"/>
  </r>
  <r>
    <s v="PO000764"/>
    <s v="SUP00050"/>
    <s v="PROD00046"/>
    <d v="2024-03-05T00:00:00"/>
    <n v="13"/>
    <n v="21.153242193097299"/>
    <d v="2024-03-27T00:00:00"/>
    <d v="2024-03-24T00:00:00"/>
    <n v="274.992148510265"/>
    <n v="-3"/>
    <x v="75"/>
    <s v="Denmark"/>
    <s v="West"/>
    <x v="1"/>
    <n v="0"/>
    <s v="No"/>
    <n v="1"/>
    <s v="On Time"/>
    <x v="0"/>
    <x v="0"/>
  </r>
  <r>
    <s v="PO000765"/>
    <s v="SUP00090"/>
    <s v="PROD00183"/>
    <d v="2023-06-18T00:00:00"/>
    <n v="10"/>
    <n v="60.839266056331503"/>
    <d v="2023-07-07T00:00:00"/>
    <d v="2023-07-12T00:00:00"/>
    <n v="608.39266056331496"/>
    <n v="5"/>
    <x v="9"/>
    <s v="Canada"/>
    <s v="East"/>
    <x v="1"/>
    <n v="1"/>
    <s v="Yes"/>
    <n v="0"/>
    <s v="Late"/>
    <x v="2"/>
    <x v="1"/>
  </r>
  <r>
    <s v="PO000766"/>
    <s v="SUP00062"/>
    <s v="PROD00019"/>
    <d v="2024-03-09T00:00:00"/>
    <n v="6"/>
    <n v="3.7063312342090802"/>
    <d v="2024-03-20T00:00:00"/>
    <d v="2024-03-23T00:00:00"/>
    <n v="22.237987405254501"/>
    <n v="3"/>
    <x v="81"/>
    <s v="Brazil"/>
    <s v="Central"/>
    <x v="0"/>
    <n v="0"/>
    <s v="No"/>
    <n v="0"/>
    <s v="Late"/>
    <x v="0"/>
    <x v="0"/>
  </r>
  <r>
    <s v="PO000767"/>
    <s v="SUP00097"/>
    <s v="PROD00166"/>
    <d v="2022-05-25T00:00:00"/>
    <n v="16"/>
    <n v="36.468388431284701"/>
    <d v="2022-06-15T00:00:00"/>
    <d v="2022-06-20T00:00:00"/>
    <n v="583.49421490055602"/>
    <n v="5"/>
    <x v="2"/>
    <s v="USA"/>
    <s v="Central"/>
    <x v="2"/>
    <n v="1"/>
    <s v="Yes"/>
    <n v="0"/>
    <s v="Late"/>
    <x v="3"/>
    <x v="3"/>
  </r>
  <r>
    <s v="PO000768"/>
    <s v="SUP00024"/>
    <s v="PROD00078"/>
    <d v="2022-01-04T00:00:00"/>
    <n v="14"/>
    <n v="18.214069049965399"/>
    <d v="2022-01-24T00:00:00"/>
    <d v="2022-01-27T00:00:00"/>
    <n v="254.99696669951601"/>
    <n v="3"/>
    <x v="5"/>
    <s v="UK"/>
    <s v="North"/>
    <x v="1"/>
    <n v="0"/>
    <s v="No"/>
    <n v="0"/>
    <s v="Late"/>
    <x v="3"/>
    <x v="10"/>
  </r>
  <r>
    <s v="PO000769"/>
    <s v="SUP00065"/>
    <s v="PROD00098"/>
    <d v="2021-08-04T00:00:00"/>
    <n v="7"/>
    <n v="53.407786199612701"/>
    <d v="2021-08-24T00:00:00"/>
    <d v="2021-08-24T00:00:00"/>
    <n v="373.85450339728902"/>
    <n v="0"/>
    <x v="16"/>
    <s v="Brazil"/>
    <s v="East"/>
    <x v="1"/>
    <n v="1"/>
    <s v="Yes"/>
    <n v="1"/>
    <s v="On Time"/>
    <x v="1"/>
    <x v="2"/>
  </r>
  <r>
    <s v="PO000770"/>
    <s v="SUP00067"/>
    <s v="PROD00066"/>
    <d v="2023-08-09T00:00:00"/>
    <n v="7"/>
    <n v="23.0905150069513"/>
    <d v="2023-08-19T00:00:00"/>
    <d v="2023-08-19T00:00:00"/>
    <n v="161.63360504865901"/>
    <n v="0"/>
    <x v="22"/>
    <s v="UK"/>
    <s v="South"/>
    <x v="3"/>
    <n v="1"/>
    <s v="Yes"/>
    <n v="1"/>
    <s v="On Time"/>
    <x v="2"/>
    <x v="2"/>
  </r>
  <r>
    <s v="PO000771"/>
    <s v="SUP00008"/>
    <s v="PROD00136"/>
    <d v="2023-12-10T00:00:00"/>
    <n v="10"/>
    <n v="28.0218138757077"/>
    <d v="2023-12-27T00:00:00"/>
    <d v="2023-12-26T00:00:00"/>
    <n v="280.21813875707699"/>
    <n v="-1"/>
    <x v="79"/>
    <s v="USA"/>
    <s v="Central"/>
    <x v="3"/>
    <n v="0"/>
    <s v="No"/>
    <n v="1"/>
    <s v="On Time"/>
    <x v="2"/>
    <x v="7"/>
  </r>
  <r>
    <s v="PO000772"/>
    <s v="SUP00074"/>
    <s v="PROD00191"/>
    <d v="2023-05-23T00:00:00"/>
    <n v="6"/>
    <n v="49.958161562510099"/>
    <d v="2023-06-11T00:00:00"/>
    <d v="2023-06-17T00:00:00"/>
    <n v="299.74896937506003"/>
    <n v="6"/>
    <x v="48"/>
    <s v="Canada"/>
    <s v="South"/>
    <x v="0"/>
    <n v="1"/>
    <s v="Yes"/>
    <n v="0"/>
    <s v="Late"/>
    <x v="2"/>
    <x v="3"/>
  </r>
  <r>
    <s v="PO000773"/>
    <s v="SUP00045"/>
    <s v="PROD00152"/>
    <d v="2022-03-31T00:00:00"/>
    <n v="7"/>
    <n v="25.3715917144469"/>
    <d v="2022-04-13T00:00:00"/>
    <d v="2022-04-10T00:00:00"/>
    <n v="177.60114200112801"/>
    <n v="-3"/>
    <x v="84"/>
    <s v="Canada"/>
    <s v="North"/>
    <x v="3"/>
    <n v="1"/>
    <s v="Yes"/>
    <n v="1"/>
    <s v="On Time"/>
    <x v="3"/>
    <x v="0"/>
  </r>
  <r>
    <s v="PO000774"/>
    <s v="SUP00049"/>
    <s v="PROD00100"/>
    <d v="2023-01-31T00:00:00"/>
    <n v="6"/>
    <n v="45.250154427905898"/>
    <d v="2023-02-10T00:00:00"/>
    <d v="2023-02-15T00:00:00"/>
    <n v="271.50092656743499"/>
    <n v="5"/>
    <x v="71"/>
    <s v="Canada"/>
    <s v="East"/>
    <x v="0"/>
    <n v="1"/>
    <s v="Yes"/>
    <n v="0"/>
    <s v="Late"/>
    <x v="2"/>
    <x v="10"/>
  </r>
  <r>
    <s v="PO000775"/>
    <s v="SUP00010"/>
    <s v="PROD00197"/>
    <d v="2022-12-29T00:00:00"/>
    <n v="11"/>
    <n v="59.999979622827901"/>
    <d v="2023-01-12T00:00:00"/>
    <d v="2023-01-13T00:00:00"/>
    <n v="659.99977585110696"/>
    <n v="1"/>
    <x v="82"/>
    <s v="Denmark"/>
    <s v="Central"/>
    <x v="3"/>
    <n v="0"/>
    <s v="No"/>
    <n v="0"/>
    <s v="Late"/>
    <x v="3"/>
    <x v="7"/>
  </r>
  <r>
    <s v="PO000776"/>
    <s v="SUP00054"/>
    <s v="PROD00151"/>
    <d v="2023-05-06T00:00:00"/>
    <n v="9"/>
    <n v="14.581556651135299"/>
    <d v="2023-05-21T00:00:00"/>
    <d v="2023-05-21T00:00:00"/>
    <n v="131.23400986021699"/>
    <n v="0"/>
    <x v="73"/>
    <s v="Canada"/>
    <s v="South"/>
    <x v="3"/>
    <n v="1"/>
    <s v="Yes"/>
    <n v="1"/>
    <s v="On Time"/>
    <x v="2"/>
    <x v="3"/>
  </r>
  <r>
    <s v="PO000777"/>
    <s v="SUP00030"/>
    <s v="PROD00065"/>
    <d v="2022-07-18T00:00:00"/>
    <n v="6"/>
    <n v="53.891998348263101"/>
    <d v="2022-08-07T00:00:00"/>
    <d v="2022-08-06T00:00:00"/>
    <n v="323.35199008957801"/>
    <n v="-1"/>
    <x v="29"/>
    <s v="India"/>
    <s v="Central"/>
    <x v="0"/>
    <n v="0"/>
    <s v="No"/>
    <n v="1"/>
    <s v="On Time"/>
    <x v="3"/>
    <x v="5"/>
  </r>
  <r>
    <s v="PO000778"/>
    <s v="SUP00038"/>
    <s v="PROD00044"/>
    <d v="2022-01-15T00:00:00"/>
    <n v="7"/>
    <n v="52.213607057986003"/>
    <d v="2022-01-29T00:00:00"/>
    <d v="2022-01-26T00:00:00"/>
    <n v="365.49524940590197"/>
    <n v="-3"/>
    <x v="34"/>
    <s v="Germany"/>
    <s v="South"/>
    <x v="1"/>
    <n v="0"/>
    <s v="No"/>
    <n v="1"/>
    <s v="On Time"/>
    <x v="3"/>
    <x v="10"/>
  </r>
  <r>
    <s v="PO000779"/>
    <s v="SUP00070"/>
    <s v="PROD00159"/>
    <d v="2022-11-21T00:00:00"/>
    <n v="15"/>
    <n v="10.2795090992366"/>
    <d v="2022-12-03T00:00:00"/>
    <d v="2022-12-09T00:00:00"/>
    <n v="154.19263648854999"/>
    <n v="6"/>
    <x v="32"/>
    <s v="USA"/>
    <s v="Central"/>
    <x v="3"/>
    <n v="0"/>
    <s v="No"/>
    <n v="0"/>
    <s v="Late"/>
    <x v="3"/>
    <x v="6"/>
  </r>
  <r>
    <s v="PO000780"/>
    <s v="SUP00052"/>
    <s v="PROD00139"/>
    <d v="2022-11-26T00:00:00"/>
    <n v="14"/>
    <n v="39.1753738570576"/>
    <d v="2022-12-13T00:00:00"/>
    <d v="2022-12-19T00:00:00"/>
    <n v="548.45523399880597"/>
    <n v="6"/>
    <x v="80"/>
    <s v="Brazil"/>
    <s v="West"/>
    <x v="1"/>
    <n v="1"/>
    <s v="Yes"/>
    <n v="0"/>
    <s v="Late"/>
    <x v="3"/>
    <x v="6"/>
  </r>
  <r>
    <s v="PO000781"/>
    <s v="SUP00049"/>
    <s v="PROD00155"/>
    <d v="2022-12-07T00:00:00"/>
    <n v="13"/>
    <n v="51.629755007595499"/>
    <d v="2022-12-31T00:00:00"/>
    <d v="2023-01-02T00:00:00"/>
    <n v="671.18681509874102"/>
    <n v="2"/>
    <x v="71"/>
    <s v="Canada"/>
    <s v="East"/>
    <x v="0"/>
    <n v="1"/>
    <s v="Yes"/>
    <n v="0"/>
    <s v="Late"/>
    <x v="3"/>
    <x v="7"/>
  </r>
  <r>
    <s v="PO000782"/>
    <s v="SUP00020"/>
    <s v="PROD00196"/>
    <d v="2024-01-31T00:00:00"/>
    <n v="9"/>
    <n v="18.571294935683099"/>
    <d v="2024-02-19T00:00:00"/>
    <d v="2024-02-16T00:00:00"/>
    <n v="167.14165442114799"/>
    <n v="-3"/>
    <x v="21"/>
    <s v="Canada"/>
    <s v="Central"/>
    <x v="3"/>
    <n v="1"/>
    <s v="Yes"/>
    <n v="1"/>
    <s v="On Time"/>
    <x v="0"/>
    <x v="10"/>
  </r>
  <r>
    <s v="PO000783"/>
    <s v="SUP00098"/>
    <s v="PROD00013"/>
    <d v="2021-03-29T00:00:00"/>
    <n v="14"/>
    <n v="17.267193494345101"/>
    <d v="2021-04-21T00:00:00"/>
    <d v="2021-04-24T00:00:00"/>
    <n v="241.74070892083199"/>
    <n v="3"/>
    <x v="38"/>
    <s v="Germany"/>
    <s v="North"/>
    <x v="3"/>
    <n v="1"/>
    <s v="Yes"/>
    <n v="0"/>
    <s v="Late"/>
    <x v="1"/>
    <x v="0"/>
  </r>
  <r>
    <s v="PO000784"/>
    <s v="SUP00046"/>
    <s v="PROD00023"/>
    <d v="2023-07-11T00:00:00"/>
    <n v="15"/>
    <n v="77.327318951922393"/>
    <d v="2023-07-29T00:00:00"/>
    <d v="2023-07-27T00:00:00"/>
    <n v="1159.9097842788301"/>
    <n v="-2"/>
    <x v="61"/>
    <s v="Brazil"/>
    <s v="South"/>
    <x v="3"/>
    <n v="1"/>
    <s v="Yes"/>
    <n v="1"/>
    <s v="On Time"/>
    <x v="2"/>
    <x v="5"/>
  </r>
  <r>
    <s v="PO000785"/>
    <s v="SUP00066"/>
    <s v="PROD00036"/>
    <d v="2022-09-11T00:00:00"/>
    <n v="11"/>
    <n v="52.534530729085098"/>
    <d v="2022-10-04T00:00:00"/>
    <d v="2022-10-05T00:00:00"/>
    <n v="577.87983801993596"/>
    <n v="1"/>
    <x v="65"/>
    <s v="India"/>
    <s v="West"/>
    <x v="2"/>
    <n v="0"/>
    <s v="No"/>
    <n v="0"/>
    <s v="Late"/>
    <x v="3"/>
    <x v="11"/>
  </r>
  <r>
    <s v="PO000786"/>
    <s v="SUP00015"/>
    <s v="PROD00009"/>
    <d v="2023-06-08T00:00:00"/>
    <n v="9"/>
    <n v="53.343983102921896"/>
    <d v="2023-06-24T00:00:00"/>
    <d v="2023-06-22T00:00:00"/>
    <n v="480.09584792629698"/>
    <n v="-2"/>
    <x v="51"/>
    <s v="China"/>
    <s v="South"/>
    <x v="0"/>
    <n v="1"/>
    <s v="Yes"/>
    <n v="1"/>
    <s v="On Time"/>
    <x v="2"/>
    <x v="1"/>
  </r>
  <r>
    <s v="PO000787"/>
    <s v="SUP00071"/>
    <s v="PROD00042"/>
    <d v="2023-11-12T00:00:00"/>
    <n v="15"/>
    <n v="69.830668046105501"/>
    <d v="2023-11-24T00:00:00"/>
    <d v="2023-11-26T00:00:00"/>
    <n v="1047.46002069158"/>
    <n v="2"/>
    <x v="50"/>
    <s v="Denmark"/>
    <s v="South"/>
    <x v="3"/>
    <n v="1"/>
    <s v="Yes"/>
    <n v="0"/>
    <s v="Late"/>
    <x v="2"/>
    <x v="6"/>
  </r>
  <r>
    <s v="PO000788"/>
    <s v="SUP00003"/>
    <s v="PROD00168"/>
    <d v="2023-11-10T00:00:00"/>
    <n v="14"/>
    <n v="53.523024238010201"/>
    <d v="2023-11-29T00:00:00"/>
    <d v="2023-11-29T00:00:00"/>
    <n v="749.32233933214297"/>
    <n v="0"/>
    <x v="91"/>
    <s v="India"/>
    <s v="Central"/>
    <x v="0"/>
    <n v="1"/>
    <s v="Yes"/>
    <n v="1"/>
    <s v="On Time"/>
    <x v="2"/>
    <x v="6"/>
  </r>
  <r>
    <s v="PO000789"/>
    <s v="SUP00009"/>
    <s v="PROD00176"/>
    <d v="2022-03-14T00:00:00"/>
    <n v="11"/>
    <n v="7.1263965031320202"/>
    <d v="2022-03-24T00:00:00"/>
    <d v="2022-03-30T00:00:00"/>
    <n v="78.390361534452296"/>
    <n v="6"/>
    <x v="95"/>
    <s v="China"/>
    <s v="North"/>
    <x v="1"/>
    <n v="1"/>
    <s v="Yes"/>
    <n v="0"/>
    <s v="Late"/>
    <x v="3"/>
    <x v="0"/>
  </r>
  <r>
    <s v="PO000790"/>
    <s v="SUP00097"/>
    <s v="PROD00085"/>
    <d v="2024-01-22T00:00:00"/>
    <n v="14"/>
    <n v="73.004982404946801"/>
    <d v="2024-02-14T00:00:00"/>
    <d v="2024-02-18T00:00:00"/>
    <n v="1022.06975366925"/>
    <n v="4"/>
    <x v="2"/>
    <s v="USA"/>
    <s v="Central"/>
    <x v="2"/>
    <n v="1"/>
    <s v="Yes"/>
    <n v="0"/>
    <s v="Late"/>
    <x v="0"/>
    <x v="10"/>
  </r>
  <r>
    <s v="PO000791"/>
    <s v="SUP00059"/>
    <s v="PROD00181"/>
    <d v="2022-10-06T00:00:00"/>
    <n v="6"/>
    <n v="23.690765518698399"/>
    <d v="2022-10-28T00:00:00"/>
    <d v="2022-11-01T00:00:00"/>
    <n v="142.14459311218999"/>
    <n v="4"/>
    <x v="0"/>
    <s v="India"/>
    <s v="North"/>
    <x v="0"/>
    <n v="0"/>
    <s v="No"/>
    <n v="0"/>
    <s v="Late"/>
    <x v="3"/>
    <x v="4"/>
  </r>
  <r>
    <s v="PO000792"/>
    <s v="SUP00054"/>
    <s v="PROD00007"/>
    <d v="2023-09-20T00:00:00"/>
    <n v="8"/>
    <n v="6.58236038031127"/>
    <d v="2023-10-08T00:00:00"/>
    <d v="2023-10-13T00:00:00"/>
    <n v="52.658883042490103"/>
    <n v="5"/>
    <x v="73"/>
    <s v="Canada"/>
    <s v="South"/>
    <x v="3"/>
    <n v="1"/>
    <s v="Yes"/>
    <n v="0"/>
    <s v="Late"/>
    <x v="2"/>
    <x v="11"/>
  </r>
  <r>
    <s v="PO000793"/>
    <s v="SUP00032"/>
    <s v="PROD00098"/>
    <d v="2021-09-26T00:00:00"/>
    <n v="8"/>
    <n v="52.3605033421115"/>
    <d v="2021-10-07T00:00:00"/>
    <d v="2021-10-12T00:00:00"/>
    <n v="418.884026736892"/>
    <n v="5"/>
    <x v="15"/>
    <s v="Germany"/>
    <s v="South"/>
    <x v="0"/>
    <n v="0"/>
    <s v="No"/>
    <n v="0"/>
    <s v="Late"/>
    <x v="1"/>
    <x v="11"/>
  </r>
  <r>
    <s v="PO000794"/>
    <s v="SUP00074"/>
    <s v="PROD00157"/>
    <d v="2021-07-12T00:00:00"/>
    <n v="16"/>
    <n v="36.3204208225402"/>
    <d v="2021-08-02T00:00:00"/>
    <d v="2021-08-02T00:00:00"/>
    <n v="581.12673316064399"/>
    <n v="0"/>
    <x v="48"/>
    <s v="Canada"/>
    <s v="South"/>
    <x v="0"/>
    <n v="1"/>
    <s v="Yes"/>
    <n v="1"/>
    <s v="On Time"/>
    <x v="1"/>
    <x v="5"/>
  </r>
  <r>
    <s v="PO000795"/>
    <s v="SUP00058"/>
    <s v="PROD00103"/>
    <d v="2021-08-15T00:00:00"/>
    <n v="10"/>
    <n v="60.9699571628393"/>
    <d v="2021-09-03T00:00:00"/>
    <d v="2021-09-07T00:00:00"/>
    <n v="609.69957162839296"/>
    <n v="4"/>
    <x v="86"/>
    <s v="China"/>
    <s v="East"/>
    <x v="2"/>
    <n v="1"/>
    <s v="Yes"/>
    <n v="0"/>
    <s v="Late"/>
    <x v="1"/>
    <x v="2"/>
  </r>
  <r>
    <s v="PO000796"/>
    <s v="SUP00027"/>
    <s v="PROD00105"/>
    <d v="2022-09-04T00:00:00"/>
    <n v="20"/>
    <n v="61.616017894560997"/>
    <d v="2022-09-19T00:00:00"/>
    <d v="2022-09-25T00:00:00"/>
    <n v="1232.3203578912101"/>
    <n v="6"/>
    <x v="53"/>
    <s v="Brazil"/>
    <s v="Central"/>
    <x v="0"/>
    <n v="0"/>
    <s v="No"/>
    <n v="0"/>
    <s v="Late"/>
    <x v="3"/>
    <x v="11"/>
  </r>
  <r>
    <s v="PO000797"/>
    <s v="SUP00037"/>
    <s v="PROD00060"/>
    <d v="2023-01-30T00:00:00"/>
    <n v="12"/>
    <n v="55.918839904022398"/>
    <d v="2023-02-22T00:00:00"/>
    <d v="2023-02-22T00:00:00"/>
    <n v="671.02607884826898"/>
    <n v="0"/>
    <x v="46"/>
    <s v="Denmark"/>
    <s v="East"/>
    <x v="1"/>
    <n v="0"/>
    <s v="No"/>
    <n v="1"/>
    <s v="On Time"/>
    <x v="2"/>
    <x v="10"/>
  </r>
  <r>
    <s v="PO000798"/>
    <s v="SUP00044"/>
    <s v="PROD00166"/>
    <d v="2023-05-23T00:00:00"/>
    <n v="11"/>
    <n v="6.9760143163672304"/>
    <d v="2023-06-08T00:00:00"/>
    <d v="2023-06-07T00:00:00"/>
    <n v="76.736157480039495"/>
    <n v="-1"/>
    <x v="21"/>
    <s v="Germany"/>
    <s v="Central"/>
    <x v="1"/>
    <n v="1"/>
    <s v="Yes"/>
    <n v="1"/>
    <s v="On Time"/>
    <x v="2"/>
    <x v="3"/>
  </r>
  <r>
    <s v="PO000799"/>
    <s v="SUP00073"/>
    <s v="PROD00186"/>
    <d v="2021-04-12T00:00:00"/>
    <n v="11"/>
    <n v="30.2644963829745"/>
    <d v="2021-04-24T00:00:00"/>
    <d v="2021-04-21T00:00:00"/>
    <n v="332.90946021271901"/>
    <n v="-3"/>
    <x v="42"/>
    <s v="China"/>
    <s v="East"/>
    <x v="2"/>
    <n v="1"/>
    <s v="Yes"/>
    <n v="1"/>
    <s v="On Time"/>
    <x v="1"/>
    <x v="8"/>
  </r>
  <r>
    <s v="PO000800"/>
    <s v="SUP00037"/>
    <s v="PROD00135"/>
    <d v="2022-10-22T00:00:00"/>
    <n v="12"/>
    <n v="55.468910649510697"/>
    <d v="2022-11-04T00:00:00"/>
    <d v="2022-11-09T00:00:00"/>
    <n v="665.62692779412896"/>
    <n v="5"/>
    <x v="46"/>
    <s v="Denmark"/>
    <s v="East"/>
    <x v="1"/>
    <n v="0"/>
    <s v="No"/>
    <n v="0"/>
    <s v="Late"/>
    <x v="3"/>
    <x v="4"/>
  </r>
  <r>
    <s v="PO000801"/>
    <s v="SUP00062"/>
    <s v="PROD00125"/>
    <d v="2023-03-04T00:00:00"/>
    <n v="10"/>
    <n v="22.5561557887033"/>
    <d v="2023-03-18T00:00:00"/>
    <d v="2023-03-23T00:00:00"/>
    <n v="225.56155788703299"/>
    <n v="5"/>
    <x v="81"/>
    <s v="Brazil"/>
    <s v="Central"/>
    <x v="0"/>
    <n v="0"/>
    <s v="No"/>
    <n v="0"/>
    <s v="Late"/>
    <x v="2"/>
    <x v="0"/>
  </r>
  <r>
    <s v="PO000802"/>
    <s v="SUP00075"/>
    <s v="PROD00047"/>
    <d v="2023-03-21T00:00:00"/>
    <n v="9"/>
    <n v="45.477126087153898"/>
    <d v="2023-04-05T00:00:00"/>
    <d v="2023-04-03T00:00:00"/>
    <n v="409.29413478438499"/>
    <n v="-2"/>
    <x v="11"/>
    <s v="USA"/>
    <s v="Central"/>
    <x v="1"/>
    <n v="1"/>
    <s v="Yes"/>
    <n v="1"/>
    <s v="On Time"/>
    <x v="2"/>
    <x v="0"/>
  </r>
  <r>
    <s v="PO000803"/>
    <s v="SUP00035"/>
    <s v="PROD00177"/>
    <d v="2021-07-24T00:00:00"/>
    <n v="11"/>
    <n v="63.864206918313798"/>
    <d v="2021-08-06T00:00:00"/>
    <d v="2021-08-05T00:00:00"/>
    <n v="702.50627610145204"/>
    <n v="-1"/>
    <x v="25"/>
    <s v="Denmark"/>
    <s v="Central"/>
    <x v="1"/>
    <n v="1"/>
    <s v="Yes"/>
    <n v="1"/>
    <s v="On Time"/>
    <x v="1"/>
    <x v="5"/>
  </r>
  <r>
    <s v="PO000804"/>
    <s v="SUP00089"/>
    <s v="PROD00061"/>
    <d v="2021-04-26T00:00:00"/>
    <n v="12"/>
    <n v="14.7547223512609"/>
    <d v="2021-05-18T00:00:00"/>
    <d v="2021-05-22T00:00:00"/>
    <n v="177.056668215131"/>
    <n v="4"/>
    <x v="87"/>
    <s v="Canada"/>
    <s v="North"/>
    <x v="0"/>
    <n v="0"/>
    <s v="No"/>
    <n v="0"/>
    <s v="Late"/>
    <x v="1"/>
    <x v="8"/>
  </r>
  <r>
    <s v="PO000805"/>
    <s v="SUP00069"/>
    <s v="PROD00037"/>
    <d v="2021-10-19T00:00:00"/>
    <n v="10"/>
    <n v="71.751490624731304"/>
    <d v="2021-10-30T00:00:00"/>
    <d v="2021-10-30T00:00:00"/>
    <n v="717.51490624731298"/>
    <n v="0"/>
    <x v="90"/>
    <s v="China"/>
    <s v="Central"/>
    <x v="2"/>
    <n v="0"/>
    <s v="No"/>
    <n v="1"/>
    <s v="On Time"/>
    <x v="1"/>
    <x v="4"/>
  </r>
  <r>
    <s v="PO000806"/>
    <s v="SUP00083"/>
    <s v="PROD00120"/>
    <d v="2021-08-09T00:00:00"/>
    <n v="8"/>
    <n v="57.171095724325397"/>
    <d v="2021-08-22T00:00:00"/>
    <d v="2021-08-23T00:00:00"/>
    <n v="457.36876579460301"/>
    <n v="1"/>
    <x v="43"/>
    <s v="China"/>
    <s v="South"/>
    <x v="0"/>
    <n v="0"/>
    <s v="No"/>
    <n v="0"/>
    <s v="Late"/>
    <x v="1"/>
    <x v="2"/>
  </r>
  <r>
    <s v="PO000807"/>
    <s v="SUP00006"/>
    <s v="PROD00163"/>
    <d v="2023-05-01T00:00:00"/>
    <n v="6"/>
    <n v="61.923694923069903"/>
    <d v="2023-05-23T00:00:00"/>
    <d v="2023-05-24T00:00:00"/>
    <n v="371.54216953841899"/>
    <n v="1"/>
    <x v="78"/>
    <s v="USA"/>
    <s v="East"/>
    <x v="0"/>
    <n v="1"/>
    <s v="Yes"/>
    <n v="0"/>
    <s v="Late"/>
    <x v="2"/>
    <x v="3"/>
  </r>
  <r>
    <s v="PO000808"/>
    <s v="SUP00003"/>
    <s v="PROD00059"/>
    <d v="2022-06-15T00:00:00"/>
    <n v="11"/>
    <n v="15.367791435911"/>
    <d v="2022-07-05T00:00:00"/>
    <d v="2022-07-11T00:00:00"/>
    <n v="169.04570579502101"/>
    <n v="6"/>
    <x v="91"/>
    <s v="India"/>
    <s v="Central"/>
    <x v="0"/>
    <n v="1"/>
    <s v="Yes"/>
    <n v="0"/>
    <s v="Late"/>
    <x v="3"/>
    <x v="1"/>
  </r>
  <r>
    <s v="PO000809"/>
    <s v="SUP00085"/>
    <s v="PROD00019"/>
    <d v="2022-05-01T00:00:00"/>
    <n v="15"/>
    <n v="71.562130990147494"/>
    <d v="2022-05-16T00:00:00"/>
    <d v="2022-05-18T00:00:00"/>
    <n v="1073.4319648522101"/>
    <n v="2"/>
    <x v="1"/>
    <s v="Germany"/>
    <s v="Central"/>
    <x v="1"/>
    <n v="1"/>
    <s v="Yes"/>
    <n v="0"/>
    <s v="Late"/>
    <x v="3"/>
    <x v="3"/>
  </r>
  <r>
    <s v="PO000810"/>
    <s v="SUP00091"/>
    <s v="PROD00157"/>
    <d v="2023-12-20T00:00:00"/>
    <n v="6"/>
    <n v="36.234753789012103"/>
    <d v="2024-01-10T00:00:00"/>
    <d v="2024-01-16T00:00:00"/>
    <n v="217.40852273407299"/>
    <n v="6"/>
    <x v="77"/>
    <s v="China"/>
    <s v="South"/>
    <x v="1"/>
    <n v="0"/>
    <s v="No"/>
    <n v="0"/>
    <s v="Late"/>
    <x v="2"/>
    <x v="7"/>
  </r>
  <r>
    <s v="PO000811"/>
    <s v="SUP00072"/>
    <s v="PROD00191"/>
    <d v="2022-10-11T00:00:00"/>
    <n v="14"/>
    <n v="22.3611471363322"/>
    <d v="2022-11-02T00:00:00"/>
    <d v="2022-11-04T00:00:00"/>
    <n v="313.05605990865098"/>
    <n v="2"/>
    <x v="83"/>
    <s v="India"/>
    <s v="Central"/>
    <x v="1"/>
    <n v="0"/>
    <s v="No"/>
    <n v="0"/>
    <s v="Late"/>
    <x v="3"/>
    <x v="4"/>
  </r>
  <r>
    <s v="PO000812"/>
    <s v="SUP00014"/>
    <s v="PROD00163"/>
    <d v="2021-10-28T00:00:00"/>
    <n v="10"/>
    <n v="64.184071292115306"/>
    <d v="2021-11-20T00:00:00"/>
    <d v="2021-11-17T00:00:00"/>
    <n v="641.840712921153"/>
    <n v="-3"/>
    <x v="59"/>
    <s v="Germany"/>
    <s v="West"/>
    <x v="1"/>
    <n v="0"/>
    <s v="No"/>
    <n v="1"/>
    <s v="On Time"/>
    <x v="1"/>
    <x v="4"/>
  </r>
  <r>
    <s v="PO000813"/>
    <s v="SUP00027"/>
    <s v="PROD00101"/>
    <d v="2022-11-01T00:00:00"/>
    <n v="13"/>
    <n v="13.1970369878872"/>
    <d v="2022-11-11T00:00:00"/>
    <d v="2022-11-13T00:00:00"/>
    <n v="171.561480842534"/>
    <n v="2"/>
    <x v="53"/>
    <s v="Brazil"/>
    <s v="Central"/>
    <x v="0"/>
    <n v="0"/>
    <s v="No"/>
    <n v="0"/>
    <s v="Late"/>
    <x v="3"/>
    <x v="6"/>
  </r>
  <r>
    <s v="PO000814"/>
    <s v="SUP00070"/>
    <s v="PROD00032"/>
    <d v="2022-04-28T00:00:00"/>
    <n v="11"/>
    <n v="63.935522596388402"/>
    <d v="2022-05-19T00:00:00"/>
    <d v="2022-05-23T00:00:00"/>
    <n v="703.29074856027296"/>
    <n v="4"/>
    <x v="32"/>
    <s v="USA"/>
    <s v="Central"/>
    <x v="3"/>
    <n v="0"/>
    <s v="No"/>
    <n v="0"/>
    <s v="Late"/>
    <x v="3"/>
    <x v="8"/>
  </r>
  <r>
    <s v="PO000815"/>
    <s v="SUP00050"/>
    <s v="PROD00077"/>
    <d v="2023-04-09T00:00:00"/>
    <n v="8"/>
    <n v="14.0172127870939"/>
    <d v="2023-04-25T00:00:00"/>
    <d v="2023-04-24T00:00:00"/>
    <n v="112.137702296751"/>
    <n v="-1"/>
    <x v="75"/>
    <s v="Denmark"/>
    <s v="West"/>
    <x v="1"/>
    <n v="0"/>
    <s v="No"/>
    <n v="1"/>
    <s v="On Time"/>
    <x v="2"/>
    <x v="8"/>
  </r>
  <r>
    <s v="PO000816"/>
    <s v="SUP00052"/>
    <s v="PROD00151"/>
    <d v="2023-04-12T00:00:00"/>
    <n v="11"/>
    <n v="6.3039926307939602"/>
    <d v="2023-05-03T00:00:00"/>
    <d v="2023-05-03T00:00:00"/>
    <n v="69.343918938733495"/>
    <n v="0"/>
    <x v="80"/>
    <s v="Brazil"/>
    <s v="West"/>
    <x v="1"/>
    <n v="1"/>
    <s v="Yes"/>
    <n v="1"/>
    <s v="On Time"/>
    <x v="2"/>
    <x v="8"/>
  </r>
  <r>
    <s v="PO000817"/>
    <s v="SUP00080"/>
    <s v="PROD00006"/>
    <d v="2021-12-05T00:00:00"/>
    <n v="11"/>
    <n v="56.336485870664397"/>
    <d v="2021-12-18T00:00:00"/>
    <d v="2021-12-21T00:00:00"/>
    <n v="619.70134457730899"/>
    <n v="3"/>
    <x v="70"/>
    <s v="USA"/>
    <s v="North"/>
    <x v="2"/>
    <n v="0"/>
    <s v="No"/>
    <n v="0"/>
    <s v="Late"/>
    <x v="1"/>
    <x v="7"/>
  </r>
  <r>
    <s v="PO000818"/>
    <s v="SUP00097"/>
    <s v="PROD00163"/>
    <d v="2023-09-11T00:00:00"/>
    <n v="14"/>
    <n v="30.976245500883401"/>
    <d v="2023-09-22T00:00:00"/>
    <d v="2023-09-21T00:00:00"/>
    <n v="433.66743701236697"/>
    <n v="-1"/>
    <x v="2"/>
    <s v="USA"/>
    <s v="Central"/>
    <x v="2"/>
    <n v="1"/>
    <s v="Yes"/>
    <n v="1"/>
    <s v="On Time"/>
    <x v="2"/>
    <x v="11"/>
  </r>
  <r>
    <s v="PO000819"/>
    <s v="SUP00007"/>
    <s v="PROD00026"/>
    <d v="2021-09-03T00:00:00"/>
    <n v="12"/>
    <n v="66.863388685687198"/>
    <d v="2021-09-25T00:00:00"/>
    <d v="2021-09-25T00:00:00"/>
    <n v="802.36066422824695"/>
    <n v="0"/>
    <x v="24"/>
    <s v="China"/>
    <s v="East"/>
    <x v="1"/>
    <n v="1"/>
    <s v="Yes"/>
    <n v="1"/>
    <s v="On Time"/>
    <x v="1"/>
    <x v="11"/>
  </r>
  <r>
    <s v="PO000820"/>
    <s v="SUP00028"/>
    <s v="PROD00155"/>
    <d v="2022-06-25T00:00:00"/>
    <n v="11"/>
    <n v="67.190221519655296"/>
    <d v="2022-07-08T00:00:00"/>
    <d v="2022-07-11T00:00:00"/>
    <n v="739.092436716208"/>
    <n v="3"/>
    <x v="92"/>
    <s v="Canada"/>
    <s v="East"/>
    <x v="3"/>
    <n v="0"/>
    <s v="No"/>
    <n v="0"/>
    <s v="Late"/>
    <x v="3"/>
    <x v="1"/>
  </r>
  <r>
    <s v="PO000821"/>
    <s v="SUP00082"/>
    <s v="PROD00125"/>
    <d v="2023-01-12T00:00:00"/>
    <n v="9"/>
    <n v="17.664915219210801"/>
    <d v="2023-01-29T00:00:00"/>
    <d v="2023-01-27T00:00:00"/>
    <n v="158.98423697289701"/>
    <n v="-2"/>
    <x v="76"/>
    <s v="India"/>
    <s v="North"/>
    <x v="1"/>
    <n v="1"/>
    <s v="Yes"/>
    <n v="1"/>
    <s v="On Time"/>
    <x v="2"/>
    <x v="10"/>
  </r>
  <r>
    <s v="PO000822"/>
    <s v="SUP00051"/>
    <s v="PROD00019"/>
    <d v="2023-02-15T00:00:00"/>
    <n v="7"/>
    <n v="18.928856108000801"/>
    <d v="2023-03-11T00:00:00"/>
    <d v="2023-03-14T00:00:00"/>
    <n v="132.501992756005"/>
    <n v="3"/>
    <x v="57"/>
    <s v="UK"/>
    <s v="South"/>
    <x v="1"/>
    <n v="0"/>
    <s v="No"/>
    <n v="0"/>
    <s v="Late"/>
    <x v="2"/>
    <x v="9"/>
  </r>
  <r>
    <s v="PO000823"/>
    <s v="SUP00027"/>
    <s v="PROD00013"/>
    <d v="2022-07-30T00:00:00"/>
    <n v="10"/>
    <n v="37.823956834444999"/>
    <d v="2022-08-13T00:00:00"/>
    <d v="2022-08-17T00:00:00"/>
    <n v="378.23956834444999"/>
    <n v="4"/>
    <x v="53"/>
    <s v="Brazil"/>
    <s v="Central"/>
    <x v="0"/>
    <n v="0"/>
    <s v="No"/>
    <n v="0"/>
    <s v="Late"/>
    <x v="3"/>
    <x v="5"/>
  </r>
  <r>
    <s v="PO000824"/>
    <s v="SUP00095"/>
    <s v="PROD00145"/>
    <d v="2022-01-24T00:00:00"/>
    <n v="7"/>
    <n v="5.0641854487268896"/>
    <d v="2022-02-03T00:00:00"/>
    <d v="2022-02-07T00:00:00"/>
    <n v="35.4492981410882"/>
    <n v="4"/>
    <x v="74"/>
    <s v="China"/>
    <s v="Central"/>
    <x v="1"/>
    <n v="0"/>
    <s v="No"/>
    <n v="0"/>
    <s v="Late"/>
    <x v="3"/>
    <x v="10"/>
  </r>
  <r>
    <s v="PO000825"/>
    <s v="SUP00080"/>
    <s v="PROD00008"/>
    <d v="2021-06-24T00:00:00"/>
    <n v="5"/>
    <n v="39.2270759290355"/>
    <d v="2021-07-11T00:00:00"/>
    <d v="2021-07-11T00:00:00"/>
    <n v="196.13537964517701"/>
    <n v="0"/>
    <x v="70"/>
    <s v="USA"/>
    <s v="North"/>
    <x v="2"/>
    <n v="0"/>
    <s v="No"/>
    <n v="1"/>
    <s v="On Time"/>
    <x v="1"/>
    <x v="1"/>
  </r>
  <r>
    <s v="PO000826"/>
    <s v="SUP00077"/>
    <s v="PROD00040"/>
    <d v="2023-02-14T00:00:00"/>
    <n v="15"/>
    <n v="50.5384348480762"/>
    <d v="2023-03-07T00:00:00"/>
    <d v="2023-03-09T00:00:00"/>
    <n v="758.07652272114399"/>
    <n v="2"/>
    <x v="10"/>
    <s v="India"/>
    <s v="West"/>
    <x v="1"/>
    <n v="0"/>
    <s v="No"/>
    <n v="0"/>
    <s v="Late"/>
    <x v="2"/>
    <x v="9"/>
  </r>
  <r>
    <s v="PO000827"/>
    <s v="SUP00029"/>
    <s v="PROD00199"/>
    <d v="2021-04-19T00:00:00"/>
    <n v="9"/>
    <n v="4.8905124781593203"/>
    <d v="2021-05-08T00:00:00"/>
    <d v="2021-05-06T00:00:00"/>
    <n v="44.0146123034339"/>
    <n v="-2"/>
    <x v="47"/>
    <s v="China"/>
    <s v="West"/>
    <x v="0"/>
    <n v="1"/>
    <s v="Yes"/>
    <n v="1"/>
    <s v="On Time"/>
    <x v="1"/>
    <x v="8"/>
  </r>
  <r>
    <s v="PO000828"/>
    <s v="SUP00054"/>
    <s v="PROD00163"/>
    <d v="2023-06-14T00:00:00"/>
    <n v="11"/>
    <n v="22.2368965102192"/>
    <d v="2023-07-05T00:00:00"/>
    <d v="2023-07-10T00:00:00"/>
    <n v="244.60586161241099"/>
    <n v="5"/>
    <x v="73"/>
    <s v="Canada"/>
    <s v="South"/>
    <x v="3"/>
    <n v="1"/>
    <s v="Yes"/>
    <n v="0"/>
    <s v="Late"/>
    <x v="2"/>
    <x v="1"/>
  </r>
  <r>
    <s v="PO000829"/>
    <s v="SUP00047"/>
    <s v="PROD00152"/>
    <d v="2023-08-29T00:00:00"/>
    <n v="11"/>
    <n v="33.798925038965201"/>
    <d v="2023-09-13T00:00:00"/>
    <d v="2023-09-12T00:00:00"/>
    <n v="371.78817542861799"/>
    <n v="-1"/>
    <x v="93"/>
    <s v="UK"/>
    <s v="Central"/>
    <x v="3"/>
    <n v="0"/>
    <s v="No"/>
    <n v="1"/>
    <s v="On Time"/>
    <x v="2"/>
    <x v="2"/>
  </r>
  <r>
    <s v="PO000830"/>
    <s v="SUP00067"/>
    <s v="PROD00038"/>
    <d v="2021-10-29T00:00:00"/>
    <n v="6"/>
    <n v="42.697914314002198"/>
    <d v="2021-11-12T00:00:00"/>
    <d v="2021-11-11T00:00:00"/>
    <n v="256.18748588401297"/>
    <n v="-1"/>
    <x v="22"/>
    <s v="UK"/>
    <s v="South"/>
    <x v="3"/>
    <n v="1"/>
    <s v="Yes"/>
    <n v="1"/>
    <s v="On Time"/>
    <x v="1"/>
    <x v="4"/>
  </r>
  <r>
    <s v="PO000831"/>
    <s v="SUP00043"/>
    <s v="PROD00057"/>
    <d v="2022-06-19T00:00:00"/>
    <n v="14"/>
    <n v="10.339464407673599"/>
    <d v="2022-07-02T00:00:00"/>
    <d v="2022-07-06T00:00:00"/>
    <n v="144.75250170743101"/>
    <n v="4"/>
    <x v="23"/>
    <s v="India"/>
    <s v="Central"/>
    <x v="1"/>
    <n v="0"/>
    <s v="No"/>
    <n v="0"/>
    <s v="Late"/>
    <x v="3"/>
    <x v="1"/>
  </r>
  <r>
    <s v="PO000832"/>
    <s v="SUP00064"/>
    <s v="PROD00048"/>
    <d v="2023-02-06T00:00:00"/>
    <n v="15"/>
    <n v="26.437772677025599"/>
    <d v="2023-02-26T00:00:00"/>
    <d v="2023-02-28T00:00:00"/>
    <n v="396.56659015538401"/>
    <n v="2"/>
    <x v="28"/>
    <s v="Brazil"/>
    <s v="North"/>
    <x v="0"/>
    <n v="1"/>
    <s v="Yes"/>
    <n v="0"/>
    <s v="Late"/>
    <x v="2"/>
    <x v="9"/>
  </r>
  <r>
    <s v="PO000833"/>
    <s v="SUP00096"/>
    <s v="PROD00177"/>
    <d v="2023-06-08T00:00:00"/>
    <n v="14"/>
    <n v="71.486406292141297"/>
    <d v="2023-06-19T00:00:00"/>
    <d v="2023-06-19T00:00:00"/>
    <n v="1000.80968808997"/>
    <n v="0"/>
    <x v="26"/>
    <s v="India"/>
    <s v="South"/>
    <x v="1"/>
    <n v="0"/>
    <s v="No"/>
    <n v="1"/>
    <s v="On Time"/>
    <x v="2"/>
    <x v="1"/>
  </r>
  <r>
    <s v="PO000834"/>
    <s v="SUP00026"/>
    <s v="PROD00121"/>
    <d v="2022-02-15T00:00:00"/>
    <n v="13"/>
    <n v="3.6978616405109199"/>
    <d v="2022-02-25T00:00:00"/>
    <d v="2022-02-28T00:00:00"/>
    <n v="48.072201326642002"/>
    <n v="3"/>
    <x v="44"/>
    <s v="Denmark"/>
    <s v="East"/>
    <x v="1"/>
    <n v="1"/>
    <s v="Yes"/>
    <n v="0"/>
    <s v="Late"/>
    <x v="3"/>
    <x v="9"/>
  </r>
  <r>
    <s v="PO000835"/>
    <s v="SUP00011"/>
    <s v="PROD00169"/>
    <d v="2023-03-04T00:00:00"/>
    <n v="10"/>
    <n v="75.854513479770404"/>
    <d v="2023-03-18T00:00:00"/>
    <d v="2023-03-15T00:00:00"/>
    <n v="758.54513479770401"/>
    <n v="-3"/>
    <x v="37"/>
    <s v="UK"/>
    <s v="East"/>
    <x v="3"/>
    <n v="1"/>
    <s v="Yes"/>
    <n v="1"/>
    <s v="On Time"/>
    <x v="2"/>
    <x v="0"/>
  </r>
  <r>
    <s v="PO000836"/>
    <s v="SUP00021"/>
    <s v="PROD00100"/>
    <d v="2022-04-11T00:00:00"/>
    <n v="8"/>
    <n v="33.664447824125901"/>
    <d v="2022-04-26T00:00:00"/>
    <d v="2022-04-29T00:00:00"/>
    <n v="269.31558259300698"/>
    <n v="3"/>
    <x v="19"/>
    <s v="Germany"/>
    <s v="Central"/>
    <x v="1"/>
    <n v="1"/>
    <s v="Yes"/>
    <n v="0"/>
    <s v="Late"/>
    <x v="3"/>
    <x v="8"/>
  </r>
  <r>
    <s v="PO000837"/>
    <s v="SUP00081"/>
    <s v="PROD00113"/>
    <d v="2024-01-04T00:00:00"/>
    <n v="9"/>
    <n v="10.1871396885044"/>
    <d v="2024-01-14T00:00:00"/>
    <d v="2024-01-17T00:00:00"/>
    <n v="91.684257196539605"/>
    <n v="3"/>
    <x v="66"/>
    <s v="India"/>
    <s v="Central"/>
    <x v="0"/>
    <n v="1"/>
    <s v="Yes"/>
    <n v="0"/>
    <s v="Late"/>
    <x v="0"/>
    <x v="10"/>
  </r>
  <r>
    <s v="PO000838"/>
    <s v="SUP00015"/>
    <s v="PROD00012"/>
    <d v="2021-11-30T00:00:00"/>
    <n v="12"/>
    <n v="68.126770433720694"/>
    <d v="2021-12-14T00:00:00"/>
    <d v="2021-12-12T00:00:00"/>
    <n v="817.52124520464804"/>
    <n v="-2"/>
    <x v="51"/>
    <s v="China"/>
    <s v="South"/>
    <x v="0"/>
    <n v="1"/>
    <s v="Yes"/>
    <n v="1"/>
    <s v="On Time"/>
    <x v="1"/>
    <x v="6"/>
  </r>
  <r>
    <s v="PO000839"/>
    <s v="SUP00070"/>
    <s v="PROD00101"/>
    <d v="2023-09-20T00:00:00"/>
    <n v="11"/>
    <n v="13.967264913373199"/>
    <d v="2023-10-05T00:00:00"/>
    <d v="2023-10-05T00:00:00"/>
    <n v="153.63991404710501"/>
    <n v="0"/>
    <x v="32"/>
    <s v="USA"/>
    <s v="Central"/>
    <x v="3"/>
    <n v="0"/>
    <s v="No"/>
    <n v="1"/>
    <s v="On Time"/>
    <x v="2"/>
    <x v="11"/>
  </r>
  <r>
    <s v="PO000840"/>
    <s v="SUP00004"/>
    <s v="PROD00021"/>
    <d v="2023-02-16T00:00:00"/>
    <n v="16"/>
    <n v="6.7357202153938003"/>
    <d v="2023-03-08T00:00:00"/>
    <d v="2023-03-11T00:00:00"/>
    <n v="107.77152344629999"/>
    <n v="3"/>
    <x v="28"/>
    <s v="USA"/>
    <s v="North"/>
    <x v="1"/>
    <n v="0"/>
    <s v="No"/>
    <n v="0"/>
    <s v="Late"/>
    <x v="2"/>
    <x v="9"/>
  </r>
  <r>
    <s v="PO000841"/>
    <s v="SUP00027"/>
    <s v="PROD00135"/>
    <d v="2022-04-16T00:00:00"/>
    <n v="10"/>
    <n v="79.324355196249499"/>
    <d v="2022-05-10T00:00:00"/>
    <d v="2022-05-10T00:00:00"/>
    <n v="793.24355196249496"/>
    <n v="0"/>
    <x v="53"/>
    <s v="Brazil"/>
    <s v="Central"/>
    <x v="0"/>
    <n v="0"/>
    <s v="No"/>
    <n v="1"/>
    <s v="On Time"/>
    <x v="3"/>
    <x v="8"/>
  </r>
  <r>
    <s v="PO000842"/>
    <s v="SUP00074"/>
    <s v="PROD00031"/>
    <d v="2021-09-08T00:00:00"/>
    <n v="11"/>
    <n v="62.107765852274497"/>
    <d v="2021-09-22T00:00:00"/>
    <d v="2021-09-21T00:00:00"/>
    <n v="683.18542437501901"/>
    <n v="-1"/>
    <x v="48"/>
    <s v="Canada"/>
    <s v="South"/>
    <x v="0"/>
    <n v="1"/>
    <s v="Yes"/>
    <n v="1"/>
    <s v="On Time"/>
    <x v="1"/>
    <x v="11"/>
  </r>
  <r>
    <s v="PO000843"/>
    <s v="SUP00052"/>
    <s v="PROD00069"/>
    <d v="2021-03-10T00:00:00"/>
    <n v="14"/>
    <n v="58.624647230818397"/>
    <d v="2021-03-27T00:00:00"/>
    <d v="2021-03-28T00:00:00"/>
    <n v="820.74506123145795"/>
    <n v="1"/>
    <x v="80"/>
    <s v="Brazil"/>
    <s v="West"/>
    <x v="1"/>
    <n v="1"/>
    <s v="Yes"/>
    <n v="0"/>
    <s v="Late"/>
    <x v="1"/>
    <x v="0"/>
  </r>
  <r>
    <s v="PO000844"/>
    <s v="SUP00069"/>
    <s v="PROD00079"/>
    <d v="2021-06-11T00:00:00"/>
    <n v="11"/>
    <n v="54.206251116014499"/>
    <d v="2021-06-21T00:00:00"/>
    <d v="2021-06-21T00:00:00"/>
    <n v="596.26876227616003"/>
    <n v="0"/>
    <x v="90"/>
    <s v="China"/>
    <s v="Central"/>
    <x v="2"/>
    <n v="0"/>
    <s v="No"/>
    <n v="1"/>
    <s v="On Time"/>
    <x v="1"/>
    <x v="1"/>
  </r>
  <r>
    <s v="PO000845"/>
    <s v="SUP00095"/>
    <s v="PROD00050"/>
    <d v="2024-02-16T00:00:00"/>
    <n v="7"/>
    <n v="38.134833823214201"/>
    <d v="2024-03-09T00:00:00"/>
    <d v="2024-03-08T00:00:00"/>
    <n v="266.94383676249902"/>
    <n v="-1"/>
    <x v="74"/>
    <s v="China"/>
    <s v="Central"/>
    <x v="1"/>
    <n v="0"/>
    <s v="No"/>
    <n v="1"/>
    <s v="On Time"/>
    <x v="0"/>
    <x v="9"/>
  </r>
  <r>
    <s v="PO000846"/>
    <s v="SUP00053"/>
    <s v="PROD00016"/>
    <d v="2022-03-10T00:00:00"/>
    <n v="9"/>
    <n v="47.869586339061001"/>
    <d v="2022-03-21T00:00:00"/>
    <d v="2022-03-21T00:00:00"/>
    <n v="430.82627705154903"/>
    <n v="0"/>
    <x v="18"/>
    <s v="India"/>
    <s v="North"/>
    <x v="2"/>
    <n v="1"/>
    <s v="Yes"/>
    <n v="1"/>
    <s v="On Time"/>
    <x v="3"/>
    <x v="0"/>
  </r>
  <r>
    <s v="PO000847"/>
    <s v="SUP00035"/>
    <s v="PROD00151"/>
    <d v="2022-02-27T00:00:00"/>
    <n v="4"/>
    <n v="46.904529835071102"/>
    <d v="2022-03-16T00:00:00"/>
    <d v="2022-03-19T00:00:00"/>
    <n v="187.61811934028401"/>
    <n v="3"/>
    <x v="25"/>
    <s v="Denmark"/>
    <s v="Central"/>
    <x v="1"/>
    <n v="1"/>
    <s v="Yes"/>
    <n v="0"/>
    <s v="Late"/>
    <x v="3"/>
    <x v="9"/>
  </r>
  <r>
    <s v="PO000848"/>
    <s v="SUP00003"/>
    <s v="PROD00041"/>
    <d v="2021-07-17T00:00:00"/>
    <n v="15"/>
    <n v="5.98065397428116"/>
    <d v="2021-08-01T00:00:00"/>
    <d v="2021-08-05T00:00:00"/>
    <n v="89.709809614217406"/>
    <n v="4"/>
    <x v="91"/>
    <s v="India"/>
    <s v="Central"/>
    <x v="0"/>
    <n v="1"/>
    <s v="Yes"/>
    <n v="0"/>
    <s v="Late"/>
    <x v="1"/>
    <x v="5"/>
  </r>
  <r>
    <s v="PO000849"/>
    <s v="SUP00010"/>
    <s v="PROD00155"/>
    <d v="2023-08-25T00:00:00"/>
    <n v="14"/>
    <n v="72.204681926847499"/>
    <d v="2023-09-15T00:00:00"/>
    <d v="2023-09-12T00:00:00"/>
    <n v="1010.86554697586"/>
    <n v="-3"/>
    <x v="82"/>
    <s v="Denmark"/>
    <s v="Central"/>
    <x v="3"/>
    <n v="0"/>
    <s v="No"/>
    <n v="1"/>
    <s v="On Time"/>
    <x v="2"/>
    <x v="2"/>
  </r>
  <r>
    <s v="PO000850"/>
    <s v="SUP00063"/>
    <s v="PROD00042"/>
    <d v="2023-01-21T00:00:00"/>
    <n v="15"/>
    <n v="41.670283084050197"/>
    <d v="2023-02-08T00:00:00"/>
    <d v="2023-02-08T00:00:00"/>
    <n v="625.05424626075296"/>
    <n v="0"/>
    <x v="30"/>
    <s v="Denmark"/>
    <s v="North"/>
    <x v="1"/>
    <n v="0"/>
    <s v="No"/>
    <n v="1"/>
    <s v="On Time"/>
    <x v="2"/>
    <x v="10"/>
  </r>
  <r>
    <s v="PO000851"/>
    <s v="SUP00032"/>
    <s v="PROD00166"/>
    <d v="2021-04-19T00:00:00"/>
    <n v="11"/>
    <n v="15.1701547436881"/>
    <d v="2021-05-08T00:00:00"/>
    <d v="2021-05-10T00:00:00"/>
    <n v="166.871702180569"/>
    <n v="2"/>
    <x v="15"/>
    <s v="Germany"/>
    <s v="South"/>
    <x v="0"/>
    <n v="0"/>
    <s v="No"/>
    <n v="0"/>
    <s v="Late"/>
    <x v="1"/>
    <x v="8"/>
  </r>
  <r>
    <s v="PO000852"/>
    <s v="SUP00031"/>
    <s v="PROD00172"/>
    <d v="2021-08-24T00:00:00"/>
    <n v="7"/>
    <n v="46.3045379163893"/>
    <d v="2021-09-10T00:00:00"/>
    <d v="2021-09-08T00:00:00"/>
    <n v="324.13176541472501"/>
    <n v="-2"/>
    <x v="33"/>
    <s v="USA"/>
    <s v="West"/>
    <x v="3"/>
    <n v="0"/>
    <s v="No"/>
    <n v="1"/>
    <s v="On Time"/>
    <x v="1"/>
    <x v="2"/>
  </r>
  <r>
    <s v="PO000853"/>
    <s v="SUP00063"/>
    <s v="PROD00161"/>
    <d v="2022-06-09T00:00:00"/>
    <n v="13"/>
    <n v="68.656178309003593"/>
    <d v="2022-07-03T00:00:00"/>
    <d v="2022-07-05T00:00:00"/>
    <n v="892.53031801704697"/>
    <n v="2"/>
    <x v="30"/>
    <s v="Denmark"/>
    <s v="North"/>
    <x v="1"/>
    <n v="0"/>
    <s v="No"/>
    <n v="0"/>
    <s v="Late"/>
    <x v="3"/>
    <x v="1"/>
  </r>
  <r>
    <s v="PO000854"/>
    <s v="SUP00033"/>
    <s v="PROD00192"/>
    <d v="2024-03-27T00:00:00"/>
    <n v="14"/>
    <n v="74.418676657902395"/>
    <d v="2024-04-12T00:00:00"/>
    <d v="2024-04-18T00:00:00"/>
    <n v="1041.86147321063"/>
    <n v="6"/>
    <x v="54"/>
    <s v="USA"/>
    <s v="South"/>
    <x v="0"/>
    <n v="0"/>
    <s v="No"/>
    <n v="0"/>
    <s v="Late"/>
    <x v="0"/>
    <x v="0"/>
  </r>
  <r>
    <s v="PO000855"/>
    <s v="SUP00027"/>
    <s v="PROD00172"/>
    <d v="2021-07-17T00:00:00"/>
    <n v="7"/>
    <n v="27.886817182200499"/>
    <d v="2021-07-31T00:00:00"/>
    <d v="2021-07-28T00:00:00"/>
    <n v="195.20772027540301"/>
    <n v="-3"/>
    <x v="53"/>
    <s v="Brazil"/>
    <s v="Central"/>
    <x v="0"/>
    <n v="0"/>
    <s v="No"/>
    <n v="1"/>
    <s v="On Time"/>
    <x v="1"/>
    <x v="5"/>
  </r>
  <r>
    <s v="PO000856"/>
    <s v="SUP00095"/>
    <s v="PROD00066"/>
    <d v="2023-12-26T00:00:00"/>
    <n v="10"/>
    <n v="15.5128897402468"/>
    <d v="2024-01-10T00:00:00"/>
    <d v="2024-01-15T00:00:00"/>
    <n v="155.128897402468"/>
    <n v="5"/>
    <x v="74"/>
    <s v="China"/>
    <s v="Central"/>
    <x v="1"/>
    <n v="0"/>
    <s v="No"/>
    <n v="0"/>
    <s v="Late"/>
    <x v="2"/>
    <x v="7"/>
  </r>
  <r>
    <s v="PO000857"/>
    <s v="SUP00085"/>
    <s v="PROD00167"/>
    <d v="2023-07-04T00:00:00"/>
    <n v="10"/>
    <n v="44.566274355148103"/>
    <d v="2023-07-25T00:00:00"/>
    <d v="2023-07-29T00:00:00"/>
    <n v="445.66274355148101"/>
    <n v="4"/>
    <x v="1"/>
    <s v="Germany"/>
    <s v="Central"/>
    <x v="1"/>
    <n v="1"/>
    <s v="Yes"/>
    <n v="0"/>
    <s v="Late"/>
    <x v="2"/>
    <x v="5"/>
  </r>
  <r>
    <s v="PO000858"/>
    <s v="SUP00011"/>
    <s v="PROD00134"/>
    <d v="2022-01-31T00:00:00"/>
    <n v="13"/>
    <n v="60.1819454892617"/>
    <d v="2022-02-21T00:00:00"/>
    <d v="2022-02-20T00:00:00"/>
    <n v="782.36529136040201"/>
    <n v="-1"/>
    <x v="37"/>
    <s v="UK"/>
    <s v="East"/>
    <x v="3"/>
    <n v="1"/>
    <s v="Yes"/>
    <n v="1"/>
    <s v="On Time"/>
    <x v="3"/>
    <x v="10"/>
  </r>
  <r>
    <s v="PO000859"/>
    <s v="SUP00020"/>
    <s v="PROD00019"/>
    <d v="2024-02-20T00:00:00"/>
    <n v="12"/>
    <n v="12.617648555093901"/>
    <d v="2024-03-13T00:00:00"/>
    <d v="2024-03-16T00:00:00"/>
    <n v="151.41178266112601"/>
    <n v="3"/>
    <x v="21"/>
    <s v="Canada"/>
    <s v="Central"/>
    <x v="3"/>
    <n v="1"/>
    <s v="Yes"/>
    <n v="0"/>
    <s v="Late"/>
    <x v="0"/>
    <x v="9"/>
  </r>
  <r>
    <s v="PO000860"/>
    <s v="SUP00007"/>
    <s v="PROD00101"/>
    <d v="2021-07-16T00:00:00"/>
    <n v="12"/>
    <n v="35.749303919418502"/>
    <d v="2021-07-30T00:00:00"/>
    <d v="2021-08-01T00:00:00"/>
    <n v="428.99164703302199"/>
    <n v="2"/>
    <x v="24"/>
    <s v="China"/>
    <s v="East"/>
    <x v="1"/>
    <n v="1"/>
    <s v="Yes"/>
    <n v="0"/>
    <s v="Late"/>
    <x v="1"/>
    <x v="5"/>
  </r>
  <r>
    <s v="PO000861"/>
    <s v="SUP00039"/>
    <s v="PROD00137"/>
    <d v="2023-08-25T00:00:00"/>
    <n v="9"/>
    <n v="41.619782016016899"/>
    <d v="2023-09-15T00:00:00"/>
    <d v="2023-09-20T00:00:00"/>
    <n v="374.578038144152"/>
    <n v="5"/>
    <x v="7"/>
    <s v="Denmark"/>
    <s v="South"/>
    <x v="0"/>
    <n v="1"/>
    <s v="Yes"/>
    <n v="0"/>
    <s v="Late"/>
    <x v="2"/>
    <x v="2"/>
  </r>
  <r>
    <s v="PO000862"/>
    <s v="SUP00077"/>
    <s v="PROD00142"/>
    <d v="2023-04-01T00:00:00"/>
    <n v="9"/>
    <n v="55.633737442329497"/>
    <d v="2023-04-19T00:00:00"/>
    <d v="2023-04-24T00:00:00"/>
    <n v="500.703636980966"/>
    <n v="5"/>
    <x v="10"/>
    <s v="India"/>
    <s v="West"/>
    <x v="1"/>
    <n v="0"/>
    <s v="No"/>
    <n v="0"/>
    <s v="Late"/>
    <x v="2"/>
    <x v="8"/>
  </r>
  <r>
    <s v="PO000863"/>
    <s v="SUP00055"/>
    <s v="PROD00195"/>
    <d v="2021-11-26T00:00:00"/>
    <n v="10"/>
    <n v="27.662093615131401"/>
    <d v="2021-12-10T00:00:00"/>
    <d v="2021-12-12T00:00:00"/>
    <n v="276.62093615131403"/>
    <n v="2"/>
    <x v="49"/>
    <s v="China"/>
    <s v="East"/>
    <x v="0"/>
    <n v="1"/>
    <s v="Yes"/>
    <n v="0"/>
    <s v="Late"/>
    <x v="1"/>
    <x v="6"/>
  </r>
  <r>
    <s v="PO000864"/>
    <s v="SUP00029"/>
    <s v="PROD00028"/>
    <d v="2021-12-10T00:00:00"/>
    <n v="10"/>
    <n v="55.903188132338698"/>
    <d v="2021-12-30T00:00:00"/>
    <d v="2021-12-27T00:00:00"/>
    <n v="559.03188132338698"/>
    <n v="-3"/>
    <x v="47"/>
    <s v="China"/>
    <s v="West"/>
    <x v="0"/>
    <n v="1"/>
    <s v="Yes"/>
    <n v="1"/>
    <s v="On Time"/>
    <x v="1"/>
    <x v="7"/>
  </r>
  <r>
    <s v="PO000865"/>
    <s v="SUP00039"/>
    <s v="PROD00058"/>
    <d v="2022-07-11T00:00:00"/>
    <n v="10"/>
    <n v="35.951776809680403"/>
    <d v="2022-07-28T00:00:00"/>
    <d v="2022-07-28T00:00:00"/>
    <n v="359.51776809680399"/>
    <n v="0"/>
    <x v="7"/>
    <s v="Denmark"/>
    <s v="South"/>
    <x v="0"/>
    <n v="1"/>
    <s v="Yes"/>
    <n v="1"/>
    <s v="On Time"/>
    <x v="3"/>
    <x v="5"/>
  </r>
  <r>
    <s v="PO000866"/>
    <s v="SUP00019"/>
    <s v="PROD00194"/>
    <d v="2022-04-30T00:00:00"/>
    <n v="10"/>
    <n v="49.487760076507897"/>
    <d v="2022-05-14T00:00:00"/>
    <d v="2022-05-14T00:00:00"/>
    <n v="494.87760076507902"/>
    <n v="0"/>
    <x v="63"/>
    <s v="Denmark"/>
    <s v="West"/>
    <x v="2"/>
    <n v="0"/>
    <s v="No"/>
    <n v="1"/>
    <s v="On Time"/>
    <x v="3"/>
    <x v="8"/>
  </r>
  <r>
    <s v="PO000867"/>
    <s v="SUP00057"/>
    <s v="PROD00068"/>
    <d v="2021-10-02T00:00:00"/>
    <n v="9"/>
    <n v="65.459647971679303"/>
    <d v="2021-10-19T00:00:00"/>
    <d v="2021-10-19T00:00:00"/>
    <n v="589.13683174511402"/>
    <n v="0"/>
    <x v="68"/>
    <s v="UK"/>
    <s v="South"/>
    <x v="3"/>
    <n v="1"/>
    <s v="Yes"/>
    <n v="1"/>
    <s v="On Time"/>
    <x v="1"/>
    <x v="4"/>
  </r>
  <r>
    <s v="PO000868"/>
    <s v="SUP00033"/>
    <s v="PROD00146"/>
    <d v="2024-04-09T00:00:00"/>
    <n v="13"/>
    <n v="78.327091729182797"/>
    <d v="2024-04-24T00:00:00"/>
    <d v="2024-04-29T00:00:00"/>
    <n v="1018.25219247937"/>
    <n v="5"/>
    <x v="54"/>
    <s v="USA"/>
    <s v="South"/>
    <x v="0"/>
    <n v="0"/>
    <s v="No"/>
    <n v="0"/>
    <s v="Late"/>
    <x v="0"/>
    <x v="8"/>
  </r>
  <r>
    <s v="PO000869"/>
    <s v="SUP00067"/>
    <s v="PROD00030"/>
    <d v="2021-02-21T00:00:00"/>
    <n v="12"/>
    <n v="45.529216503474203"/>
    <d v="2021-03-09T00:00:00"/>
    <d v="2021-03-13T00:00:00"/>
    <n v="546.35059804168998"/>
    <n v="4"/>
    <x v="22"/>
    <s v="UK"/>
    <s v="South"/>
    <x v="3"/>
    <n v="1"/>
    <s v="Yes"/>
    <n v="0"/>
    <s v="Late"/>
    <x v="1"/>
    <x v="9"/>
  </r>
  <r>
    <s v="PO000870"/>
    <s v="SUP00074"/>
    <s v="PROD00149"/>
    <d v="2022-03-14T00:00:00"/>
    <n v="14"/>
    <n v="67.327530985860804"/>
    <d v="2022-03-29T00:00:00"/>
    <d v="2022-03-30T00:00:00"/>
    <n v="942.58543380205197"/>
    <n v="1"/>
    <x v="48"/>
    <s v="Canada"/>
    <s v="South"/>
    <x v="0"/>
    <n v="1"/>
    <s v="Yes"/>
    <n v="0"/>
    <s v="Late"/>
    <x v="3"/>
    <x v="0"/>
  </r>
  <r>
    <s v="PO000871"/>
    <s v="SUP00013"/>
    <s v="PROD00051"/>
    <d v="2022-12-18T00:00:00"/>
    <n v="11"/>
    <n v="9.3788031256260993"/>
    <d v="2022-12-30T00:00:00"/>
    <d v="2023-01-02T00:00:00"/>
    <n v="103.166834381887"/>
    <n v="3"/>
    <x v="31"/>
    <s v="China"/>
    <s v="North"/>
    <x v="2"/>
    <n v="1"/>
    <s v="Yes"/>
    <n v="0"/>
    <s v="Late"/>
    <x v="3"/>
    <x v="7"/>
  </r>
  <r>
    <s v="PO000872"/>
    <s v="SUP00007"/>
    <s v="PROD00131"/>
    <d v="2023-11-10T00:00:00"/>
    <n v="9"/>
    <n v="73.763067633153497"/>
    <d v="2023-11-26T00:00:00"/>
    <d v="2023-11-27T00:00:00"/>
    <n v="663.86760869838099"/>
    <n v="1"/>
    <x v="24"/>
    <s v="China"/>
    <s v="East"/>
    <x v="1"/>
    <n v="1"/>
    <s v="Yes"/>
    <n v="0"/>
    <s v="Late"/>
    <x v="2"/>
    <x v="6"/>
  </r>
  <r>
    <s v="PO000873"/>
    <s v="SUP00097"/>
    <s v="PROD00063"/>
    <d v="2022-10-01T00:00:00"/>
    <n v="11"/>
    <n v="13.750742578381001"/>
    <d v="2022-10-24T00:00:00"/>
    <d v="2022-10-29T00:00:00"/>
    <n v="151.25816836219201"/>
    <n v="5"/>
    <x v="2"/>
    <s v="USA"/>
    <s v="Central"/>
    <x v="2"/>
    <n v="1"/>
    <s v="Yes"/>
    <n v="0"/>
    <s v="Late"/>
    <x v="3"/>
    <x v="4"/>
  </r>
  <r>
    <s v="PO000874"/>
    <s v="SUP00028"/>
    <s v="PROD00147"/>
    <d v="2023-10-10T00:00:00"/>
    <n v="10"/>
    <n v="5.75985235244341"/>
    <d v="2023-10-27T00:00:00"/>
    <d v="2023-10-25T00:00:00"/>
    <n v="57.5985235244341"/>
    <n v="-2"/>
    <x v="92"/>
    <s v="Canada"/>
    <s v="East"/>
    <x v="3"/>
    <n v="0"/>
    <s v="No"/>
    <n v="1"/>
    <s v="On Time"/>
    <x v="2"/>
    <x v="4"/>
  </r>
  <r>
    <s v="PO000875"/>
    <s v="SUP00071"/>
    <s v="PROD00161"/>
    <d v="2023-08-22T00:00:00"/>
    <n v="17"/>
    <n v="58.9766026043376"/>
    <d v="2023-09-10T00:00:00"/>
    <d v="2023-09-15T00:00:00"/>
    <n v="1002.60224427374"/>
    <n v="5"/>
    <x v="50"/>
    <s v="Denmark"/>
    <s v="South"/>
    <x v="3"/>
    <n v="1"/>
    <s v="Yes"/>
    <n v="0"/>
    <s v="Late"/>
    <x v="2"/>
    <x v="2"/>
  </r>
  <r>
    <s v="PO000876"/>
    <s v="SUP00060"/>
    <s v="PROD00128"/>
    <d v="2023-11-03T00:00:00"/>
    <n v="12"/>
    <n v="5.4365026078019802"/>
    <d v="2023-11-23T00:00:00"/>
    <d v="2023-11-22T00:00:00"/>
    <n v="65.238031293623806"/>
    <n v="-1"/>
    <x v="85"/>
    <s v="UK"/>
    <s v="North"/>
    <x v="3"/>
    <n v="1"/>
    <s v="Yes"/>
    <n v="1"/>
    <s v="On Time"/>
    <x v="2"/>
    <x v="6"/>
  </r>
  <r>
    <s v="PO000877"/>
    <s v="SUP00091"/>
    <s v="PROD00080"/>
    <d v="2023-06-28T00:00:00"/>
    <n v="7"/>
    <n v="67.533400770013401"/>
    <d v="2023-07-16T00:00:00"/>
    <d v="2023-07-20T00:00:00"/>
    <n v="472.73380539009401"/>
    <n v="4"/>
    <x v="77"/>
    <s v="China"/>
    <s v="South"/>
    <x v="1"/>
    <n v="0"/>
    <s v="No"/>
    <n v="0"/>
    <s v="Late"/>
    <x v="2"/>
    <x v="1"/>
  </r>
  <r>
    <s v="PO000878"/>
    <s v="SUP00046"/>
    <s v="PROD00174"/>
    <d v="2021-03-06T00:00:00"/>
    <n v="9"/>
    <n v="67.912938778517898"/>
    <d v="2021-03-28T00:00:00"/>
    <d v="2021-03-25T00:00:00"/>
    <n v="611.21644900666104"/>
    <n v="-3"/>
    <x v="61"/>
    <s v="Brazil"/>
    <s v="South"/>
    <x v="3"/>
    <n v="1"/>
    <s v="Yes"/>
    <n v="1"/>
    <s v="On Time"/>
    <x v="1"/>
    <x v="0"/>
  </r>
  <r>
    <s v="PO000879"/>
    <s v="SUP00017"/>
    <s v="PROD00090"/>
    <d v="2023-06-11T00:00:00"/>
    <n v="13"/>
    <n v="3.6777124452685701"/>
    <d v="2023-06-28T00:00:00"/>
    <d v="2023-07-02T00:00:00"/>
    <n v="47.810261788491403"/>
    <n v="4"/>
    <x v="52"/>
    <s v="India"/>
    <s v="East"/>
    <x v="1"/>
    <n v="0"/>
    <s v="No"/>
    <n v="0"/>
    <s v="Late"/>
    <x v="2"/>
    <x v="1"/>
  </r>
  <r>
    <s v="PO000880"/>
    <s v="SUP00026"/>
    <s v="PROD00076"/>
    <d v="2023-10-17T00:00:00"/>
    <n v="11"/>
    <n v="30.891335145756901"/>
    <d v="2023-10-29T00:00:00"/>
    <d v="2023-11-03T00:00:00"/>
    <n v="339.80468660332599"/>
    <n v="5"/>
    <x v="44"/>
    <s v="Denmark"/>
    <s v="East"/>
    <x v="1"/>
    <n v="1"/>
    <s v="Yes"/>
    <n v="0"/>
    <s v="Late"/>
    <x v="2"/>
    <x v="4"/>
  </r>
  <r>
    <s v="PO000881"/>
    <s v="SUP00073"/>
    <s v="PROD00007"/>
    <d v="2023-03-11T00:00:00"/>
    <n v="10"/>
    <n v="47.459969079836199"/>
    <d v="2023-03-22T00:00:00"/>
    <d v="2023-03-24T00:00:00"/>
    <n v="474.59969079836202"/>
    <n v="2"/>
    <x v="42"/>
    <s v="China"/>
    <s v="East"/>
    <x v="2"/>
    <n v="1"/>
    <s v="Yes"/>
    <n v="0"/>
    <s v="Late"/>
    <x v="2"/>
    <x v="0"/>
  </r>
  <r>
    <s v="PO000882"/>
    <s v="SUP00052"/>
    <s v="PROD00165"/>
    <d v="2021-05-30T00:00:00"/>
    <n v="19"/>
    <n v="56.810195083492601"/>
    <d v="2021-06-23T00:00:00"/>
    <d v="2021-06-24T00:00:00"/>
    <n v="1079.3937065863499"/>
    <n v="1"/>
    <x v="80"/>
    <s v="Brazil"/>
    <s v="West"/>
    <x v="1"/>
    <n v="1"/>
    <s v="Yes"/>
    <n v="0"/>
    <s v="Late"/>
    <x v="1"/>
    <x v="3"/>
  </r>
  <r>
    <s v="PO000883"/>
    <s v="SUP00023"/>
    <s v="PROD00174"/>
    <d v="2023-02-26T00:00:00"/>
    <n v="15"/>
    <n v="24.990370123793301"/>
    <d v="2023-03-13T00:00:00"/>
    <d v="2023-03-12T00:00:00"/>
    <n v="374.85555185689998"/>
    <n v="-1"/>
    <x v="3"/>
    <s v="Brazil"/>
    <s v="South"/>
    <x v="0"/>
    <n v="1"/>
    <s v="Yes"/>
    <n v="1"/>
    <s v="On Time"/>
    <x v="2"/>
    <x v="9"/>
  </r>
  <r>
    <s v="PO000884"/>
    <s v="SUP00022"/>
    <s v="PROD00025"/>
    <d v="2022-03-03T00:00:00"/>
    <n v="13"/>
    <n v="25.340063070892"/>
    <d v="2022-03-27T00:00:00"/>
    <d v="2022-03-28T00:00:00"/>
    <n v="329.420819921597"/>
    <n v="1"/>
    <x v="60"/>
    <s v="India"/>
    <s v="South"/>
    <x v="1"/>
    <n v="0"/>
    <s v="No"/>
    <n v="0"/>
    <s v="Late"/>
    <x v="3"/>
    <x v="0"/>
  </r>
  <r>
    <s v="PO000885"/>
    <s v="SUP00089"/>
    <s v="PROD00054"/>
    <d v="2023-02-23T00:00:00"/>
    <n v="10"/>
    <n v="79.338453578143501"/>
    <d v="2023-03-16T00:00:00"/>
    <d v="2023-03-14T00:00:00"/>
    <n v="793.38453578143503"/>
    <n v="-2"/>
    <x v="87"/>
    <s v="Canada"/>
    <s v="North"/>
    <x v="0"/>
    <n v="0"/>
    <s v="No"/>
    <n v="1"/>
    <s v="On Time"/>
    <x v="2"/>
    <x v="9"/>
  </r>
  <r>
    <s v="PO000886"/>
    <s v="SUP00082"/>
    <s v="PROD00178"/>
    <d v="2023-07-12T00:00:00"/>
    <n v="8"/>
    <n v="67.910389886567003"/>
    <d v="2023-07-28T00:00:00"/>
    <d v="2023-07-26T00:00:00"/>
    <n v="543.28311909253603"/>
    <n v="-2"/>
    <x v="76"/>
    <s v="India"/>
    <s v="North"/>
    <x v="1"/>
    <n v="1"/>
    <s v="Yes"/>
    <n v="1"/>
    <s v="On Time"/>
    <x v="2"/>
    <x v="5"/>
  </r>
  <r>
    <s v="PO000887"/>
    <s v="SUP00061"/>
    <s v="PROD00100"/>
    <d v="2021-01-09T00:00:00"/>
    <n v="11"/>
    <n v="21.7014191476033"/>
    <d v="2021-01-28T00:00:00"/>
    <d v="2021-01-29T00:00:00"/>
    <n v="238.715610623636"/>
    <n v="1"/>
    <x v="71"/>
    <s v="India"/>
    <s v="South"/>
    <x v="2"/>
    <n v="0"/>
    <s v="No"/>
    <n v="0"/>
    <s v="Late"/>
    <x v="1"/>
    <x v="10"/>
  </r>
  <r>
    <s v="PO000888"/>
    <s v="SUP00089"/>
    <s v="PROD00060"/>
    <d v="2022-11-12T00:00:00"/>
    <n v="9"/>
    <n v="19.869519511125699"/>
    <d v="2022-11-24T00:00:00"/>
    <d v="2022-11-21T00:00:00"/>
    <n v="178.82567560013101"/>
    <n v="-3"/>
    <x v="87"/>
    <s v="Canada"/>
    <s v="North"/>
    <x v="0"/>
    <n v="0"/>
    <s v="No"/>
    <n v="1"/>
    <s v="On Time"/>
    <x v="3"/>
    <x v="6"/>
  </r>
  <r>
    <s v="PO000889"/>
    <s v="SUP00100"/>
    <s v="PROD00178"/>
    <d v="2022-03-27T00:00:00"/>
    <n v="7"/>
    <n v="44.848824491202102"/>
    <d v="2022-04-12T00:00:00"/>
    <d v="2022-04-18T00:00:00"/>
    <n v="313.941771438415"/>
    <n v="6"/>
    <x v="45"/>
    <s v="Canada"/>
    <s v="Central"/>
    <x v="1"/>
    <n v="0"/>
    <s v="No"/>
    <n v="0"/>
    <s v="Late"/>
    <x v="3"/>
    <x v="0"/>
  </r>
  <r>
    <s v="PO000890"/>
    <s v="SUP00048"/>
    <s v="PROD00163"/>
    <d v="2022-04-29T00:00:00"/>
    <n v="17"/>
    <n v="57.591243254031298"/>
    <d v="2022-05-11T00:00:00"/>
    <d v="2022-05-14T00:00:00"/>
    <n v="979.05113531853306"/>
    <n v="3"/>
    <x v="4"/>
    <s v="Denmark"/>
    <s v="West"/>
    <x v="2"/>
    <n v="1"/>
    <s v="Yes"/>
    <n v="0"/>
    <s v="Late"/>
    <x v="3"/>
    <x v="8"/>
  </r>
  <r>
    <s v="PO000891"/>
    <s v="SUP00039"/>
    <s v="PROD00055"/>
    <d v="2024-03-09T00:00:00"/>
    <n v="5"/>
    <n v="4.5814341147057203"/>
    <d v="2024-03-27T00:00:00"/>
    <d v="2024-03-24T00:00:00"/>
    <n v="22.9071705735286"/>
    <n v="-3"/>
    <x v="7"/>
    <s v="Denmark"/>
    <s v="South"/>
    <x v="0"/>
    <n v="1"/>
    <s v="Yes"/>
    <n v="1"/>
    <s v="On Time"/>
    <x v="0"/>
    <x v="0"/>
  </r>
  <r>
    <s v="PO000892"/>
    <s v="SUP00064"/>
    <s v="PROD00085"/>
    <d v="2023-07-08T00:00:00"/>
    <n v="10"/>
    <n v="19.0232272007832"/>
    <d v="2023-07-21T00:00:00"/>
    <d v="2023-07-26T00:00:00"/>
    <n v="190.23227200783199"/>
    <n v="5"/>
    <x v="28"/>
    <s v="Brazil"/>
    <s v="North"/>
    <x v="0"/>
    <n v="1"/>
    <s v="Yes"/>
    <n v="0"/>
    <s v="Late"/>
    <x v="2"/>
    <x v="5"/>
  </r>
  <r>
    <s v="PO000893"/>
    <s v="SUP00029"/>
    <s v="PROD00180"/>
    <d v="2023-10-06T00:00:00"/>
    <n v="9"/>
    <n v="78.452495742924498"/>
    <d v="2023-10-23T00:00:00"/>
    <d v="2023-10-22T00:00:00"/>
    <n v="706.07246168632003"/>
    <n v="-1"/>
    <x v="47"/>
    <s v="China"/>
    <s v="West"/>
    <x v="0"/>
    <n v="1"/>
    <s v="Yes"/>
    <n v="1"/>
    <s v="On Time"/>
    <x v="2"/>
    <x v="4"/>
  </r>
  <r>
    <s v="PO000894"/>
    <s v="SUP00092"/>
    <s v="PROD00115"/>
    <d v="2021-02-27T00:00:00"/>
    <n v="8"/>
    <n v="43.282614196858702"/>
    <d v="2021-03-13T00:00:00"/>
    <d v="2021-03-17T00:00:00"/>
    <n v="346.26091357486899"/>
    <n v="4"/>
    <x v="27"/>
    <s v="UK"/>
    <s v="West"/>
    <x v="0"/>
    <n v="0"/>
    <s v="No"/>
    <n v="0"/>
    <s v="Late"/>
    <x v="1"/>
    <x v="9"/>
  </r>
  <r>
    <s v="PO000895"/>
    <s v="SUP00066"/>
    <s v="PROD00111"/>
    <d v="2022-08-02T00:00:00"/>
    <n v="12"/>
    <n v="74.742064379823304"/>
    <d v="2022-08-12T00:00:00"/>
    <d v="2022-08-17T00:00:00"/>
    <n v="896.90477255788005"/>
    <n v="5"/>
    <x v="65"/>
    <s v="India"/>
    <s v="West"/>
    <x v="2"/>
    <n v="0"/>
    <s v="No"/>
    <n v="0"/>
    <s v="Late"/>
    <x v="3"/>
    <x v="2"/>
  </r>
  <r>
    <s v="PO000896"/>
    <s v="SUP00027"/>
    <s v="PROD00011"/>
    <d v="2022-03-04T00:00:00"/>
    <n v="10"/>
    <n v="4.90750873619172"/>
    <d v="2022-03-20T00:00:00"/>
    <d v="2022-03-20T00:00:00"/>
    <n v="49.075087361917198"/>
    <n v="0"/>
    <x v="53"/>
    <s v="Brazil"/>
    <s v="Central"/>
    <x v="0"/>
    <n v="0"/>
    <s v="No"/>
    <n v="1"/>
    <s v="On Time"/>
    <x v="3"/>
    <x v="0"/>
  </r>
  <r>
    <s v="PO000897"/>
    <s v="SUP00084"/>
    <s v="PROD00160"/>
    <d v="2021-06-15T00:00:00"/>
    <n v="18"/>
    <n v="60.956675026785"/>
    <d v="2021-07-03T00:00:00"/>
    <d v="2021-07-02T00:00:00"/>
    <n v="1097.2201504821301"/>
    <n v="-1"/>
    <x v="35"/>
    <s v="Canada"/>
    <s v="West"/>
    <x v="1"/>
    <n v="1"/>
    <s v="Yes"/>
    <n v="1"/>
    <s v="On Time"/>
    <x v="1"/>
    <x v="1"/>
  </r>
  <r>
    <s v="PO000898"/>
    <s v="SUP00046"/>
    <s v="PROD00139"/>
    <d v="2021-01-24T00:00:00"/>
    <n v="8"/>
    <n v="53.073517869815099"/>
    <d v="2021-02-06T00:00:00"/>
    <d v="2021-02-06T00:00:00"/>
    <n v="424.58814295852102"/>
    <n v="0"/>
    <x v="61"/>
    <s v="Brazil"/>
    <s v="South"/>
    <x v="3"/>
    <n v="1"/>
    <s v="Yes"/>
    <n v="1"/>
    <s v="On Time"/>
    <x v="1"/>
    <x v="10"/>
  </r>
  <r>
    <s v="PO000899"/>
    <s v="SUP00014"/>
    <s v="PROD00032"/>
    <d v="2021-07-09T00:00:00"/>
    <n v="8"/>
    <n v="33.421999266936197"/>
    <d v="2021-08-01T00:00:00"/>
    <d v="2021-08-02T00:00:00"/>
    <n v="267.37599413548901"/>
    <n v="1"/>
    <x v="59"/>
    <s v="Germany"/>
    <s v="West"/>
    <x v="1"/>
    <n v="0"/>
    <s v="No"/>
    <n v="0"/>
    <s v="Late"/>
    <x v="1"/>
    <x v="5"/>
  </r>
  <r>
    <s v="PO000900"/>
    <s v="SUP00082"/>
    <s v="PROD00072"/>
    <d v="2021-01-20T00:00:00"/>
    <n v="10"/>
    <n v="57.811066267816102"/>
    <d v="2021-02-05T00:00:00"/>
    <d v="2021-02-06T00:00:00"/>
    <n v="578.11066267816102"/>
    <n v="1"/>
    <x v="76"/>
    <s v="India"/>
    <s v="North"/>
    <x v="1"/>
    <n v="1"/>
    <s v="Yes"/>
    <n v="0"/>
    <s v="Late"/>
    <x v="1"/>
    <x v="10"/>
  </r>
  <r>
    <s v="PO000901"/>
    <s v="SUP00063"/>
    <s v="PROD00125"/>
    <d v="2021-04-11T00:00:00"/>
    <n v="12"/>
    <n v="45.860726533960801"/>
    <d v="2021-04-28T00:00:00"/>
    <d v="2021-04-29T00:00:00"/>
    <n v="550.32871840753"/>
    <n v="1"/>
    <x v="30"/>
    <s v="Denmark"/>
    <s v="North"/>
    <x v="1"/>
    <n v="0"/>
    <s v="No"/>
    <n v="0"/>
    <s v="Late"/>
    <x v="1"/>
    <x v="8"/>
  </r>
  <r>
    <s v="PO000902"/>
    <s v="SUP00038"/>
    <s v="PROD00022"/>
    <d v="2023-01-06T00:00:00"/>
    <n v="10"/>
    <n v="52.166773463381901"/>
    <d v="2023-01-24T00:00:00"/>
    <d v="2023-01-30T00:00:00"/>
    <n v="521.66773463381901"/>
    <n v="6"/>
    <x v="34"/>
    <s v="Germany"/>
    <s v="South"/>
    <x v="1"/>
    <n v="0"/>
    <s v="No"/>
    <n v="0"/>
    <s v="Late"/>
    <x v="2"/>
    <x v="10"/>
  </r>
  <r>
    <s v="PO000903"/>
    <s v="SUP00080"/>
    <s v="PROD00195"/>
    <d v="2023-05-20T00:00:00"/>
    <n v="9"/>
    <n v="18.425363171794501"/>
    <d v="2023-06-01T00:00:00"/>
    <d v="2023-06-04T00:00:00"/>
    <n v="165.82826854615001"/>
    <n v="3"/>
    <x v="70"/>
    <s v="USA"/>
    <s v="North"/>
    <x v="2"/>
    <n v="0"/>
    <s v="No"/>
    <n v="0"/>
    <s v="Late"/>
    <x v="2"/>
    <x v="3"/>
  </r>
  <r>
    <s v="PO000904"/>
    <s v="SUP00043"/>
    <s v="PROD00107"/>
    <d v="2023-05-11T00:00:00"/>
    <n v="9"/>
    <n v="39.940471266420502"/>
    <d v="2023-06-03T00:00:00"/>
    <d v="2023-06-02T00:00:00"/>
    <n v="359.46424139778401"/>
    <n v="-1"/>
    <x v="23"/>
    <s v="India"/>
    <s v="Central"/>
    <x v="1"/>
    <n v="0"/>
    <s v="No"/>
    <n v="1"/>
    <s v="On Time"/>
    <x v="2"/>
    <x v="3"/>
  </r>
  <r>
    <s v="PO000905"/>
    <s v="SUP00056"/>
    <s v="PROD00200"/>
    <d v="2022-10-25T00:00:00"/>
    <n v="11"/>
    <n v="29.045332266459301"/>
    <d v="2022-11-18T00:00:00"/>
    <d v="2022-11-17T00:00:00"/>
    <n v="319.49865493105301"/>
    <n v="-1"/>
    <x v="13"/>
    <s v="China"/>
    <s v="North"/>
    <x v="2"/>
    <n v="0"/>
    <s v="No"/>
    <n v="1"/>
    <s v="On Time"/>
    <x v="3"/>
    <x v="4"/>
  </r>
  <r>
    <s v="PO000906"/>
    <s v="SUP00097"/>
    <s v="PROD00084"/>
    <d v="2024-01-15T00:00:00"/>
    <n v="10"/>
    <n v="73.510166880985807"/>
    <d v="2024-02-03T00:00:00"/>
    <d v="2024-01-31T00:00:00"/>
    <n v="735.10166880985798"/>
    <n v="-3"/>
    <x v="2"/>
    <s v="USA"/>
    <s v="Central"/>
    <x v="2"/>
    <n v="1"/>
    <s v="Yes"/>
    <n v="1"/>
    <s v="On Time"/>
    <x v="0"/>
    <x v="10"/>
  </r>
  <r>
    <s v="PO000907"/>
    <s v="SUP00070"/>
    <s v="PROD00070"/>
    <d v="2023-08-17T00:00:00"/>
    <n v="13"/>
    <n v="18.231391366233701"/>
    <d v="2023-09-01T00:00:00"/>
    <d v="2023-08-30T00:00:00"/>
    <n v="237.00808776103801"/>
    <n v="-2"/>
    <x v="32"/>
    <s v="USA"/>
    <s v="Central"/>
    <x v="3"/>
    <n v="0"/>
    <s v="No"/>
    <n v="1"/>
    <s v="On Time"/>
    <x v="2"/>
    <x v="2"/>
  </r>
  <r>
    <s v="PO000908"/>
    <s v="SUP00044"/>
    <s v="PROD00014"/>
    <d v="2021-04-03T00:00:00"/>
    <n v="5"/>
    <n v="47.469545249727403"/>
    <d v="2021-04-20T00:00:00"/>
    <d v="2021-04-25T00:00:00"/>
    <n v="237.347726248637"/>
    <n v="5"/>
    <x v="21"/>
    <s v="Germany"/>
    <s v="Central"/>
    <x v="1"/>
    <n v="1"/>
    <s v="Yes"/>
    <n v="0"/>
    <s v="Late"/>
    <x v="1"/>
    <x v="8"/>
  </r>
  <r>
    <s v="PO000909"/>
    <s v="SUP00024"/>
    <s v="PROD00175"/>
    <d v="2021-02-14T00:00:00"/>
    <n v="5"/>
    <n v="68.411464422038605"/>
    <d v="2021-02-27T00:00:00"/>
    <d v="2021-02-26T00:00:00"/>
    <n v="342.05732211019301"/>
    <n v="-1"/>
    <x v="5"/>
    <s v="UK"/>
    <s v="North"/>
    <x v="1"/>
    <n v="0"/>
    <s v="No"/>
    <n v="1"/>
    <s v="On Time"/>
    <x v="1"/>
    <x v="9"/>
  </r>
  <r>
    <s v="PO000910"/>
    <s v="SUP00075"/>
    <s v="PROD00179"/>
    <d v="2023-09-16T00:00:00"/>
    <n v="12"/>
    <n v="28.2024929497865"/>
    <d v="2023-10-07T00:00:00"/>
    <d v="2023-10-07T00:00:00"/>
    <n v="338.42991539743798"/>
    <n v="0"/>
    <x v="11"/>
    <s v="USA"/>
    <s v="Central"/>
    <x v="1"/>
    <n v="1"/>
    <s v="Yes"/>
    <n v="1"/>
    <s v="On Time"/>
    <x v="2"/>
    <x v="11"/>
  </r>
  <r>
    <s v="PO000911"/>
    <s v="SUP00019"/>
    <s v="PROD00089"/>
    <d v="2021-06-03T00:00:00"/>
    <n v="8"/>
    <n v="36.120880494628402"/>
    <d v="2021-06-17T00:00:00"/>
    <d v="2021-06-14T00:00:00"/>
    <n v="288.96704395702699"/>
    <n v="-3"/>
    <x v="63"/>
    <s v="Denmark"/>
    <s v="West"/>
    <x v="2"/>
    <n v="0"/>
    <s v="No"/>
    <n v="1"/>
    <s v="On Time"/>
    <x v="1"/>
    <x v="1"/>
  </r>
  <r>
    <s v="PO000912"/>
    <s v="SUP00086"/>
    <s v="PROD00131"/>
    <d v="2021-01-14T00:00:00"/>
    <n v="11"/>
    <n v="31.617657795588201"/>
    <d v="2021-02-03T00:00:00"/>
    <d v="2021-01-31T00:00:00"/>
    <n v="347.79423575147098"/>
    <n v="-3"/>
    <x v="69"/>
    <s v="Denmark"/>
    <s v="South"/>
    <x v="0"/>
    <n v="1"/>
    <s v="Yes"/>
    <n v="1"/>
    <s v="On Time"/>
    <x v="1"/>
    <x v="10"/>
  </r>
  <r>
    <s v="PO000913"/>
    <s v="SUP00088"/>
    <s v="PROD00001"/>
    <d v="2023-10-28T00:00:00"/>
    <n v="12"/>
    <n v="68.200069190302898"/>
    <d v="2023-11-20T00:00:00"/>
    <d v="2023-11-25T00:00:00"/>
    <n v="818.40083028363495"/>
    <n v="5"/>
    <x v="41"/>
    <s v="Brazil"/>
    <s v="East"/>
    <x v="3"/>
    <n v="0"/>
    <s v="No"/>
    <n v="0"/>
    <s v="Late"/>
    <x v="2"/>
    <x v="4"/>
  </r>
  <r>
    <s v="PO000914"/>
    <s v="SUP00014"/>
    <s v="PROD00113"/>
    <d v="2023-05-15T00:00:00"/>
    <n v="10"/>
    <n v="74.463981611330894"/>
    <d v="2023-06-08T00:00:00"/>
    <d v="2023-06-09T00:00:00"/>
    <n v="744.63981611330905"/>
    <n v="1"/>
    <x v="59"/>
    <s v="Germany"/>
    <s v="West"/>
    <x v="1"/>
    <n v="0"/>
    <s v="No"/>
    <n v="0"/>
    <s v="Late"/>
    <x v="2"/>
    <x v="3"/>
  </r>
  <r>
    <s v="PO000915"/>
    <s v="SUP00055"/>
    <s v="PROD00128"/>
    <d v="2021-05-13T00:00:00"/>
    <n v="7"/>
    <n v="75.612338569126806"/>
    <d v="2021-05-28T00:00:00"/>
    <d v="2021-05-25T00:00:00"/>
    <n v="529.28636998388697"/>
    <n v="-3"/>
    <x v="49"/>
    <s v="China"/>
    <s v="East"/>
    <x v="0"/>
    <n v="1"/>
    <s v="Yes"/>
    <n v="1"/>
    <s v="On Time"/>
    <x v="1"/>
    <x v="3"/>
  </r>
  <r>
    <s v="PO000916"/>
    <s v="SUP00028"/>
    <s v="PROD00044"/>
    <d v="2021-12-24T00:00:00"/>
    <n v="10"/>
    <n v="17.0263436638425"/>
    <d v="2022-01-04T00:00:00"/>
    <d v="2022-01-08T00:00:00"/>
    <n v="170.26343663842499"/>
    <n v="4"/>
    <x v="92"/>
    <s v="Canada"/>
    <s v="East"/>
    <x v="3"/>
    <n v="0"/>
    <s v="No"/>
    <n v="0"/>
    <s v="Late"/>
    <x v="1"/>
    <x v="7"/>
  </r>
  <r>
    <s v="PO000917"/>
    <s v="SUP00054"/>
    <s v="PROD00083"/>
    <d v="2022-12-27T00:00:00"/>
    <n v="12"/>
    <n v="3.5016892831603199"/>
    <d v="2023-01-07T00:00:00"/>
    <d v="2023-01-12T00:00:00"/>
    <n v="42.0202713979238"/>
    <n v="5"/>
    <x v="73"/>
    <s v="Canada"/>
    <s v="South"/>
    <x v="3"/>
    <n v="1"/>
    <s v="Yes"/>
    <n v="0"/>
    <s v="Late"/>
    <x v="3"/>
    <x v="7"/>
  </r>
  <r>
    <s v="PO000918"/>
    <s v="SUP00049"/>
    <s v="PROD00170"/>
    <d v="2023-07-19T00:00:00"/>
    <n v="9"/>
    <n v="21.251206661736202"/>
    <d v="2023-08-11T00:00:00"/>
    <d v="2023-08-09T00:00:00"/>
    <n v="191.26085995562599"/>
    <n v="-2"/>
    <x v="71"/>
    <s v="Canada"/>
    <s v="East"/>
    <x v="0"/>
    <n v="1"/>
    <s v="Yes"/>
    <n v="1"/>
    <s v="On Time"/>
    <x v="2"/>
    <x v="5"/>
  </r>
  <r>
    <s v="PO000919"/>
    <s v="SUP00027"/>
    <s v="PROD00057"/>
    <d v="2022-04-04T00:00:00"/>
    <n v="15"/>
    <n v="44.935074273495601"/>
    <d v="2022-04-25T00:00:00"/>
    <d v="2022-04-28T00:00:00"/>
    <n v="674.02611410243503"/>
    <n v="3"/>
    <x v="53"/>
    <s v="Brazil"/>
    <s v="Central"/>
    <x v="0"/>
    <n v="0"/>
    <s v="No"/>
    <n v="0"/>
    <s v="Late"/>
    <x v="3"/>
    <x v="8"/>
  </r>
  <r>
    <s v="PO000920"/>
    <s v="SUP00005"/>
    <s v="PROD00004"/>
    <d v="2021-11-23T00:00:00"/>
    <n v="18"/>
    <n v="21.582095299403601"/>
    <d v="2021-12-11T00:00:00"/>
    <d v="2021-12-16T00:00:00"/>
    <n v="388.47771538926497"/>
    <n v="5"/>
    <x v="17"/>
    <s v="Canada"/>
    <s v="North"/>
    <x v="1"/>
    <n v="1"/>
    <s v="Yes"/>
    <n v="0"/>
    <s v="Late"/>
    <x v="1"/>
    <x v="6"/>
  </r>
  <r>
    <s v="PO000921"/>
    <s v="SUP00051"/>
    <s v="PROD00071"/>
    <d v="2023-09-18T00:00:00"/>
    <n v="12"/>
    <n v="72.964698597219794"/>
    <d v="2023-10-03T00:00:00"/>
    <d v="2023-10-05T00:00:00"/>
    <n v="875.57638316663702"/>
    <n v="2"/>
    <x v="57"/>
    <s v="UK"/>
    <s v="South"/>
    <x v="1"/>
    <n v="0"/>
    <s v="No"/>
    <n v="0"/>
    <s v="Late"/>
    <x v="2"/>
    <x v="11"/>
  </r>
  <r>
    <s v="PO000922"/>
    <s v="SUP00080"/>
    <s v="PROD00196"/>
    <d v="2023-04-03T00:00:00"/>
    <n v="13"/>
    <n v="13.994869634427699"/>
    <d v="2023-04-20T00:00:00"/>
    <d v="2023-04-26T00:00:00"/>
    <n v="181.93330524756001"/>
    <n v="6"/>
    <x v="70"/>
    <s v="USA"/>
    <s v="North"/>
    <x v="2"/>
    <n v="0"/>
    <s v="No"/>
    <n v="0"/>
    <s v="Late"/>
    <x v="2"/>
    <x v="8"/>
  </r>
  <r>
    <s v="PO000923"/>
    <s v="SUP00085"/>
    <s v="PROD00034"/>
    <d v="2023-05-10T00:00:00"/>
    <n v="12"/>
    <n v="26.1267603526932"/>
    <d v="2023-05-29T00:00:00"/>
    <d v="2023-05-28T00:00:00"/>
    <n v="313.52112423231802"/>
    <n v="-1"/>
    <x v="1"/>
    <s v="Germany"/>
    <s v="Central"/>
    <x v="1"/>
    <n v="1"/>
    <s v="Yes"/>
    <n v="1"/>
    <s v="On Time"/>
    <x v="2"/>
    <x v="3"/>
  </r>
  <r>
    <s v="PO000924"/>
    <s v="SUP00092"/>
    <s v="PROD00183"/>
    <d v="2021-08-27T00:00:00"/>
    <n v="12"/>
    <n v="66.139927810257106"/>
    <d v="2021-09-19T00:00:00"/>
    <d v="2021-09-20T00:00:00"/>
    <n v="793.67913372308499"/>
    <n v="1"/>
    <x v="27"/>
    <s v="UK"/>
    <s v="West"/>
    <x v="0"/>
    <n v="0"/>
    <s v="No"/>
    <n v="0"/>
    <s v="Late"/>
    <x v="1"/>
    <x v="2"/>
  </r>
  <r>
    <s v="PO000925"/>
    <s v="SUP00086"/>
    <s v="PROD00016"/>
    <d v="2021-12-11T00:00:00"/>
    <n v="12"/>
    <n v="54.3969375542029"/>
    <d v="2022-01-01T00:00:00"/>
    <d v="2022-01-06T00:00:00"/>
    <n v="652.763250650435"/>
    <n v="5"/>
    <x v="69"/>
    <s v="Denmark"/>
    <s v="South"/>
    <x v="0"/>
    <n v="1"/>
    <s v="Yes"/>
    <n v="0"/>
    <s v="Late"/>
    <x v="1"/>
    <x v="7"/>
  </r>
  <r>
    <s v="PO000926"/>
    <s v="SUP00069"/>
    <s v="PROD00185"/>
    <d v="2021-06-01T00:00:00"/>
    <n v="9"/>
    <n v="42.336624563572698"/>
    <d v="2021-06-23T00:00:00"/>
    <d v="2021-06-28T00:00:00"/>
    <n v="381.02962107215399"/>
    <n v="5"/>
    <x v="90"/>
    <s v="China"/>
    <s v="Central"/>
    <x v="2"/>
    <n v="0"/>
    <s v="No"/>
    <n v="0"/>
    <s v="Late"/>
    <x v="1"/>
    <x v="1"/>
  </r>
  <r>
    <s v="PO000927"/>
    <s v="SUP00071"/>
    <s v="PROD00127"/>
    <d v="2022-02-07T00:00:00"/>
    <n v="11"/>
    <n v="21.242869183196198"/>
    <d v="2022-02-26T00:00:00"/>
    <d v="2022-02-26T00:00:00"/>
    <n v="233.67156101515801"/>
    <n v="0"/>
    <x v="50"/>
    <s v="Denmark"/>
    <s v="South"/>
    <x v="3"/>
    <n v="1"/>
    <s v="Yes"/>
    <n v="1"/>
    <s v="On Time"/>
    <x v="3"/>
    <x v="9"/>
  </r>
  <r>
    <s v="PO000928"/>
    <s v="SUP00085"/>
    <s v="PROD00177"/>
    <d v="2021-07-20T00:00:00"/>
    <n v="8"/>
    <n v="72.785943452896404"/>
    <d v="2021-08-05T00:00:00"/>
    <d v="2021-08-11T00:00:00"/>
    <n v="582.28754762317101"/>
    <n v="6"/>
    <x v="1"/>
    <s v="Germany"/>
    <s v="Central"/>
    <x v="1"/>
    <n v="1"/>
    <s v="Yes"/>
    <n v="0"/>
    <s v="Late"/>
    <x v="1"/>
    <x v="5"/>
  </r>
  <r>
    <s v="PO000929"/>
    <s v="SUP00005"/>
    <s v="PROD00176"/>
    <d v="2023-01-16T00:00:00"/>
    <n v="13"/>
    <n v="45.8455534159121"/>
    <d v="2023-01-28T00:00:00"/>
    <d v="2023-01-30T00:00:00"/>
    <n v="595.99219440685704"/>
    <n v="2"/>
    <x v="17"/>
    <s v="Canada"/>
    <s v="North"/>
    <x v="1"/>
    <n v="1"/>
    <s v="Yes"/>
    <n v="0"/>
    <s v="Late"/>
    <x v="2"/>
    <x v="10"/>
  </r>
  <r>
    <s v="PO000930"/>
    <s v="SUP00060"/>
    <s v="PROD00155"/>
    <d v="2023-07-05T00:00:00"/>
    <n v="10"/>
    <n v="78.964114537796704"/>
    <d v="2023-07-23T00:00:00"/>
    <d v="2023-07-24T00:00:00"/>
    <n v="789.64114537796695"/>
    <n v="1"/>
    <x v="85"/>
    <s v="UK"/>
    <s v="North"/>
    <x v="3"/>
    <n v="1"/>
    <s v="Yes"/>
    <n v="0"/>
    <s v="Late"/>
    <x v="2"/>
    <x v="5"/>
  </r>
  <r>
    <s v="PO000931"/>
    <s v="SUP00081"/>
    <s v="PROD00040"/>
    <d v="2021-12-12T00:00:00"/>
    <n v="17"/>
    <n v="61.406988726185197"/>
    <d v="2021-12-27T00:00:00"/>
    <d v="2022-01-02T00:00:00"/>
    <n v="1043.91880834514"/>
    <n v="6"/>
    <x v="66"/>
    <s v="India"/>
    <s v="Central"/>
    <x v="0"/>
    <n v="1"/>
    <s v="Yes"/>
    <n v="0"/>
    <s v="Late"/>
    <x v="1"/>
    <x v="7"/>
  </r>
  <r>
    <s v="PO000932"/>
    <s v="SUP00009"/>
    <s v="PROD00072"/>
    <d v="2023-01-21T00:00:00"/>
    <n v="14"/>
    <n v="70.319145110742099"/>
    <d v="2023-02-03T00:00:00"/>
    <d v="2023-02-07T00:00:00"/>
    <n v="984.46803155038901"/>
    <n v="4"/>
    <x v="95"/>
    <s v="China"/>
    <s v="North"/>
    <x v="1"/>
    <n v="1"/>
    <s v="Yes"/>
    <n v="0"/>
    <s v="Late"/>
    <x v="2"/>
    <x v="10"/>
  </r>
  <r>
    <s v="PO000933"/>
    <s v="SUP00031"/>
    <s v="PROD00104"/>
    <d v="2023-10-08T00:00:00"/>
    <n v="13"/>
    <n v="76.222684235277001"/>
    <d v="2023-10-18T00:00:00"/>
    <d v="2023-10-21T00:00:00"/>
    <n v="990.89489505860195"/>
    <n v="3"/>
    <x v="33"/>
    <s v="USA"/>
    <s v="West"/>
    <x v="3"/>
    <n v="0"/>
    <s v="No"/>
    <n v="0"/>
    <s v="Late"/>
    <x v="2"/>
    <x v="4"/>
  </r>
  <r>
    <s v="PO000934"/>
    <s v="SUP00015"/>
    <s v="PROD00053"/>
    <d v="2023-01-04T00:00:00"/>
    <n v="6"/>
    <n v="48.9609990193334"/>
    <d v="2023-01-23T00:00:00"/>
    <d v="2023-01-21T00:00:00"/>
    <n v="293.765994116"/>
    <n v="-2"/>
    <x v="51"/>
    <s v="China"/>
    <s v="South"/>
    <x v="0"/>
    <n v="1"/>
    <s v="Yes"/>
    <n v="1"/>
    <s v="On Time"/>
    <x v="2"/>
    <x v="10"/>
  </r>
  <r>
    <s v="PO000935"/>
    <s v="SUP00066"/>
    <s v="PROD00111"/>
    <d v="2021-08-23T00:00:00"/>
    <n v="11"/>
    <n v="46.801210101094597"/>
    <d v="2021-09-07T00:00:00"/>
    <d v="2021-09-07T00:00:00"/>
    <n v="514.81331111204099"/>
    <n v="0"/>
    <x v="65"/>
    <s v="India"/>
    <s v="West"/>
    <x v="2"/>
    <n v="0"/>
    <s v="No"/>
    <n v="1"/>
    <s v="On Time"/>
    <x v="1"/>
    <x v="2"/>
  </r>
  <r>
    <s v="PO000936"/>
    <s v="SUP00099"/>
    <s v="PROD00050"/>
    <d v="2023-12-12T00:00:00"/>
    <n v="13"/>
    <n v="50.569539994648103"/>
    <d v="2024-01-02T00:00:00"/>
    <d v="2023-12-30T00:00:00"/>
    <n v="657.40401993042497"/>
    <n v="-3"/>
    <x v="19"/>
    <s v="Denmark"/>
    <s v="South"/>
    <x v="0"/>
    <n v="0"/>
    <s v="No"/>
    <n v="1"/>
    <s v="On Time"/>
    <x v="2"/>
    <x v="7"/>
  </r>
  <r>
    <s v="PO000937"/>
    <s v="SUP00042"/>
    <s v="PROD00120"/>
    <d v="2024-03-03T00:00:00"/>
    <n v="10"/>
    <n v="39.331025244566298"/>
    <d v="2024-03-17T00:00:00"/>
    <d v="2024-03-21T00:00:00"/>
    <n v="393.31025244566302"/>
    <n v="4"/>
    <x v="64"/>
    <s v="India"/>
    <s v="West"/>
    <x v="2"/>
    <n v="0"/>
    <s v="No"/>
    <n v="0"/>
    <s v="Late"/>
    <x v="0"/>
    <x v="0"/>
  </r>
  <r>
    <s v="PO000938"/>
    <s v="SUP00013"/>
    <s v="PROD00025"/>
    <d v="2022-08-15T00:00:00"/>
    <n v="6"/>
    <n v="44.349199773461201"/>
    <d v="2022-08-25T00:00:00"/>
    <d v="2022-08-23T00:00:00"/>
    <n v="266.09519864076702"/>
    <n v="-2"/>
    <x v="31"/>
    <s v="China"/>
    <s v="North"/>
    <x v="2"/>
    <n v="1"/>
    <s v="Yes"/>
    <n v="1"/>
    <s v="On Time"/>
    <x v="3"/>
    <x v="2"/>
  </r>
  <r>
    <s v="PO000939"/>
    <s v="SUP00063"/>
    <s v="PROD00181"/>
    <d v="2024-03-26T00:00:00"/>
    <n v="17"/>
    <n v="33.598397872828002"/>
    <d v="2024-04-13T00:00:00"/>
    <d v="2024-04-10T00:00:00"/>
    <n v="571.17276383807598"/>
    <n v="-3"/>
    <x v="30"/>
    <s v="Denmark"/>
    <s v="North"/>
    <x v="1"/>
    <n v="0"/>
    <s v="No"/>
    <n v="1"/>
    <s v="On Time"/>
    <x v="0"/>
    <x v="0"/>
  </r>
  <r>
    <s v="PO000940"/>
    <s v="SUP00056"/>
    <s v="PROD00129"/>
    <d v="2023-12-31T00:00:00"/>
    <n v="10"/>
    <n v="53.590475238840902"/>
    <d v="2024-01-16T00:00:00"/>
    <d v="2024-01-14T00:00:00"/>
    <n v="535.90475238840895"/>
    <n v="-2"/>
    <x v="13"/>
    <s v="China"/>
    <s v="North"/>
    <x v="2"/>
    <n v="0"/>
    <s v="No"/>
    <n v="1"/>
    <s v="On Time"/>
    <x v="2"/>
    <x v="7"/>
  </r>
  <r>
    <s v="PO000941"/>
    <s v="SUP00083"/>
    <s v="PROD00156"/>
    <d v="2021-07-11T00:00:00"/>
    <n v="13"/>
    <n v="19.7974276515348"/>
    <d v="2021-07-21T00:00:00"/>
    <d v="2021-07-25T00:00:00"/>
    <n v="257.36655946995199"/>
    <n v="4"/>
    <x v="43"/>
    <s v="China"/>
    <s v="South"/>
    <x v="0"/>
    <n v="0"/>
    <s v="No"/>
    <n v="0"/>
    <s v="Late"/>
    <x v="1"/>
    <x v="5"/>
  </r>
  <r>
    <s v="PO000942"/>
    <s v="SUP00026"/>
    <s v="PROD00100"/>
    <d v="2024-01-22T00:00:00"/>
    <n v="5"/>
    <n v="57.656715960264002"/>
    <d v="2024-02-12T00:00:00"/>
    <d v="2024-02-17T00:00:00"/>
    <n v="288.28357980132"/>
    <n v="5"/>
    <x v="44"/>
    <s v="Denmark"/>
    <s v="East"/>
    <x v="1"/>
    <n v="1"/>
    <s v="Yes"/>
    <n v="0"/>
    <s v="Late"/>
    <x v="0"/>
    <x v="10"/>
  </r>
  <r>
    <s v="PO000943"/>
    <s v="SUP00024"/>
    <s v="PROD00059"/>
    <d v="2022-03-06T00:00:00"/>
    <n v="9"/>
    <n v="24.396748536321098"/>
    <d v="2022-03-29T00:00:00"/>
    <d v="2022-03-27T00:00:00"/>
    <n v="219.57073682689"/>
    <n v="-2"/>
    <x v="5"/>
    <s v="UK"/>
    <s v="North"/>
    <x v="1"/>
    <n v="0"/>
    <s v="No"/>
    <n v="1"/>
    <s v="On Time"/>
    <x v="3"/>
    <x v="0"/>
  </r>
  <r>
    <s v="PO000944"/>
    <s v="SUP00035"/>
    <s v="PROD00087"/>
    <d v="2022-07-25T00:00:00"/>
    <n v="9"/>
    <n v="12.5441239764553"/>
    <d v="2022-08-12T00:00:00"/>
    <d v="2022-08-18T00:00:00"/>
    <n v="112.897115788097"/>
    <n v="6"/>
    <x v="25"/>
    <s v="Denmark"/>
    <s v="Central"/>
    <x v="1"/>
    <n v="1"/>
    <s v="Yes"/>
    <n v="0"/>
    <s v="Late"/>
    <x v="3"/>
    <x v="5"/>
  </r>
  <r>
    <s v="PO000945"/>
    <s v="SUP00100"/>
    <s v="PROD00069"/>
    <d v="2023-10-23T00:00:00"/>
    <n v="19"/>
    <n v="50.916990371373601"/>
    <d v="2023-11-07T00:00:00"/>
    <d v="2023-11-06T00:00:00"/>
    <n v="967.42281705609901"/>
    <n v="-1"/>
    <x v="45"/>
    <s v="Canada"/>
    <s v="Central"/>
    <x v="1"/>
    <n v="0"/>
    <s v="No"/>
    <n v="1"/>
    <s v="On Time"/>
    <x v="2"/>
    <x v="4"/>
  </r>
  <r>
    <s v="PO000946"/>
    <s v="SUP00088"/>
    <s v="PROD00140"/>
    <d v="2023-08-27T00:00:00"/>
    <n v="16"/>
    <n v="65.253314613269396"/>
    <d v="2023-09-09T00:00:00"/>
    <d v="2023-09-10T00:00:00"/>
    <n v="1044.0530338123101"/>
    <n v="1"/>
    <x v="41"/>
    <s v="Brazil"/>
    <s v="East"/>
    <x v="3"/>
    <n v="0"/>
    <s v="No"/>
    <n v="0"/>
    <s v="Late"/>
    <x v="2"/>
    <x v="2"/>
  </r>
  <r>
    <s v="PO000947"/>
    <s v="SUP00049"/>
    <s v="PROD00084"/>
    <d v="2022-04-05T00:00:00"/>
    <n v="12"/>
    <n v="31.600644196205401"/>
    <d v="2022-04-29T00:00:00"/>
    <d v="2022-05-03T00:00:00"/>
    <n v="379.20773035446501"/>
    <n v="4"/>
    <x v="71"/>
    <s v="Canada"/>
    <s v="East"/>
    <x v="0"/>
    <n v="1"/>
    <s v="Yes"/>
    <n v="0"/>
    <s v="Late"/>
    <x v="3"/>
    <x v="8"/>
  </r>
  <r>
    <s v="PO000948"/>
    <s v="SUP00028"/>
    <s v="PROD00099"/>
    <d v="2022-08-05T00:00:00"/>
    <n v="16"/>
    <n v="44.121188608549502"/>
    <d v="2022-08-29T00:00:00"/>
    <d v="2022-08-30T00:00:00"/>
    <n v="705.93901773679204"/>
    <n v="1"/>
    <x v="92"/>
    <s v="Canada"/>
    <s v="East"/>
    <x v="3"/>
    <n v="0"/>
    <s v="No"/>
    <n v="0"/>
    <s v="Late"/>
    <x v="3"/>
    <x v="2"/>
  </r>
  <r>
    <s v="PO000949"/>
    <s v="SUP00073"/>
    <s v="PROD00137"/>
    <d v="2021-10-24T00:00:00"/>
    <n v="12"/>
    <n v="77.714743876006906"/>
    <d v="2021-11-09T00:00:00"/>
    <d v="2021-11-15T00:00:00"/>
    <n v="932.57692651208299"/>
    <n v="6"/>
    <x v="42"/>
    <s v="China"/>
    <s v="East"/>
    <x v="2"/>
    <n v="1"/>
    <s v="Yes"/>
    <n v="0"/>
    <s v="Late"/>
    <x v="1"/>
    <x v="4"/>
  </r>
  <r>
    <s v="PO000950"/>
    <s v="SUP00077"/>
    <s v="PROD00152"/>
    <d v="2024-03-26T00:00:00"/>
    <n v="8"/>
    <n v="32.982414131690298"/>
    <d v="2024-04-08T00:00:00"/>
    <d v="2024-04-05T00:00:00"/>
    <n v="263.85931305352199"/>
    <n v="-3"/>
    <x v="10"/>
    <s v="India"/>
    <s v="West"/>
    <x v="1"/>
    <n v="0"/>
    <s v="No"/>
    <n v="1"/>
    <s v="On Time"/>
    <x v="0"/>
    <x v="0"/>
  </r>
  <r>
    <s v="PO000951"/>
    <s v="SUP00029"/>
    <s v="PROD00171"/>
    <d v="2023-03-25T00:00:00"/>
    <n v="12"/>
    <n v="10.7378160208536"/>
    <d v="2023-04-16T00:00:00"/>
    <d v="2023-04-15T00:00:00"/>
    <n v="128.853792250243"/>
    <n v="-1"/>
    <x v="47"/>
    <s v="China"/>
    <s v="West"/>
    <x v="0"/>
    <n v="1"/>
    <s v="Yes"/>
    <n v="1"/>
    <s v="On Time"/>
    <x v="2"/>
    <x v="0"/>
  </r>
  <r>
    <s v="PO000952"/>
    <s v="SUP00018"/>
    <s v="PROD00190"/>
    <d v="2021-04-05T00:00:00"/>
    <n v="15"/>
    <n v="18.773070274429401"/>
    <d v="2021-04-19T00:00:00"/>
    <d v="2021-04-22T00:00:00"/>
    <n v="281.596054116441"/>
    <n v="3"/>
    <x v="8"/>
    <s v="UK"/>
    <s v="West"/>
    <x v="2"/>
    <n v="0"/>
    <s v="No"/>
    <n v="0"/>
    <s v="Late"/>
    <x v="1"/>
    <x v="8"/>
  </r>
  <r>
    <s v="PO000953"/>
    <s v="SUP00030"/>
    <s v="PROD00135"/>
    <d v="2023-01-23T00:00:00"/>
    <n v="9"/>
    <n v="75.9848315865122"/>
    <d v="2023-02-16T00:00:00"/>
    <d v="2023-02-14T00:00:00"/>
    <n v="683.86348427861003"/>
    <n v="-2"/>
    <x v="29"/>
    <s v="India"/>
    <s v="Central"/>
    <x v="0"/>
    <n v="0"/>
    <s v="No"/>
    <n v="1"/>
    <s v="On Time"/>
    <x v="2"/>
    <x v="10"/>
  </r>
  <r>
    <s v="PO000954"/>
    <s v="SUP00007"/>
    <s v="PROD00178"/>
    <d v="2022-03-01T00:00:00"/>
    <n v="14"/>
    <n v="30.580378138631399"/>
    <d v="2022-03-17T00:00:00"/>
    <d v="2022-03-20T00:00:00"/>
    <n v="428.12529394083998"/>
    <n v="3"/>
    <x v="24"/>
    <s v="China"/>
    <s v="East"/>
    <x v="1"/>
    <n v="1"/>
    <s v="Yes"/>
    <n v="0"/>
    <s v="Late"/>
    <x v="3"/>
    <x v="0"/>
  </r>
  <r>
    <s v="PO000955"/>
    <s v="SUP00096"/>
    <s v="PROD00177"/>
    <d v="2024-01-27T00:00:00"/>
    <n v="10"/>
    <n v="58.601602282276097"/>
    <d v="2024-02-19T00:00:00"/>
    <d v="2024-02-18T00:00:00"/>
    <n v="586.01602282276099"/>
    <n v="-1"/>
    <x v="26"/>
    <s v="India"/>
    <s v="South"/>
    <x v="1"/>
    <n v="0"/>
    <s v="No"/>
    <n v="1"/>
    <s v="On Time"/>
    <x v="0"/>
    <x v="10"/>
  </r>
  <r>
    <s v="PO000956"/>
    <s v="SUP00073"/>
    <s v="PROD00158"/>
    <d v="2021-04-11T00:00:00"/>
    <n v="16"/>
    <n v="42.0015463614046"/>
    <d v="2021-04-22T00:00:00"/>
    <d v="2021-04-21T00:00:00"/>
    <n v="672.02474178247405"/>
    <n v="-1"/>
    <x v="42"/>
    <s v="China"/>
    <s v="East"/>
    <x v="2"/>
    <n v="1"/>
    <s v="Yes"/>
    <n v="1"/>
    <s v="On Time"/>
    <x v="1"/>
    <x v="8"/>
  </r>
  <r>
    <s v="PO000957"/>
    <s v="SUP00062"/>
    <s v="PROD00115"/>
    <d v="2021-08-30T00:00:00"/>
    <n v="12"/>
    <n v="43.451556839904299"/>
    <d v="2021-09-18T00:00:00"/>
    <d v="2021-09-23T00:00:00"/>
    <n v="521.41868207885102"/>
    <n v="5"/>
    <x v="81"/>
    <s v="Brazil"/>
    <s v="Central"/>
    <x v="0"/>
    <n v="0"/>
    <s v="No"/>
    <n v="0"/>
    <s v="Late"/>
    <x v="1"/>
    <x v="2"/>
  </r>
  <r>
    <s v="PO000958"/>
    <s v="SUP00009"/>
    <s v="PROD00001"/>
    <d v="2022-05-09T00:00:00"/>
    <n v="11"/>
    <n v="13.6391232988671"/>
    <d v="2022-05-19T00:00:00"/>
    <d v="2022-05-21T00:00:00"/>
    <n v="150.03035628753801"/>
    <n v="2"/>
    <x v="95"/>
    <s v="China"/>
    <s v="North"/>
    <x v="1"/>
    <n v="1"/>
    <s v="Yes"/>
    <n v="0"/>
    <s v="Late"/>
    <x v="3"/>
    <x v="3"/>
  </r>
  <r>
    <s v="PO000959"/>
    <s v="SUP00036"/>
    <s v="PROD00133"/>
    <d v="2022-02-08T00:00:00"/>
    <n v="19"/>
    <n v="17.5238950156394"/>
    <d v="2022-03-03T00:00:00"/>
    <d v="2022-03-06T00:00:00"/>
    <n v="332.95400529714999"/>
    <n v="3"/>
    <x v="40"/>
    <s v="Canada"/>
    <s v="West"/>
    <x v="3"/>
    <n v="1"/>
    <s v="Yes"/>
    <n v="0"/>
    <s v="Late"/>
    <x v="3"/>
    <x v="9"/>
  </r>
  <r>
    <s v="PO000960"/>
    <s v="SUP00009"/>
    <s v="PROD00032"/>
    <d v="2021-08-06T00:00:00"/>
    <n v="14"/>
    <n v="24.666606330173799"/>
    <d v="2021-08-29T00:00:00"/>
    <d v="2021-08-31T00:00:00"/>
    <n v="345.332488622433"/>
    <n v="2"/>
    <x v="95"/>
    <s v="China"/>
    <s v="North"/>
    <x v="1"/>
    <n v="1"/>
    <s v="Yes"/>
    <n v="0"/>
    <s v="Late"/>
    <x v="1"/>
    <x v="2"/>
  </r>
  <r>
    <s v="PO000961"/>
    <s v="SUP00046"/>
    <s v="PROD00074"/>
    <d v="2022-03-26T00:00:00"/>
    <n v="5"/>
    <n v="18.314183821372801"/>
    <d v="2022-04-16T00:00:00"/>
    <d v="2022-04-15T00:00:00"/>
    <n v="91.570919106864295"/>
    <n v="-1"/>
    <x v="61"/>
    <s v="Brazil"/>
    <s v="South"/>
    <x v="3"/>
    <n v="1"/>
    <s v="Yes"/>
    <n v="1"/>
    <s v="On Time"/>
    <x v="3"/>
    <x v="0"/>
  </r>
  <r>
    <s v="PO000962"/>
    <s v="SUP00087"/>
    <s v="PROD00003"/>
    <d v="2021-11-06T00:00:00"/>
    <n v="7"/>
    <n v="53.765544813275604"/>
    <d v="2021-11-27T00:00:00"/>
    <d v="2021-11-25T00:00:00"/>
    <n v="376.358813692929"/>
    <n v="-2"/>
    <x v="14"/>
    <s v="UK"/>
    <s v="Central"/>
    <x v="2"/>
    <n v="0"/>
    <s v="No"/>
    <n v="1"/>
    <s v="On Time"/>
    <x v="1"/>
    <x v="6"/>
  </r>
  <r>
    <s v="PO000963"/>
    <s v="SUP00071"/>
    <s v="PROD00067"/>
    <d v="2021-10-29T00:00:00"/>
    <n v="8"/>
    <n v="42.674073886715099"/>
    <d v="2021-11-08T00:00:00"/>
    <d v="2021-11-09T00:00:00"/>
    <n v="341.39259109372102"/>
    <n v="1"/>
    <x v="50"/>
    <s v="Denmark"/>
    <s v="South"/>
    <x v="3"/>
    <n v="1"/>
    <s v="Yes"/>
    <n v="0"/>
    <s v="Late"/>
    <x v="1"/>
    <x v="4"/>
  </r>
  <r>
    <s v="PO000964"/>
    <s v="SUP00032"/>
    <s v="PROD00078"/>
    <d v="2022-04-13T00:00:00"/>
    <n v="14"/>
    <n v="57.546394598965897"/>
    <d v="2022-05-03T00:00:00"/>
    <d v="2022-05-08T00:00:00"/>
    <n v="805.649524385522"/>
    <n v="5"/>
    <x v="15"/>
    <s v="Germany"/>
    <s v="South"/>
    <x v="0"/>
    <n v="0"/>
    <s v="No"/>
    <n v="0"/>
    <s v="Late"/>
    <x v="3"/>
    <x v="8"/>
  </r>
  <r>
    <s v="PO000965"/>
    <s v="SUP00067"/>
    <s v="PROD00038"/>
    <d v="2022-11-20T00:00:00"/>
    <n v="11"/>
    <n v="22.324946433615199"/>
    <d v="2022-12-14T00:00:00"/>
    <d v="2022-12-20T00:00:00"/>
    <n v="245.57441076976701"/>
    <n v="6"/>
    <x v="22"/>
    <s v="UK"/>
    <s v="South"/>
    <x v="3"/>
    <n v="1"/>
    <s v="Yes"/>
    <n v="0"/>
    <s v="Late"/>
    <x v="3"/>
    <x v="6"/>
  </r>
  <r>
    <s v="PO000966"/>
    <s v="SUP00065"/>
    <s v="PROD00138"/>
    <d v="2022-06-19T00:00:00"/>
    <n v="11"/>
    <n v="8.9325810099818899"/>
    <d v="2022-07-11T00:00:00"/>
    <d v="2022-07-11T00:00:00"/>
    <n v="98.258391109800797"/>
    <n v="0"/>
    <x v="16"/>
    <s v="Brazil"/>
    <s v="East"/>
    <x v="1"/>
    <n v="1"/>
    <s v="Yes"/>
    <n v="1"/>
    <s v="On Time"/>
    <x v="3"/>
    <x v="1"/>
  </r>
  <r>
    <s v="PO000967"/>
    <s v="SUP00090"/>
    <s v="PROD00138"/>
    <d v="2022-10-16T00:00:00"/>
    <n v="11"/>
    <n v="69.149497454998397"/>
    <d v="2022-10-29T00:00:00"/>
    <d v="2022-11-01T00:00:00"/>
    <n v="760.64447200498296"/>
    <n v="3"/>
    <x v="9"/>
    <s v="Canada"/>
    <s v="East"/>
    <x v="1"/>
    <n v="1"/>
    <s v="Yes"/>
    <n v="0"/>
    <s v="Late"/>
    <x v="3"/>
    <x v="4"/>
  </r>
  <r>
    <s v="PO000968"/>
    <s v="SUP00075"/>
    <s v="PROD00016"/>
    <d v="2021-07-25T00:00:00"/>
    <n v="11"/>
    <n v="55.412622053014097"/>
    <d v="2021-08-13T00:00:00"/>
    <d v="2021-08-15T00:00:00"/>
    <n v="609.53884258315497"/>
    <n v="2"/>
    <x v="11"/>
    <s v="USA"/>
    <s v="Central"/>
    <x v="1"/>
    <n v="1"/>
    <s v="Yes"/>
    <n v="0"/>
    <s v="Late"/>
    <x v="1"/>
    <x v="5"/>
  </r>
  <r>
    <s v="PO000969"/>
    <s v="SUP00038"/>
    <s v="PROD00107"/>
    <d v="2021-09-09T00:00:00"/>
    <n v="13"/>
    <n v="72.456000530530702"/>
    <d v="2021-10-03T00:00:00"/>
    <d v="2021-09-30T00:00:00"/>
    <n v="941.92800689689898"/>
    <n v="-3"/>
    <x v="34"/>
    <s v="Germany"/>
    <s v="South"/>
    <x v="1"/>
    <n v="0"/>
    <s v="No"/>
    <n v="1"/>
    <s v="On Time"/>
    <x v="1"/>
    <x v="11"/>
  </r>
  <r>
    <s v="PO000970"/>
    <s v="SUP00072"/>
    <s v="PROD00110"/>
    <d v="2022-10-13T00:00:00"/>
    <n v="16"/>
    <n v="23.453692128211099"/>
    <d v="2022-11-02T00:00:00"/>
    <d v="2022-11-07T00:00:00"/>
    <n v="375.25907405137798"/>
    <n v="5"/>
    <x v="83"/>
    <s v="India"/>
    <s v="Central"/>
    <x v="1"/>
    <n v="0"/>
    <s v="No"/>
    <n v="0"/>
    <s v="Late"/>
    <x v="3"/>
    <x v="4"/>
  </r>
  <r>
    <s v="PO000971"/>
    <s v="SUP00073"/>
    <s v="PROD00128"/>
    <d v="2021-04-12T00:00:00"/>
    <n v="12"/>
    <n v="47.1768713106215"/>
    <d v="2021-04-25T00:00:00"/>
    <d v="2021-04-23T00:00:00"/>
    <n v="566.12245572745803"/>
    <n v="-2"/>
    <x v="42"/>
    <s v="China"/>
    <s v="East"/>
    <x v="2"/>
    <n v="1"/>
    <s v="Yes"/>
    <n v="1"/>
    <s v="On Time"/>
    <x v="1"/>
    <x v="8"/>
  </r>
  <r>
    <s v="PO000972"/>
    <s v="SUP00085"/>
    <s v="PROD00024"/>
    <d v="2021-03-14T00:00:00"/>
    <n v="14"/>
    <n v="35.709385557864898"/>
    <d v="2021-03-28T00:00:00"/>
    <d v="2021-03-30T00:00:00"/>
    <n v="499.93139781010802"/>
    <n v="2"/>
    <x v="1"/>
    <s v="Germany"/>
    <s v="Central"/>
    <x v="1"/>
    <n v="1"/>
    <s v="Yes"/>
    <n v="0"/>
    <s v="Late"/>
    <x v="1"/>
    <x v="0"/>
  </r>
  <r>
    <s v="PO000973"/>
    <s v="SUP00080"/>
    <s v="PROD00065"/>
    <d v="2022-09-16T00:00:00"/>
    <n v="10"/>
    <n v="47.7364449868723"/>
    <d v="2022-10-02T00:00:00"/>
    <d v="2022-10-05T00:00:00"/>
    <n v="477.364449868723"/>
    <n v="3"/>
    <x v="70"/>
    <s v="USA"/>
    <s v="North"/>
    <x v="2"/>
    <n v="0"/>
    <s v="No"/>
    <n v="0"/>
    <s v="Late"/>
    <x v="3"/>
    <x v="11"/>
  </r>
  <r>
    <s v="PO000974"/>
    <s v="SUP00065"/>
    <s v="PROD00170"/>
    <d v="2023-12-26T00:00:00"/>
    <n v="14"/>
    <n v="16.5109485208107"/>
    <d v="2024-01-19T00:00:00"/>
    <d v="2024-01-24T00:00:00"/>
    <n v="231.15327929135"/>
    <n v="5"/>
    <x v="16"/>
    <s v="Brazil"/>
    <s v="East"/>
    <x v="1"/>
    <n v="1"/>
    <s v="Yes"/>
    <n v="0"/>
    <s v="Late"/>
    <x v="2"/>
    <x v="7"/>
  </r>
  <r>
    <s v="PO000975"/>
    <s v="SUP00029"/>
    <s v="PROD00006"/>
    <d v="2023-03-24T00:00:00"/>
    <n v="8"/>
    <n v="61.853906661144201"/>
    <d v="2023-04-08T00:00:00"/>
    <d v="2023-04-13T00:00:00"/>
    <n v="494.83125328915298"/>
    <n v="5"/>
    <x v="47"/>
    <s v="China"/>
    <s v="West"/>
    <x v="0"/>
    <n v="1"/>
    <s v="Yes"/>
    <n v="0"/>
    <s v="Late"/>
    <x v="2"/>
    <x v="0"/>
  </r>
  <r>
    <s v="PO000976"/>
    <s v="SUP00052"/>
    <s v="PROD00200"/>
    <d v="2023-12-10T00:00:00"/>
    <n v="15"/>
    <n v="7.6295519009686901"/>
    <d v="2023-12-22T00:00:00"/>
    <d v="2023-12-23T00:00:00"/>
    <n v="114.44327851452999"/>
    <n v="1"/>
    <x v="80"/>
    <s v="Brazil"/>
    <s v="West"/>
    <x v="1"/>
    <n v="1"/>
    <s v="Yes"/>
    <n v="0"/>
    <s v="Late"/>
    <x v="2"/>
    <x v="7"/>
  </r>
  <r>
    <s v="PO000977"/>
    <s v="SUP00031"/>
    <s v="PROD00196"/>
    <d v="2023-07-01T00:00:00"/>
    <n v="9"/>
    <n v="60.617780108022501"/>
    <d v="2023-07-24T00:00:00"/>
    <d v="2023-07-30T00:00:00"/>
    <n v="545.56002097220301"/>
    <n v="6"/>
    <x v="33"/>
    <s v="USA"/>
    <s v="West"/>
    <x v="3"/>
    <n v="0"/>
    <s v="No"/>
    <n v="0"/>
    <s v="Late"/>
    <x v="2"/>
    <x v="5"/>
  </r>
  <r>
    <s v="PO000978"/>
    <s v="SUP00091"/>
    <s v="PROD00038"/>
    <d v="2022-01-31T00:00:00"/>
    <n v="14"/>
    <n v="48.687394948499097"/>
    <d v="2022-02-12T00:00:00"/>
    <d v="2022-02-18T00:00:00"/>
    <n v="681.62352927898803"/>
    <n v="6"/>
    <x v="77"/>
    <s v="China"/>
    <s v="South"/>
    <x v="1"/>
    <n v="0"/>
    <s v="No"/>
    <n v="0"/>
    <s v="Late"/>
    <x v="3"/>
    <x v="10"/>
  </r>
  <r>
    <s v="PO000979"/>
    <s v="SUP00093"/>
    <s v="PROD00195"/>
    <d v="2022-08-25T00:00:00"/>
    <n v="14"/>
    <n v="17.5636955985809"/>
    <d v="2022-09-11T00:00:00"/>
    <d v="2022-09-11T00:00:00"/>
    <n v="245.89173838013301"/>
    <n v="0"/>
    <x v="20"/>
    <s v="USA"/>
    <s v="Central"/>
    <x v="2"/>
    <n v="0"/>
    <s v="No"/>
    <n v="1"/>
    <s v="On Time"/>
    <x v="3"/>
    <x v="2"/>
  </r>
  <r>
    <s v="PO000980"/>
    <s v="SUP00090"/>
    <s v="PROD00062"/>
    <d v="2023-01-22T00:00:00"/>
    <n v="10"/>
    <n v="6.5956658913746997"/>
    <d v="2023-02-11T00:00:00"/>
    <d v="2023-02-08T00:00:00"/>
    <n v="65.956658913747006"/>
    <n v="-3"/>
    <x v="9"/>
    <s v="Canada"/>
    <s v="East"/>
    <x v="1"/>
    <n v="1"/>
    <s v="Yes"/>
    <n v="1"/>
    <s v="On Time"/>
    <x v="2"/>
    <x v="10"/>
  </r>
  <r>
    <s v="PO000981"/>
    <s v="SUP00038"/>
    <s v="PROD00109"/>
    <d v="2024-04-03T00:00:00"/>
    <n v="8"/>
    <n v="61.003926724613798"/>
    <d v="2024-04-26T00:00:00"/>
    <d v="2024-04-25T00:00:00"/>
    <n v="488.03141379690999"/>
    <n v="-1"/>
    <x v="34"/>
    <s v="Germany"/>
    <s v="South"/>
    <x v="1"/>
    <n v="0"/>
    <s v="No"/>
    <n v="1"/>
    <s v="On Time"/>
    <x v="0"/>
    <x v="8"/>
  </r>
  <r>
    <s v="PO000982"/>
    <s v="SUP00013"/>
    <s v="PROD00036"/>
    <d v="2022-05-26T00:00:00"/>
    <n v="17"/>
    <n v="14.9936071932737"/>
    <d v="2022-06-12T00:00:00"/>
    <d v="2022-06-11T00:00:00"/>
    <n v="254.89132228565401"/>
    <n v="-1"/>
    <x v="31"/>
    <s v="China"/>
    <s v="North"/>
    <x v="2"/>
    <n v="1"/>
    <s v="Yes"/>
    <n v="1"/>
    <s v="On Time"/>
    <x v="3"/>
    <x v="3"/>
  </r>
  <r>
    <s v="PO000983"/>
    <s v="SUP00044"/>
    <s v="PROD00195"/>
    <d v="2023-08-23T00:00:00"/>
    <n v="8"/>
    <n v="7.0163079545379201"/>
    <d v="2023-09-03T00:00:00"/>
    <d v="2023-08-31T00:00:00"/>
    <n v="56.130463636303297"/>
    <n v="-3"/>
    <x v="21"/>
    <s v="Germany"/>
    <s v="Central"/>
    <x v="1"/>
    <n v="1"/>
    <s v="Yes"/>
    <n v="1"/>
    <s v="On Time"/>
    <x v="2"/>
    <x v="2"/>
  </r>
  <r>
    <s v="PO000984"/>
    <s v="SUP00026"/>
    <s v="PROD00076"/>
    <d v="2021-08-29T00:00:00"/>
    <n v="12"/>
    <n v="33.9894420656546"/>
    <d v="2021-09-13T00:00:00"/>
    <d v="2021-09-14T00:00:00"/>
    <n v="407.87330478785498"/>
    <n v="1"/>
    <x v="44"/>
    <s v="Denmark"/>
    <s v="East"/>
    <x v="1"/>
    <n v="1"/>
    <s v="Yes"/>
    <n v="0"/>
    <s v="Late"/>
    <x v="1"/>
    <x v="2"/>
  </r>
  <r>
    <s v="PO000985"/>
    <s v="SUP00070"/>
    <s v="PROD00046"/>
    <d v="2021-10-24T00:00:00"/>
    <n v="15"/>
    <n v="26.8552954883429"/>
    <d v="2021-11-08T00:00:00"/>
    <d v="2021-11-10T00:00:00"/>
    <n v="402.82943232514299"/>
    <n v="2"/>
    <x v="32"/>
    <s v="USA"/>
    <s v="Central"/>
    <x v="3"/>
    <n v="0"/>
    <s v="No"/>
    <n v="0"/>
    <s v="Late"/>
    <x v="1"/>
    <x v="4"/>
  </r>
  <r>
    <s v="PO000986"/>
    <s v="SUP00071"/>
    <s v="PROD00002"/>
    <d v="2022-11-07T00:00:00"/>
    <n v="9"/>
    <n v="49.255717471326001"/>
    <d v="2022-11-22T00:00:00"/>
    <d v="2022-11-20T00:00:00"/>
    <n v="443.30145724193397"/>
    <n v="-2"/>
    <x v="50"/>
    <s v="Denmark"/>
    <s v="South"/>
    <x v="3"/>
    <n v="1"/>
    <s v="Yes"/>
    <n v="1"/>
    <s v="On Time"/>
    <x v="3"/>
    <x v="6"/>
  </r>
  <r>
    <s v="PO000987"/>
    <s v="SUP00028"/>
    <s v="PROD00169"/>
    <d v="2023-09-05T00:00:00"/>
    <n v="11"/>
    <n v="34.954595770768002"/>
    <d v="2023-09-20T00:00:00"/>
    <d v="2023-09-26T00:00:00"/>
    <n v="384.50055347844801"/>
    <n v="6"/>
    <x v="92"/>
    <s v="Canada"/>
    <s v="East"/>
    <x v="3"/>
    <n v="0"/>
    <s v="No"/>
    <n v="0"/>
    <s v="Late"/>
    <x v="2"/>
    <x v="11"/>
  </r>
  <r>
    <s v="PO000988"/>
    <s v="SUP00093"/>
    <s v="PROD00007"/>
    <d v="2023-11-01T00:00:00"/>
    <n v="13"/>
    <n v="57.8533377384177"/>
    <d v="2023-11-25T00:00:00"/>
    <d v="2023-11-28T00:00:00"/>
    <n v="752.09339059942999"/>
    <n v="3"/>
    <x v="20"/>
    <s v="USA"/>
    <s v="Central"/>
    <x v="2"/>
    <n v="0"/>
    <s v="No"/>
    <n v="0"/>
    <s v="Late"/>
    <x v="2"/>
    <x v="6"/>
  </r>
  <r>
    <s v="PO000989"/>
    <s v="SUP00062"/>
    <s v="PROD00039"/>
    <d v="2023-08-07T00:00:00"/>
    <n v="11"/>
    <n v="32.105452142544998"/>
    <d v="2023-08-26T00:00:00"/>
    <d v="2023-08-29T00:00:00"/>
    <n v="353.159973567995"/>
    <n v="3"/>
    <x v="81"/>
    <s v="Brazil"/>
    <s v="Central"/>
    <x v="0"/>
    <n v="0"/>
    <s v="No"/>
    <n v="0"/>
    <s v="Late"/>
    <x v="2"/>
    <x v="2"/>
  </r>
  <r>
    <s v="PO000990"/>
    <s v="SUP00077"/>
    <s v="PROD00142"/>
    <d v="2021-11-01T00:00:00"/>
    <n v="15"/>
    <n v="72.554828660664697"/>
    <d v="2021-11-21T00:00:00"/>
    <d v="2021-11-25T00:00:00"/>
    <n v="1088.32242990997"/>
    <n v="4"/>
    <x v="10"/>
    <s v="India"/>
    <s v="West"/>
    <x v="1"/>
    <n v="0"/>
    <s v="No"/>
    <n v="0"/>
    <s v="Late"/>
    <x v="1"/>
    <x v="6"/>
  </r>
  <r>
    <s v="PO000991"/>
    <s v="SUP00080"/>
    <s v="PROD00186"/>
    <d v="2022-06-16T00:00:00"/>
    <n v="12"/>
    <n v="63.5711761660164"/>
    <d v="2022-07-10T00:00:00"/>
    <d v="2022-07-15T00:00:00"/>
    <n v="762.85411399219697"/>
    <n v="5"/>
    <x v="70"/>
    <s v="USA"/>
    <s v="North"/>
    <x v="2"/>
    <n v="0"/>
    <s v="No"/>
    <n v="0"/>
    <s v="Late"/>
    <x v="3"/>
    <x v="1"/>
  </r>
  <r>
    <s v="PO000992"/>
    <s v="SUP00051"/>
    <s v="PROD00093"/>
    <d v="2022-11-21T00:00:00"/>
    <n v="16"/>
    <n v="49.4881192903133"/>
    <d v="2022-12-05T00:00:00"/>
    <d v="2022-12-10T00:00:00"/>
    <n v="791.80990864501302"/>
    <n v="5"/>
    <x v="57"/>
    <s v="UK"/>
    <s v="South"/>
    <x v="1"/>
    <n v="0"/>
    <s v="No"/>
    <n v="0"/>
    <s v="Late"/>
    <x v="3"/>
    <x v="6"/>
  </r>
  <r>
    <s v="PO000993"/>
    <s v="SUP00099"/>
    <s v="PROD00084"/>
    <d v="2024-04-14T00:00:00"/>
    <n v="8"/>
    <n v="27.064873600349401"/>
    <d v="2024-04-25T00:00:00"/>
    <d v="2024-04-23T00:00:00"/>
    <n v="216.51898880279501"/>
    <n v="-2"/>
    <x v="19"/>
    <s v="Denmark"/>
    <s v="South"/>
    <x v="0"/>
    <n v="0"/>
    <s v="No"/>
    <n v="1"/>
    <s v="On Time"/>
    <x v="0"/>
    <x v="8"/>
  </r>
  <r>
    <s v="PO000994"/>
    <s v="SUP00098"/>
    <s v="PROD00158"/>
    <d v="2021-04-17T00:00:00"/>
    <n v="6"/>
    <n v="72.365387115559798"/>
    <d v="2021-04-28T00:00:00"/>
    <d v="2021-04-30T00:00:00"/>
    <n v="434.19232269335799"/>
    <n v="2"/>
    <x v="38"/>
    <s v="Germany"/>
    <s v="North"/>
    <x v="3"/>
    <n v="1"/>
    <s v="Yes"/>
    <n v="0"/>
    <s v="Late"/>
    <x v="1"/>
    <x v="8"/>
  </r>
  <r>
    <s v="PO000995"/>
    <s v="SUP00004"/>
    <s v="PROD00140"/>
    <d v="2021-12-18T00:00:00"/>
    <n v="9"/>
    <n v="57.543164695051701"/>
    <d v="2022-01-04T00:00:00"/>
    <d v="2022-01-06T00:00:00"/>
    <n v="517.88848225546599"/>
    <n v="2"/>
    <x v="28"/>
    <s v="USA"/>
    <s v="North"/>
    <x v="1"/>
    <n v="0"/>
    <s v="No"/>
    <n v="0"/>
    <s v="Late"/>
    <x v="1"/>
    <x v="7"/>
  </r>
  <r>
    <s v="PO000996"/>
    <s v="SUP00016"/>
    <s v="PROD00092"/>
    <d v="2024-04-04T00:00:00"/>
    <n v="7"/>
    <n v="63.874835014399402"/>
    <d v="2024-04-15T00:00:00"/>
    <d v="2024-04-20T00:00:00"/>
    <n v="447.12384510079602"/>
    <n v="5"/>
    <x v="39"/>
    <s v="China"/>
    <s v="East"/>
    <x v="0"/>
    <n v="0"/>
    <s v="No"/>
    <n v="0"/>
    <s v="Late"/>
    <x v="0"/>
    <x v="8"/>
  </r>
  <r>
    <s v="PO000997"/>
    <s v="SUP00081"/>
    <s v="PROD00054"/>
    <d v="2023-09-03T00:00:00"/>
    <n v="12"/>
    <n v="66.816229257996397"/>
    <d v="2023-09-20T00:00:00"/>
    <d v="2023-09-21T00:00:00"/>
    <n v="801.79475109595705"/>
    <n v="1"/>
    <x v="66"/>
    <s v="India"/>
    <s v="Central"/>
    <x v="0"/>
    <n v="1"/>
    <s v="Yes"/>
    <n v="0"/>
    <s v="Late"/>
    <x v="2"/>
    <x v="11"/>
  </r>
  <r>
    <s v="PO000998"/>
    <s v="SUP00014"/>
    <s v="PROD00167"/>
    <d v="2023-08-16T00:00:00"/>
    <n v="19"/>
    <n v="33.004088964093"/>
    <d v="2023-09-03T00:00:00"/>
    <d v="2023-08-31T00:00:00"/>
    <n v="627.07769031776797"/>
    <n v="-3"/>
    <x v="59"/>
    <s v="Germany"/>
    <s v="West"/>
    <x v="1"/>
    <n v="0"/>
    <s v="No"/>
    <n v="1"/>
    <s v="On Time"/>
    <x v="2"/>
    <x v="2"/>
  </r>
  <r>
    <s v="PO000999"/>
    <s v="SUP00068"/>
    <s v="PROD00089"/>
    <d v="2023-11-28T00:00:00"/>
    <n v="9"/>
    <n v="35.535035457771599"/>
    <d v="2023-12-15T00:00:00"/>
    <d v="2023-12-20T00:00:00"/>
    <n v="319.81531911994398"/>
    <n v="5"/>
    <x v="12"/>
    <s v="UK"/>
    <s v="South"/>
    <x v="3"/>
    <n v="1"/>
    <s v="Yes"/>
    <n v="0"/>
    <s v="Late"/>
    <x v="2"/>
    <x v="6"/>
  </r>
  <r>
    <s v="PO001000"/>
    <s v="SUP00017"/>
    <s v="PROD00181"/>
    <d v="2021-04-15T00:00:00"/>
    <n v="5"/>
    <n v="26.5713504170104"/>
    <d v="2021-04-27T00:00:00"/>
    <d v="2021-05-03T00:00:00"/>
    <n v="132.85675208505199"/>
    <n v="6"/>
    <x v="52"/>
    <s v="India"/>
    <s v="East"/>
    <x v="1"/>
    <n v="0"/>
    <s v="No"/>
    <n v="0"/>
    <s v="Late"/>
    <x v="1"/>
    <x v="8"/>
  </r>
  <r>
    <s v="PO001001"/>
    <s v="SUP00080"/>
    <s v="PROD00072"/>
    <d v="2022-08-27T00:00:00"/>
    <n v="7"/>
    <n v="10.232052228980701"/>
    <d v="2022-09-10T00:00:00"/>
    <d v="2022-09-07T00:00:00"/>
    <n v="71.624365602864998"/>
    <n v="-3"/>
    <x v="70"/>
    <s v="USA"/>
    <s v="North"/>
    <x v="2"/>
    <n v="0"/>
    <s v="No"/>
    <n v="1"/>
    <s v="On Time"/>
    <x v="3"/>
    <x v="2"/>
  </r>
  <r>
    <s v="PO001002"/>
    <s v="SUP00044"/>
    <s v="PROD00051"/>
    <d v="2021-04-08T00:00:00"/>
    <n v="6"/>
    <n v="62.285291743891399"/>
    <d v="2021-04-22T00:00:00"/>
    <d v="2021-04-20T00:00:00"/>
    <n v="373.71175046334798"/>
    <n v="-2"/>
    <x v="21"/>
    <s v="Germany"/>
    <s v="Central"/>
    <x v="1"/>
    <n v="1"/>
    <s v="Yes"/>
    <n v="1"/>
    <s v="On Time"/>
    <x v="1"/>
    <x v="8"/>
  </r>
  <r>
    <s v="PO001003"/>
    <s v="SUP00037"/>
    <s v="PROD00104"/>
    <d v="2023-12-11T00:00:00"/>
    <n v="12"/>
    <n v="9.0736348065530805"/>
    <d v="2023-12-29T00:00:00"/>
    <d v="2023-12-28T00:00:00"/>
    <n v="108.88361767863699"/>
    <n v="-1"/>
    <x v="46"/>
    <s v="Denmark"/>
    <s v="East"/>
    <x v="1"/>
    <n v="0"/>
    <s v="No"/>
    <n v="1"/>
    <s v="On Time"/>
    <x v="2"/>
    <x v="7"/>
  </r>
  <r>
    <s v="PO001004"/>
    <s v="SUP00087"/>
    <s v="PROD00137"/>
    <d v="2022-07-17T00:00:00"/>
    <n v="8"/>
    <n v="11.6338541868392"/>
    <d v="2022-08-09T00:00:00"/>
    <d v="2022-08-08T00:00:00"/>
    <n v="93.070833494713995"/>
    <n v="-1"/>
    <x v="14"/>
    <s v="UK"/>
    <s v="Central"/>
    <x v="2"/>
    <n v="0"/>
    <s v="No"/>
    <n v="1"/>
    <s v="On Time"/>
    <x v="3"/>
    <x v="5"/>
  </r>
  <r>
    <s v="PO001005"/>
    <s v="SUP00062"/>
    <s v="PROD00021"/>
    <d v="2022-10-16T00:00:00"/>
    <n v="9"/>
    <n v="73.245708258285902"/>
    <d v="2022-11-02T00:00:00"/>
    <d v="2022-11-02T00:00:00"/>
    <n v="659.21137432457294"/>
    <n v="0"/>
    <x v="81"/>
    <s v="Brazil"/>
    <s v="Central"/>
    <x v="0"/>
    <n v="0"/>
    <s v="No"/>
    <n v="1"/>
    <s v="On Time"/>
    <x v="3"/>
    <x v="4"/>
  </r>
  <r>
    <s v="PO001006"/>
    <s v="SUP00089"/>
    <s v="PROD00060"/>
    <d v="2024-02-02T00:00:00"/>
    <n v="14"/>
    <n v="32.437101445497099"/>
    <d v="2024-02-21T00:00:00"/>
    <d v="2024-02-25T00:00:00"/>
    <n v="454.11942023696002"/>
    <n v="4"/>
    <x v="87"/>
    <s v="Canada"/>
    <s v="North"/>
    <x v="0"/>
    <n v="0"/>
    <s v="No"/>
    <n v="0"/>
    <s v="Late"/>
    <x v="0"/>
    <x v="9"/>
  </r>
  <r>
    <s v="PO001007"/>
    <s v="SUP00037"/>
    <s v="PROD00197"/>
    <d v="2021-11-13T00:00:00"/>
    <n v="12"/>
    <n v="79.195706651207701"/>
    <d v="2021-11-27T00:00:00"/>
    <d v="2021-11-30T00:00:00"/>
    <n v="950.34847981449195"/>
    <n v="3"/>
    <x v="46"/>
    <s v="Denmark"/>
    <s v="East"/>
    <x v="1"/>
    <n v="0"/>
    <s v="No"/>
    <n v="0"/>
    <s v="Late"/>
    <x v="1"/>
    <x v="6"/>
  </r>
  <r>
    <s v="PO001008"/>
    <s v="SUP00094"/>
    <s v="PROD00196"/>
    <d v="2022-11-18T00:00:00"/>
    <n v="13"/>
    <n v="56.739270729474597"/>
    <d v="2022-12-05T00:00:00"/>
    <d v="2022-12-05T00:00:00"/>
    <n v="737.61051948317004"/>
    <n v="0"/>
    <x v="62"/>
    <s v="USA"/>
    <s v="North"/>
    <x v="2"/>
    <n v="0"/>
    <s v="No"/>
    <n v="1"/>
    <s v="On Time"/>
    <x v="3"/>
    <x v="6"/>
  </r>
  <r>
    <s v="PO001009"/>
    <s v="SUP00080"/>
    <s v="PROD00133"/>
    <d v="2021-10-09T00:00:00"/>
    <n v="12"/>
    <n v="54.467645190239402"/>
    <d v="2021-10-20T00:00:00"/>
    <d v="2021-10-18T00:00:00"/>
    <n v="653.611742282872"/>
    <n v="-2"/>
    <x v="70"/>
    <s v="USA"/>
    <s v="North"/>
    <x v="2"/>
    <n v="0"/>
    <s v="No"/>
    <n v="1"/>
    <s v="On Time"/>
    <x v="1"/>
    <x v="4"/>
  </r>
  <r>
    <s v="PO001010"/>
    <s v="SUP00080"/>
    <s v="PROD00040"/>
    <d v="2022-09-18T00:00:00"/>
    <n v="9"/>
    <n v="73.520917654635696"/>
    <d v="2022-10-05T00:00:00"/>
    <d v="2022-10-10T00:00:00"/>
    <n v="661.68825889172103"/>
    <n v="5"/>
    <x v="70"/>
    <s v="USA"/>
    <s v="North"/>
    <x v="2"/>
    <n v="0"/>
    <s v="No"/>
    <n v="0"/>
    <s v="Late"/>
    <x v="3"/>
    <x v="11"/>
  </r>
  <r>
    <s v="PO001011"/>
    <s v="SUP00058"/>
    <s v="PROD00040"/>
    <d v="2024-02-06T00:00:00"/>
    <n v="7"/>
    <n v="38.490440344193097"/>
    <d v="2024-02-17T00:00:00"/>
    <d v="2024-02-17T00:00:00"/>
    <n v="269.43308240935198"/>
    <n v="0"/>
    <x v="86"/>
    <s v="China"/>
    <s v="East"/>
    <x v="2"/>
    <n v="1"/>
    <s v="Yes"/>
    <n v="1"/>
    <s v="On Time"/>
    <x v="0"/>
    <x v="9"/>
  </r>
  <r>
    <s v="PO001012"/>
    <s v="SUP00087"/>
    <s v="PROD00127"/>
    <d v="2023-03-18T00:00:00"/>
    <n v="14"/>
    <n v="21.662963550628099"/>
    <d v="2023-04-02T00:00:00"/>
    <d v="2023-04-02T00:00:00"/>
    <n v="303.281489708793"/>
    <n v="0"/>
    <x v="14"/>
    <s v="UK"/>
    <s v="Central"/>
    <x v="2"/>
    <n v="0"/>
    <s v="No"/>
    <n v="1"/>
    <s v="On Time"/>
    <x v="2"/>
    <x v="0"/>
  </r>
  <r>
    <s v="PO001013"/>
    <s v="SUP00047"/>
    <s v="PROD00153"/>
    <d v="2022-08-18T00:00:00"/>
    <n v="11"/>
    <n v="52.570201010916499"/>
    <d v="2022-08-31T00:00:00"/>
    <d v="2022-09-01T00:00:00"/>
    <n v="578.27221112008101"/>
    <n v="1"/>
    <x v="93"/>
    <s v="UK"/>
    <s v="Central"/>
    <x v="3"/>
    <n v="0"/>
    <s v="No"/>
    <n v="0"/>
    <s v="Late"/>
    <x v="3"/>
    <x v="2"/>
  </r>
  <r>
    <s v="PO001014"/>
    <s v="SUP00052"/>
    <s v="PROD00013"/>
    <d v="2024-01-27T00:00:00"/>
    <n v="13"/>
    <n v="19.052572528026801"/>
    <d v="2024-02-13T00:00:00"/>
    <d v="2024-02-17T00:00:00"/>
    <n v="247.68344286434899"/>
    <n v="4"/>
    <x v="80"/>
    <s v="Brazil"/>
    <s v="West"/>
    <x v="1"/>
    <n v="1"/>
    <s v="Yes"/>
    <n v="0"/>
    <s v="Late"/>
    <x v="0"/>
    <x v="10"/>
  </r>
  <r>
    <s v="PO001015"/>
    <s v="SUP00076"/>
    <s v="PROD00050"/>
    <d v="2022-03-05T00:00:00"/>
    <n v="10"/>
    <n v="72.980732513689404"/>
    <d v="2022-03-22T00:00:00"/>
    <d v="2022-03-20T00:00:00"/>
    <n v="729.80732513689395"/>
    <n v="-2"/>
    <x v="89"/>
    <s v="USA"/>
    <s v="South"/>
    <x v="2"/>
    <n v="1"/>
    <s v="Yes"/>
    <n v="1"/>
    <s v="On Time"/>
    <x v="3"/>
    <x v="0"/>
  </r>
  <r>
    <s v="PO001016"/>
    <s v="SUP00034"/>
    <s v="PROD00031"/>
    <d v="2023-12-10T00:00:00"/>
    <n v="9"/>
    <n v="41.935172974489298"/>
    <d v="2024-01-01T00:00:00"/>
    <d v="2024-01-06T00:00:00"/>
    <n v="377.41655677040399"/>
    <n v="5"/>
    <x v="67"/>
    <s v="Brazil"/>
    <s v="North"/>
    <x v="1"/>
    <n v="1"/>
    <s v="Yes"/>
    <n v="0"/>
    <s v="Late"/>
    <x v="2"/>
    <x v="7"/>
  </r>
  <r>
    <s v="PO001017"/>
    <s v="SUP00037"/>
    <s v="PROD00192"/>
    <d v="2022-05-03T00:00:00"/>
    <n v="16"/>
    <n v="50.081028330607197"/>
    <d v="2022-05-16T00:00:00"/>
    <d v="2022-05-15T00:00:00"/>
    <n v="801.29645328971503"/>
    <n v="-1"/>
    <x v="46"/>
    <s v="Denmark"/>
    <s v="East"/>
    <x v="1"/>
    <n v="0"/>
    <s v="No"/>
    <n v="1"/>
    <s v="On Time"/>
    <x v="3"/>
    <x v="3"/>
  </r>
  <r>
    <s v="PO001018"/>
    <s v="SUP00018"/>
    <s v="PROD00027"/>
    <d v="2023-10-23T00:00:00"/>
    <n v="14"/>
    <n v="50.520704104879101"/>
    <d v="2023-11-02T00:00:00"/>
    <d v="2023-11-03T00:00:00"/>
    <n v="707.28985746830801"/>
    <n v="1"/>
    <x v="8"/>
    <s v="UK"/>
    <s v="West"/>
    <x v="2"/>
    <n v="0"/>
    <s v="No"/>
    <n v="0"/>
    <s v="Late"/>
    <x v="2"/>
    <x v="4"/>
  </r>
  <r>
    <s v="PO001019"/>
    <s v="SUP00075"/>
    <s v="PROD00013"/>
    <d v="2021-07-08T00:00:00"/>
    <n v="12"/>
    <n v="36.9791420886271"/>
    <d v="2021-07-24T00:00:00"/>
    <d v="2021-07-21T00:00:00"/>
    <n v="443.74970506352599"/>
    <n v="-3"/>
    <x v="11"/>
    <s v="USA"/>
    <s v="Central"/>
    <x v="1"/>
    <n v="1"/>
    <s v="Yes"/>
    <n v="1"/>
    <s v="On Time"/>
    <x v="1"/>
    <x v="5"/>
  </r>
  <r>
    <s v="PO001020"/>
    <s v="SUP00046"/>
    <s v="PROD00074"/>
    <d v="2022-08-10T00:00:00"/>
    <n v="8"/>
    <n v="50.437958199600502"/>
    <d v="2022-08-30T00:00:00"/>
    <d v="2022-09-01T00:00:00"/>
    <n v="403.50366559680401"/>
    <n v="2"/>
    <x v="61"/>
    <s v="Brazil"/>
    <s v="South"/>
    <x v="3"/>
    <n v="1"/>
    <s v="Yes"/>
    <n v="0"/>
    <s v="Late"/>
    <x v="3"/>
    <x v="2"/>
  </r>
  <r>
    <s v="PO001021"/>
    <s v="SUP00081"/>
    <s v="PROD00140"/>
    <d v="2023-01-12T00:00:00"/>
    <n v="15"/>
    <n v="22.914609298590999"/>
    <d v="2023-01-24T00:00:00"/>
    <d v="2023-01-25T00:00:00"/>
    <n v="343.71913947886497"/>
    <n v="1"/>
    <x v="66"/>
    <s v="India"/>
    <s v="Central"/>
    <x v="0"/>
    <n v="1"/>
    <s v="Yes"/>
    <n v="0"/>
    <s v="Late"/>
    <x v="2"/>
    <x v="10"/>
  </r>
  <r>
    <s v="PO001022"/>
    <s v="SUP00016"/>
    <s v="PROD00080"/>
    <d v="2023-11-03T00:00:00"/>
    <n v="11"/>
    <n v="68.655791990571501"/>
    <d v="2023-11-23T00:00:00"/>
    <d v="2023-11-26T00:00:00"/>
    <n v="755.21371189628701"/>
    <n v="3"/>
    <x v="39"/>
    <s v="China"/>
    <s v="East"/>
    <x v="0"/>
    <n v="0"/>
    <s v="No"/>
    <n v="0"/>
    <s v="Late"/>
    <x v="2"/>
    <x v="6"/>
  </r>
  <r>
    <s v="PO001023"/>
    <s v="SUP00015"/>
    <s v="PROD00039"/>
    <d v="2023-10-15T00:00:00"/>
    <n v="8"/>
    <n v="48.715728849700596"/>
    <d v="2023-10-27T00:00:00"/>
    <d v="2023-11-01T00:00:00"/>
    <n v="389.725830797605"/>
    <n v="5"/>
    <x v="51"/>
    <s v="China"/>
    <s v="South"/>
    <x v="0"/>
    <n v="1"/>
    <s v="Yes"/>
    <n v="0"/>
    <s v="Late"/>
    <x v="2"/>
    <x v="4"/>
  </r>
  <r>
    <s v="PO001024"/>
    <s v="SUP00004"/>
    <s v="PROD00070"/>
    <d v="2021-08-20T00:00:00"/>
    <n v="10"/>
    <n v="58.834138013801002"/>
    <d v="2021-09-11T00:00:00"/>
    <d v="2021-09-14T00:00:00"/>
    <n v="588.34138013800998"/>
    <n v="3"/>
    <x v="28"/>
    <s v="USA"/>
    <s v="North"/>
    <x v="1"/>
    <n v="0"/>
    <s v="No"/>
    <n v="0"/>
    <s v="Late"/>
    <x v="1"/>
    <x v="2"/>
  </r>
  <r>
    <s v="PO001025"/>
    <s v="SUP00029"/>
    <s v="PROD00152"/>
    <d v="2021-10-11T00:00:00"/>
    <n v="11"/>
    <n v="34.616541820961103"/>
    <d v="2021-11-01T00:00:00"/>
    <d v="2021-10-30T00:00:00"/>
    <n v="380.78196003057201"/>
    <n v="-2"/>
    <x v="47"/>
    <s v="China"/>
    <s v="West"/>
    <x v="0"/>
    <n v="1"/>
    <s v="Yes"/>
    <n v="1"/>
    <s v="On Time"/>
    <x v="1"/>
    <x v="4"/>
  </r>
  <r>
    <s v="PO001026"/>
    <s v="SUP00057"/>
    <s v="PROD00085"/>
    <d v="2021-09-08T00:00:00"/>
    <n v="14"/>
    <n v="69.081296136734096"/>
    <d v="2021-09-29T00:00:00"/>
    <d v="2021-10-03T00:00:00"/>
    <n v="967.13814591427797"/>
    <n v="4"/>
    <x v="68"/>
    <s v="UK"/>
    <s v="South"/>
    <x v="3"/>
    <n v="1"/>
    <s v="Yes"/>
    <n v="0"/>
    <s v="Late"/>
    <x v="1"/>
    <x v="11"/>
  </r>
  <r>
    <s v="PO001027"/>
    <s v="SUP00082"/>
    <s v="PROD00182"/>
    <d v="2021-09-29T00:00:00"/>
    <n v="8"/>
    <n v="69.693790772594895"/>
    <d v="2021-10-12T00:00:00"/>
    <d v="2021-10-16T00:00:00"/>
    <n v="557.55032618075904"/>
    <n v="4"/>
    <x v="76"/>
    <s v="India"/>
    <s v="North"/>
    <x v="1"/>
    <n v="1"/>
    <s v="Yes"/>
    <n v="0"/>
    <s v="Late"/>
    <x v="1"/>
    <x v="11"/>
  </r>
  <r>
    <s v="PO001028"/>
    <s v="SUP00094"/>
    <s v="PROD00137"/>
    <d v="2021-09-30T00:00:00"/>
    <n v="13"/>
    <n v="46.8171397767657"/>
    <d v="2021-10-21T00:00:00"/>
    <d v="2021-10-26T00:00:00"/>
    <n v="608.622817097954"/>
    <n v="5"/>
    <x v="62"/>
    <s v="USA"/>
    <s v="North"/>
    <x v="2"/>
    <n v="0"/>
    <s v="No"/>
    <n v="0"/>
    <s v="Late"/>
    <x v="1"/>
    <x v="11"/>
  </r>
  <r>
    <s v="PO001029"/>
    <s v="SUP00015"/>
    <s v="PROD00172"/>
    <d v="2023-11-08T00:00:00"/>
    <n v="14"/>
    <n v="12.250083408894101"/>
    <d v="2023-11-19T00:00:00"/>
    <d v="2023-11-24T00:00:00"/>
    <n v="171.50116772451699"/>
    <n v="5"/>
    <x v="51"/>
    <s v="China"/>
    <s v="South"/>
    <x v="0"/>
    <n v="1"/>
    <s v="Yes"/>
    <n v="0"/>
    <s v="Late"/>
    <x v="2"/>
    <x v="6"/>
  </r>
  <r>
    <s v="PO001030"/>
    <s v="SUP00030"/>
    <s v="PROD00150"/>
    <d v="2022-01-14T00:00:00"/>
    <n v="12"/>
    <n v="46.164681854894603"/>
    <d v="2022-01-31T00:00:00"/>
    <d v="2022-02-01T00:00:00"/>
    <n v="553.97618225873498"/>
    <n v="1"/>
    <x v="29"/>
    <s v="India"/>
    <s v="Central"/>
    <x v="0"/>
    <n v="0"/>
    <s v="No"/>
    <n v="0"/>
    <s v="Late"/>
    <x v="3"/>
    <x v="10"/>
  </r>
  <r>
    <s v="PO001031"/>
    <s v="SUP00068"/>
    <s v="PROD00191"/>
    <d v="2023-07-19T00:00:00"/>
    <n v="12"/>
    <n v="37.1983154653268"/>
    <d v="2023-08-06T00:00:00"/>
    <d v="2023-08-09T00:00:00"/>
    <n v="446.37978558392098"/>
    <n v="3"/>
    <x v="12"/>
    <s v="UK"/>
    <s v="South"/>
    <x v="3"/>
    <n v="1"/>
    <s v="Yes"/>
    <n v="0"/>
    <s v="Late"/>
    <x v="2"/>
    <x v="5"/>
  </r>
  <r>
    <s v="PO001032"/>
    <s v="SUP00096"/>
    <s v="PROD00095"/>
    <d v="2021-04-19T00:00:00"/>
    <n v="3"/>
    <n v="46.381118688301299"/>
    <d v="2021-05-10T00:00:00"/>
    <d v="2021-05-08T00:00:00"/>
    <n v="139.143356064903"/>
    <n v="-2"/>
    <x v="26"/>
    <s v="India"/>
    <s v="South"/>
    <x v="1"/>
    <n v="0"/>
    <s v="No"/>
    <n v="1"/>
    <s v="On Time"/>
    <x v="1"/>
    <x v="8"/>
  </r>
  <r>
    <s v="PO001033"/>
    <s v="SUP00016"/>
    <s v="PROD00095"/>
    <d v="2024-02-22T00:00:00"/>
    <n v="5"/>
    <n v="39.714297448289798"/>
    <d v="2024-03-07T00:00:00"/>
    <d v="2024-03-11T00:00:00"/>
    <n v="198.57148724144901"/>
    <n v="4"/>
    <x v="39"/>
    <s v="China"/>
    <s v="East"/>
    <x v="0"/>
    <n v="0"/>
    <s v="No"/>
    <n v="0"/>
    <s v="Late"/>
    <x v="0"/>
    <x v="9"/>
  </r>
  <r>
    <s v="PO001034"/>
    <s v="SUP00026"/>
    <s v="PROD00058"/>
    <d v="2023-10-30T00:00:00"/>
    <n v="12"/>
    <n v="61.005516916972397"/>
    <d v="2023-11-11T00:00:00"/>
    <d v="2023-11-14T00:00:00"/>
    <n v="732.06620300366797"/>
    <n v="3"/>
    <x v="44"/>
    <s v="Denmark"/>
    <s v="East"/>
    <x v="1"/>
    <n v="1"/>
    <s v="Yes"/>
    <n v="0"/>
    <s v="Late"/>
    <x v="2"/>
    <x v="4"/>
  </r>
  <r>
    <s v="PO001035"/>
    <s v="SUP00046"/>
    <s v="PROD00140"/>
    <d v="2022-04-21T00:00:00"/>
    <n v="5"/>
    <n v="63.363332176676103"/>
    <d v="2022-05-05T00:00:00"/>
    <d v="2022-05-05T00:00:00"/>
    <n v="316.81666088338"/>
    <n v="0"/>
    <x v="61"/>
    <s v="Brazil"/>
    <s v="South"/>
    <x v="3"/>
    <n v="1"/>
    <s v="Yes"/>
    <n v="1"/>
    <s v="On Time"/>
    <x v="3"/>
    <x v="8"/>
  </r>
  <r>
    <s v="PO001036"/>
    <s v="SUP00038"/>
    <s v="PROD00011"/>
    <d v="2021-12-17T00:00:00"/>
    <n v="15"/>
    <n v="14.228721572560101"/>
    <d v="2022-01-04T00:00:00"/>
    <d v="2022-01-09T00:00:00"/>
    <n v="213.43082358840201"/>
    <n v="5"/>
    <x v="34"/>
    <s v="Germany"/>
    <s v="South"/>
    <x v="1"/>
    <n v="0"/>
    <s v="No"/>
    <n v="0"/>
    <s v="Late"/>
    <x v="1"/>
    <x v="7"/>
  </r>
  <r>
    <s v="PO001037"/>
    <s v="SUP00040"/>
    <s v="PROD00182"/>
    <d v="2021-06-17T00:00:00"/>
    <n v="10"/>
    <n v="52.428927604441903"/>
    <d v="2021-07-11T00:00:00"/>
    <d v="2021-07-09T00:00:00"/>
    <n v="524.28927604441901"/>
    <n v="-2"/>
    <x v="58"/>
    <s v="Denmark"/>
    <s v="East"/>
    <x v="2"/>
    <n v="0"/>
    <s v="No"/>
    <n v="1"/>
    <s v="On Time"/>
    <x v="1"/>
    <x v="1"/>
  </r>
  <r>
    <s v="PO001038"/>
    <s v="SUP00051"/>
    <s v="PROD00181"/>
    <d v="2022-08-16T00:00:00"/>
    <n v="9"/>
    <n v="17.827650350041701"/>
    <d v="2022-09-09T00:00:00"/>
    <d v="2022-09-09T00:00:00"/>
    <n v="160.44885315037499"/>
    <n v="0"/>
    <x v="57"/>
    <s v="UK"/>
    <s v="South"/>
    <x v="1"/>
    <n v="0"/>
    <s v="No"/>
    <n v="1"/>
    <s v="On Time"/>
    <x v="3"/>
    <x v="2"/>
  </r>
  <r>
    <s v="PO001039"/>
    <s v="SUP00052"/>
    <s v="PROD00068"/>
    <d v="2021-12-25T00:00:00"/>
    <n v="19"/>
    <n v="19.0991074496064"/>
    <d v="2022-01-18T00:00:00"/>
    <d v="2022-01-23T00:00:00"/>
    <n v="362.88304154252199"/>
    <n v="5"/>
    <x v="80"/>
    <s v="Brazil"/>
    <s v="West"/>
    <x v="1"/>
    <n v="1"/>
    <s v="Yes"/>
    <n v="0"/>
    <s v="Late"/>
    <x v="1"/>
    <x v="7"/>
  </r>
  <r>
    <s v="PO001040"/>
    <s v="SUP00087"/>
    <s v="PROD00109"/>
    <d v="2023-08-03T00:00:00"/>
    <n v="13"/>
    <n v="8.6144822908506899"/>
    <d v="2023-08-26T00:00:00"/>
    <d v="2023-08-23T00:00:00"/>
    <n v="111.988269781059"/>
    <n v="-3"/>
    <x v="14"/>
    <s v="UK"/>
    <s v="Central"/>
    <x v="2"/>
    <n v="0"/>
    <s v="No"/>
    <n v="1"/>
    <s v="On Time"/>
    <x v="2"/>
    <x v="2"/>
  </r>
  <r>
    <s v="PO001041"/>
    <s v="SUP00034"/>
    <s v="PROD00111"/>
    <d v="2022-04-10T00:00:00"/>
    <n v="16"/>
    <n v="42.043868140421402"/>
    <d v="2022-05-04T00:00:00"/>
    <d v="2022-05-05T00:00:00"/>
    <n v="672.70189024674301"/>
    <n v="1"/>
    <x v="67"/>
    <s v="Brazil"/>
    <s v="North"/>
    <x v="1"/>
    <n v="1"/>
    <s v="Yes"/>
    <n v="0"/>
    <s v="Late"/>
    <x v="3"/>
    <x v="8"/>
  </r>
  <r>
    <s v="PO001042"/>
    <s v="SUP00018"/>
    <s v="PROD00067"/>
    <d v="2023-11-13T00:00:00"/>
    <n v="13"/>
    <n v="42.275468290097898"/>
    <d v="2023-12-04T00:00:00"/>
    <d v="2023-12-10T00:00:00"/>
    <n v="549.58108777127302"/>
    <n v="6"/>
    <x v="8"/>
    <s v="UK"/>
    <s v="West"/>
    <x v="2"/>
    <n v="0"/>
    <s v="No"/>
    <n v="0"/>
    <s v="Late"/>
    <x v="2"/>
    <x v="6"/>
  </r>
  <r>
    <s v="PO001043"/>
    <s v="SUP00088"/>
    <s v="PROD00036"/>
    <d v="2021-02-16T00:00:00"/>
    <n v="13"/>
    <n v="48.121879711942697"/>
    <d v="2021-03-06T00:00:00"/>
    <d v="2021-03-04T00:00:00"/>
    <n v="625.58443625525501"/>
    <n v="-2"/>
    <x v="41"/>
    <s v="Brazil"/>
    <s v="East"/>
    <x v="3"/>
    <n v="0"/>
    <s v="No"/>
    <n v="1"/>
    <s v="On Time"/>
    <x v="1"/>
    <x v="9"/>
  </r>
  <r>
    <s v="PO001044"/>
    <s v="SUP00014"/>
    <s v="PROD00048"/>
    <d v="2022-11-21T00:00:00"/>
    <n v="7"/>
    <n v="19.209629733257799"/>
    <d v="2022-12-14T00:00:00"/>
    <d v="2022-12-16T00:00:00"/>
    <n v="134.467408132804"/>
    <n v="2"/>
    <x v="59"/>
    <s v="Germany"/>
    <s v="West"/>
    <x v="1"/>
    <n v="0"/>
    <s v="No"/>
    <n v="0"/>
    <s v="Late"/>
    <x v="3"/>
    <x v="6"/>
  </r>
  <r>
    <s v="PO001045"/>
    <s v="SUP00040"/>
    <s v="PROD00192"/>
    <d v="2021-02-19T00:00:00"/>
    <n v="13"/>
    <n v="61.944148237717897"/>
    <d v="2021-03-15T00:00:00"/>
    <d v="2021-03-16T00:00:00"/>
    <n v="805.27392709033302"/>
    <n v="1"/>
    <x v="58"/>
    <s v="Denmark"/>
    <s v="East"/>
    <x v="2"/>
    <n v="0"/>
    <s v="No"/>
    <n v="0"/>
    <s v="Late"/>
    <x v="1"/>
    <x v="9"/>
  </r>
  <r>
    <s v="PO001046"/>
    <s v="SUP00084"/>
    <s v="PROD00105"/>
    <d v="2022-02-10T00:00:00"/>
    <n v="15"/>
    <n v="19.6162439756894"/>
    <d v="2022-02-23T00:00:00"/>
    <d v="2022-02-23T00:00:00"/>
    <n v="294.24365963534098"/>
    <n v="0"/>
    <x v="35"/>
    <s v="Canada"/>
    <s v="West"/>
    <x v="1"/>
    <n v="1"/>
    <s v="Yes"/>
    <n v="1"/>
    <s v="On Time"/>
    <x v="3"/>
    <x v="9"/>
  </r>
  <r>
    <s v="PO001047"/>
    <s v="SUP00042"/>
    <s v="PROD00110"/>
    <d v="2021-05-05T00:00:00"/>
    <n v="13"/>
    <n v="55.800938301358798"/>
    <d v="2021-05-29T00:00:00"/>
    <d v="2021-05-31T00:00:00"/>
    <n v="725.412197917664"/>
    <n v="2"/>
    <x v="64"/>
    <s v="India"/>
    <s v="West"/>
    <x v="2"/>
    <n v="0"/>
    <s v="No"/>
    <n v="0"/>
    <s v="Late"/>
    <x v="1"/>
    <x v="3"/>
  </r>
  <r>
    <s v="PO001048"/>
    <s v="SUP00059"/>
    <s v="PROD00121"/>
    <d v="2021-10-26T00:00:00"/>
    <n v="9"/>
    <n v="34.955766576384399"/>
    <d v="2021-11-15T00:00:00"/>
    <d v="2021-11-12T00:00:00"/>
    <n v="314.60189918745903"/>
    <n v="-3"/>
    <x v="0"/>
    <s v="India"/>
    <s v="North"/>
    <x v="0"/>
    <n v="0"/>
    <s v="No"/>
    <n v="1"/>
    <s v="On Time"/>
    <x v="1"/>
    <x v="4"/>
  </r>
  <r>
    <s v="PO001049"/>
    <s v="SUP00039"/>
    <s v="PROD00002"/>
    <d v="2023-08-05T00:00:00"/>
    <n v="7"/>
    <n v="13.759365528843"/>
    <d v="2023-08-25T00:00:00"/>
    <d v="2023-08-22T00:00:00"/>
    <n v="96.315558701901296"/>
    <n v="-3"/>
    <x v="7"/>
    <s v="Denmark"/>
    <s v="South"/>
    <x v="0"/>
    <n v="1"/>
    <s v="Yes"/>
    <n v="1"/>
    <s v="On Time"/>
    <x v="2"/>
    <x v="2"/>
  </r>
  <r>
    <s v="PO001050"/>
    <s v="SUP00022"/>
    <s v="PROD00036"/>
    <d v="2022-07-11T00:00:00"/>
    <n v="9"/>
    <n v="57.644269041745702"/>
    <d v="2022-07-22T00:00:00"/>
    <d v="2022-07-24T00:00:00"/>
    <n v="518.79842137571097"/>
    <n v="2"/>
    <x v="60"/>
    <s v="India"/>
    <s v="South"/>
    <x v="1"/>
    <n v="0"/>
    <s v="No"/>
    <n v="0"/>
    <s v="Late"/>
    <x v="3"/>
    <x v="5"/>
  </r>
  <r>
    <s v="PO001051"/>
    <s v="SUP00009"/>
    <s v="PROD00180"/>
    <d v="2022-08-11T00:00:00"/>
    <n v="8"/>
    <n v="12.585273192662401"/>
    <d v="2022-08-29T00:00:00"/>
    <d v="2022-08-29T00:00:00"/>
    <n v="100.68218554129901"/>
    <n v="0"/>
    <x v="95"/>
    <s v="China"/>
    <s v="North"/>
    <x v="1"/>
    <n v="1"/>
    <s v="Yes"/>
    <n v="1"/>
    <s v="On Time"/>
    <x v="3"/>
    <x v="2"/>
  </r>
  <r>
    <s v="PO001052"/>
    <s v="SUP00033"/>
    <s v="PROD00129"/>
    <d v="2021-06-29T00:00:00"/>
    <n v="8"/>
    <n v="23.155143066853899"/>
    <d v="2021-07-10T00:00:00"/>
    <d v="2021-07-13T00:00:00"/>
    <n v="185.24114453483099"/>
    <n v="3"/>
    <x v="54"/>
    <s v="USA"/>
    <s v="South"/>
    <x v="0"/>
    <n v="0"/>
    <s v="No"/>
    <n v="0"/>
    <s v="Late"/>
    <x v="1"/>
    <x v="1"/>
  </r>
  <r>
    <s v="PO001053"/>
    <s v="SUP00013"/>
    <s v="PROD00070"/>
    <d v="2023-11-03T00:00:00"/>
    <n v="8"/>
    <n v="14.819663621212801"/>
    <d v="2023-11-14T00:00:00"/>
    <d v="2023-11-13T00:00:00"/>
    <n v="118.557308969703"/>
    <n v="-1"/>
    <x v="31"/>
    <s v="China"/>
    <s v="North"/>
    <x v="2"/>
    <n v="1"/>
    <s v="Yes"/>
    <n v="1"/>
    <s v="On Time"/>
    <x v="2"/>
    <x v="6"/>
  </r>
  <r>
    <s v="PO001054"/>
    <s v="SUP00013"/>
    <s v="PROD00096"/>
    <d v="2022-06-23T00:00:00"/>
    <n v="8"/>
    <n v="36.907248334427003"/>
    <d v="2022-07-05T00:00:00"/>
    <d v="2022-07-03T00:00:00"/>
    <n v="295.25798667541602"/>
    <n v="-2"/>
    <x v="31"/>
    <s v="China"/>
    <s v="North"/>
    <x v="2"/>
    <n v="1"/>
    <s v="Yes"/>
    <n v="1"/>
    <s v="On Time"/>
    <x v="3"/>
    <x v="1"/>
  </r>
  <r>
    <s v="PO001055"/>
    <s v="SUP00009"/>
    <s v="PROD00040"/>
    <d v="2022-07-25T00:00:00"/>
    <n v="15"/>
    <n v="62.065033667480897"/>
    <d v="2022-08-18T00:00:00"/>
    <d v="2022-08-16T00:00:00"/>
    <n v="930.97550501221394"/>
    <n v="-2"/>
    <x v="95"/>
    <s v="China"/>
    <s v="North"/>
    <x v="1"/>
    <n v="1"/>
    <s v="Yes"/>
    <n v="1"/>
    <s v="On Time"/>
    <x v="3"/>
    <x v="5"/>
  </r>
  <r>
    <s v="PO001056"/>
    <s v="SUP00003"/>
    <s v="PROD00037"/>
    <d v="2021-06-09T00:00:00"/>
    <n v="10"/>
    <n v="32.284738321237199"/>
    <d v="2021-06-22T00:00:00"/>
    <d v="2021-06-27T00:00:00"/>
    <n v="322.84738321237199"/>
    <n v="5"/>
    <x v="91"/>
    <s v="India"/>
    <s v="Central"/>
    <x v="0"/>
    <n v="1"/>
    <s v="Yes"/>
    <n v="0"/>
    <s v="Late"/>
    <x v="1"/>
    <x v="1"/>
  </r>
  <r>
    <s v="PO001057"/>
    <s v="SUP00012"/>
    <s v="PROD00137"/>
    <d v="2021-05-01T00:00:00"/>
    <n v="10"/>
    <n v="27.233427911481201"/>
    <d v="2021-05-12T00:00:00"/>
    <d v="2021-05-13T00:00:00"/>
    <n v="272.33427911481198"/>
    <n v="1"/>
    <x v="88"/>
    <s v="China"/>
    <s v="East"/>
    <x v="3"/>
    <n v="0"/>
    <s v="No"/>
    <n v="0"/>
    <s v="Late"/>
    <x v="1"/>
    <x v="3"/>
  </r>
  <r>
    <s v="PO001058"/>
    <s v="SUP00034"/>
    <s v="PROD00018"/>
    <d v="2021-12-19T00:00:00"/>
    <n v="9"/>
    <n v="44.647223605560299"/>
    <d v="2022-01-04T00:00:00"/>
    <d v="2022-01-06T00:00:00"/>
    <n v="401.825012450043"/>
    <n v="2"/>
    <x v="67"/>
    <s v="Brazil"/>
    <s v="North"/>
    <x v="1"/>
    <n v="1"/>
    <s v="Yes"/>
    <n v="0"/>
    <s v="Late"/>
    <x v="1"/>
    <x v="7"/>
  </r>
  <r>
    <s v="PO001059"/>
    <s v="SUP00060"/>
    <s v="PROD00193"/>
    <d v="2022-12-22T00:00:00"/>
    <n v="12"/>
    <n v="46.222563535280898"/>
    <d v="2023-01-03T00:00:00"/>
    <d v="2023-01-09T00:00:00"/>
    <n v="554.670762423371"/>
    <n v="6"/>
    <x v="85"/>
    <s v="UK"/>
    <s v="North"/>
    <x v="3"/>
    <n v="1"/>
    <s v="Yes"/>
    <n v="0"/>
    <s v="Late"/>
    <x v="3"/>
    <x v="7"/>
  </r>
  <r>
    <s v="PO001060"/>
    <s v="SUP00045"/>
    <s v="PROD00048"/>
    <d v="2021-02-17T00:00:00"/>
    <n v="11"/>
    <n v="74.357636512725094"/>
    <d v="2021-03-02T00:00:00"/>
    <d v="2021-02-27T00:00:00"/>
    <n v="817.93400163997603"/>
    <n v="-3"/>
    <x v="84"/>
    <s v="Canada"/>
    <s v="North"/>
    <x v="3"/>
    <n v="1"/>
    <s v="Yes"/>
    <n v="1"/>
    <s v="On Time"/>
    <x v="1"/>
    <x v="9"/>
  </r>
  <r>
    <s v="PO001061"/>
    <s v="SUP00098"/>
    <s v="PROD00009"/>
    <d v="2021-06-30T00:00:00"/>
    <n v="9"/>
    <n v="18.815960989427399"/>
    <d v="2021-07-20T00:00:00"/>
    <d v="2021-07-19T00:00:00"/>
    <n v="169.34364890484599"/>
    <n v="-1"/>
    <x v="38"/>
    <s v="Germany"/>
    <s v="North"/>
    <x v="3"/>
    <n v="1"/>
    <s v="Yes"/>
    <n v="1"/>
    <s v="On Time"/>
    <x v="1"/>
    <x v="1"/>
  </r>
  <r>
    <s v="PO001062"/>
    <s v="SUP00031"/>
    <s v="PROD00158"/>
    <d v="2022-07-25T00:00:00"/>
    <n v="8"/>
    <n v="35.270069964939502"/>
    <d v="2022-08-13T00:00:00"/>
    <d v="2022-08-14T00:00:00"/>
    <n v="282.16055971951602"/>
    <n v="1"/>
    <x v="33"/>
    <s v="USA"/>
    <s v="West"/>
    <x v="3"/>
    <n v="0"/>
    <s v="No"/>
    <n v="0"/>
    <s v="Late"/>
    <x v="3"/>
    <x v="5"/>
  </r>
  <r>
    <s v="PO001063"/>
    <s v="SUP00084"/>
    <s v="PROD00015"/>
    <d v="2022-03-19T00:00:00"/>
    <n v="15"/>
    <n v="15.7811429522257"/>
    <d v="2022-04-09T00:00:00"/>
    <d v="2022-04-08T00:00:00"/>
    <n v="236.71714428338601"/>
    <n v="-1"/>
    <x v="35"/>
    <s v="Canada"/>
    <s v="West"/>
    <x v="1"/>
    <n v="1"/>
    <s v="Yes"/>
    <n v="1"/>
    <s v="On Time"/>
    <x v="3"/>
    <x v="0"/>
  </r>
  <r>
    <s v="PO001064"/>
    <s v="SUP00100"/>
    <s v="PROD00192"/>
    <d v="2022-09-13T00:00:00"/>
    <n v="5"/>
    <n v="18.4857965986536"/>
    <d v="2022-10-07T00:00:00"/>
    <d v="2022-10-11T00:00:00"/>
    <n v="92.428982993268406"/>
    <n v="4"/>
    <x v="45"/>
    <s v="Canada"/>
    <s v="Central"/>
    <x v="1"/>
    <n v="0"/>
    <s v="No"/>
    <n v="0"/>
    <s v="Late"/>
    <x v="3"/>
    <x v="11"/>
  </r>
  <r>
    <s v="PO001065"/>
    <s v="SUP00095"/>
    <s v="PROD00180"/>
    <d v="2023-10-02T00:00:00"/>
    <n v="10"/>
    <n v="19.390062946741001"/>
    <d v="2023-10-25T00:00:00"/>
    <d v="2023-10-23T00:00:00"/>
    <n v="193.90062946741"/>
    <n v="-2"/>
    <x v="74"/>
    <s v="China"/>
    <s v="Central"/>
    <x v="1"/>
    <n v="0"/>
    <s v="No"/>
    <n v="1"/>
    <s v="On Time"/>
    <x v="2"/>
    <x v="4"/>
  </r>
  <r>
    <s v="PO001066"/>
    <s v="SUP00080"/>
    <s v="PROD00051"/>
    <d v="2021-04-01T00:00:00"/>
    <n v="9"/>
    <n v="39.220517799154202"/>
    <d v="2021-04-24T00:00:00"/>
    <d v="2021-04-21T00:00:00"/>
    <n v="352.98466019238799"/>
    <n v="-3"/>
    <x v="70"/>
    <s v="USA"/>
    <s v="North"/>
    <x v="2"/>
    <n v="0"/>
    <s v="No"/>
    <n v="1"/>
    <s v="On Time"/>
    <x v="1"/>
    <x v="8"/>
  </r>
  <r>
    <s v="PO001067"/>
    <s v="SUP00066"/>
    <s v="PROD00008"/>
    <d v="2023-03-10T00:00:00"/>
    <n v="10"/>
    <n v="67.686963308426598"/>
    <d v="2023-04-02T00:00:00"/>
    <d v="2023-04-02T00:00:00"/>
    <n v="676.86963308426596"/>
    <n v="0"/>
    <x v="65"/>
    <s v="India"/>
    <s v="West"/>
    <x v="2"/>
    <n v="0"/>
    <s v="No"/>
    <n v="1"/>
    <s v="On Time"/>
    <x v="2"/>
    <x v="0"/>
  </r>
  <r>
    <s v="PO001068"/>
    <s v="SUP00031"/>
    <s v="PROD00084"/>
    <d v="2021-06-21T00:00:00"/>
    <n v="16"/>
    <n v="77.979166505811193"/>
    <d v="2021-07-08T00:00:00"/>
    <d v="2021-07-12T00:00:00"/>
    <n v="1247.66666409297"/>
    <n v="4"/>
    <x v="33"/>
    <s v="USA"/>
    <s v="West"/>
    <x v="3"/>
    <n v="0"/>
    <s v="No"/>
    <n v="0"/>
    <s v="Late"/>
    <x v="1"/>
    <x v="1"/>
  </r>
  <r>
    <s v="PO001069"/>
    <s v="SUP00064"/>
    <s v="PROD00184"/>
    <d v="2023-05-02T00:00:00"/>
    <n v="12"/>
    <n v="75.530664320554706"/>
    <d v="2023-05-13T00:00:00"/>
    <d v="2023-05-14T00:00:00"/>
    <n v="906.36797184665602"/>
    <n v="1"/>
    <x v="28"/>
    <s v="Brazil"/>
    <s v="North"/>
    <x v="0"/>
    <n v="1"/>
    <s v="Yes"/>
    <n v="0"/>
    <s v="Late"/>
    <x v="2"/>
    <x v="3"/>
  </r>
  <r>
    <s v="PO001070"/>
    <s v="SUP00088"/>
    <s v="PROD00195"/>
    <d v="2023-05-19T00:00:00"/>
    <n v="10"/>
    <n v="48.308726031184698"/>
    <d v="2023-05-31T00:00:00"/>
    <d v="2023-06-05T00:00:00"/>
    <n v="483.08726031184699"/>
    <n v="5"/>
    <x v="41"/>
    <s v="Brazil"/>
    <s v="East"/>
    <x v="3"/>
    <n v="0"/>
    <s v="No"/>
    <n v="0"/>
    <s v="Late"/>
    <x v="2"/>
    <x v="3"/>
  </r>
  <r>
    <s v="PO001071"/>
    <s v="SUP00080"/>
    <s v="PROD00022"/>
    <d v="2023-10-03T00:00:00"/>
    <n v="14"/>
    <n v="69.390740308739296"/>
    <d v="2023-10-16T00:00:00"/>
    <d v="2023-10-16T00:00:00"/>
    <n v="971.47036432235097"/>
    <n v="0"/>
    <x v="70"/>
    <s v="USA"/>
    <s v="North"/>
    <x v="2"/>
    <n v="0"/>
    <s v="No"/>
    <n v="1"/>
    <s v="On Time"/>
    <x v="2"/>
    <x v="4"/>
  </r>
  <r>
    <s v="PO001072"/>
    <s v="SUP00027"/>
    <s v="PROD00130"/>
    <d v="2023-11-24T00:00:00"/>
    <n v="9"/>
    <n v="42.894187975604702"/>
    <d v="2023-12-05T00:00:00"/>
    <d v="2023-12-02T00:00:00"/>
    <n v="386.04769178044302"/>
    <n v="-3"/>
    <x v="53"/>
    <s v="Brazil"/>
    <s v="Central"/>
    <x v="0"/>
    <n v="0"/>
    <s v="No"/>
    <n v="1"/>
    <s v="On Time"/>
    <x v="2"/>
    <x v="6"/>
  </r>
  <r>
    <s v="PO001073"/>
    <s v="SUP00015"/>
    <s v="PROD00129"/>
    <d v="2023-04-17T00:00:00"/>
    <n v="7"/>
    <n v="49.063338010266101"/>
    <d v="2023-05-02T00:00:00"/>
    <d v="2023-05-04T00:00:00"/>
    <n v="343.44336607186301"/>
    <n v="2"/>
    <x v="51"/>
    <s v="China"/>
    <s v="South"/>
    <x v="0"/>
    <n v="1"/>
    <s v="Yes"/>
    <n v="0"/>
    <s v="Late"/>
    <x v="2"/>
    <x v="8"/>
  </r>
  <r>
    <s v="PO001074"/>
    <s v="SUP00096"/>
    <s v="PROD00049"/>
    <d v="2022-01-11T00:00:00"/>
    <n v="16"/>
    <n v="34.656643340391902"/>
    <d v="2022-01-21T00:00:00"/>
    <d v="2022-01-18T00:00:00"/>
    <n v="554.506293446271"/>
    <n v="-3"/>
    <x v="26"/>
    <s v="India"/>
    <s v="South"/>
    <x v="1"/>
    <n v="0"/>
    <s v="No"/>
    <n v="1"/>
    <s v="On Time"/>
    <x v="3"/>
    <x v="10"/>
  </r>
  <r>
    <s v="PO001075"/>
    <s v="SUP00076"/>
    <s v="PROD00165"/>
    <d v="2023-01-01T00:00:00"/>
    <n v="9"/>
    <n v="6.3793509689642098"/>
    <d v="2023-01-13T00:00:00"/>
    <d v="2023-01-13T00:00:00"/>
    <n v="57.414158720677896"/>
    <n v="0"/>
    <x v="89"/>
    <s v="USA"/>
    <s v="South"/>
    <x v="2"/>
    <n v="1"/>
    <s v="Yes"/>
    <n v="1"/>
    <s v="On Time"/>
    <x v="2"/>
    <x v="10"/>
  </r>
  <r>
    <s v="PO001076"/>
    <s v="SUP00091"/>
    <s v="PROD00100"/>
    <d v="2022-03-08T00:00:00"/>
    <n v="8"/>
    <n v="60.794569418120801"/>
    <d v="2022-03-26T00:00:00"/>
    <d v="2022-04-01T00:00:00"/>
    <n v="486.35655534496601"/>
    <n v="6"/>
    <x v="77"/>
    <s v="China"/>
    <s v="South"/>
    <x v="1"/>
    <n v="0"/>
    <s v="No"/>
    <n v="0"/>
    <s v="Late"/>
    <x v="3"/>
    <x v="0"/>
  </r>
  <r>
    <s v="PO001077"/>
    <s v="SUP00056"/>
    <s v="PROD00088"/>
    <d v="2021-02-27T00:00:00"/>
    <n v="9"/>
    <n v="48.848746518254302"/>
    <d v="2021-03-23T00:00:00"/>
    <d v="2021-03-24T00:00:00"/>
    <n v="439.63871866428798"/>
    <n v="1"/>
    <x v="13"/>
    <s v="China"/>
    <s v="North"/>
    <x v="2"/>
    <n v="0"/>
    <s v="No"/>
    <n v="0"/>
    <s v="Late"/>
    <x v="1"/>
    <x v="9"/>
  </r>
  <r>
    <s v="PO001078"/>
    <s v="SUP00098"/>
    <s v="PROD00086"/>
    <d v="2022-07-23T00:00:00"/>
    <n v="13"/>
    <n v="71.660450931500506"/>
    <d v="2022-08-16T00:00:00"/>
    <d v="2022-08-18T00:00:00"/>
    <n v="931.58586210950602"/>
    <n v="2"/>
    <x v="38"/>
    <s v="Germany"/>
    <s v="North"/>
    <x v="3"/>
    <n v="1"/>
    <s v="Yes"/>
    <n v="0"/>
    <s v="Late"/>
    <x v="3"/>
    <x v="5"/>
  </r>
  <r>
    <s v="PO001079"/>
    <s v="SUP00080"/>
    <s v="PROD00017"/>
    <d v="2022-04-05T00:00:00"/>
    <n v="8"/>
    <n v="9.8921721826182498"/>
    <d v="2022-04-22T00:00:00"/>
    <d v="2022-04-28T00:00:00"/>
    <n v="79.137377460945999"/>
    <n v="6"/>
    <x v="70"/>
    <s v="USA"/>
    <s v="North"/>
    <x v="2"/>
    <n v="0"/>
    <s v="No"/>
    <n v="0"/>
    <s v="Late"/>
    <x v="3"/>
    <x v="8"/>
  </r>
  <r>
    <s v="PO001080"/>
    <s v="SUP00074"/>
    <s v="PROD00090"/>
    <d v="2021-05-13T00:00:00"/>
    <n v="7"/>
    <n v="20.447902291407399"/>
    <d v="2021-06-05T00:00:00"/>
    <d v="2021-06-06T00:00:00"/>
    <n v="143.135316039852"/>
    <n v="1"/>
    <x v="48"/>
    <s v="Canada"/>
    <s v="South"/>
    <x v="0"/>
    <n v="1"/>
    <s v="Yes"/>
    <n v="0"/>
    <s v="Late"/>
    <x v="1"/>
    <x v="3"/>
  </r>
  <r>
    <s v="PO001081"/>
    <s v="SUP00067"/>
    <s v="PROD00194"/>
    <d v="2021-08-26T00:00:00"/>
    <n v="7"/>
    <n v="67.870185164270694"/>
    <d v="2021-09-12T00:00:00"/>
    <d v="2021-09-12T00:00:00"/>
    <n v="475.09129614989502"/>
    <n v="0"/>
    <x v="22"/>
    <s v="UK"/>
    <s v="South"/>
    <x v="3"/>
    <n v="1"/>
    <s v="Yes"/>
    <n v="1"/>
    <s v="On Time"/>
    <x v="1"/>
    <x v="2"/>
  </r>
  <r>
    <s v="PO001082"/>
    <s v="SUP00068"/>
    <s v="PROD00082"/>
    <d v="2021-01-27T00:00:00"/>
    <n v="10"/>
    <n v="79.3796814573722"/>
    <d v="2021-02-20T00:00:00"/>
    <d v="2021-02-21T00:00:00"/>
    <n v="793.79681457372203"/>
    <n v="1"/>
    <x v="12"/>
    <s v="UK"/>
    <s v="South"/>
    <x v="3"/>
    <n v="1"/>
    <s v="Yes"/>
    <n v="0"/>
    <s v="Late"/>
    <x v="1"/>
    <x v="10"/>
  </r>
  <r>
    <s v="PO001083"/>
    <s v="SUP00043"/>
    <s v="PROD00192"/>
    <d v="2023-03-25T00:00:00"/>
    <n v="11"/>
    <n v="73.926886751545197"/>
    <d v="2023-04-11T00:00:00"/>
    <d v="2023-04-14T00:00:00"/>
    <n v="813.19575426699703"/>
    <n v="3"/>
    <x v="23"/>
    <s v="India"/>
    <s v="Central"/>
    <x v="1"/>
    <n v="0"/>
    <s v="No"/>
    <n v="0"/>
    <s v="Late"/>
    <x v="2"/>
    <x v="0"/>
  </r>
  <r>
    <s v="PO001084"/>
    <s v="SUP00016"/>
    <s v="PROD00129"/>
    <d v="2023-05-07T00:00:00"/>
    <n v="10"/>
    <n v="68.787227886443802"/>
    <d v="2023-05-24T00:00:00"/>
    <d v="2023-05-23T00:00:00"/>
    <n v="687.87227886443804"/>
    <n v="-1"/>
    <x v="39"/>
    <s v="China"/>
    <s v="East"/>
    <x v="0"/>
    <n v="0"/>
    <s v="No"/>
    <n v="1"/>
    <s v="On Time"/>
    <x v="2"/>
    <x v="3"/>
  </r>
  <r>
    <s v="PO001085"/>
    <s v="SUP00087"/>
    <s v="PROD00029"/>
    <d v="2021-12-27T00:00:00"/>
    <n v="7"/>
    <n v="78.219665831342994"/>
    <d v="2022-01-09T00:00:00"/>
    <d v="2022-01-12T00:00:00"/>
    <n v="547.5376608194"/>
    <n v="3"/>
    <x v="14"/>
    <s v="UK"/>
    <s v="Central"/>
    <x v="2"/>
    <n v="0"/>
    <s v="No"/>
    <n v="0"/>
    <s v="Late"/>
    <x v="1"/>
    <x v="7"/>
  </r>
  <r>
    <s v="PO001086"/>
    <s v="SUP00092"/>
    <s v="PROD00113"/>
    <d v="2021-08-05T00:00:00"/>
    <n v="13"/>
    <n v="18.413241119085001"/>
    <d v="2021-08-16T00:00:00"/>
    <d v="2021-08-15T00:00:00"/>
    <n v="239.372134548106"/>
    <n v="-1"/>
    <x v="27"/>
    <s v="UK"/>
    <s v="West"/>
    <x v="0"/>
    <n v="0"/>
    <s v="No"/>
    <n v="1"/>
    <s v="On Time"/>
    <x v="1"/>
    <x v="2"/>
  </r>
  <r>
    <s v="PO001087"/>
    <s v="SUP00033"/>
    <s v="PROD00002"/>
    <d v="2021-01-10T00:00:00"/>
    <n v="10"/>
    <n v="51.271703830924899"/>
    <d v="2021-01-22T00:00:00"/>
    <d v="2021-01-28T00:00:00"/>
    <n v="512.71703830924901"/>
    <n v="6"/>
    <x v="54"/>
    <s v="USA"/>
    <s v="South"/>
    <x v="0"/>
    <n v="0"/>
    <s v="No"/>
    <n v="0"/>
    <s v="Late"/>
    <x v="1"/>
    <x v="10"/>
  </r>
  <r>
    <s v="PO001088"/>
    <s v="SUP00034"/>
    <s v="PROD00057"/>
    <d v="2023-03-31T00:00:00"/>
    <n v="10"/>
    <n v="60.507974160152699"/>
    <d v="2023-04-17T00:00:00"/>
    <d v="2023-04-16T00:00:00"/>
    <n v="605.07974160152696"/>
    <n v="-1"/>
    <x v="67"/>
    <s v="Brazil"/>
    <s v="North"/>
    <x v="1"/>
    <n v="1"/>
    <s v="Yes"/>
    <n v="1"/>
    <s v="On Time"/>
    <x v="2"/>
    <x v="0"/>
  </r>
  <r>
    <s v="PO001089"/>
    <s v="SUP00070"/>
    <s v="PROD00173"/>
    <d v="2023-01-02T00:00:00"/>
    <n v="13"/>
    <n v="32.308175967125401"/>
    <d v="2023-01-18T00:00:00"/>
    <d v="2023-01-23T00:00:00"/>
    <n v="420.00628757263001"/>
    <n v="5"/>
    <x v="32"/>
    <s v="USA"/>
    <s v="Central"/>
    <x v="3"/>
    <n v="0"/>
    <s v="No"/>
    <n v="0"/>
    <s v="Late"/>
    <x v="2"/>
    <x v="10"/>
  </r>
  <r>
    <s v="PO001090"/>
    <s v="SUP00085"/>
    <s v="PROD00019"/>
    <d v="2021-05-27T00:00:00"/>
    <n v="9"/>
    <n v="41.2419481453515"/>
    <d v="2021-06-18T00:00:00"/>
    <d v="2021-06-15T00:00:00"/>
    <n v="371.17753330816299"/>
    <n v="-3"/>
    <x v="1"/>
    <s v="Germany"/>
    <s v="Central"/>
    <x v="1"/>
    <n v="1"/>
    <s v="Yes"/>
    <n v="1"/>
    <s v="On Time"/>
    <x v="1"/>
    <x v="3"/>
  </r>
  <r>
    <s v="PO001091"/>
    <s v="SUP00021"/>
    <s v="PROD00039"/>
    <d v="2021-12-22T00:00:00"/>
    <n v="8"/>
    <n v="9.9061421471210807"/>
    <d v="2022-01-04T00:00:00"/>
    <d v="2022-01-10T00:00:00"/>
    <n v="79.249137176968603"/>
    <n v="6"/>
    <x v="19"/>
    <s v="Germany"/>
    <s v="Central"/>
    <x v="1"/>
    <n v="1"/>
    <s v="Yes"/>
    <n v="0"/>
    <s v="Late"/>
    <x v="1"/>
    <x v="7"/>
  </r>
  <r>
    <s v="PO001092"/>
    <s v="SUP00050"/>
    <s v="PROD00079"/>
    <d v="2022-01-01T00:00:00"/>
    <n v="7"/>
    <n v="33.270854730425903"/>
    <d v="2022-01-17T00:00:00"/>
    <d v="2022-01-18T00:00:00"/>
    <n v="232.89598311298101"/>
    <n v="1"/>
    <x v="75"/>
    <s v="Denmark"/>
    <s v="West"/>
    <x v="1"/>
    <n v="0"/>
    <s v="No"/>
    <n v="0"/>
    <s v="Late"/>
    <x v="3"/>
    <x v="10"/>
  </r>
  <r>
    <s v="PO001093"/>
    <s v="SUP00011"/>
    <s v="PROD00002"/>
    <d v="2022-07-02T00:00:00"/>
    <n v="9"/>
    <n v="77.226742563151603"/>
    <d v="2022-07-26T00:00:00"/>
    <d v="2022-07-23T00:00:00"/>
    <n v="695.04068306836496"/>
    <n v="-3"/>
    <x v="37"/>
    <s v="UK"/>
    <s v="East"/>
    <x v="3"/>
    <n v="1"/>
    <s v="Yes"/>
    <n v="1"/>
    <s v="On Time"/>
    <x v="3"/>
    <x v="5"/>
  </r>
  <r>
    <s v="PO001094"/>
    <s v="SUP00026"/>
    <s v="PROD00118"/>
    <d v="2021-09-07T00:00:00"/>
    <n v="16"/>
    <n v="28.9254474478643"/>
    <d v="2021-09-24T00:00:00"/>
    <d v="2021-09-24T00:00:00"/>
    <n v="462.80715916582898"/>
    <n v="0"/>
    <x v="44"/>
    <s v="Denmark"/>
    <s v="East"/>
    <x v="1"/>
    <n v="1"/>
    <s v="Yes"/>
    <n v="1"/>
    <s v="On Time"/>
    <x v="1"/>
    <x v="11"/>
  </r>
  <r>
    <s v="PO001095"/>
    <s v="SUP00070"/>
    <s v="PROD00195"/>
    <d v="2023-03-08T00:00:00"/>
    <n v="15"/>
    <n v="14.992155530501799"/>
    <d v="2023-03-18T00:00:00"/>
    <d v="2023-03-18T00:00:00"/>
    <n v="224.88233295752801"/>
    <n v="0"/>
    <x v="32"/>
    <s v="USA"/>
    <s v="Central"/>
    <x v="3"/>
    <n v="0"/>
    <s v="No"/>
    <n v="1"/>
    <s v="On Time"/>
    <x v="2"/>
    <x v="0"/>
  </r>
  <r>
    <s v="PO001096"/>
    <s v="SUP00063"/>
    <s v="PROD00103"/>
    <d v="2023-06-27T00:00:00"/>
    <n v="10"/>
    <n v="72.667403360309507"/>
    <d v="2023-07-18T00:00:00"/>
    <d v="2023-07-15T00:00:00"/>
    <n v="726.67403360309504"/>
    <n v="-3"/>
    <x v="30"/>
    <s v="Denmark"/>
    <s v="North"/>
    <x v="1"/>
    <n v="0"/>
    <s v="No"/>
    <n v="1"/>
    <s v="On Time"/>
    <x v="2"/>
    <x v="1"/>
  </r>
  <r>
    <s v="PO001097"/>
    <s v="SUP00040"/>
    <s v="PROD00128"/>
    <d v="2022-09-26T00:00:00"/>
    <n v="8"/>
    <n v="9.9780861972537096"/>
    <d v="2022-10-12T00:00:00"/>
    <d v="2022-10-18T00:00:00"/>
    <n v="79.824689578029705"/>
    <n v="6"/>
    <x v="58"/>
    <s v="Denmark"/>
    <s v="East"/>
    <x v="2"/>
    <n v="0"/>
    <s v="No"/>
    <n v="0"/>
    <s v="Late"/>
    <x v="3"/>
    <x v="11"/>
  </r>
  <r>
    <s v="PO001098"/>
    <s v="SUP00005"/>
    <s v="PROD00069"/>
    <d v="2022-05-09T00:00:00"/>
    <n v="16"/>
    <n v="19.106383990611199"/>
    <d v="2022-05-22T00:00:00"/>
    <d v="2022-05-22T00:00:00"/>
    <n v="305.70214384977999"/>
    <n v="0"/>
    <x v="17"/>
    <s v="Canada"/>
    <s v="North"/>
    <x v="1"/>
    <n v="1"/>
    <s v="Yes"/>
    <n v="1"/>
    <s v="On Time"/>
    <x v="3"/>
    <x v="3"/>
  </r>
  <r>
    <s v="PO001099"/>
    <s v="SUP00076"/>
    <s v="PROD00032"/>
    <d v="2021-09-08T00:00:00"/>
    <n v="6"/>
    <n v="78.519401385638702"/>
    <d v="2021-09-22T00:00:00"/>
    <d v="2021-09-25T00:00:00"/>
    <n v="471.11640831383198"/>
    <n v="3"/>
    <x v="89"/>
    <s v="USA"/>
    <s v="South"/>
    <x v="2"/>
    <n v="1"/>
    <s v="Yes"/>
    <n v="0"/>
    <s v="Late"/>
    <x v="1"/>
    <x v="11"/>
  </r>
  <r>
    <s v="PO001100"/>
    <s v="SUP00019"/>
    <s v="PROD00056"/>
    <d v="2022-06-26T00:00:00"/>
    <n v="10"/>
    <n v="55.157893617204799"/>
    <d v="2022-07-09T00:00:00"/>
    <d v="2022-07-11T00:00:00"/>
    <n v="551.57893617204797"/>
    <n v="2"/>
    <x v="63"/>
    <s v="Denmark"/>
    <s v="West"/>
    <x v="2"/>
    <n v="0"/>
    <s v="No"/>
    <n v="0"/>
    <s v="Late"/>
    <x v="3"/>
    <x v="1"/>
  </r>
  <r>
    <s v="PO001101"/>
    <s v="SUP00095"/>
    <s v="PROD00038"/>
    <d v="2024-03-18T00:00:00"/>
    <n v="11"/>
    <n v="28.4182029282209"/>
    <d v="2024-03-30T00:00:00"/>
    <d v="2024-03-31T00:00:00"/>
    <n v="312.60023221043002"/>
    <n v="1"/>
    <x v="74"/>
    <s v="China"/>
    <s v="Central"/>
    <x v="1"/>
    <n v="0"/>
    <s v="No"/>
    <n v="0"/>
    <s v="Late"/>
    <x v="0"/>
    <x v="0"/>
  </r>
  <r>
    <s v="PO001102"/>
    <s v="SUP00092"/>
    <s v="PROD00094"/>
    <d v="2022-02-20T00:00:00"/>
    <n v="11"/>
    <n v="53.681475226803997"/>
    <d v="2022-03-11T00:00:00"/>
    <d v="2022-03-13T00:00:00"/>
    <n v="590.49622749484399"/>
    <n v="2"/>
    <x v="27"/>
    <s v="UK"/>
    <s v="West"/>
    <x v="0"/>
    <n v="0"/>
    <s v="No"/>
    <n v="0"/>
    <s v="Late"/>
    <x v="3"/>
    <x v="9"/>
  </r>
  <r>
    <s v="PO001103"/>
    <s v="SUP00032"/>
    <s v="PROD00020"/>
    <d v="2024-03-17T00:00:00"/>
    <n v="9"/>
    <n v="60.8496048217688"/>
    <d v="2024-04-01T00:00:00"/>
    <d v="2024-03-30T00:00:00"/>
    <n v="547.64644339591905"/>
    <n v="-2"/>
    <x v="15"/>
    <s v="Germany"/>
    <s v="South"/>
    <x v="0"/>
    <n v="0"/>
    <s v="No"/>
    <n v="1"/>
    <s v="On Time"/>
    <x v="0"/>
    <x v="0"/>
  </r>
  <r>
    <s v="PO001104"/>
    <s v="SUP00098"/>
    <s v="PROD00134"/>
    <d v="2023-10-27T00:00:00"/>
    <n v="7"/>
    <n v="23.2064525772015"/>
    <d v="2023-11-06T00:00:00"/>
    <d v="2023-11-05T00:00:00"/>
    <n v="162.44516804041001"/>
    <n v="-1"/>
    <x v="38"/>
    <s v="Germany"/>
    <s v="North"/>
    <x v="3"/>
    <n v="1"/>
    <s v="Yes"/>
    <n v="1"/>
    <s v="On Time"/>
    <x v="2"/>
    <x v="4"/>
  </r>
  <r>
    <s v="PO001105"/>
    <s v="SUP00015"/>
    <s v="PROD00165"/>
    <d v="2021-05-14T00:00:00"/>
    <n v="7"/>
    <n v="50.443144127419203"/>
    <d v="2021-06-04T00:00:00"/>
    <d v="2021-06-02T00:00:00"/>
    <n v="353.10200889193402"/>
    <n v="-2"/>
    <x v="51"/>
    <s v="China"/>
    <s v="South"/>
    <x v="0"/>
    <n v="1"/>
    <s v="Yes"/>
    <n v="1"/>
    <s v="On Time"/>
    <x v="1"/>
    <x v="3"/>
  </r>
  <r>
    <s v="PO001106"/>
    <s v="SUP00059"/>
    <s v="PROD00066"/>
    <d v="2021-05-21T00:00:00"/>
    <n v="15"/>
    <n v="60.472957819545599"/>
    <d v="2021-06-14T00:00:00"/>
    <d v="2021-06-15T00:00:00"/>
    <n v="907.09436729318395"/>
    <n v="1"/>
    <x v="0"/>
    <s v="India"/>
    <s v="North"/>
    <x v="0"/>
    <n v="0"/>
    <s v="No"/>
    <n v="0"/>
    <s v="Late"/>
    <x v="1"/>
    <x v="3"/>
  </r>
  <r>
    <s v="PO001107"/>
    <s v="SUP00048"/>
    <s v="PROD00120"/>
    <d v="2022-05-10T00:00:00"/>
    <n v="9"/>
    <n v="7.5818701797643397"/>
    <d v="2022-05-29T00:00:00"/>
    <d v="2022-05-31T00:00:00"/>
    <n v="68.236831617879105"/>
    <n v="2"/>
    <x v="4"/>
    <s v="Denmark"/>
    <s v="West"/>
    <x v="2"/>
    <n v="1"/>
    <s v="Yes"/>
    <n v="0"/>
    <s v="Late"/>
    <x v="3"/>
    <x v="3"/>
  </r>
  <r>
    <s v="PO001108"/>
    <s v="SUP00075"/>
    <s v="PROD00089"/>
    <d v="2023-05-23T00:00:00"/>
    <n v="13"/>
    <n v="58.0202865933339"/>
    <d v="2023-06-11T00:00:00"/>
    <d v="2023-06-16T00:00:00"/>
    <n v="754.26372571334105"/>
    <n v="5"/>
    <x v="11"/>
    <s v="USA"/>
    <s v="Central"/>
    <x v="1"/>
    <n v="1"/>
    <s v="Yes"/>
    <n v="0"/>
    <s v="Late"/>
    <x v="2"/>
    <x v="3"/>
  </r>
  <r>
    <s v="PO001109"/>
    <s v="SUP00016"/>
    <s v="PROD00052"/>
    <d v="2022-02-22T00:00:00"/>
    <n v="11"/>
    <n v="68.435427161609795"/>
    <d v="2022-03-14T00:00:00"/>
    <d v="2022-03-19T00:00:00"/>
    <n v="752.78969877770703"/>
    <n v="5"/>
    <x v="39"/>
    <s v="China"/>
    <s v="East"/>
    <x v="0"/>
    <n v="0"/>
    <s v="No"/>
    <n v="0"/>
    <s v="Late"/>
    <x v="3"/>
    <x v="9"/>
  </r>
  <r>
    <s v="PO001110"/>
    <s v="SUP00070"/>
    <s v="PROD00177"/>
    <d v="2023-04-01T00:00:00"/>
    <n v="8"/>
    <n v="44.148695376448302"/>
    <d v="2023-04-19T00:00:00"/>
    <d v="2023-04-25T00:00:00"/>
    <n v="353.18956301158602"/>
    <n v="6"/>
    <x v="32"/>
    <s v="USA"/>
    <s v="Central"/>
    <x v="3"/>
    <n v="0"/>
    <s v="No"/>
    <n v="0"/>
    <s v="Late"/>
    <x v="2"/>
    <x v="8"/>
  </r>
  <r>
    <s v="PO001111"/>
    <s v="SUP00052"/>
    <s v="PROD00109"/>
    <d v="2022-09-09T00:00:00"/>
    <n v="10"/>
    <n v="72.549076928214504"/>
    <d v="2022-10-02T00:00:00"/>
    <d v="2022-10-08T00:00:00"/>
    <n v="725.49076928214504"/>
    <n v="6"/>
    <x v="80"/>
    <s v="Brazil"/>
    <s v="West"/>
    <x v="1"/>
    <n v="1"/>
    <s v="Yes"/>
    <n v="0"/>
    <s v="Late"/>
    <x v="3"/>
    <x v="11"/>
  </r>
  <r>
    <s v="PO001112"/>
    <s v="SUP00047"/>
    <s v="PROD00157"/>
    <d v="2022-06-22T00:00:00"/>
    <n v="13"/>
    <n v="31.088519860356499"/>
    <d v="2022-07-05T00:00:00"/>
    <d v="2022-07-08T00:00:00"/>
    <n v="404.15075818463498"/>
    <n v="3"/>
    <x v="93"/>
    <s v="UK"/>
    <s v="Central"/>
    <x v="3"/>
    <n v="0"/>
    <s v="No"/>
    <n v="0"/>
    <s v="Late"/>
    <x v="3"/>
    <x v="1"/>
  </r>
  <r>
    <s v="PO001113"/>
    <s v="SUP00033"/>
    <s v="PROD00078"/>
    <d v="2023-11-14T00:00:00"/>
    <n v="10"/>
    <n v="77.196195609856801"/>
    <d v="2023-12-03T00:00:00"/>
    <d v="2023-12-05T00:00:00"/>
    <n v="771.96195609856795"/>
    <n v="2"/>
    <x v="54"/>
    <s v="USA"/>
    <s v="South"/>
    <x v="0"/>
    <n v="0"/>
    <s v="No"/>
    <n v="0"/>
    <s v="Late"/>
    <x v="2"/>
    <x v="6"/>
  </r>
  <r>
    <s v="PO001114"/>
    <s v="SUP00061"/>
    <s v="PROD00001"/>
    <d v="2023-05-27T00:00:00"/>
    <n v="10"/>
    <n v="51.274809582208597"/>
    <d v="2023-06-15T00:00:00"/>
    <d v="2023-06-14T00:00:00"/>
    <n v="512.74809582208604"/>
    <n v="-1"/>
    <x v="71"/>
    <s v="India"/>
    <s v="South"/>
    <x v="2"/>
    <n v="0"/>
    <s v="No"/>
    <n v="1"/>
    <s v="On Time"/>
    <x v="2"/>
    <x v="3"/>
  </r>
  <r>
    <s v="PO001115"/>
    <s v="SUP00043"/>
    <s v="PROD00148"/>
    <d v="2022-06-20T00:00:00"/>
    <n v="18"/>
    <n v="53.224056402732003"/>
    <d v="2022-07-14T00:00:00"/>
    <d v="2022-07-18T00:00:00"/>
    <n v="958.03301524917595"/>
    <n v="4"/>
    <x v="23"/>
    <s v="India"/>
    <s v="Central"/>
    <x v="1"/>
    <n v="0"/>
    <s v="No"/>
    <n v="0"/>
    <s v="Late"/>
    <x v="3"/>
    <x v="1"/>
  </r>
  <r>
    <s v="PO001116"/>
    <s v="SUP00002"/>
    <s v="PROD00125"/>
    <d v="2023-03-12T00:00:00"/>
    <n v="12"/>
    <n v="73.3401603361947"/>
    <d v="2023-03-25T00:00:00"/>
    <d v="2023-03-24T00:00:00"/>
    <n v="880.08192403433702"/>
    <n v="-1"/>
    <x v="94"/>
    <s v="China"/>
    <s v="South"/>
    <x v="1"/>
    <n v="0"/>
    <s v="No"/>
    <n v="1"/>
    <s v="On Time"/>
    <x v="2"/>
    <x v="0"/>
  </r>
  <r>
    <s v="PO001117"/>
    <s v="SUP00063"/>
    <s v="PROD00025"/>
    <d v="2024-01-23T00:00:00"/>
    <n v="10"/>
    <n v="66.493898178368696"/>
    <d v="2024-02-07T00:00:00"/>
    <d v="2024-02-13T00:00:00"/>
    <n v="664.93898178368704"/>
    <n v="6"/>
    <x v="30"/>
    <s v="Denmark"/>
    <s v="North"/>
    <x v="1"/>
    <n v="0"/>
    <s v="No"/>
    <n v="0"/>
    <s v="Late"/>
    <x v="0"/>
    <x v="10"/>
  </r>
  <r>
    <s v="PO001118"/>
    <s v="SUP00054"/>
    <s v="PROD00065"/>
    <d v="2023-10-01T00:00:00"/>
    <n v="8"/>
    <n v="74.273662934555205"/>
    <d v="2023-10-13T00:00:00"/>
    <d v="2023-10-14T00:00:00"/>
    <n v="594.18930347644198"/>
    <n v="1"/>
    <x v="73"/>
    <s v="Canada"/>
    <s v="South"/>
    <x v="3"/>
    <n v="1"/>
    <s v="Yes"/>
    <n v="0"/>
    <s v="Late"/>
    <x v="2"/>
    <x v="4"/>
  </r>
  <r>
    <s v="PO001119"/>
    <s v="SUP00017"/>
    <s v="PROD00017"/>
    <d v="2023-02-20T00:00:00"/>
    <n v="13"/>
    <n v="72.864217547825405"/>
    <d v="2023-03-04T00:00:00"/>
    <d v="2023-03-05T00:00:00"/>
    <n v="947.23482812173097"/>
    <n v="1"/>
    <x v="52"/>
    <s v="India"/>
    <s v="East"/>
    <x v="1"/>
    <n v="0"/>
    <s v="No"/>
    <n v="0"/>
    <s v="Late"/>
    <x v="2"/>
    <x v="9"/>
  </r>
  <r>
    <s v="PO001120"/>
    <s v="SUP00017"/>
    <s v="PROD00001"/>
    <d v="2024-01-23T00:00:00"/>
    <n v="9"/>
    <n v="40.036594753293699"/>
    <d v="2024-02-04T00:00:00"/>
    <d v="2024-02-06T00:00:00"/>
    <n v="360.32935277964299"/>
    <n v="2"/>
    <x v="52"/>
    <s v="India"/>
    <s v="East"/>
    <x v="1"/>
    <n v="0"/>
    <s v="No"/>
    <n v="0"/>
    <s v="Late"/>
    <x v="0"/>
    <x v="10"/>
  </r>
  <r>
    <s v="PO001121"/>
    <s v="SUP00068"/>
    <s v="PROD00175"/>
    <d v="2022-06-02T00:00:00"/>
    <n v="9"/>
    <n v="51.561320764280303"/>
    <d v="2022-06-23T00:00:00"/>
    <d v="2022-06-24T00:00:00"/>
    <n v="464.05188687852302"/>
    <n v="1"/>
    <x v="12"/>
    <s v="UK"/>
    <s v="South"/>
    <x v="3"/>
    <n v="1"/>
    <s v="Yes"/>
    <n v="0"/>
    <s v="Late"/>
    <x v="3"/>
    <x v="1"/>
  </r>
  <r>
    <s v="PO001122"/>
    <s v="SUP00054"/>
    <s v="PROD00029"/>
    <d v="2021-09-19T00:00:00"/>
    <n v="9"/>
    <n v="6.4424196280159602"/>
    <d v="2021-10-13T00:00:00"/>
    <d v="2021-10-18T00:00:00"/>
    <n v="57.981776652143601"/>
    <n v="5"/>
    <x v="73"/>
    <s v="Canada"/>
    <s v="South"/>
    <x v="3"/>
    <n v="1"/>
    <s v="Yes"/>
    <n v="0"/>
    <s v="Late"/>
    <x v="1"/>
    <x v="11"/>
  </r>
  <r>
    <s v="PO001123"/>
    <s v="SUP00096"/>
    <s v="PROD00142"/>
    <d v="2023-07-10T00:00:00"/>
    <n v="10"/>
    <n v="14.9991753798893"/>
    <d v="2023-08-03T00:00:00"/>
    <d v="2023-08-05T00:00:00"/>
    <n v="149.991753798893"/>
    <n v="2"/>
    <x v="26"/>
    <s v="India"/>
    <s v="South"/>
    <x v="1"/>
    <n v="0"/>
    <s v="No"/>
    <n v="0"/>
    <s v="Late"/>
    <x v="2"/>
    <x v="5"/>
  </r>
  <r>
    <s v="PO001124"/>
    <s v="SUP00035"/>
    <s v="PROD00111"/>
    <d v="2024-01-13T00:00:00"/>
    <n v="9"/>
    <n v="53.379143044095798"/>
    <d v="2024-02-06T00:00:00"/>
    <d v="2024-02-03T00:00:00"/>
    <n v="480.41228739686198"/>
    <n v="-3"/>
    <x v="25"/>
    <s v="Denmark"/>
    <s v="Central"/>
    <x v="1"/>
    <n v="1"/>
    <s v="Yes"/>
    <n v="1"/>
    <s v="On Time"/>
    <x v="0"/>
    <x v="10"/>
  </r>
  <r>
    <s v="PO001125"/>
    <s v="SUP00050"/>
    <s v="PROD00023"/>
    <d v="2023-10-14T00:00:00"/>
    <n v="8"/>
    <n v="35.145875889241303"/>
    <d v="2023-10-28T00:00:00"/>
    <d v="2023-10-25T00:00:00"/>
    <n v="281.16700711393003"/>
    <n v="-3"/>
    <x v="75"/>
    <s v="Denmark"/>
    <s v="West"/>
    <x v="1"/>
    <n v="0"/>
    <s v="No"/>
    <n v="1"/>
    <s v="On Time"/>
    <x v="2"/>
    <x v="4"/>
  </r>
  <r>
    <s v="PO001126"/>
    <s v="SUP00088"/>
    <s v="PROD00038"/>
    <d v="2023-09-12T00:00:00"/>
    <n v="13"/>
    <n v="62.088478374764797"/>
    <d v="2023-09-25T00:00:00"/>
    <d v="2023-09-30T00:00:00"/>
    <n v="807.150218871942"/>
    <n v="5"/>
    <x v="41"/>
    <s v="Brazil"/>
    <s v="East"/>
    <x v="3"/>
    <n v="0"/>
    <s v="No"/>
    <n v="0"/>
    <s v="Late"/>
    <x v="2"/>
    <x v="11"/>
  </r>
  <r>
    <s v="PO001127"/>
    <s v="SUP00075"/>
    <s v="PROD00117"/>
    <d v="2023-12-18T00:00:00"/>
    <n v="11"/>
    <n v="20.440397431864401"/>
    <d v="2023-12-29T00:00:00"/>
    <d v="2023-12-31T00:00:00"/>
    <n v="224.844371750508"/>
    <n v="2"/>
    <x v="11"/>
    <s v="USA"/>
    <s v="Central"/>
    <x v="1"/>
    <n v="1"/>
    <s v="Yes"/>
    <n v="0"/>
    <s v="Late"/>
    <x v="2"/>
    <x v="7"/>
  </r>
  <r>
    <s v="PO001128"/>
    <s v="SUP00048"/>
    <s v="PROD00104"/>
    <d v="2024-02-24T00:00:00"/>
    <n v="8"/>
    <n v="40.6457541321791"/>
    <d v="2024-03-08T00:00:00"/>
    <d v="2024-03-07T00:00:00"/>
    <n v="325.16603305743303"/>
    <n v="-1"/>
    <x v="4"/>
    <s v="Denmark"/>
    <s v="West"/>
    <x v="2"/>
    <n v="1"/>
    <s v="Yes"/>
    <n v="1"/>
    <s v="On Time"/>
    <x v="0"/>
    <x v="9"/>
  </r>
  <r>
    <s v="PO001129"/>
    <s v="SUP00021"/>
    <s v="PROD00057"/>
    <d v="2022-03-16T00:00:00"/>
    <n v="9"/>
    <n v="53.149913125887302"/>
    <d v="2022-04-06T00:00:00"/>
    <d v="2022-04-07T00:00:00"/>
    <n v="478.34921813298502"/>
    <n v="1"/>
    <x v="19"/>
    <s v="Germany"/>
    <s v="Central"/>
    <x v="1"/>
    <n v="1"/>
    <s v="Yes"/>
    <n v="0"/>
    <s v="Late"/>
    <x v="3"/>
    <x v="0"/>
  </r>
  <r>
    <s v="PO001130"/>
    <s v="SUP00016"/>
    <s v="PROD00091"/>
    <d v="2024-03-18T00:00:00"/>
    <n v="10"/>
    <n v="47.921551250889102"/>
    <d v="2024-04-09T00:00:00"/>
    <d v="2024-04-09T00:00:00"/>
    <n v="479.21551250889098"/>
    <n v="0"/>
    <x v="39"/>
    <s v="China"/>
    <s v="East"/>
    <x v="0"/>
    <n v="0"/>
    <s v="No"/>
    <n v="1"/>
    <s v="On Time"/>
    <x v="0"/>
    <x v="0"/>
  </r>
  <r>
    <s v="PO001131"/>
    <s v="SUP00056"/>
    <s v="PROD00025"/>
    <d v="2021-02-27T00:00:00"/>
    <n v="14"/>
    <n v="29.887210478360601"/>
    <d v="2021-03-14T00:00:00"/>
    <d v="2021-03-12T00:00:00"/>
    <n v="418.42094669704898"/>
    <n v="-2"/>
    <x v="13"/>
    <s v="China"/>
    <s v="North"/>
    <x v="2"/>
    <n v="0"/>
    <s v="No"/>
    <n v="1"/>
    <s v="On Time"/>
    <x v="1"/>
    <x v="9"/>
  </r>
  <r>
    <s v="PO001132"/>
    <s v="SUP00018"/>
    <s v="PROD00023"/>
    <d v="2021-05-13T00:00:00"/>
    <n v="11"/>
    <n v="25.356941314767401"/>
    <d v="2021-06-04T00:00:00"/>
    <d v="2021-06-01T00:00:00"/>
    <n v="278.926354462441"/>
    <n v="-3"/>
    <x v="8"/>
    <s v="UK"/>
    <s v="West"/>
    <x v="2"/>
    <n v="0"/>
    <s v="No"/>
    <n v="1"/>
    <s v="On Time"/>
    <x v="1"/>
    <x v="3"/>
  </r>
  <r>
    <s v="PO001133"/>
    <s v="SUP00006"/>
    <s v="PROD00036"/>
    <d v="2023-11-18T00:00:00"/>
    <n v="16"/>
    <n v="5.0950674267580496"/>
    <d v="2023-12-11T00:00:00"/>
    <d v="2023-12-12T00:00:00"/>
    <n v="81.521078828128793"/>
    <n v="1"/>
    <x v="78"/>
    <s v="USA"/>
    <s v="East"/>
    <x v="0"/>
    <n v="1"/>
    <s v="Yes"/>
    <n v="0"/>
    <s v="Late"/>
    <x v="2"/>
    <x v="6"/>
  </r>
  <r>
    <s v="PO001134"/>
    <s v="SUP00016"/>
    <s v="PROD00050"/>
    <d v="2022-01-17T00:00:00"/>
    <n v="10"/>
    <n v="34.628588656280101"/>
    <d v="2022-02-04T00:00:00"/>
    <d v="2022-02-06T00:00:00"/>
    <n v="346.28588656280101"/>
    <n v="2"/>
    <x v="39"/>
    <s v="China"/>
    <s v="East"/>
    <x v="0"/>
    <n v="0"/>
    <s v="No"/>
    <n v="0"/>
    <s v="Late"/>
    <x v="3"/>
    <x v="10"/>
  </r>
  <r>
    <s v="PO001135"/>
    <s v="SUP00041"/>
    <s v="PROD00018"/>
    <d v="2021-10-10T00:00:00"/>
    <n v="10"/>
    <n v="3.8478569823238802"/>
    <d v="2021-10-26T00:00:00"/>
    <d v="2021-10-27T00:00:00"/>
    <n v="38.4785698232388"/>
    <n v="1"/>
    <x v="72"/>
    <s v="Germany"/>
    <s v="West"/>
    <x v="1"/>
    <n v="0"/>
    <s v="No"/>
    <n v="0"/>
    <s v="Late"/>
    <x v="1"/>
    <x v="4"/>
  </r>
  <r>
    <s v="PO001136"/>
    <s v="SUP00039"/>
    <s v="PROD00146"/>
    <d v="2022-03-21T00:00:00"/>
    <n v="9"/>
    <n v="23.5890046603466"/>
    <d v="2022-04-03T00:00:00"/>
    <d v="2022-04-08T00:00:00"/>
    <n v="212.301041943119"/>
    <n v="5"/>
    <x v="7"/>
    <s v="Denmark"/>
    <s v="South"/>
    <x v="0"/>
    <n v="1"/>
    <s v="Yes"/>
    <n v="0"/>
    <s v="Late"/>
    <x v="3"/>
    <x v="0"/>
  </r>
  <r>
    <s v="PO001137"/>
    <s v="SUP00079"/>
    <s v="PROD00055"/>
    <d v="2023-10-13T00:00:00"/>
    <n v="7"/>
    <n v="71.043605938105003"/>
    <d v="2023-10-25T00:00:00"/>
    <d v="2023-10-29T00:00:00"/>
    <n v="497.30524156673499"/>
    <n v="4"/>
    <x v="55"/>
    <s v="Denmark"/>
    <s v="South"/>
    <x v="0"/>
    <n v="0"/>
    <s v="No"/>
    <n v="0"/>
    <s v="Late"/>
    <x v="2"/>
    <x v="4"/>
  </r>
  <r>
    <s v="PO001138"/>
    <s v="SUP00063"/>
    <s v="PROD00063"/>
    <d v="2023-10-24T00:00:00"/>
    <n v="15"/>
    <n v="3.0880389214510302"/>
    <d v="2023-11-11T00:00:00"/>
    <d v="2023-11-12T00:00:00"/>
    <n v="46.320583821765403"/>
    <n v="1"/>
    <x v="30"/>
    <s v="Denmark"/>
    <s v="North"/>
    <x v="1"/>
    <n v="0"/>
    <s v="No"/>
    <n v="0"/>
    <s v="Late"/>
    <x v="2"/>
    <x v="4"/>
  </r>
  <r>
    <s v="PO001139"/>
    <s v="SUP00029"/>
    <s v="PROD00116"/>
    <d v="2021-06-10T00:00:00"/>
    <n v="14"/>
    <n v="25.9547159537087"/>
    <d v="2021-07-01T00:00:00"/>
    <d v="2021-06-28T00:00:00"/>
    <n v="363.366023351921"/>
    <n v="-3"/>
    <x v="47"/>
    <s v="China"/>
    <s v="West"/>
    <x v="0"/>
    <n v="1"/>
    <s v="Yes"/>
    <n v="1"/>
    <s v="On Time"/>
    <x v="1"/>
    <x v="1"/>
  </r>
  <r>
    <s v="PO001140"/>
    <s v="SUP00028"/>
    <s v="PROD00072"/>
    <d v="2022-09-17T00:00:00"/>
    <n v="15"/>
    <n v="38.4112742102513"/>
    <d v="2022-10-02T00:00:00"/>
    <d v="2022-09-29T00:00:00"/>
    <n v="576.16911315376899"/>
    <n v="-3"/>
    <x v="92"/>
    <s v="Canada"/>
    <s v="East"/>
    <x v="3"/>
    <n v="0"/>
    <s v="No"/>
    <n v="1"/>
    <s v="On Time"/>
    <x v="3"/>
    <x v="11"/>
  </r>
  <r>
    <s v="PO001141"/>
    <s v="SUP00043"/>
    <s v="PROD00105"/>
    <d v="2021-04-01T00:00:00"/>
    <n v="6"/>
    <n v="55.418365225126202"/>
    <d v="2021-04-23T00:00:00"/>
    <d v="2021-04-28T00:00:00"/>
    <n v="332.510191350757"/>
    <n v="5"/>
    <x v="23"/>
    <s v="India"/>
    <s v="Central"/>
    <x v="1"/>
    <n v="0"/>
    <s v="No"/>
    <n v="0"/>
    <s v="Late"/>
    <x v="1"/>
    <x v="8"/>
  </r>
  <r>
    <s v="PO001142"/>
    <s v="SUP00058"/>
    <s v="PROD00070"/>
    <d v="2023-03-23T00:00:00"/>
    <n v="7"/>
    <n v="38.1231309577622"/>
    <d v="2023-04-07T00:00:00"/>
    <d v="2023-04-12T00:00:00"/>
    <n v="266.86191670433499"/>
    <n v="5"/>
    <x v="86"/>
    <s v="China"/>
    <s v="East"/>
    <x v="2"/>
    <n v="1"/>
    <s v="Yes"/>
    <n v="0"/>
    <s v="Late"/>
    <x v="2"/>
    <x v="0"/>
  </r>
  <r>
    <s v="PO001143"/>
    <s v="SUP00033"/>
    <s v="PROD00146"/>
    <d v="2022-12-09T00:00:00"/>
    <n v="14"/>
    <n v="58.244083211637502"/>
    <d v="2022-12-22T00:00:00"/>
    <d v="2022-12-23T00:00:00"/>
    <n v="815.41716496292497"/>
    <n v="1"/>
    <x v="54"/>
    <s v="USA"/>
    <s v="South"/>
    <x v="0"/>
    <n v="0"/>
    <s v="No"/>
    <n v="0"/>
    <s v="Late"/>
    <x v="3"/>
    <x v="7"/>
  </r>
  <r>
    <s v="PO001144"/>
    <s v="SUP00078"/>
    <s v="PROD00188"/>
    <d v="2023-06-21T00:00:00"/>
    <n v="12"/>
    <n v="37.614023951230102"/>
    <d v="2023-07-09T00:00:00"/>
    <d v="2023-07-11T00:00:00"/>
    <n v="451.36828741476103"/>
    <n v="2"/>
    <x v="56"/>
    <s v="Germany"/>
    <s v="North"/>
    <x v="0"/>
    <n v="0"/>
    <s v="No"/>
    <n v="0"/>
    <s v="Late"/>
    <x v="2"/>
    <x v="1"/>
  </r>
  <r>
    <s v="PO001145"/>
    <s v="SUP00096"/>
    <s v="PROD00037"/>
    <d v="2021-09-26T00:00:00"/>
    <n v="15"/>
    <n v="59.668716165914098"/>
    <d v="2021-10-11T00:00:00"/>
    <d v="2021-10-09T00:00:00"/>
    <n v="895.03074248871201"/>
    <n v="-2"/>
    <x v="26"/>
    <s v="India"/>
    <s v="South"/>
    <x v="1"/>
    <n v="0"/>
    <s v="No"/>
    <n v="1"/>
    <s v="On Time"/>
    <x v="1"/>
    <x v="11"/>
  </r>
  <r>
    <s v="PO001146"/>
    <s v="SUP00094"/>
    <s v="PROD00133"/>
    <d v="2021-07-20T00:00:00"/>
    <n v="17"/>
    <n v="19.233283220199901"/>
    <d v="2021-08-01T00:00:00"/>
    <d v="2021-08-03T00:00:00"/>
    <n v="326.96581474339899"/>
    <n v="2"/>
    <x v="62"/>
    <s v="USA"/>
    <s v="North"/>
    <x v="2"/>
    <n v="0"/>
    <s v="No"/>
    <n v="0"/>
    <s v="Late"/>
    <x v="1"/>
    <x v="5"/>
  </r>
  <r>
    <s v="PO001147"/>
    <s v="SUP00050"/>
    <s v="PROD00188"/>
    <d v="2023-05-11T00:00:00"/>
    <n v="11"/>
    <n v="16.664456921197999"/>
    <d v="2023-05-31T00:00:00"/>
    <d v="2023-05-30T00:00:00"/>
    <n v="183.30902613317801"/>
    <n v="-1"/>
    <x v="75"/>
    <s v="Denmark"/>
    <s v="West"/>
    <x v="1"/>
    <n v="0"/>
    <s v="No"/>
    <n v="1"/>
    <s v="On Time"/>
    <x v="2"/>
    <x v="3"/>
  </r>
  <r>
    <s v="PO001148"/>
    <s v="SUP00040"/>
    <s v="PROD00028"/>
    <d v="2022-08-18T00:00:00"/>
    <n v="9"/>
    <n v="9.9562569845692206"/>
    <d v="2022-08-31T00:00:00"/>
    <d v="2022-09-05T00:00:00"/>
    <n v="89.606312861123001"/>
    <n v="5"/>
    <x v="58"/>
    <s v="Denmark"/>
    <s v="East"/>
    <x v="2"/>
    <n v="0"/>
    <s v="No"/>
    <n v="0"/>
    <s v="Late"/>
    <x v="3"/>
    <x v="2"/>
  </r>
  <r>
    <s v="PO001149"/>
    <s v="SUP00050"/>
    <s v="PROD00001"/>
    <d v="2023-01-31T00:00:00"/>
    <n v="8"/>
    <n v="44.000597014069797"/>
    <d v="2023-02-18T00:00:00"/>
    <d v="2023-02-21T00:00:00"/>
    <n v="352.004776112559"/>
    <n v="3"/>
    <x v="75"/>
    <s v="Denmark"/>
    <s v="West"/>
    <x v="1"/>
    <n v="0"/>
    <s v="No"/>
    <n v="0"/>
    <s v="Late"/>
    <x v="2"/>
    <x v="10"/>
  </r>
  <r>
    <s v="PO001150"/>
    <s v="SUP00031"/>
    <s v="PROD00084"/>
    <d v="2021-08-24T00:00:00"/>
    <n v="14"/>
    <n v="15.744419465422901"/>
    <d v="2021-09-03T00:00:00"/>
    <d v="2021-09-03T00:00:00"/>
    <n v="220.42187251592"/>
    <n v="0"/>
    <x v="33"/>
    <s v="USA"/>
    <s v="West"/>
    <x v="3"/>
    <n v="0"/>
    <s v="No"/>
    <n v="1"/>
    <s v="On Time"/>
    <x v="1"/>
    <x v="2"/>
  </r>
  <r>
    <s v="PO001151"/>
    <s v="SUP00083"/>
    <s v="PROD00152"/>
    <d v="2023-05-19T00:00:00"/>
    <n v="10"/>
    <n v="11.0976617084313"/>
    <d v="2023-05-31T00:00:00"/>
    <d v="2023-05-29T00:00:00"/>
    <n v="110.97661708431301"/>
    <n v="-2"/>
    <x v="43"/>
    <s v="China"/>
    <s v="South"/>
    <x v="0"/>
    <n v="0"/>
    <s v="No"/>
    <n v="1"/>
    <s v="On Time"/>
    <x v="2"/>
    <x v="3"/>
  </r>
  <r>
    <s v="PO001152"/>
    <s v="SUP00038"/>
    <s v="PROD00192"/>
    <d v="2021-05-22T00:00:00"/>
    <n v="11"/>
    <n v="52.474596979124698"/>
    <d v="2021-06-06T00:00:00"/>
    <d v="2021-06-11T00:00:00"/>
    <n v="577.22056677037199"/>
    <n v="5"/>
    <x v="34"/>
    <s v="Germany"/>
    <s v="South"/>
    <x v="1"/>
    <n v="0"/>
    <s v="No"/>
    <n v="0"/>
    <s v="Late"/>
    <x v="1"/>
    <x v="3"/>
  </r>
  <r>
    <s v="PO001153"/>
    <s v="SUP00067"/>
    <s v="PROD00196"/>
    <d v="2023-10-02T00:00:00"/>
    <n v="12"/>
    <n v="17.128522593001101"/>
    <d v="2023-10-19T00:00:00"/>
    <d v="2023-10-22T00:00:00"/>
    <n v="205.54227111601401"/>
    <n v="3"/>
    <x v="22"/>
    <s v="UK"/>
    <s v="South"/>
    <x v="3"/>
    <n v="1"/>
    <s v="Yes"/>
    <n v="0"/>
    <s v="Late"/>
    <x v="2"/>
    <x v="4"/>
  </r>
  <r>
    <s v="PO001154"/>
    <s v="SUP00053"/>
    <s v="PROD00152"/>
    <d v="2022-03-15T00:00:00"/>
    <n v="15"/>
    <n v="40.991858971995597"/>
    <d v="2022-03-26T00:00:00"/>
    <d v="2022-03-30T00:00:00"/>
    <n v="614.87788457993395"/>
    <n v="4"/>
    <x v="18"/>
    <s v="India"/>
    <s v="North"/>
    <x v="2"/>
    <n v="1"/>
    <s v="Yes"/>
    <n v="0"/>
    <s v="Late"/>
    <x v="3"/>
    <x v="0"/>
  </r>
  <r>
    <s v="PO001155"/>
    <s v="SUP00012"/>
    <s v="PROD00054"/>
    <d v="2023-08-21T00:00:00"/>
    <n v="12"/>
    <n v="37.036179499662197"/>
    <d v="2023-09-12T00:00:00"/>
    <d v="2023-09-14T00:00:00"/>
    <n v="444.43415399594699"/>
    <n v="2"/>
    <x v="88"/>
    <s v="China"/>
    <s v="East"/>
    <x v="3"/>
    <n v="0"/>
    <s v="No"/>
    <n v="0"/>
    <s v="Late"/>
    <x v="2"/>
    <x v="2"/>
  </r>
  <r>
    <s v="PO001156"/>
    <s v="SUP00066"/>
    <s v="PROD00090"/>
    <d v="2021-10-04T00:00:00"/>
    <n v="8"/>
    <n v="35.280625900839297"/>
    <d v="2021-10-24T00:00:00"/>
    <d v="2021-10-30T00:00:00"/>
    <n v="282.24500720671398"/>
    <n v="6"/>
    <x v="65"/>
    <s v="India"/>
    <s v="West"/>
    <x v="2"/>
    <n v="0"/>
    <s v="No"/>
    <n v="0"/>
    <s v="Late"/>
    <x v="1"/>
    <x v="4"/>
  </r>
  <r>
    <s v="PO001157"/>
    <s v="SUP00075"/>
    <s v="PROD00079"/>
    <d v="2022-11-16T00:00:00"/>
    <n v="10"/>
    <n v="15.8027879612074"/>
    <d v="2022-12-05T00:00:00"/>
    <d v="2022-12-08T00:00:00"/>
    <n v="158.027879612074"/>
    <n v="3"/>
    <x v="11"/>
    <s v="USA"/>
    <s v="Central"/>
    <x v="1"/>
    <n v="1"/>
    <s v="Yes"/>
    <n v="0"/>
    <s v="Late"/>
    <x v="3"/>
    <x v="6"/>
  </r>
  <r>
    <s v="PO001158"/>
    <s v="SUP00026"/>
    <s v="PROD00061"/>
    <d v="2022-07-30T00:00:00"/>
    <n v="11"/>
    <n v="39.005884149739003"/>
    <d v="2022-08-16T00:00:00"/>
    <d v="2022-08-15T00:00:00"/>
    <n v="429.06472564712902"/>
    <n v="-1"/>
    <x v="44"/>
    <s v="Denmark"/>
    <s v="East"/>
    <x v="1"/>
    <n v="1"/>
    <s v="Yes"/>
    <n v="1"/>
    <s v="On Time"/>
    <x v="3"/>
    <x v="5"/>
  </r>
  <r>
    <s v="PO001159"/>
    <s v="SUP00068"/>
    <s v="PROD00116"/>
    <d v="2022-04-26T00:00:00"/>
    <n v="12"/>
    <n v="77.612573997385795"/>
    <d v="2022-05-09T00:00:00"/>
    <d v="2022-05-13T00:00:00"/>
    <n v="931.35088796862999"/>
    <n v="4"/>
    <x v="12"/>
    <s v="UK"/>
    <s v="South"/>
    <x v="3"/>
    <n v="1"/>
    <s v="Yes"/>
    <n v="0"/>
    <s v="Late"/>
    <x v="3"/>
    <x v="8"/>
  </r>
  <r>
    <s v="PO001160"/>
    <s v="SUP00087"/>
    <s v="PROD00071"/>
    <d v="2021-09-22T00:00:00"/>
    <n v="11"/>
    <n v="64.690572415060402"/>
    <d v="2021-10-03T00:00:00"/>
    <d v="2021-10-01T00:00:00"/>
    <n v="711.59629656566403"/>
    <n v="-2"/>
    <x v="14"/>
    <s v="UK"/>
    <s v="Central"/>
    <x v="2"/>
    <n v="0"/>
    <s v="No"/>
    <n v="1"/>
    <s v="On Time"/>
    <x v="1"/>
    <x v="11"/>
  </r>
  <r>
    <s v="PO001161"/>
    <s v="SUP00083"/>
    <s v="PROD00161"/>
    <d v="2021-01-08T00:00:00"/>
    <n v="12"/>
    <n v="6.06392884456932"/>
    <d v="2021-01-29T00:00:00"/>
    <d v="2021-02-02T00:00:00"/>
    <n v="72.767146134831805"/>
    <n v="4"/>
    <x v="43"/>
    <s v="China"/>
    <s v="South"/>
    <x v="0"/>
    <n v="0"/>
    <s v="No"/>
    <n v="0"/>
    <s v="Late"/>
    <x v="1"/>
    <x v="10"/>
  </r>
  <r>
    <s v="PO001162"/>
    <s v="SUP00084"/>
    <s v="PROD00134"/>
    <d v="2022-03-03T00:00:00"/>
    <n v="8"/>
    <n v="13.552297165799001"/>
    <d v="2022-03-15T00:00:00"/>
    <d v="2022-03-16T00:00:00"/>
    <n v="108.418377326392"/>
    <n v="1"/>
    <x v="35"/>
    <s v="Canada"/>
    <s v="West"/>
    <x v="1"/>
    <n v="1"/>
    <s v="Yes"/>
    <n v="0"/>
    <s v="Late"/>
    <x v="3"/>
    <x v="0"/>
  </r>
  <r>
    <s v="PO001163"/>
    <s v="SUP00088"/>
    <s v="PROD00093"/>
    <d v="2023-09-10T00:00:00"/>
    <n v="9"/>
    <n v="16.329817855320901"/>
    <d v="2023-10-02T00:00:00"/>
    <d v="2023-10-03T00:00:00"/>
    <n v="146.96836069788799"/>
    <n v="1"/>
    <x v="41"/>
    <s v="Brazil"/>
    <s v="East"/>
    <x v="3"/>
    <n v="0"/>
    <s v="No"/>
    <n v="0"/>
    <s v="Late"/>
    <x v="2"/>
    <x v="11"/>
  </r>
  <r>
    <s v="PO001164"/>
    <s v="SUP00029"/>
    <s v="PROD00113"/>
    <d v="2023-08-10T00:00:00"/>
    <n v="9"/>
    <n v="9.3916367604198694"/>
    <d v="2023-08-25T00:00:00"/>
    <d v="2023-08-23T00:00:00"/>
    <n v="84.524730843778798"/>
    <n v="-2"/>
    <x v="47"/>
    <s v="China"/>
    <s v="West"/>
    <x v="0"/>
    <n v="1"/>
    <s v="Yes"/>
    <n v="1"/>
    <s v="On Time"/>
    <x v="2"/>
    <x v="2"/>
  </r>
  <r>
    <s v="PO001165"/>
    <s v="SUP00046"/>
    <s v="PROD00176"/>
    <d v="2021-12-17T00:00:00"/>
    <n v="9"/>
    <n v="54.0254361865777"/>
    <d v="2022-01-07T00:00:00"/>
    <d v="2022-01-11T00:00:00"/>
    <n v="486.22892567919899"/>
    <n v="4"/>
    <x v="61"/>
    <s v="Brazil"/>
    <s v="South"/>
    <x v="3"/>
    <n v="1"/>
    <s v="Yes"/>
    <n v="0"/>
    <s v="Late"/>
    <x v="1"/>
    <x v="7"/>
  </r>
  <r>
    <s v="PO001166"/>
    <s v="SUP00099"/>
    <s v="PROD00043"/>
    <d v="2023-03-06T00:00:00"/>
    <n v="10"/>
    <n v="6.6948299775411897"/>
    <d v="2023-03-17T00:00:00"/>
    <d v="2023-03-19T00:00:00"/>
    <n v="66.948299775411897"/>
    <n v="2"/>
    <x v="19"/>
    <s v="Denmark"/>
    <s v="South"/>
    <x v="0"/>
    <n v="0"/>
    <s v="No"/>
    <n v="0"/>
    <s v="Late"/>
    <x v="2"/>
    <x v="0"/>
  </r>
  <r>
    <s v="PO001167"/>
    <s v="SUP00023"/>
    <s v="PROD00161"/>
    <d v="2023-09-20T00:00:00"/>
    <n v="11"/>
    <n v="79.797278151538606"/>
    <d v="2023-10-01T00:00:00"/>
    <d v="2023-09-29T00:00:00"/>
    <n v="877.77005966692502"/>
    <n v="-2"/>
    <x v="3"/>
    <s v="Brazil"/>
    <s v="South"/>
    <x v="0"/>
    <n v="1"/>
    <s v="Yes"/>
    <n v="1"/>
    <s v="On Time"/>
    <x v="2"/>
    <x v="11"/>
  </r>
  <r>
    <s v="PO001168"/>
    <s v="SUP00093"/>
    <s v="PROD00022"/>
    <d v="2021-07-05T00:00:00"/>
    <n v="17"/>
    <n v="40.876541890506999"/>
    <d v="2021-07-24T00:00:00"/>
    <d v="2021-07-29T00:00:00"/>
    <n v="694.90121213861903"/>
    <n v="5"/>
    <x v="20"/>
    <s v="USA"/>
    <s v="Central"/>
    <x v="2"/>
    <n v="0"/>
    <s v="No"/>
    <n v="0"/>
    <s v="Late"/>
    <x v="1"/>
    <x v="5"/>
  </r>
  <r>
    <s v="PO001169"/>
    <s v="SUP00038"/>
    <s v="PROD00099"/>
    <d v="2022-05-12T00:00:00"/>
    <n v="19"/>
    <n v="40.340214684562099"/>
    <d v="2022-05-29T00:00:00"/>
    <d v="2022-05-31T00:00:00"/>
    <n v="766.46407900667998"/>
    <n v="2"/>
    <x v="34"/>
    <s v="Germany"/>
    <s v="South"/>
    <x v="1"/>
    <n v="0"/>
    <s v="No"/>
    <n v="0"/>
    <s v="Late"/>
    <x v="3"/>
    <x v="3"/>
  </r>
  <r>
    <s v="PO001170"/>
    <s v="SUP00001"/>
    <s v="PROD00095"/>
    <d v="2022-02-01T00:00:00"/>
    <n v="12"/>
    <n v="15.7234969850802"/>
    <d v="2022-02-14T00:00:00"/>
    <d v="2022-02-14T00:00:00"/>
    <n v="188.68196382096301"/>
    <n v="0"/>
    <x v="36"/>
    <s v="USA"/>
    <s v="West"/>
    <x v="3"/>
    <n v="0"/>
    <s v="No"/>
    <n v="1"/>
    <s v="On Time"/>
    <x v="3"/>
    <x v="9"/>
  </r>
  <r>
    <s v="PO001171"/>
    <s v="SUP00090"/>
    <s v="PROD00156"/>
    <d v="2022-05-06T00:00:00"/>
    <n v="12"/>
    <n v="18.721015347875198"/>
    <d v="2022-05-19T00:00:00"/>
    <d v="2022-05-24T00:00:00"/>
    <n v="224.652184174502"/>
    <n v="5"/>
    <x v="9"/>
    <s v="Canada"/>
    <s v="East"/>
    <x v="1"/>
    <n v="1"/>
    <s v="Yes"/>
    <n v="0"/>
    <s v="Late"/>
    <x v="3"/>
    <x v="3"/>
  </r>
  <r>
    <s v="PO001172"/>
    <s v="SUP00019"/>
    <s v="PROD00183"/>
    <d v="2022-06-25T00:00:00"/>
    <n v="16"/>
    <n v="24.7473687385977"/>
    <d v="2022-07-11T00:00:00"/>
    <d v="2022-07-12T00:00:00"/>
    <n v="395.95789981756297"/>
    <n v="1"/>
    <x v="63"/>
    <s v="Denmark"/>
    <s v="West"/>
    <x v="2"/>
    <n v="0"/>
    <s v="No"/>
    <n v="0"/>
    <s v="Late"/>
    <x v="3"/>
    <x v="1"/>
  </r>
  <r>
    <s v="PO001173"/>
    <s v="SUP00002"/>
    <s v="PROD00140"/>
    <d v="2021-05-30T00:00:00"/>
    <n v="17"/>
    <n v="74.212131074353096"/>
    <d v="2021-06-15T00:00:00"/>
    <d v="2021-06-13T00:00:00"/>
    <n v="1261.606228264"/>
    <n v="-2"/>
    <x v="94"/>
    <s v="China"/>
    <s v="South"/>
    <x v="1"/>
    <n v="0"/>
    <s v="No"/>
    <n v="1"/>
    <s v="On Time"/>
    <x v="1"/>
    <x v="3"/>
  </r>
  <r>
    <s v="PO001174"/>
    <s v="SUP00015"/>
    <s v="PROD00181"/>
    <d v="2022-08-15T00:00:00"/>
    <n v="11"/>
    <n v="36.606625998270601"/>
    <d v="2022-09-01T00:00:00"/>
    <d v="2022-09-04T00:00:00"/>
    <n v="402.67288598097701"/>
    <n v="3"/>
    <x v="51"/>
    <s v="China"/>
    <s v="South"/>
    <x v="0"/>
    <n v="1"/>
    <s v="Yes"/>
    <n v="0"/>
    <s v="Late"/>
    <x v="3"/>
    <x v="2"/>
  </r>
  <r>
    <s v="PO001175"/>
    <s v="SUP00020"/>
    <s v="PROD00064"/>
    <d v="2023-06-20T00:00:00"/>
    <n v="13"/>
    <n v="54.591936609088201"/>
    <d v="2023-07-04T00:00:00"/>
    <d v="2023-07-03T00:00:00"/>
    <n v="709.69517591814702"/>
    <n v="-1"/>
    <x v="21"/>
    <s v="Canada"/>
    <s v="Central"/>
    <x v="3"/>
    <n v="1"/>
    <s v="Yes"/>
    <n v="1"/>
    <s v="On Time"/>
    <x v="2"/>
    <x v="1"/>
  </r>
  <r>
    <s v="PO001176"/>
    <s v="SUP00034"/>
    <s v="PROD00043"/>
    <d v="2022-03-14T00:00:00"/>
    <n v="10"/>
    <n v="22.1592969595116"/>
    <d v="2022-04-03T00:00:00"/>
    <d v="2022-04-05T00:00:00"/>
    <n v="221.59296959511599"/>
    <n v="2"/>
    <x v="67"/>
    <s v="Brazil"/>
    <s v="North"/>
    <x v="1"/>
    <n v="1"/>
    <s v="Yes"/>
    <n v="0"/>
    <s v="Late"/>
    <x v="3"/>
    <x v="0"/>
  </r>
  <r>
    <s v="PO001177"/>
    <s v="SUP00030"/>
    <s v="PROD00090"/>
    <d v="2024-04-06T00:00:00"/>
    <n v="6"/>
    <n v="32.657749876910202"/>
    <d v="2024-04-19T00:00:00"/>
    <d v="2024-04-18T00:00:00"/>
    <n v="195.94649926146101"/>
    <n v="-1"/>
    <x v="29"/>
    <s v="India"/>
    <s v="Central"/>
    <x v="0"/>
    <n v="0"/>
    <s v="No"/>
    <n v="1"/>
    <s v="On Time"/>
    <x v="0"/>
    <x v="8"/>
  </r>
  <r>
    <s v="PO001178"/>
    <s v="SUP00092"/>
    <s v="PROD00038"/>
    <d v="2022-11-24T00:00:00"/>
    <n v="10"/>
    <n v="8.3506137361375803"/>
    <d v="2022-12-10T00:00:00"/>
    <d v="2022-12-09T00:00:00"/>
    <n v="83.506137361375806"/>
    <n v="-1"/>
    <x v="27"/>
    <s v="UK"/>
    <s v="West"/>
    <x v="0"/>
    <n v="0"/>
    <s v="No"/>
    <n v="1"/>
    <s v="On Time"/>
    <x v="3"/>
    <x v="6"/>
  </r>
  <r>
    <s v="PO001179"/>
    <s v="SUP00002"/>
    <s v="PROD00058"/>
    <d v="2022-02-04T00:00:00"/>
    <n v="9"/>
    <n v="73.941827150674499"/>
    <d v="2022-02-19T00:00:00"/>
    <d v="2022-02-22T00:00:00"/>
    <n v="665.47644435607106"/>
    <n v="3"/>
    <x v="94"/>
    <s v="China"/>
    <s v="South"/>
    <x v="1"/>
    <n v="0"/>
    <s v="No"/>
    <n v="0"/>
    <s v="Late"/>
    <x v="3"/>
    <x v="9"/>
  </r>
  <r>
    <s v="PO001180"/>
    <s v="SUP00037"/>
    <s v="PROD00012"/>
    <d v="2022-09-12T00:00:00"/>
    <n v="12"/>
    <n v="53.672544115136198"/>
    <d v="2022-09-29T00:00:00"/>
    <d v="2022-10-05T00:00:00"/>
    <n v="644.07052938163497"/>
    <n v="6"/>
    <x v="46"/>
    <s v="Denmark"/>
    <s v="East"/>
    <x v="1"/>
    <n v="0"/>
    <s v="No"/>
    <n v="0"/>
    <s v="Late"/>
    <x v="3"/>
    <x v="11"/>
  </r>
  <r>
    <s v="PO001181"/>
    <s v="SUP00064"/>
    <s v="PROD00080"/>
    <d v="2022-08-10T00:00:00"/>
    <n v="10"/>
    <n v="3.0479058126465999"/>
    <d v="2022-08-31T00:00:00"/>
    <d v="2022-09-04T00:00:00"/>
    <n v="30.479058126466001"/>
    <n v="4"/>
    <x v="28"/>
    <s v="Brazil"/>
    <s v="North"/>
    <x v="0"/>
    <n v="1"/>
    <s v="Yes"/>
    <n v="0"/>
    <s v="Late"/>
    <x v="3"/>
    <x v="2"/>
  </r>
  <r>
    <s v="PO001182"/>
    <s v="SUP00095"/>
    <s v="PROD00175"/>
    <d v="2024-01-12T00:00:00"/>
    <n v="15"/>
    <n v="49.124843797526701"/>
    <d v="2024-01-29T00:00:00"/>
    <d v="2024-02-01T00:00:00"/>
    <n v="736.87265696290001"/>
    <n v="3"/>
    <x v="74"/>
    <s v="China"/>
    <s v="Central"/>
    <x v="1"/>
    <n v="0"/>
    <s v="No"/>
    <n v="0"/>
    <s v="Late"/>
    <x v="0"/>
    <x v="10"/>
  </r>
  <r>
    <s v="PO001183"/>
    <s v="SUP00009"/>
    <s v="PROD00057"/>
    <d v="2024-02-08T00:00:00"/>
    <n v="14"/>
    <n v="12.8595876764279"/>
    <d v="2024-02-18T00:00:00"/>
    <d v="2024-02-24T00:00:00"/>
    <n v="180.03422746998999"/>
    <n v="6"/>
    <x v="95"/>
    <s v="China"/>
    <s v="North"/>
    <x v="1"/>
    <n v="1"/>
    <s v="Yes"/>
    <n v="0"/>
    <s v="Late"/>
    <x v="0"/>
    <x v="9"/>
  </r>
  <r>
    <s v="PO001184"/>
    <s v="SUP00021"/>
    <s v="PROD00040"/>
    <d v="2021-02-06T00:00:00"/>
    <n v="11"/>
    <n v="66.712734200092996"/>
    <d v="2021-02-18T00:00:00"/>
    <d v="2021-02-18T00:00:00"/>
    <n v="733.84007620102295"/>
    <n v="0"/>
    <x v="19"/>
    <s v="Germany"/>
    <s v="Central"/>
    <x v="1"/>
    <n v="1"/>
    <s v="Yes"/>
    <n v="1"/>
    <s v="On Time"/>
    <x v="1"/>
    <x v="9"/>
  </r>
  <r>
    <s v="PO001185"/>
    <s v="SUP00092"/>
    <s v="PROD00132"/>
    <d v="2021-03-12T00:00:00"/>
    <n v="3"/>
    <n v="40.490329606607801"/>
    <d v="2021-03-23T00:00:00"/>
    <d v="2021-03-28T00:00:00"/>
    <n v="121.47098881982301"/>
    <n v="5"/>
    <x v="27"/>
    <s v="UK"/>
    <s v="West"/>
    <x v="0"/>
    <n v="0"/>
    <s v="No"/>
    <n v="0"/>
    <s v="Late"/>
    <x v="1"/>
    <x v="0"/>
  </r>
  <r>
    <s v="PO001186"/>
    <s v="SUP00043"/>
    <s v="PROD00185"/>
    <d v="2021-11-28T00:00:00"/>
    <n v="12"/>
    <n v="16.953590460409199"/>
    <d v="2021-12-20T00:00:00"/>
    <d v="2021-12-25T00:00:00"/>
    <n v="203.443085524911"/>
    <n v="5"/>
    <x v="23"/>
    <s v="India"/>
    <s v="Central"/>
    <x v="1"/>
    <n v="0"/>
    <s v="No"/>
    <n v="0"/>
    <s v="Late"/>
    <x v="1"/>
    <x v="6"/>
  </r>
  <r>
    <s v="PO001187"/>
    <s v="SUP00036"/>
    <s v="PROD00099"/>
    <d v="2021-09-21T00:00:00"/>
    <n v="6"/>
    <n v="3.2362247800969"/>
    <d v="2021-10-09T00:00:00"/>
    <d v="2021-10-11T00:00:00"/>
    <n v="19.417348680581402"/>
    <n v="2"/>
    <x v="40"/>
    <s v="Canada"/>
    <s v="West"/>
    <x v="3"/>
    <n v="1"/>
    <s v="Yes"/>
    <n v="0"/>
    <s v="Late"/>
    <x v="1"/>
    <x v="11"/>
  </r>
  <r>
    <s v="PO001188"/>
    <s v="SUP00064"/>
    <s v="PROD00128"/>
    <d v="2021-02-09T00:00:00"/>
    <n v="10"/>
    <n v="63.601378683407198"/>
    <d v="2021-02-24T00:00:00"/>
    <d v="2021-02-23T00:00:00"/>
    <n v="636.01378683407199"/>
    <n v="-1"/>
    <x v="28"/>
    <s v="Brazil"/>
    <s v="North"/>
    <x v="0"/>
    <n v="1"/>
    <s v="Yes"/>
    <n v="1"/>
    <s v="On Time"/>
    <x v="1"/>
    <x v="9"/>
  </r>
  <r>
    <s v="PO001189"/>
    <s v="SUP00076"/>
    <s v="PROD00119"/>
    <d v="2023-04-24T00:00:00"/>
    <n v="9"/>
    <n v="63.155606970870501"/>
    <d v="2023-05-08T00:00:00"/>
    <d v="2023-05-14T00:00:00"/>
    <n v="568.40046273783503"/>
    <n v="6"/>
    <x v="89"/>
    <s v="USA"/>
    <s v="South"/>
    <x v="2"/>
    <n v="1"/>
    <s v="Yes"/>
    <n v="0"/>
    <s v="Late"/>
    <x v="2"/>
    <x v="8"/>
  </r>
  <r>
    <s v="PO001190"/>
    <s v="SUP00019"/>
    <s v="PROD00070"/>
    <d v="2022-05-31T00:00:00"/>
    <n v="10"/>
    <n v="8.0569052450018592"/>
    <d v="2022-06-16T00:00:00"/>
    <d v="2022-06-19T00:00:00"/>
    <n v="80.569052450018603"/>
    <n v="3"/>
    <x v="63"/>
    <s v="Denmark"/>
    <s v="West"/>
    <x v="2"/>
    <n v="0"/>
    <s v="No"/>
    <n v="0"/>
    <s v="Late"/>
    <x v="3"/>
    <x v="3"/>
  </r>
  <r>
    <s v="PO001191"/>
    <s v="SUP00059"/>
    <s v="PROD00191"/>
    <d v="2023-09-23T00:00:00"/>
    <n v="15"/>
    <n v="42.1489672816979"/>
    <d v="2023-10-04T00:00:00"/>
    <d v="2023-10-05T00:00:00"/>
    <n v="632.23450922546897"/>
    <n v="1"/>
    <x v="0"/>
    <s v="India"/>
    <s v="North"/>
    <x v="0"/>
    <n v="0"/>
    <s v="No"/>
    <n v="0"/>
    <s v="Late"/>
    <x v="2"/>
    <x v="11"/>
  </r>
  <r>
    <s v="PO001192"/>
    <s v="SUP00023"/>
    <s v="PROD00003"/>
    <d v="2022-10-08T00:00:00"/>
    <n v="14"/>
    <n v="66.5642351977353"/>
    <d v="2022-10-26T00:00:00"/>
    <d v="2022-11-01T00:00:00"/>
    <n v="931.89929276829503"/>
    <n v="6"/>
    <x v="3"/>
    <s v="Brazil"/>
    <s v="South"/>
    <x v="0"/>
    <n v="1"/>
    <s v="Yes"/>
    <n v="0"/>
    <s v="Late"/>
    <x v="3"/>
    <x v="4"/>
  </r>
  <r>
    <s v="PO001193"/>
    <s v="SUP00006"/>
    <s v="PROD00112"/>
    <d v="2023-02-26T00:00:00"/>
    <n v="12"/>
    <n v="21.849057973472799"/>
    <d v="2023-03-20T00:00:00"/>
    <d v="2023-03-19T00:00:00"/>
    <n v="262.18869568167401"/>
    <n v="-1"/>
    <x v="78"/>
    <s v="USA"/>
    <s v="East"/>
    <x v="0"/>
    <n v="1"/>
    <s v="Yes"/>
    <n v="1"/>
    <s v="On Time"/>
    <x v="2"/>
    <x v="9"/>
  </r>
  <r>
    <s v="PO001194"/>
    <s v="SUP00027"/>
    <s v="PROD00130"/>
    <d v="2023-02-10T00:00:00"/>
    <n v="12"/>
    <n v="17.9575130194415"/>
    <d v="2023-02-24T00:00:00"/>
    <d v="2023-02-25T00:00:00"/>
    <n v="215.49015623329799"/>
    <n v="1"/>
    <x v="53"/>
    <s v="Brazil"/>
    <s v="Central"/>
    <x v="0"/>
    <n v="0"/>
    <s v="No"/>
    <n v="0"/>
    <s v="Late"/>
    <x v="2"/>
    <x v="9"/>
  </r>
  <r>
    <s v="PO001195"/>
    <s v="SUP00047"/>
    <s v="PROD00023"/>
    <d v="2021-01-15T00:00:00"/>
    <n v="16"/>
    <n v="32.309280856139203"/>
    <d v="2021-02-02T00:00:00"/>
    <d v="2021-02-01T00:00:00"/>
    <n v="516.94849369822703"/>
    <n v="-1"/>
    <x v="93"/>
    <s v="UK"/>
    <s v="Central"/>
    <x v="3"/>
    <n v="0"/>
    <s v="No"/>
    <n v="1"/>
    <s v="On Time"/>
    <x v="1"/>
    <x v="10"/>
  </r>
  <r>
    <s v="PO001196"/>
    <s v="SUP00067"/>
    <s v="PROD00148"/>
    <d v="2021-04-14T00:00:00"/>
    <n v="12"/>
    <n v="19.929219864458702"/>
    <d v="2021-05-04T00:00:00"/>
    <d v="2021-05-02T00:00:00"/>
    <n v="239.15063837350499"/>
    <n v="-2"/>
    <x v="22"/>
    <s v="UK"/>
    <s v="South"/>
    <x v="3"/>
    <n v="1"/>
    <s v="Yes"/>
    <n v="1"/>
    <s v="On Time"/>
    <x v="1"/>
    <x v="8"/>
  </r>
  <r>
    <s v="PO001197"/>
    <s v="SUP00055"/>
    <s v="PROD00141"/>
    <d v="2021-01-09T00:00:00"/>
    <n v="5"/>
    <n v="50.011031040354403"/>
    <d v="2021-01-26T00:00:00"/>
    <d v="2021-01-29T00:00:00"/>
    <n v="250.05515520177201"/>
    <n v="3"/>
    <x v="49"/>
    <s v="China"/>
    <s v="East"/>
    <x v="0"/>
    <n v="1"/>
    <s v="Yes"/>
    <n v="0"/>
    <s v="Late"/>
    <x v="1"/>
    <x v="10"/>
  </r>
  <r>
    <s v="PO001198"/>
    <s v="SUP00086"/>
    <s v="PROD00082"/>
    <d v="2024-01-20T00:00:00"/>
    <n v="6"/>
    <n v="69.235403612393995"/>
    <d v="2024-01-31T00:00:00"/>
    <d v="2024-01-28T00:00:00"/>
    <n v="415.41242167436297"/>
    <n v="-3"/>
    <x v="69"/>
    <s v="Denmark"/>
    <s v="South"/>
    <x v="0"/>
    <n v="1"/>
    <s v="Yes"/>
    <n v="1"/>
    <s v="On Time"/>
    <x v="0"/>
    <x v="10"/>
  </r>
  <r>
    <s v="PO001199"/>
    <s v="SUP00054"/>
    <s v="PROD00120"/>
    <d v="2023-09-18T00:00:00"/>
    <n v="9"/>
    <n v="43.704897971002602"/>
    <d v="2023-10-04T00:00:00"/>
    <d v="2023-10-10T00:00:00"/>
    <n v="393.34408173902301"/>
    <n v="6"/>
    <x v="73"/>
    <s v="Canada"/>
    <s v="South"/>
    <x v="3"/>
    <n v="1"/>
    <s v="Yes"/>
    <n v="0"/>
    <s v="Late"/>
    <x v="2"/>
    <x v="11"/>
  </r>
  <r>
    <s v="PO001200"/>
    <s v="SUP00059"/>
    <s v="PROD00198"/>
    <d v="2023-09-23T00:00:00"/>
    <n v="10"/>
    <n v="26.1193426387184"/>
    <d v="2023-10-10T00:00:00"/>
    <d v="2023-10-14T00:00:00"/>
    <n v="261.19342638718399"/>
    <n v="4"/>
    <x v="0"/>
    <s v="India"/>
    <s v="North"/>
    <x v="0"/>
    <n v="0"/>
    <s v="No"/>
    <n v="0"/>
    <s v="Late"/>
    <x v="2"/>
    <x v="11"/>
  </r>
  <r>
    <s v="PO001201"/>
    <s v="SUP00074"/>
    <s v="PROD00029"/>
    <d v="2023-03-01T00:00:00"/>
    <n v="10"/>
    <n v="4.1078171044251102"/>
    <d v="2023-03-12T00:00:00"/>
    <d v="2023-03-17T00:00:00"/>
    <n v="41.0781710442511"/>
    <n v="5"/>
    <x v="48"/>
    <s v="Canada"/>
    <s v="South"/>
    <x v="0"/>
    <n v="1"/>
    <s v="Yes"/>
    <n v="0"/>
    <s v="Late"/>
    <x v="2"/>
    <x v="0"/>
  </r>
  <r>
    <s v="PO001202"/>
    <s v="SUP00003"/>
    <s v="PROD00101"/>
    <d v="2021-10-02T00:00:00"/>
    <n v="12"/>
    <n v="30.484638119086501"/>
    <d v="2021-10-15T00:00:00"/>
    <d v="2021-10-17T00:00:00"/>
    <n v="365.81565742903803"/>
    <n v="2"/>
    <x v="91"/>
    <s v="India"/>
    <s v="Central"/>
    <x v="0"/>
    <n v="1"/>
    <s v="Yes"/>
    <n v="0"/>
    <s v="Late"/>
    <x v="1"/>
    <x v="4"/>
  </r>
  <r>
    <s v="PO001203"/>
    <s v="SUP00081"/>
    <s v="PROD00020"/>
    <d v="2023-06-25T00:00:00"/>
    <n v="11"/>
    <n v="53.299813604122498"/>
    <d v="2023-07-11T00:00:00"/>
    <d v="2023-07-12T00:00:00"/>
    <n v="586.29794964534801"/>
    <n v="1"/>
    <x v="66"/>
    <s v="India"/>
    <s v="Central"/>
    <x v="0"/>
    <n v="1"/>
    <s v="Yes"/>
    <n v="0"/>
    <s v="Late"/>
    <x v="2"/>
    <x v="1"/>
  </r>
  <r>
    <s v="PO001204"/>
    <s v="SUP00033"/>
    <s v="PROD00183"/>
    <d v="2023-01-26T00:00:00"/>
    <n v="14"/>
    <n v="74.260050175564103"/>
    <d v="2023-02-18T00:00:00"/>
    <d v="2023-02-23T00:00:00"/>
    <n v="1039.64070245789"/>
    <n v="5"/>
    <x v="54"/>
    <s v="USA"/>
    <s v="South"/>
    <x v="0"/>
    <n v="0"/>
    <s v="No"/>
    <n v="0"/>
    <s v="Late"/>
    <x v="2"/>
    <x v="10"/>
  </r>
  <r>
    <s v="PO001205"/>
    <s v="SUP00017"/>
    <s v="PROD00038"/>
    <d v="2024-03-05T00:00:00"/>
    <n v="8"/>
    <n v="66.7997209378901"/>
    <d v="2024-03-16T00:00:00"/>
    <d v="2024-03-16T00:00:00"/>
    <n v="534.39776750312001"/>
    <n v="0"/>
    <x v="52"/>
    <s v="India"/>
    <s v="East"/>
    <x v="1"/>
    <n v="0"/>
    <s v="No"/>
    <n v="1"/>
    <s v="On Time"/>
    <x v="0"/>
    <x v="0"/>
  </r>
  <r>
    <s v="PO001206"/>
    <s v="SUP00078"/>
    <s v="PROD00023"/>
    <d v="2021-06-07T00:00:00"/>
    <n v="8"/>
    <n v="15.939703510510499"/>
    <d v="2021-06-27T00:00:00"/>
    <d v="2021-06-25T00:00:00"/>
    <n v="127.517628084084"/>
    <n v="-2"/>
    <x v="56"/>
    <s v="Germany"/>
    <s v="North"/>
    <x v="0"/>
    <n v="0"/>
    <s v="No"/>
    <n v="1"/>
    <s v="On Time"/>
    <x v="1"/>
    <x v="1"/>
  </r>
  <r>
    <s v="PO001207"/>
    <s v="SUP00077"/>
    <s v="PROD00162"/>
    <d v="2022-02-19T00:00:00"/>
    <n v="12"/>
    <n v="35.741358321095902"/>
    <d v="2022-03-10T00:00:00"/>
    <d v="2022-03-10T00:00:00"/>
    <n v="428.89629985315099"/>
    <n v="0"/>
    <x v="10"/>
    <s v="India"/>
    <s v="West"/>
    <x v="1"/>
    <n v="0"/>
    <s v="No"/>
    <n v="1"/>
    <s v="On Time"/>
    <x v="3"/>
    <x v="9"/>
  </r>
  <r>
    <s v="PO001208"/>
    <s v="SUP00060"/>
    <s v="PROD00150"/>
    <d v="2024-04-09T00:00:00"/>
    <n v="14"/>
    <n v="60.372341447688598"/>
    <d v="2024-04-24T00:00:00"/>
    <d v="2024-04-26T00:00:00"/>
    <n v="845.21278026764105"/>
    <n v="2"/>
    <x v="85"/>
    <s v="UK"/>
    <s v="North"/>
    <x v="3"/>
    <n v="1"/>
    <s v="Yes"/>
    <n v="0"/>
    <s v="Late"/>
    <x v="0"/>
    <x v="8"/>
  </r>
  <r>
    <s v="PO001209"/>
    <s v="SUP00093"/>
    <s v="PROD00072"/>
    <d v="2023-03-22T00:00:00"/>
    <n v="11"/>
    <n v="17.5379781383153"/>
    <d v="2023-04-08T00:00:00"/>
    <d v="2023-04-11T00:00:00"/>
    <n v="192.91775952146801"/>
    <n v="3"/>
    <x v="20"/>
    <s v="USA"/>
    <s v="Central"/>
    <x v="2"/>
    <n v="0"/>
    <s v="No"/>
    <n v="0"/>
    <s v="Late"/>
    <x v="2"/>
    <x v="0"/>
  </r>
  <r>
    <s v="PO001210"/>
    <s v="SUP00014"/>
    <s v="PROD00027"/>
    <d v="2022-11-23T00:00:00"/>
    <n v="6"/>
    <n v="49.595615294231202"/>
    <d v="2022-12-10T00:00:00"/>
    <d v="2022-12-14T00:00:00"/>
    <n v="297.57369176538703"/>
    <n v="4"/>
    <x v="59"/>
    <s v="Germany"/>
    <s v="West"/>
    <x v="1"/>
    <n v="0"/>
    <s v="No"/>
    <n v="0"/>
    <s v="Late"/>
    <x v="3"/>
    <x v="6"/>
  </r>
  <r>
    <s v="PO001211"/>
    <s v="SUP00008"/>
    <s v="PROD00133"/>
    <d v="2021-04-18T00:00:00"/>
    <n v="11"/>
    <n v="34.719485552320201"/>
    <d v="2021-05-06T00:00:00"/>
    <d v="2021-05-09T00:00:00"/>
    <n v="381.91434107552197"/>
    <n v="3"/>
    <x v="79"/>
    <s v="USA"/>
    <s v="Central"/>
    <x v="3"/>
    <n v="0"/>
    <s v="No"/>
    <n v="0"/>
    <s v="Late"/>
    <x v="1"/>
    <x v="8"/>
  </r>
  <r>
    <s v="PO001212"/>
    <s v="SUP00030"/>
    <s v="PROD00096"/>
    <d v="2024-04-09T00:00:00"/>
    <n v="16"/>
    <n v="17.6817434472736"/>
    <d v="2024-05-03T00:00:00"/>
    <d v="2024-05-08T00:00:00"/>
    <n v="282.907895156378"/>
    <n v="5"/>
    <x v="29"/>
    <s v="India"/>
    <s v="Central"/>
    <x v="0"/>
    <n v="0"/>
    <s v="No"/>
    <n v="0"/>
    <s v="Late"/>
    <x v="0"/>
    <x v="8"/>
  </r>
  <r>
    <s v="PO001213"/>
    <s v="SUP00100"/>
    <s v="PROD00084"/>
    <d v="2021-03-06T00:00:00"/>
    <n v="9"/>
    <n v="22.523986668211599"/>
    <d v="2021-03-16T00:00:00"/>
    <d v="2021-03-20T00:00:00"/>
    <n v="202.71588001390401"/>
    <n v="4"/>
    <x v="45"/>
    <s v="Canada"/>
    <s v="Central"/>
    <x v="1"/>
    <n v="0"/>
    <s v="No"/>
    <n v="0"/>
    <s v="Late"/>
    <x v="1"/>
    <x v="0"/>
  </r>
  <r>
    <s v="PO001214"/>
    <s v="SUP00076"/>
    <s v="PROD00098"/>
    <d v="2022-09-04T00:00:00"/>
    <n v="12"/>
    <n v="6.0326537719406002"/>
    <d v="2022-09-18T00:00:00"/>
    <d v="2022-09-24T00:00:00"/>
    <n v="72.391845263287294"/>
    <n v="6"/>
    <x v="89"/>
    <s v="USA"/>
    <s v="South"/>
    <x v="2"/>
    <n v="1"/>
    <s v="Yes"/>
    <n v="0"/>
    <s v="Late"/>
    <x v="3"/>
    <x v="11"/>
  </r>
  <r>
    <s v="PO001215"/>
    <s v="SUP00090"/>
    <s v="PROD00175"/>
    <d v="2021-09-08T00:00:00"/>
    <n v="10"/>
    <n v="31.785042111796098"/>
    <d v="2021-09-28T00:00:00"/>
    <d v="2021-09-26T00:00:00"/>
    <n v="317.85042111796099"/>
    <n v="-2"/>
    <x v="9"/>
    <s v="Canada"/>
    <s v="East"/>
    <x v="1"/>
    <n v="1"/>
    <s v="Yes"/>
    <n v="1"/>
    <s v="On Time"/>
    <x v="1"/>
    <x v="11"/>
  </r>
  <r>
    <s v="PO001216"/>
    <s v="SUP00080"/>
    <s v="PROD00056"/>
    <d v="2023-07-23T00:00:00"/>
    <n v="10"/>
    <n v="74.065691352715206"/>
    <d v="2023-08-10T00:00:00"/>
    <d v="2023-08-08T00:00:00"/>
    <n v="740.65691352715203"/>
    <n v="-2"/>
    <x v="70"/>
    <s v="USA"/>
    <s v="North"/>
    <x v="2"/>
    <n v="0"/>
    <s v="No"/>
    <n v="1"/>
    <s v="On Time"/>
    <x v="2"/>
    <x v="5"/>
  </r>
  <r>
    <s v="PO001217"/>
    <s v="SUP00075"/>
    <s v="PROD00011"/>
    <d v="2023-02-02T00:00:00"/>
    <n v="5"/>
    <n v="45.382594630313797"/>
    <d v="2023-02-23T00:00:00"/>
    <d v="2023-02-25T00:00:00"/>
    <n v="226.91297315156899"/>
    <n v="2"/>
    <x v="11"/>
    <s v="USA"/>
    <s v="Central"/>
    <x v="1"/>
    <n v="1"/>
    <s v="Yes"/>
    <n v="0"/>
    <s v="Late"/>
    <x v="2"/>
    <x v="9"/>
  </r>
  <r>
    <s v="PO001218"/>
    <s v="SUP00003"/>
    <s v="PROD00006"/>
    <d v="2022-11-21T00:00:00"/>
    <n v="17"/>
    <n v="65.948241060610002"/>
    <d v="2022-12-03T00:00:00"/>
    <d v="2022-12-04T00:00:00"/>
    <n v="1121.1200980303699"/>
    <n v="1"/>
    <x v="91"/>
    <s v="India"/>
    <s v="Central"/>
    <x v="0"/>
    <n v="1"/>
    <s v="Yes"/>
    <n v="0"/>
    <s v="Late"/>
    <x v="3"/>
    <x v="6"/>
  </r>
  <r>
    <s v="PO001219"/>
    <s v="SUP00030"/>
    <s v="PROD00049"/>
    <d v="2023-08-07T00:00:00"/>
    <n v="7"/>
    <n v="31.6387277763593"/>
    <d v="2023-08-21T00:00:00"/>
    <d v="2023-08-21T00:00:00"/>
    <n v="221.47109443451501"/>
    <n v="0"/>
    <x v="29"/>
    <s v="India"/>
    <s v="Central"/>
    <x v="0"/>
    <n v="0"/>
    <s v="No"/>
    <n v="1"/>
    <s v="On Time"/>
    <x v="2"/>
    <x v="2"/>
  </r>
  <r>
    <s v="PO001220"/>
    <s v="SUP00031"/>
    <s v="PROD00052"/>
    <d v="2021-11-27T00:00:00"/>
    <n v="11"/>
    <n v="15.1105479601901"/>
    <d v="2021-12-07T00:00:00"/>
    <d v="2021-12-12T00:00:00"/>
    <n v="166.21602756209199"/>
    <n v="5"/>
    <x v="33"/>
    <s v="USA"/>
    <s v="West"/>
    <x v="3"/>
    <n v="0"/>
    <s v="No"/>
    <n v="0"/>
    <s v="Late"/>
    <x v="1"/>
    <x v="6"/>
  </r>
  <r>
    <s v="PO001221"/>
    <s v="SUP00025"/>
    <s v="PROD00063"/>
    <d v="2021-06-28T00:00:00"/>
    <n v="14"/>
    <n v="56.792406062853999"/>
    <d v="2021-07-12T00:00:00"/>
    <d v="2021-07-12T00:00:00"/>
    <n v="795.09368487995596"/>
    <n v="0"/>
    <x v="6"/>
    <s v="Denmark"/>
    <s v="Central"/>
    <x v="2"/>
    <n v="0"/>
    <s v="No"/>
    <n v="1"/>
    <s v="On Time"/>
    <x v="1"/>
    <x v="1"/>
  </r>
  <r>
    <s v="PO001222"/>
    <s v="SUP00090"/>
    <s v="PROD00057"/>
    <d v="2022-01-11T00:00:00"/>
    <n v="17"/>
    <n v="70.264011505417699"/>
    <d v="2022-02-02T00:00:00"/>
    <d v="2022-02-07T00:00:00"/>
    <n v="1194.4881955921001"/>
    <n v="5"/>
    <x v="9"/>
    <s v="Canada"/>
    <s v="East"/>
    <x v="1"/>
    <n v="1"/>
    <s v="Yes"/>
    <n v="0"/>
    <s v="Late"/>
    <x v="3"/>
    <x v="10"/>
  </r>
  <r>
    <s v="PO001223"/>
    <s v="SUP00050"/>
    <s v="PROD00022"/>
    <d v="2021-06-26T00:00:00"/>
    <n v="9"/>
    <n v="61.957231152501201"/>
    <d v="2021-07-11T00:00:00"/>
    <d v="2021-07-11T00:00:00"/>
    <n v="557.61508037250996"/>
    <n v="0"/>
    <x v="75"/>
    <s v="Denmark"/>
    <s v="West"/>
    <x v="1"/>
    <n v="0"/>
    <s v="No"/>
    <n v="1"/>
    <s v="On Time"/>
    <x v="1"/>
    <x v="1"/>
  </r>
  <r>
    <s v="PO001224"/>
    <s v="SUP00047"/>
    <s v="PROD00149"/>
    <d v="2021-04-20T00:00:00"/>
    <n v="11"/>
    <n v="53.554328694735702"/>
    <d v="2021-05-10T00:00:00"/>
    <d v="2021-05-13T00:00:00"/>
    <n v="589.09761564209305"/>
    <n v="3"/>
    <x v="93"/>
    <s v="UK"/>
    <s v="Central"/>
    <x v="3"/>
    <n v="0"/>
    <s v="No"/>
    <n v="0"/>
    <s v="Late"/>
    <x v="1"/>
    <x v="8"/>
  </r>
  <r>
    <s v="PO001225"/>
    <s v="SUP00018"/>
    <s v="PROD00175"/>
    <d v="2024-03-14T00:00:00"/>
    <n v="7"/>
    <n v="37.698600364941001"/>
    <d v="2024-03-27T00:00:00"/>
    <d v="2024-04-01T00:00:00"/>
    <n v="263.89020255458701"/>
    <n v="5"/>
    <x v="8"/>
    <s v="UK"/>
    <s v="West"/>
    <x v="2"/>
    <n v="0"/>
    <s v="No"/>
    <n v="0"/>
    <s v="Late"/>
    <x v="0"/>
    <x v="0"/>
  </r>
  <r>
    <s v="PO001226"/>
    <s v="SUP00061"/>
    <s v="PROD00184"/>
    <d v="2021-06-01T00:00:00"/>
    <n v="7"/>
    <n v="61.351533920002304"/>
    <d v="2021-06-14T00:00:00"/>
    <d v="2021-06-17T00:00:00"/>
    <n v="429.46073744001598"/>
    <n v="3"/>
    <x v="71"/>
    <s v="India"/>
    <s v="South"/>
    <x v="2"/>
    <n v="0"/>
    <s v="No"/>
    <n v="0"/>
    <s v="Late"/>
    <x v="1"/>
    <x v="1"/>
  </r>
  <r>
    <s v="PO001227"/>
    <s v="SUP00084"/>
    <s v="PROD00109"/>
    <d v="2023-04-12T00:00:00"/>
    <n v="13"/>
    <n v="24.956333406273501"/>
    <d v="2023-05-06T00:00:00"/>
    <d v="2023-05-07T00:00:00"/>
    <n v="324.43233428155497"/>
    <n v="1"/>
    <x v="35"/>
    <s v="Canada"/>
    <s v="West"/>
    <x v="1"/>
    <n v="1"/>
    <s v="Yes"/>
    <n v="0"/>
    <s v="Late"/>
    <x v="2"/>
    <x v="8"/>
  </r>
  <r>
    <s v="PO001228"/>
    <s v="SUP00091"/>
    <s v="PROD00065"/>
    <d v="2022-08-27T00:00:00"/>
    <n v="12"/>
    <n v="3.3978266325375199"/>
    <d v="2022-09-12T00:00:00"/>
    <d v="2022-09-12T00:00:00"/>
    <n v="40.773919590450198"/>
    <n v="0"/>
    <x v="77"/>
    <s v="China"/>
    <s v="South"/>
    <x v="1"/>
    <n v="0"/>
    <s v="No"/>
    <n v="1"/>
    <s v="On Time"/>
    <x v="3"/>
    <x v="2"/>
  </r>
  <r>
    <s v="PO001229"/>
    <s v="SUP00025"/>
    <s v="PROD00096"/>
    <d v="2023-02-16T00:00:00"/>
    <n v="10"/>
    <n v="30.715221326197199"/>
    <d v="2023-03-11T00:00:00"/>
    <d v="2023-03-10T00:00:00"/>
    <n v="307.15221326197201"/>
    <n v="-1"/>
    <x v="6"/>
    <s v="Denmark"/>
    <s v="Central"/>
    <x v="2"/>
    <n v="0"/>
    <s v="No"/>
    <n v="1"/>
    <s v="On Time"/>
    <x v="2"/>
    <x v="9"/>
  </r>
  <r>
    <s v="PO001230"/>
    <s v="SUP00048"/>
    <s v="PROD00189"/>
    <d v="2022-10-05T00:00:00"/>
    <n v="13"/>
    <n v="52.452560349716698"/>
    <d v="2022-10-29T00:00:00"/>
    <d v="2022-11-01T00:00:00"/>
    <n v="681.88328454631699"/>
    <n v="3"/>
    <x v="4"/>
    <s v="Denmark"/>
    <s v="West"/>
    <x v="2"/>
    <n v="1"/>
    <s v="Yes"/>
    <n v="0"/>
    <s v="Late"/>
    <x v="3"/>
    <x v="4"/>
  </r>
  <r>
    <s v="PO001231"/>
    <s v="SUP00100"/>
    <s v="PROD00003"/>
    <d v="2021-07-09T00:00:00"/>
    <n v="9"/>
    <n v="79.812140175481105"/>
    <d v="2021-07-20T00:00:00"/>
    <d v="2021-07-17T00:00:00"/>
    <n v="718.30926157933004"/>
    <n v="-3"/>
    <x v="45"/>
    <s v="Canada"/>
    <s v="Central"/>
    <x v="1"/>
    <n v="0"/>
    <s v="No"/>
    <n v="1"/>
    <s v="On Time"/>
    <x v="1"/>
    <x v="5"/>
  </r>
  <r>
    <s v="PO001232"/>
    <s v="SUP00090"/>
    <s v="PROD00081"/>
    <d v="2024-02-02T00:00:00"/>
    <n v="12"/>
    <n v="9.3632196062662807"/>
    <d v="2024-02-18T00:00:00"/>
    <d v="2024-02-23T00:00:00"/>
    <n v="112.358635275195"/>
    <n v="5"/>
    <x v="9"/>
    <s v="Canada"/>
    <s v="East"/>
    <x v="1"/>
    <n v="1"/>
    <s v="Yes"/>
    <n v="0"/>
    <s v="Late"/>
    <x v="0"/>
    <x v="9"/>
  </r>
  <r>
    <s v="PO001233"/>
    <s v="SUP00059"/>
    <s v="PROD00126"/>
    <d v="2021-03-08T00:00:00"/>
    <n v="18"/>
    <n v="35.445280991241603"/>
    <d v="2021-03-28T00:00:00"/>
    <d v="2021-03-29T00:00:00"/>
    <n v="638.01505784234905"/>
    <n v="1"/>
    <x v="0"/>
    <s v="India"/>
    <s v="North"/>
    <x v="0"/>
    <n v="0"/>
    <s v="No"/>
    <n v="0"/>
    <s v="Late"/>
    <x v="1"/>
    <x v="0"/>
  </r>
  <r>
    <s v="PO001234"/>
    <s v="SUP00046"/>
    <s v="PROD00172"/>
    <d v="2023-03-28T00:00:00"/>
    <n v="9"/>
    <n v="66.232787255178195"/>
    <d v="2023-04-13T00:00:00"/>
    <d v="2023-04-14T00:00:00"/>
    <n v="596.095085296604"/>
    <n v="1"/>
    <x v="61"/>
    <s v="Brazil"/>
    <s v="South"/>
    <x v="3"/>
    <n v="1"/>
    <s v="Yes"/>
    <n v="0"/>
    <s v="Late"/>
    <x v="2"/>
    <x v="0"/>
  </r>
  <r>
    <s v="PO001235"/>
    <s v="SUP00023"/>
    <s v="PROD00041"/>
    <d v="2022-01-11T00:00:00"/>
    <n v="8"/>
    <n v="69.048430975090398"/>
    <d v="2022-01-28T00:00:00"/>
    <d v="2022-01-31T00:00:00"/>
    <n v="552.38744780072295"/>
    <n v="3"/>
    <x v="3"/>
    <s v="Brazil"/>
    <s v="South"/>
    <x v="0"/>
    <n v="1"/>
    <s v="Yes"/>
    <n v="0"/>
    <s v="Late"/>
    <x v="3"/>
    <x v="10"/>
  </r>
  <r>
    <s v="PO001236"/>
    <s v="SUP00026"/>
    <s v="PROD00038"/>
    <d v="2021-08-10T00:00:00"/>
    <n v="6"/>
    <n v="51.584725546233003"/>
    <d v="2021-08-28T00:00:00"/>
    <d v="2021-09-03T00:00:00"/>
    <n v="309.50835327739799"/>
    <n v="6"/>
    <x v="44"/>
    <s v="Denmark"/>
    <s v="East"/>
    <x v="1"/>
    <n v="1"/>
    <s v="Yes"/>
    <n v="0"/>
    <s v="Late"/>
    <x v="1"/>
    <x v="2"/>
  </r>
  <r>
    <s v="PO001237"/>
    <s v="SUP00017"/>
    <s v="PROD00180"/>
    <d v="2022-01-17T00:00:00"/>
    <n v="8"/>
    <n v="63.107606135134297"/>
    <d v="2022-02-04T00:00:00"/>
    <d v="2022-02-06T00:00:00"/>
    <n v="504.86084908107398"/>
    <n v="2"/>
    <x v="52"/>
    <s v="India"/>
    <s v="East"/>
    <x v="1"/>
    <n v="0"/>
    <s v="No"/>
    <n v="0"/>
    <s v="Late"/>
    <x v="3"/>
    <x v="10"/>
  </r>
  <r>
    <s v="PO001238"/>
    <s v="SUP00073"/>
    <s v="PROD00168"/>
    <d v="2022-01-18T00:00:00"/>
    <n v="11"/>
    <n v="25.7641297402253"/>
    <d v="2022-01-29T00:00:00"/>
    <d v="2022-02-01T00:00:00"/>
    <n v="283.40542714247903"/>
    <n v="3"/>
    <x v="42"/>
    <s v="China"/>
    <s v="East"/>
    <x v="2"/>
    <n v="1"/>
    <s v="Yes"/>
    <n v="0"/>
    <s v="Late"/>
    <x v="3"/>
    <x v="10"/>
  </r>
  <r>
    <s v="PO001239"/>
    <s v="SUP00081"/>
    <s v="PROD00128"/>
    <d v="2024-04-03T00:00:00"/>
    <n v="8"/>
    <n v="76.888537529279901"/>
    <d v="2024-04-25T00:00:00"/>
    <d v="2024-04-27T00:00:00"/>
    <n v="615.10830023423898"/>
    <n v="2"/>
    <x v="66"/>
    <s v="India"/>
    <s v="Central"/>
    <x v="0"/>
    <n v="1"/>
    <s v="Yes"/>
    <n v="0"/>
    <s v="Late"/>
    <x v="0"/>
    <x v="8"/>
  </r>
  <r>
    <s v="PO001240"/>
    <s v="SUP00064"/>
    <s v="PROD00024"/>
    <d v="2024-01-13T00:00:00"/>
    <n v="11"/>
    <n v="10.4790685836689"/>
    <d v="2024-01-30T00:00:00"/>
    <d v="2024-02-01T00:00:00"/>
    <n v="115.269754420357"/>
    <n v="2"/>
    <x v="28"/>
    <s v="Brazil"/>
    <s v="North"/>
    <x v="0"/>
    <n v="1"/>
    <s v="Yes"/>
    <n v="0"/>
    <s v="Late"/>
    <x v="0"/>
    <x v="10"/>
  </r>
  <r>
    <s v="PO001241"/>
    <s v="SUP00083"/>
    <s v="PROD00001"/>
    <d v="2023-07-16T00:00:00"/>
    <n v="9"/>
    <n v="79.1272878037894"/>
    <d v="2023-07-30T00:00:00"/>
    <d v="2023-07-28T00:00:00"/>
    <n v="712.14559023410504"/>
    <n v="-2"/>
    <x v="43"/>
    <s v="China"/>
    <s v="South"/>
    <x v="0"/>
    <n v="0"/>
    <s v="No"/>
    <n v="1"/>
    <s v="On Time"/>
    <x v="2"/>
    <x v="5"/>
  </r>
  <r>
    <s v="PO001242"/>
    <s v="SUP00060"/>
    <s v="PROD00032"/>
    <d v="2022-03-08T00:00:00"/>
    <n v="10"/>
    <n v="43.3371175982805"/>
    <d v="2022-03-28T00:00:00"/>
    <d v="2022-03-25T00:00:00"/>
    <n v="433.37117598280503"/>
    <n v="-3"/>
    <x v="85"/>
    <s v="UK"/>
    <s v="North"/>
    <x v="3"/>
    <n v="1"/>
    <s v="Yes"/>
    <n v="1"/>
    <s v="On Time"/>
    <x v="3"/>
    <x v="0"/>
  </r>
  <r>
    <s v="PO001243"/>
    <s v="SUP00037"/>
    <s v="PROD00147"/>
    <d v="2023-03-18T00:00:00"/>
    <n v="9"/>
    <n v="77.085454786984201"/>
    <d v="2023-04-02T00:00:00"/>
    <d v="2023-03-31T00:00:00"/>
    <n v="693.76909308285803"/>
    <n v="-2"/>
    <x v="46"/>
    <s v="Denmark"/>
    <s v="East"/>
    <x v="1"/>
    <n v="0"/>
    <s v="No"/>
    <n v="1"/>
    <s v="On Time"/>
    <x v="2"/>
    <x v="0"/>
  </r>
  <r>
    <s v="PO001244"/>
    <s v="SUP00040"/>
    <s v="PROD00044"/>
    <d v="2024-01-17T00:00:00"/>
    <n v="14"/>
    <n v="8.6468191366630602"/>
    <d v="2024-02-06T00:00:00"/>
    <d v="2024-02-10T00:00:00"/>
    <n v="121.055467913282"/>
    <n v="4"/>
    <x v="58"/>
    <s v="Denmark"/>
    <s v="East"/>
    <x v="2"/>
    <n v="0"/>
    <s v="No"/>
    <n v="0"/>
    <s v="Late"/>
    <x v="0"/>
    <x v="10"/>
  </r>
  <r>
    <s v="PO001245"/>
    <s v="SUP00043"/>
    <s v="PROD00014"/>
    <d v="2022-02-03T00:00:00"/>
    <n v="13"/>
    <n v="39.478356356943998"/>
    <d v="2022-02-27T00:00:00"/>
    <d v="2022-02-24T00:00:00"/>
    <n v="513.21863264027195"/>
    <n v="-3"/>
    <x v="23"/>
    <s v="India"/>
    <s v="Central"/>
    <x v="1"/>
    <n v="0"/>
    <s v="No"/>
    <n v="1"/>
    <s v="On Time"/>
    <x v="3"/>
    <x v="9"/>
  </r>
  <r>
    <s v="PO001246"/>
    <s v="SUP00011"/>
    <s v="PROD00064"/>
    <d v="2023-04-16T00:00:00"/>
    <n v="9"/>
    <n v="17.3117257722473"/>
    <d v="2023-05-04T00:00:00"/>
    <d v="2023-05-05T00:00:00"/>
    <n v="155.805531950226"/>
    <n v="1"/>
    <x v="37"/>
    <s v="UK"/>
    <s v="East"/>
    <x v="3"/>
    <n v="1"/>
    <s v="Yes"/>
    <n v="0"/>
    <s v="Late"/>
    <x v="2"/>
    <x v="8"/>
  </r>
  <r>
    <s v="PO001247"/>
    <s v="SUP00048"/>
    <s v="PROD00162"/>
    <d v="2021-02-23T00:00:00"/>
    <n v="14"/>
    <n v="45.358628395581697"/>
    <d v="2021-03-09T00:00:00"/>
    <d v="2021-03-13T00:00:00"/>
    <n v="635.02079753814496"/>
    <n v="4"/>
    <x v="4"/>
    <s v="Denmark"/>
    <s v="West"/>
    <x v="2"/>
    <n v="1"/>
    <s v="Yes"/>
    <n v="0"/>
    <s v="Late"/>
    <x v="1"/>
    <x v="9"/>
  </r>
  <r>
    <s v="PO001248"/>
    <s v="SUP00013"/>
    <s v="PROD00038"/>
    <d v="2023-08-26T00:00:00"/>
    <n v="9"/>
    <n v="75.663715848219894"/>
    <d v="2023-09-09T00:00:00"/>
    <d v="2023-09-12T00:00:00"/>
    <n v="680.97344263397895"/>
    <n v="3"/>
    <x v="31"/>
    <s v="China"/>
    <s v="North"/>
    <x v="2"/>
    <n v="1"/>
    <s v="Yes"/>
    <n v="0"/>
    <s v="Late"/>
    <x v="2"/>
    <x v="2"/>
  </r>
  <r>
    <s v="PO001249"/>
    <s v="SUP00092"/>
    <s v="PROD00043"/>
    <d v="2022-06-27T00:00:00"/>
    <n v="10"/>
    <n v="61.145079609602"/>
    <d v="2022-07-20T00:00:00"/>
    <d v="2022-07-18T00:00:00"/>
    <n v="611.45079609601999"/>
    <n v="-2"/>
    <x v="27"/>
    <s v="UK"/>
    <s v="West"/>
    <x v="0"/>
    <n v="0"/>
    <s v="No"/>
    <n v="1"/>
    <s v="On Time"/>
    <x v="3"/>
    <x v="1"/>
  </r>
  <r>
    <s v="PO001250"/>
    <s v="SUP00010"/>
    <s v="PROD00042"/>
    <d v="2023-02-21T00:00:00"/>
    <n v="7"/>
    <n v="47.650735226861102"/>
    <d v="2023-03-04T00:00:00"/>
    <d v="2023-03-09T00:00:00"/>
    <n v="333.55514658802798"/>
    <n v="5"/>
    <x v="82"/>
    <s v="Denmark"/>
    <s v="Central"/>
    <x v="3"/>
    <n v="0"/>
    <s v="No"/>
    <n v="0"/>
    <s v="Late"/>
    <x v="2"/>
    <x v="9"/>
  </r>
  <r>
    <s v="PO001251"/>
    <s v="SUP00087"/>
    <s v="PROD00012"/>
    <d v="2022-10-13T00:00:00"/>
    <n v="8"/>
    <n v="6.0607011472488104"/>
    <d v="2022-11-05T00:00:00"/>
    <d v="2022-11-05T00:00:00"/>
    <n v="48.485609177990497"/>
    <n v="0"/>
    <x v="14"/>
    <s v="UK"/>
    <s v="Central"/>
    <x v="2"/>
    <n v="0"/>
    <s v="No"/>
    <n v="1"/>
    <s v="On Time"/>
    <x v="3"/>
    <x v="4"/>
  </r>
  <r>
    <s v="PO001252"/>
    <s v="SUP00031"/>
    <s v="PROD00097"/>
    <d v="2023-04-13T00:00:00"/>
    <n v="8"/>
    <n v="78.1517939468214"/>
    <d v="2023-05-06T00:00:00"/>
    <d v="2023-05-10T00:00:00"/>
    <n v="625.21435157457097"/>
    <n v="4"/>
    <x v="33"/>
    <s v="USA"/>
    <s v="West"/>
    <x v="3"/>
    <n v="0"/>
    <s v="No"/>
    <n v="0"/>
    <s v="Late"/>
    <x v="2"/>
    <x v="8"/>
  </r>
  <r>
    <s v="PO001253"/>
    <s v="SUP00095"/>
    <s v="PROD00117"/>
    <d v="2021-01-06T00:00:00"/>
    <n v="11"/>
    <n v="47.053061695023302"/>
    <d v="2021-01-29T00:00:00"/>
    <d v="2021-02-03T00:00:00"/>
    <n v="517.58367864525701"/>
    <n v="5"/>
    <x v="74"/>
    <s v="China"/>
    <s v="Central"/>
    <x v="1"/>
    <n v="0"/>
    <s v="No"/>
    <n v="0"/>
    <s v="Late"/>
    <x v="1"/>
    <x v="10"/>
  </r>
  <r>
    <s v="PO001254"/>
    <s v="SUP00019"/>
    <s v="PROD00042"/>
    <d v="2021-02-17T00:00:00"/>
    <n v="10"/>
    <n v="71.961619084179503"/>
    <d v="2021-03-02T00:00:00"/>
    <d v="2021-03-04T00:00:00"/>
    <n v="719.61619084179495"/>
    <n v="2"/>
    <x v="63"/>
    <s v="Denmark"/>
    <s v="West"/>
    <x v="2"/>
    <n v="0"/>
    <s v="No"/>
    <n v="0"/>
    <s v="Late"/>
    <x v="1"/>
    <x v="9"/>
  </r>
  <r>
    <s v="PO001255"/>
    <s v="SUP00074"/>
    <s v="PROD00016"/>
    <d v="2021-06-08T00:00:00"/>
    <n v="9"/>
    <n v="58.237755303158103"/>
    <d v="2021-07-02T00:00:00"/>
    <d v="2021-06-29T00:00:00"/>
    <n v="524.13979772842299"/>
    <n v="-3"/>
    <x v="48"/>
    <s v="Canada"/>
    <s v="South"/>
    <x v="0"/>
    <n v="1"/>
    <s v="Yes"/>
    <n v="1"/>
    <s v="On Time"/>
    <x v="1"/>
    <x v="1"/>
  </r>
  <r>
    <s v="PO001256"/>
    <s v="SUP00069"/>
    <s v="PROD00173"/>
    <d v="2021-10-01T00:00:00"/>
    <n v="7"/>
    <n v="32.684605538307501"/>
    <d v="2021-10-24T00:00:00"/>
    <d v="2021-10-24T00:00:00"/>
    <n v="228.792238768152"/>
    <n v="0"/>
    <x v="90"/>
    <s v="China"/>
    <s v="Central"/>
    <x v="2"/>
    <n v="0"/>
    <s v="No"/>
    <n v="1"/>
    <s v="On Time"/>
    <x v="1"/>
    <x v="4"/>
  </r>
  <r>
    <s v="PO001257"/>
    <s v="SUP00096"/>
    <s v="PROD00009"/>
    <d v="2021-04-20T00:00:00"/>
    <n v="3"/>
    <n v="33.088086089904102"/>
    <d v="2021-05-09T00:00:00"/>
    <d v="2021-05-11T00:00:00"/>
    <n v="99.2642582697124"/>
    <n v="2"/>
    <x v="26"/>
    <s v="India"/>
    <s v="South"/>
    <x v="1"/>
    <n v="0"/>
    <s v="No"/>
    <n v="0"/>
    <s v="Late"/>
    <x v="1"/>
    <x v="8"/>
  </r>
  <r>
    <s v="PO001258"/>
    <s v="SUP00025"/>
    <s v="PROD00085"/>
    <d v="2023-01-05T00:00:00"/>
    <n v="10"/>
    <n v="71.781079680661094"/>
    <d v="2023-01-18T00:00:00"/>
    <d v="2023-01-15T00:00:00"/>
    <n v="717.81079680661003"/>
    <n v="-3"/>
    <x v="6"/>
    <s v="Denmark"/>
    <s v="Central"/>
    <x v="2"/>
    <n v="0"/>
    <s v="No"/>
    <n v="1"/>
    <s v="On Time"/>
    <x v="2"/>
    <x v="10"/>
  </r>
  <r>
    <s v="PO001259"/>
    <s v="SUP00066"/>
    <s v="PROD00163"/>
    <d v="2023-05-12T00:00:00"/>
    <n v="11"/>
    <n v="55.594730115304401"/>
    <d v="2023-05-25T00:00:00"/>
    <d v="2023-05-22T00:00:00"/>
    <n v="611.54203126834898"/>
    <n v="-3"/>
    <x v="65"/>
    <s v="India"/>
    <s v="West"/>
    <x v="2"/>
    <n v="0"/>
    <s v="No"/>
    <n v="1"/>
    <s v="On Time"/>
    <x v="2"/>
    <x v="3"/>
  </r>
  <r>
    <s v="PO001260"/>
    <s v="SUP00087"/>
    <s v="PROD00021"/>
    <d v="2024-03-17T00:00:00"/>
    <n v="10"/>
    <n v="9.1071050929846908"/>
    <d v="2024-03-31T00:00:00"/>
    <d v="2024-04-06T00:00:00"/>
    <n v="91.071050929846905"/>
    <n v="6"/>
    <x v="14"/>
    <s v="UK"/>
    <s v="Central"/>
    <x v="2"/>
    <n v="0"/>
    <s v="No"/>
    <n v="0"/>
    <s v="Late"/>
    <x v="0"/>
    <x v="0"/>
  </r>
  <r>
    <s v="PO001261"/>
    <s v="SUP00050"/>
    <s v="PROD00133"/>
    <d v="2024-03-04T00:00:00"/>
    <n v="11"/>
    <n v="67.8213980893197"/>
    <d v="2024-03-27T00:00:00"/>
    <d v="2024-04-01T00:00:00"/>
    <n v="746.03537898251705"/>
    <n v="5"/>
    <x v="75"/>
    <s v="Denmark"/>
    <s v="West"/>
    <x v="1"/>
    <n v="0"/>
    <s v="No"/>
    <n v="0"/>
    <s v="Late"/>
    <x v="0"/>
    <x v="0"/>
  </r>
  <r>
    <s v="PO001262"/>
    <s v="SUP00045"/>
    <s v="PROD00091"/>
    <d v="2022-08-23T00:00:00"/>
    <n v="5"/>
    <n v="24.054079814803899"/>
    <d v="2022-09-12T00:00:00"/>
    <d v="2022-09-14T00:00:00"/>
    <n v="120.270399074019"/>
    <n v="2"/>
    <x v="84"/>
    <s v="Canada"/>
    <s v="North"/>
    <x v="3"/>
    <n v="1"/>
    <s v="Yes"/>
    <n v="0"/>
    <s v="Late"/>
    <x v="3"/>
    <x v="2"/>
  </r>
  <r>
    <s v="PO001263"/>
    <s v="SUP00076"/>
    <s v="PROD00077"/>
    <d v="2024-04-13T00:00:00"/>
    <n v="7"/>
    <n v="45.092280504453498"/>
    <d v="2024-04-23T00:00:00"/>
    <d v="2024-04-22T00:00:00"/>
    <n v="315.64596353117503"/>
    <n v="-1"/>
    <x v="89"/>
    <s v="USA"/>
    <s v="South"/>
    <x v="2"/>
    <n v="1"/>
    <s v="Yes"/>
    <n v="1"/>
    <s v="On Time"/>
    <x v="0"/>
    <x v="8"/>
  </r>
  <r>
    <s v="PO001264"/>
    <s v="SUP00008"/>
    <s v="PROD00099"/>
    <d v="2022-09-30T00:00:00"/>
    <n v="20"/>
    <n v="12.5367301492322"/>
    <d v="2022-10-17T00:00:00"/>
    <d v="2022-10-19T00:00:00"/>
    <n v="250.734602984644"/>
    <n v="2"/>
    <x v="79"/>
    <s v="USA"/>
    <s v="Central"/>
    <x v="3"/>
    <n v="0"/>
    <s v="No"/>
    <n v="0"/>
    <s v="Late"/>
    <x v="3"/>
    <x v="11"/>
  </r>
  <r>
    <s v="PO001265"/>
    <s v="SUP00084"/>
    <s v="PROD00016"/>
    <d v="2023-10-08T00:00:00"/>
    <n v="21"/>
    <n v="27.013906544171501"/>
    <d v="2023-10-24T00:00:00"/>
    <d v="2023-10-24T00:00:00"/>
    <n v="567.29203742760296"/>
    <n v="0"/>
    <x v="35"/>
    <s v="Canada"/>
    <s v="West"/>
    <x v="1"/>
    <n v="1"/>
    <s v="Yes"/>
    <n v="1"/>
    <s v="On Time"/>
    <x v="2"/>
    <x v="4"/>
  </r>
  <r>
    <s v="PO001266"/>
    <s v="SUP00017"/>
    <s v="PROD00147"/>
    <d v="2022-10-22T00:00:00"/>
    <n v="11"/>
    <n v="28.391199726030202"/>
    <d v="2022-11-08T00:00:00"/>
    <d v="2022-11-14T00:00:00"/>
    <n v="312.30319698633298"/>
    <n v="6"/>
    <x v="52"/>
    <s v="India"/>
    <s v="East"/>
    <x v="1"/>
    <n v="0"/>
    <s v="No"/>
    <n v="0"/>
    <s v="Late"/>
    <x v="3"/>
    <x v="4"/>
  </r>
  <r>
    <s v="PO001267"/>
    <s v="SUP00066"/>
    <s v="PROD00169"/>
    <d v="2022-12-15T00:00:00"/>
    <n v="18"/>
    <n v="72.634451472665802"/>
    <d v="2022-12-29T00:00:00"/>
    <d v="2022-12-27T00:00:00"/>
    <n v="1307.4201265079801"/>
    <n v="-2"/>
    <x v="65"/>
    <s v="India"/>
    <s v="West"/>
    <x v="2"/>
    <n v="0"/>
    <s v="No"/>
    <n v="1"/>
    <s v="On Time"/>
    <x v="3"/>
    <x v="7"/>
  </r>
  <r>
    <s v="PO001268"/>
    <s v="SUP00089"/>
    <s v="PROD00108"/>
    <d v="2022-06-05T00:00:00"/>
    <n v="8"/>
    <n v="48.581532268355303"/>
    <d v="2022-06-22T00:00:00"/>
    <d v="2022-06-20T00:00:00"/>
    <n v="388.65225814684197"/>
    <n v="-2"/>
    <x v="87"/>
    <s v="Canada"/>
    <s v="North"/>
    <x v="0"/>
    <n v="0"/>
    <s v="No"/>
    <n v="1"/>
    <s v="On Time"/>
    <x v="3"/>
    <x v="1"/>
  </r>
  <r>
    <s v="PO001269"/>
    <s v="SUP00066"/>
    <s v="PROD00028"/>
    <d v="2021-09-10T00:00:00"/>
    <n v="14"/>
    <n v="24.802781008981999"/>
    <d v="2021-09-28T00:00:00"/>
    <d v="2021-09-28T00:00:00"/>
    <n v="347.23893412574898"/>
    <n v="0"/>
    <x v="65"/>
    <s v="India"/>
    <s v="West"/>
    <x v="2"/>
    <n v="0"/>
    <s v="No"/>
    <n v="1"/>
    <s v="On Time"/>
    <x v="1"/>
    <x v="11"/>
  </r>
  <r>
    <s v="PO001270"/>
    <s v="SUP00084"/>
    <s v="PROD00039"/>
    <d v="2023-04-03T00:00:00"/>
    <n v="14"/>
    <n v="55.777531163748399"/>
    <d v="2023-04-25T00:00:00"/>
    <d v="2023-05-01T00:00:00"/>
    <n v="780.88543629247795"/>
    <n v="6"/>
    <x v="35"/>
    <s v="Canada"/>
    <s v="West"/>
    <x v="1"/>
    <n v="1"/>
    <s v="Yes"/>
    <n v="0"/>
    <s v="Late"/>
    <x v="2"/>
    <x v="8"/>
  </r>
  <r>
    <s v="PO001271"/>
    <s v="SUP00084"/>
    <s v="PROD00025"/>
    <d v="2022-08-16T00:00:00"/>
    <n v="5"/>
    <n v="45.285042921990502"/>
    <d v="2022-08-28T00:00:00"/>
    <d v="2022-08-27T00:00:00"/>
    <n v="226.42521460995201"/>
    <n v="-1"/>
    <x v="35"/>
    <s v="Canada"/>
    <s v="West"/>
    <x v="1"/>
    <n v="1"/>
    <s v="Yes"/>
    <n v="1"/>
    <s v="On Time"/>
    <x v="3"/>
    <x v="2"/>
  </r>
  <r>
    <s v="PO001272"/>
    <s v="SUP00066"/>
    <s v="PROD00170"/>
    <d v="2022-08-19T00:00:00"/>
    <n v="12"/>
    <n v="7.4769868614650896"/>
    <d v="2022-09-12T00:00:00"/>
    <d v="2022-09-11T00:00:00"/>
    <n v="89.723842337581004"/>
    <n v="-1"/>
    <x v="65"/>
    <s v="India"/>
    <s v="West"/>
    <x v="2"/>
    <n v="0"/>
    <s v="No"/>
    <n v="1"/>
    <s v="On Time"/>
    <x v="3"/>
    <x v="2"/>
  </r>
  <r>
    <s v="PO001273"/>
    <s v="SUP00088"/>
    <s v="PROD00089"/>
    <d v="2021-02-22T00:00:00"/>
    <n v="11"/>
    <n v="29.9308846432452"/>
    <d v="2021-03-18T00:00:00"/>
    <d v="2021-03-20T00:00:00"/>
    <n v="329.23973107569702"/>
    <n v="2"/>
    <x v="41"/>
    <s v="Brazil"/>
    <s v="East"/>
    <x v="3"/>
    <n v="0"/>
    <s v="No"/>
    <n v="0"/>
    <s v="Late"/>
    <x v="1"/>
    <x v="9"/>
  </r>
  <r>
    <s v="PO001274"/>
    <s v="SUP00073"/>
    <s v="PROD00044"/>
    <d v="2021-02-16T00:00:00"/>
    <n v="5"/>
    <n v="75.427274755408305"/>
    <d v="2021-03-02T00:00:00"/>
    <d v="2021-03-06T00:00:00"/>
    <n v="377.136373777041"/>
    <n v="4"/>
    <x v="42"/>
    <s v="China"/>
    <s v="East"/>
    <x v="2"/>
    <n v="1"/>
    <s v="Yes"/>
    <n v="0"/>
    <s v="Late"/>
    <x v="1"/>
    <x v="9"/>
  </r>
  <r>
    <s v="PO001275"/>
    <s v="SUP00071"/>
    <s v="PROD00149"/>
    <d v="2022-11-10T00:00:00"/>
    <n v="17"/>
    <n v="58.795061678887997"/>
    <d v="2022-11-30T00:00:00"/>
    <d v="2022-11-29T00:00:00"/>
    <n v="999.51604854109598"/>
    <n v="-1"/>
    <x v="50"/>
    <s v="Denmark"/>
    <s v="South"/>
    <x v="3"/>
    <n v="1"/>
    <s v="Yes"/>
    <n v="1"/>
    <s v="On Time"/>
    <x v="3"/>
    <x v="6"/>
  </r>
  <r>
    <s v="PO001276"/>
    <s v="SUP00021"/>
    <s v="PROD00177"/>
    <d v="2023-02-23T00:00:00"/>
    <n v="9"/>
    <n v="62.363135209881897"/>
    <d v="2023-03-17T00:00:00"/>
    <d v="2023-03-22T00:00:00"/>
    <n v="561.26821688893699"/>
    <n v="5"/>
    <x v="19"/>
    <s v="Germany"/>
    <s v="Central"/>
    <x v="1"/>
    <n v="1"/>
    <s v="Yes"/>
    <n v="0"/>
    <s v="Late"/>
    <x v="2"/>
    <x v="9"/>
  </r>
  <r>
    <s v="PO001277"/>
    <s v="SUP00098"/>
    <s v="PROD00028"/>
    <d v="2021-05-03T00:00:00"/>
    <n v="14"/>
    <n v="64.266578640387095"/>
    <d v="2021-05-15T00:00:00"/>
    <d v="2021-05-13T00:00:00"/>
    <n v="899.73210096542005"/>
    <n v="-2"/>
    <x v="38"/>
    <s v="Germany"/>
    <s v="North"/>
    <x v="3"/>
    <n v="1"/>
    <s v="Yes"/>
    <n v="1"/>
    <s v="On Time"/>
    <x v="1"/>
    <x v="3"/>
  </r>
  <r>
    <s v="PO001278"/>
    <s v="SUP00051"/>
    <s v="PROD00052"/>
    <d v="2021-08-17T00:00:00"/>
    <n v="10"/>
    <n v="14.6253754249484"/>
    <d v="2021-09-01T00:00:00"/>
    <d v="2021-09-03T00:00:00"/>
    <n v="146.25375424948399"/>
    <n v="2"/>
    <x v="57"/>
    <s v="UK"/>
    <s v="South"/>
    <x v="1"/>
    <n v="0"/>
    <s v="No"/>
    <n v="0"/>
    <s v="Late"/>
    <x v="1"/>
    <x v="2"/>
  </r>
  <r>
    <s v="PO001279"/>
    <s v="SUP00032"/>
    <s v="PROD00152"/>
    <d v="2023-07-18T00:00:00"/>
    <n v="9"/>
    <n v="38.662052659195098"/>
    <d v="2023-07-29T00:00:00"/>
    <d v="2023-08-02T00:00:00"/>
    <n v="347.95847393275602"/>
    <n v="4"/>
    <x v="15"/>
    <s v="Germany"/>
    <s v="South"/>
    <x v="0"/>
    <n v="0"/>
    <s v="No"/>
    <n v="0"/>
    <s v="Late"/>
    <x v="2"/>
    <x v="5"/>
  </r>
  <r>
    <s v="PO001280"/>
    <s v="SUP00011"/>
    <s v="PROD00144"/>
    <d v="2022-08-04T00:00:00"/>
    <n v="12"/>
    <n v="74.813839730903396"/>
    <d v="2022-08-28T00:00:00"/>
    <d v="2022-08-31T00:00:00"/>
    <n v="897.76607677084098"/>
    <n v="3"/>
    <x v="37"/>
    <s v="UK"/>
    <s v="East"/>
    <x v="3"/>
    <n v="1"/>
    <s v="Yes"/>
    <n v="0"/>
    <s v="Late"/>
    <x v="3"/>
    <x v="2"/>
  </r>
  <r>
    <s v="PO001281"/>
    <s v="SUP00041"/>
    <s v="PROD00073"/>
    <d v="2021-12-13T00:00:00"/>
    <n v="7"/>
    <n v="53.060837160996499"/>
    <d v="2022-01-05T00:00:00"/>
    <d v="2022-01-10T00:00:00"/>
    <n v="371.42586012697501"/>
    <n v="5"/>
    <x v="72"/>
    <s v="Germany"/>
    <s v="West"/>
    <x v="1"/>
    <n v="0"/>
    <s v="No"/>
    <n v="0"/>
    <s v="Late"/>
    <x v="1"/>
    <x v="7"/>
  </r>
  <r>
    <s v="PO001282"/>
    <s v="SUP00026"/>
    <s v="PROD00132"/>
    <d v="2021-02-19T00:00:00"/>
    <n v="12"/>
    <n v="61.930499755443002"/>
    <d v="2021-03-14T00:00:00"/>
    <d v="2021-03-15T00:00:00"/>
    <n v="743.16599706531701"/>
    <n v="1"/>
    <x v="44"/>
    <s v="Denmark"/>
    <s v="East"/>
    <x v="1"/>
    <n v="1"/>
    <s v="Yes"/>
    <n v="0"/>
    <s v="Late"/>
    <x v="1"/>
    <x v="9"/>
  </r>
  <r>
    <s v="PO001283"/>
    <s v="SUP00015"/>
    <s v="PROD00115"/>
    <d v="2021-05-15T00:00:00"/>
    <n v="14"/>
    <n v="23.950098258557802"/>
    <d v="2021-05-25T00:00:00"/>
    <d v="2021-05-27T00:00:00"/>
    <n v="335.30137561981002"/>
    <n v="2"/>
    <x v="51"/>
    <s v="China"/>
    <s v="South"/>
    <x v="0"/>
    <n v="1"/>
    <s v="Yes"/>
    <n v="0"/>
    <s v="Late"/>
    <x v="1"/>
    <x v="3"/>
  </r>
  <r>
    <s v="PO001284"/>
    <s v="SUP00025"/>
    <s v="PROD00181"/>
    <d v="2021-07-13T00:00:00"/>
    <n v="14"/>
    <n v="64.399334982588996"/>
    <d v="2021-07-28T00:00:00"/>
    <d v="2021-07-29T00:00:00"/>
    <n v="901.59068975624598"/>
    <n v="1"/>
    <x v="6"/>
    <s v="Denmark"/>
    <s v="Central"/>
    <x v="2"/>
    <n v="0"/>
    <s v="No"/>
    <n v="0"/>
    <s v="Late"/>
    <x v="1"/>
    <x v="5"/>
  </r>
  <r>
    <s v="PO001285"/>
    <s v="SUP00095"/>
    <s v="PROD00004"/>
    <d v="2022-03-17T00:00:00"/>
    <n v="17"/>
    <n v="78.965594382321797"/>
    <d v="2022-04-04T00:00:00"/>
    <d v="2022-04-01T00:00:00"/>
    <n v="1342.4151044994701"/>
    <n v="-3"/>
    <x v="74"/>
    <s v="China"/>
    <s v="Central"/>
    <x v="1"/>
    <n v="0"/>
    <s v="No"/>
    <n v="1"/>
    <s v="On Time"/>
    <x v="3"/>
    <x v="0"/>
  </r>
  <r>
    <s v="PO001286"/>
    <s v="SUP00004"/>
    <s v="PROD00046"/>
    <d v="2024-02-15T00:00:00"/>
    <n v="5"/>
    <n v="8.2696253002163704"/>
    <d v="2024-03-08T00:00:00"/>
    <d v="2024-03-12T00:00:00"/>
    <n v="41.348126501081801"/>
    <n v="4"/>
    <x v="28"/>
    <s v="USA"/>
    <s v="North"/>
    <x v="1"/>
    <n v="0"/>
    <s v="No"/>
    <n v="0"/>
    <s v="Late"/>
    <x v="0"/>
    <x v="9"/>
  </r>
  <r>
    <s v="PO001287"/>
    <s v="SUP00100"/>
    <s v="PROD00145"/>
    <d v="2022-10-03T00:00:00"/>
    <n v="12"/>
    <n v="76.465551356556603"/>
    <d v="2022-10-23T00:00:00"/>
    <d v="2022-10-27T00:00:00"/>
    <n v="917.586616278679"/>
    <n v="4"/>
    <x v="45"/>
    <s v="Canada"/>
    <s v="Central"/>
    <x v="1"/>
    <n v="0"/>
    <s v="No"/>
    <n v="0"/>
    <s v="Late"/>
    <x v="3"/>
    <x v="4"/>
  </r>
  <r>
    <s v="PO001288"/>
    <s v="SUP00082"/>
    <s v="PROD00058"/>
    <d v="2021-03-17T00:00:00"/>
    <n v="16"/>
    <n v="40.149554645937599"/>
    <d v="2021-03-29T00:00:00"/>
    <d v="2021-04-03T00:00:00"/>
    <n v="642.39287433500101"/>
    <n v="5"/>
    <x v="76"/>
    <s v="India"/>
    <s v="North"/>
    <x v="1"/>
    <n v="1"/>
    <s v="Yes"/>
    <n v="0"/>
    <s v="Late"/>
    <x v="1"/>
    <x v="0"/>
  </r>
  <r>
    <s v="PO001289"/>
    <s v="SUP00046"/>
    <s v="PROD00092"/>
    <d v="2024-04-04T00:00:00"/>
    <n v="17"/>
    <n v="9.9787202968687598"/>
    <d v="2024-04-16T00:00:00"/>
    <d v="2024-04-17T00:00:00"/>
    <n v="169.63824504676799"/>
    <n v="1"/>
    <x v="61"/>
    <s v="Brazil"/>
    <s v="South"/>
    <x v="3"/>
    <n v="1"/>
    <s v="Yes"/>
    <n v="0"/>
    <s v="Late"/>
    <x v="0"/>
    <x v="8"/>
  </r>
  <r>
    <s v="PO001290"/>
    <s v="SUP00086"/>
    <s v="PROD00144"/>
    <d v="2021-06-19T00:00:00"/>
    <n v="13"/>
    <n v="29.671609423269199"/>
    <d v="2021-07-12T00:00:00"/>
    <d v="2021-07-18T00:00:00"/>
    <n v="385.73092250249999"/>
    <n v="6"/>
    <x v="69"/>
    <s v="Denmark"/>
    <s v="South"/>
    <x v="0"/>
    <n v="1"/>
    <s v="Yes"/>
    <n v="0"/>
    <s v="Late"/>
    <x v="1"/>
    <x v="1"/>
  </r>
  <r>
    <s v="PO001291"/>
    <s v="SUP00064"/>
    <s v="PROD00114"/>
    <d v="2023-10-20T00:00:00"/>
    <n v="11"/>
    <n v="9.1089775661487202"/>
    <d v="2023-11-10T00:00:00"/>
    <d v="2023-11-16T00:00:00"/>
    <n v="100.198753227635"/>
    <n v="6"/>
    <x v="28"/>
    <s v="Brazil"/>
    <s v="North"/>
    <x v="0"/>
    <n v="1"/>
    <s v="Yes"/>
    <n v="0"/>
    <s v="Late"/>
    <x v="2"/>
    <x v="4"/>
  </r>
  <r>
    <s v="PO001292"/>
    <s v="SUP00074"/>
    <s v="PROD00129"/>
    <d v="2021-05-14T00:00:00"/>
    <n v="14"/>
    <n v="51.691766458821199"/>
    <d v="2021-06-01T00:00:00"/>
    <d v="2021-06-07T00:00:00"/>
    <n v="723.68473042349797"/>
    <n v="6"/>
    <x v="48"/>
    <s v="Canada"/>
    <s v="South"/>
    <x v="0"/>
    <n v="1"/>
    <s v="Yes"/>
    <n v="0"/>
    <s v="Late"/>
    <x v="1"/>
    <x v="3"/>
  </r>
  <r>
    <s v="PO001293"/>
    <s v="SUP00009"/>
    <s v="PROD00179"/>
    <d v="2021-03-10T00:00:00"/>
    <n v="13"/>
    <n v="71.411682234778397"/>
    <d v="2021-03-23T00:00:00"/>
    <d v="2021-03-24T00:00:00"/>
    <n v="928.35186905211901"/>
    <n v="1"/>
    <x v="95"/>
    <s v="China"/>
    <s v="North"/>
    <x v="1"/>
    <n v="1"/>
    <s v="Yes"/>
    <n v="0"/>
    <s v="Late"/>
    <x v="1"/>
    <x v="0"/>
  </r>
  <r>
    <s v="PO001294"/>
    <s v="SUP00020"/>
    <s v="PROD00046"/>
    <d v="2024-03-24T00:00:00"/>
    <n v="18"/>
    <n v="75.308964770967293"/>
    <d v="2024-04-10T00:00:00"/>
    <d v="2024-04-13T00:00:00"/>
    <n v="1355.56136587741"/>
    <n v="3"/>
    <x v="21"/>
    <s v="Canada"/>
    <s v="Central"/>
    <x v="3"/>
    <n v="1"/>
    <s v="Yes"/>
    <n v="0"/>
    <s v="Late"/>
    <x v="0"/>
    <x v="0"/>
  </r>
  <r>
    <s v="PO001295"/>
    <s v="SUP00045"/>
    <s v="PROD00164"/>
    <d v="2022-03-06T00:00:00"/>
    <n v="11"/>
    <n v="68.180413214725704"/>
    <d v="2022-03-25T00:00:00"/>
    <d v="2022-03-23T00:00:00"/>
    <n v="749.98454536198199"/>
    <n v="-2"/>
    <x v="84"/>
    <s v="Canada"/>
    <s v="North"/>
    <x v="3"/>
    <n v="1"/>
    <s v="Yes"/>
    <n v="1"/>
    <s v="On Time"/>
    <x v="3"/>
    <x v="0"/>
  </r>
  <r>
    <s v="PO001296"/>
    <s v="SUP00055"/>
    <s v="PROD00124"/>
    <d v="2022-01-12T00:00:00"/>
    <n v="9"/>
    <n v="78.977207314706106"/>
    <d v="2022-01-25T00:00:00"/>
    <d v="2022-01-28T00:00:00"/>
    <n v="710.79486583235496"/>
    <n v="3"/>
    <x v="49"/>
    <s v="China"/>
    <s v="East"/>
    <x v="0"/>
    <n v="1"/>
    <s v="Yes"/>
    <n v="0"/>
    <s v="Late"/>
    <x v="3"/>
    <x v="10"/>
  </r>
  <r>
    <s v="PO001297"/>
    <s v="SUP00044"/>
    <s v="PROD00069"/>
    <d v="2023-12-18T00:00:00"/>
    <n v="18"/>
    <n v="74.609030713256402"/>
    <d v="2024-01-07T00:00:00"/>
    <d v="2024-01-13T00:00:00"/>
    <n v="1342.96255283861"/>
    <n v="6"/>
    <x v="21"/>
    <s v="Germany"/>
    <s v="Central"/>
    <x v="1"/>
    <n v="1"/>
    <s v="Yes"/>
    <n v="0"/>
    <s v="Late"/>
    <x v="2"/>
    <x v="7"/>
  </r>
  <r>
    <s v="PO001298"/>
    <s v="SUP00082"/>
    <s v="PROD00043"/>
    <d v="2022-11-26T00:00:00"/>
    <n v="10"/>
    <n v="62.374985636378497"/>
    <d v="2022-12-20T00:00:00"/>
    <d v="2022-12-21T00:00:00"/>
    <n v="623.74985636378506"/>
    <n v="1"/>
    <x v="76"/>
    <s v="India"/>
    <s v="North"/>
    <x v="1"/>
    <n v="1"/>
    <s v="Yes"/>
    <n v="0"/>
    <s v="Late"/>
    <x v="3"/>
    <x v="6"/>
  </r>
  <r>
    <s v="PO001299"/>
    <s v="SUP00084"/>
    <s v="PROD00180"/>
    <d v="2021-05-26T00:00:00"/>
    <n v="9"/>
    <n v="45.352443504023697"/>
    <d v="2021-06-07T00:00:00"/>
    <d v="2021-06-06T00:00:00"/>
    <n v="408.171991536213"/>
    <n v="-1"/>
    <x v="35"/>
    <s v="Canada"/>
    <s v="West"/>
    <x v="1"/>
    <n v="1"/>
    <s v="Yes"/>
    <n v="1"/>
    <s v="On Time"/>
    <x v="1"/>
    <x v="3"/>
  </r>
  <r>
    <s v="PO001300"/>
    <s v="SUP00036"/>
    <s v="PROD00092"/>
    <d v="2022-07-12T00:00:00"/>
    <n v="12"/>
    <n v="66.420680665821294"/>
    <d v="2022-07-28T00:00:00"/>
    <d v="2022-08-03T00:00:00"/>
    <n v="797.04816798985496"/>
    <n v="6"/>
    <x v="40"/>
    <s v="Canada"/>
    <s v="West"/>
    <x v="3"/>
    <n v="1"/>
    <s v="Yes"/>
    <n v="0"/>
    <s v="Late"/>
    <x v="3"/>
    <x v="5"/>
  </r>
  <r>
    <s v="PO001301"/>
    <s v="SUP00036"/>
    <s v="PROD00100"/>
    <d v="2022-05-11T00:00:00"/>
    <n v="15"/>
    <n v="20.576082397926399"/>
    <d v="2022-05-23T00:00:00"/>
    <d v="2022-05-20T00:00:00"/>
    <n v="308.64123596889698"/>
    <n v="-3"/>
    <x v="40"/>
    <s v="Canada"/>
    <s v="West"/>
    <x v="3"/>
    <n v="1"/>
    <s v="Yes"/>
    <n v="1"/>
    <s v="On Time"/>
    <x v="3"/>
    <x v="3"/>
  </r>
  <r>
    <s v="PO001302"/>
    <s v="SUP00001"/>
    <s v="PROD00054"/>
    <d v="2023-04-05T00:00:00"/>
    <n v="9"/>
    <n v="52.651888654826998"/>
    <d v="2023-04-27T00:00:00"/>
    <d v="2023-04-26T00:00:00"/>
    <n v="473.866997893443"/>
    <n v="-1"/>
    <x v="36"/>
    <s v="USA"/>
    <s v="West"/>
    <x v="3"/>
    <n v="0"/>
    <s v="No"/>
    <n v="1"/>
    <s v="On Time"/>
    <x v="2"/>
    <x v="8"/>
  </r>
  <r>
    <s v="PO001303"/>
    <s v="SUP00054"/>
    <s v="PROD00054"/>
    <d v="2023-03-04T00:00:00"/>
    <n v="8"/>
    <n v="28.345787657490099"/>
    <d v="2023-03-16T00:00:00"/>
    <d v="2023-03-14T00:00:00"/>
    <n v="226.76630125992"/>
    <n v="-2"/>
    <x v="73"/>
    <s v="Canada"/>
    <s v="South"/>
    <x v="3"/>
    <n v="1"/>
    <s v="Yes"/>
    <n v="1"/>
    <s v="On Time"/>
    <x v="2"/>
    <x v="0"/>
  </r>
  <r>
    <s v="PO001304"/>
    <s v="SUP00022"/>
    <s v="PROD00190"/>
    <d v="2022-12-29T00:00:00"/>
    <n v="12"/>
    <n v="42.309645702595503"/>
    <d v="2023-01-18T00:00:00"/>
    <d v="2023-01-22T00:00:00"/>
    <n v="507.71574843114598"/>
    <n v="4"/>
    <x v="60"/>
    <s v="India"/>
    <s v="South"/>
    <x v="1"/>
    <n v="0"/>
    <s v="No"/>
    <n v="0"/>
    <s v="Late"/>
    <x v="3"/>
    <x v="7"/>
  </r>
  <r>
    <s v="PO001305"/>
    <s v="SUP00078"/>
    <s v="PROD00024"/>
    <d v="2023-05-03T00:00:00"/>
    <n v="13"/>
    <n v="78.599575961147707"/>
    <d v="2023-05-20T00:00:00"/>
    <d v="2023-05-26T00:00:00"/>
    <n v="1021.79448749492"/>
    <n v="6"/>
    <x v="56"/>
    <s v="Germany"/>
    <s v="North"/>
    <x v="0"/>
    <n v="0"/>
    <s v="No"/>
    <n v="0"/>
    <s v="Late"/>
    <x v="2"/>
    <x v="3"/>
  </r>
  <r>
    <s v="PO001306"/>
    <s v="SUP00023"/>
    <s v="PROD00092"/>
    <d v="2023-06-30T00:00:00"/>
    <n v="18"/>
    <n v="7.7156397604386697"/>
    <d v="2023-07-18T00:00:00"/>
    <d v="2023-07-22T00:00:00"/>
    <n v="138.88151568789601"/>
    <n v="4"/>
    <x v="3"/>
    <s v="Brazil"/>
    <s v="South"/>
    <x v="0"/>
    <n v="1"/>
    <s v="Yes"/>
    <n v="0"/>
    <s v="Late"/>
    <x v="2"/>
    <x v="1"/>
  </r>
  <r>
    <s v="PO001307"/>
    <s v="SUP00061"/>
    <s v="PROD00047"/>
    <d v="2024-01-06T00:00:00"/>
    <n v="9"/>
    <n v="14.0035494180319"/>
    <d v="2024-01-19T00:00:00"/>
    <d v="2024-01-23T00:00:00"/>
    <n v="126.031944762287"/>
    <n v="4"/>
    <x v="71"/>
    <s v="India"/>
    <s v="South"/>
    <x v="2"/>
    <n v="0"/>
    <s v="No"/>
    <n v="0"/>
    <s v="Late"/>
    <x v="0"/>
    <x v="10"/>
  </r>
  <r>
    <s v="PO001308"/>
    <s v="SUP00098"/>
    <s v="PROD00127"/>
    <d v="2021-11-12T00:00:00"/>
    <n v="9"/>
    <n v="62.317693127283299"/>
    <d v="2021-11-28T00:00:00"/>
    <d v="2021-12-02T00:00:00"/>
    <n v="560.85923814554997"/>
    <n v="4"/>
    <x v="38"/>
    <s v="Germany"/>
    <s v="North"/>
    <x v="3"/>
    <n v="1"/>
    <s v="Yes"/>
    <n v="0"/>
    <s v="Late"/>
    <x v="1"/>
    <x v="6"/>
  </r>
  <r>
    <s v="PO001309"/>
    <s v="SUP00086"/>
    <s v="PROD00044"/>
    <d v="2022-06-08T00:00:00"/>
    <n v="10"/>
    <n v="38.719941251136902"/>
    <d v="2022-06-30T00:00:00"/>
    <d v="2022-06-30T00:00:00"/>
    <n v="387.19941251136902"/>
    <n v="0"/>
    <x v="69"/>
    <s v="Denmark"/>
    <s v="South"/>
    <x v="0"/>
    <n v="1"/>
    <s v="Yes"/>
    <n v="1"/>
    <s v="On Time"/>
    <x v="3"/>
    <x v="1"/>
  </r>
  <r>
    <s v="PO001310"/>
    <s v="SUP00085"/>
    <s v="PROD00200"/>
    <d v="2022-05-10T00:00:00"/>
    <n v="16"/>
    <n v="27.0081492753073"/>
    <d v="2022-05-25T00:00:00"/>
    <d v="2022-05-26T00:00:00"/>
    <n v="432.13038840491703"/>
    <n v="1"/>
    <x v="1"/>
    <s v="Germany"/>
    <s v="Central"/>
    <x v="1"/>
    <n v="1"/>
    <s v="Yes"/>
    <n v="0"/>
    <s v="Late"/>
    <x v="3"/>
    <x v="3"/>
  </r>
  <r>
    <s v="PO001311"/>
    <s v="SUP00085"/>
    <s v="PROD00075"/>
    <d v="2022-06-04T00:00:00"/>
    <n v="10"/>
    <n v="71.996588052412605"/>
    <d v="2022-06-28T00:00:00"/>
    <d v="2022-06-30T00:00:00"/>
    <n v="719.96588052412596"/>
    <n v="2"/>
    <x v="1"/>
    <s v="Germany"/>
    <s v="Central"/>
    <x v="1"/>
    <n v="1"/>
    <s v="Yes"/>
    <n v="0"/>
    <s v="Late"/>
    <x v="3"/>
    <x v="1"/>
  </r>
  <r>
    <s v="PO001312"/>
    <s v="SUP00033"/>
    <s v="PROD00174"/>
    <d v="2021-12-21T00:00:00"/>
    <n v="13"/>
    <n v="6.8199995975249497"/>
    <d v="2022-01-10T00:00:00"/>
    <d v="2022-01-11T00:00:00"/>
    <n v="88.659994767824401"/>
    <n v="1"/>
    <x v="54"/>
    <s v="USA"/>
    <s v="South"/>
    <x v="0"/>
    <n v="0"/>
    <s v="No"/>
    <n v="0"/>
    <s v="Late"/>
    <x v="1"/>
    <x v="7"/>
  </r>
  <r>
    <s v="PO001313"/>
    <s v="SUP00060"/>
    <s v="PROD00057"/>
    <d v="2022-08-14T00:00:00"/>
    <n v="7"/>
    <n v="73.351775725083698"/>
    <d v="2022-08-26T00:00:00"/>
    <d v="2022-08-29T00:00:00"/>
    <n v="513.46243007558598"/>
    <n v="3"/>
    <x v="85"/>
    <s v="UK"/>
    <s v="North"/>
    <x v="3"/>
    <n v="1"/>
    <s v="Yes"/>
    <n v="0"/>
    <s v="Late"/>
    <x v="3"/>
    <x v="2"/>
  </r>
  <r>
    <s v="PO001314"/>
    <s v="SUP00069"/>
    <s v="PROD00108"/>
    <d v="2022-09-20T00:00:00"/>
    <n v="13"/>
    <n v="54.878470507975798"/>
    <d v="2022-10-03T00:00:00"/>
    <d v="2022-10-07T00:00:00"/>
    <n v="713.42011660368496"/>
    <n v="4"/>
    <x v="90"/>
    <s v="China"/>
    <s v="Central"/>
    <x v="2"/>
    <n v="0"/>
    <s v="No"/>
    <n v="0"/>
    <s v="Late"/>
    <x v="3"/>
    <x v="11"/>
  </r>
  <r>
    <s v="PO001315"/>
    <s v="SUP00078"/>
    <s v="PROD00157"/>
    <d v="2021-07-13T00:00:00"/>
    <n v="11"/>
    <n v="36.137102027521699"/>
    <d v="2021-07-31T00:00:00"/>
    <d v="2021-08-03T00:00:00"/>
    <n v="397.50812230273903"/>
    <n v="3"/>
    <x v="56"/>
    <s v="Germany"/>
    <s v="North"/>
    <x v="0"/>
    <n v="0"/>
    <s v="No"/>
    <n v="0"/>
    <s v="Late"/>
    <x v="1"/>
    <x v="5"/>
  </r>
  <r>
    <s v="PO001316"/>
    <s v="SUP00087"/>
    <s v="PROD00053"/>
    <d v="2023-05-18T00:00:00"/>
    <n v="10"/>
    <n v="15.055422141307901"/>
    <d v="2023-06-05T00:00:00"/>
    <d v="2023-06-11T00:00:00"/>
    <n v="150.55422141307901"/>
    <n v="6"/>
    <x v="14"/>
    <s v="UK"/>
    <s v="Central"/>
    <x v="2"/>
    <n v="0"/>
    <s v="No"/>
    <n v="0"/>
    <s v="Late"/>
    <x v="2"/>
    <x v="3"/>
  </r>
  <r>
    <s v="PO001317"/>
    <s v="SUP00099"/>
    <s v="PROD00151"/>
    <d v="2021-01-16T00:00:00"/>
    <n v="9"/>
    <n v="28.3527844896206"/>
    <d v="2021-02-08T00:00:00"/>
    <d v="2021-02-14T00:00:00"/>
    <n v="255.175060406585"/>
    <n v="6"/>
    <x v="19"/>
    <s v="Denmark"/>
    <s v="South"/>
    <x v="0"/>
    <n v="0"/>
    <s v="No"/>
    <n v="0"/>
    <s v="Late"/>
    <x v="1"/>
    <x v="10"/>
  </r>
  <r>
    <s v="PO001318"/>
    <s v="SUP00066"/>
    <s v="PROD00043"/>
    <d v="2022-03-18T00:00:00"/>
    <n v="9"/>
    <n v="62.445008554635002"/>
    <d v="2022-03-30T00:00:00"/>
    <d v="2022-03-30T00:00:00"/>
    <n v="562.00507699171499"/>
    <n v="0"/>
    <x v="65"/>
    <s v="India"/>
    <s v="West"/>
    <x v="2"/>
    <n v="0"/>
    <s v="No"/>
    <n v="1"/>
    <s v="On Time"/>
    <x v="3"/>
    <x v="0"/>
  </r>
  <r>
    <s v="PO001319"/>
    <s v="SUP00073"/>
    <s v="PROD00039"/>
    <d v="2022-03-05T00:00:00"/>
    <n v="14"/>
    <n v="28.005590621128999"/>
    <d v="2022-03-17T00:00:00"/>
    <d v="2022-03-22T00:00:00"/>
    <n v="392.07826869580703"/>
    <n v="5"/>
    <x v="42"/>
    <s v="China"/>
    <s v="East"/>
    <x v="2"/>
    <n v="1"/>
    <s v="Yes"/>
    <n v="0"/>
    <s v="Late"/>
    <x v="3"/>
    <x v="0"/>
  </r>
  <r>
    <s v="PO001320"/>
    <s v="SUP00091"/>
    <s v="PROD00111"/>
    <d v="2023-06-20T00:00:00"/>
    <n v="6"/>
    <n v="59.231004516506502"/>
    <d v="2023-07-11T00:00:00"/>
    <d v="2023-07-08T00:00:00"/>
    <n v="355.38602709903898"/>
    <n v="-3"/>
    <x v="77"/>
    <s v="China"/>
    <s v="South"/>
    <x v="1"/>
    <n v="0"/>
    <s v="No"/>
    <n v="1"/>
    <s v="On Time"/>
    <x v="2"/>
    <x v="1"/>
  </r>
  <r>
    <s v="PO001321"/>
    <s v="SUP00072"/>
    <s v="PROD00162"/>
    <d v="2021-08-29T00:00:00"/>
    <n v="7"/>
    <n v="9.0441255139341692"/>
    <d v="2021-09-19T00:00:00"/>
    <d v="2021-09-18T00:00:00"/>
    <n v="63.308878597539199"/>
    <n v="-1"/>
    <x v="83"/>
    <s v="India"/>
    <s v="Central"/>
    <x v="1"/>
    <n v="0"/>
    <s v="No"/>
    <n v="1"/>
    <s v="On Time"/>
    <x v="1"/>
    <x v="2"/>
  </r>
  <r>
    <s v="PO001322"/>
    <s v="SUP00094"/>
    <s v="PROD00050"/>
    <d v="2021-03-27T00:00:00"/>
    <n v="9"/>
    <n v="29.273857516530999"/>
    <d v="2021-04-06T00:00:00"/>
    <d v="2021-04-11T00:00:00"/>
    <n v="263.46471764877901"/>
    <n v="5"/>
    <x v="62"/>
    <s v="USA"/>
    <s v="North"/>
    <x v="2"/>
    <n v="0"/>
    <s v="No"/>
    <n v="0"/>
    <s v="Late"/>
    <x v="1"/>
    <x v="0"/>
  </r>
  <r>
    <s v="PO001323"/>
    <s v="SUP00015"/>
    <s v="PROD00027"/>
    <d v="2024-02-02T00:00:00"/>
    <n v="11"/>
    <n v="42.258278526199099"/>
    <d v="2024-02-13T00:00:00"/>
    <d v="2024-02-14T00:00:00"/>
    <n v="464.84106378819001"/>
    <n v="1"/>
    <x v="51"/>
    <s v="China"/>
    <s v="South"/>
    <x v="0"/>
    <n v="1"/>
    <s v="Yes"/>
    <n v="0"/>
    <s v="Late"/>
    <x v="0"/>
    <x v="9"/>
  </r>
  <r>
    <s v="PO001324"/>
    <s v="SUP00044"/>
    <s v="PROD00104"/>
    <d v="2022-11-16T00:00:00"/>
    <n v="6"/>
    <n v="61.882863684708802"/>
    <d v="2022-12-02T00:00:00"/>
    <d v="2022-12-04T00:00:00"/>
    <n v="371.297182108252"/>
    <n v="2"/>
    <x v="21"/>
    <s v="Germany"/>
    <s v="Central"/>
    <x v="1"/>
    <n v="1"/>
    <s v="Yes"/>
    <n v="0"/>
    <s v="Late"/>
    <x v="3"/>
    <x v="6"/>
  </r>
  <r>
    <s v="PO001325"/>
    <s v="SUP00067"/>
    <s v="PROD00169"/>
    <d v="2022-08-21T00:00:00"/>
    <n v="8"/>
    <n v="29.0856390294826"/>
    <d v="2022-09-14T00:00:00"/>
    <d v="2022-09-17T00:00:00"/>
    <n v="232.68511223586"/>
    <n v="3"/>
    <x v="22"/>
    <s v="UK"/>
    <s v="South"/>
    <x v="3"/>
    <n v="1"/>
    <s v="Yes"/>
    <n v="0"/>
    <s v="Late"/>
    <x v="3"/>
    <x v="2"/>
  </r>
  <r>
    <s v="PO001326"/>
    <s v="SUP00099"/>
    <s v="PROD00007"/>
    <d v="2023-05-25T00:00:00"/>
    <n v="7"/>
    <n v="22.141679479632"/>
    <d v="2023-06-04T00:00:00"/>
    <d v="2023-06-07T00:00:00"/>
    <n v="154.99175635742401"/>
    <n v="3"/>
    <x v="19"/>
    <s v="Denmark"/>
    <s v="South"/>
    <x v="0"/>
    <n v="0"/>
    <s v="No"/>
    <n v="0"/>
    <s v="Late"/>
    <x v="2"/>
    <x v="3"/>
  </r>
  <r>
    <s v="PO001327"/>
    <s v="SUP00064"/>
    <s v="PROD00137"/>
    <d v="2024-03-04T00:00:00"/>
    <n v="10"/>
    <n v="25.9188403217012"/>
    <d v="2024-03-22T00:00:00"/>
    <d v="2024-03-28T00:00:00"/>
    <n v="259.18840321701202"/>
    <n v="6"/>
    <x v="28"/>
    <s v="Brazil"/>
    <s v="North"/>
    <x v="0"/>
    <n v="1"/>
    <s v="Yes"/>
    <n v="0"/>
    <s v="Late"/>
    <x v="0"/>
    <x v="0"/>
  </r>
  <r>
    <s v="PO001328"/>
    <s v="SUP00032"/>
    <s v="PROD00018"/>
    <d v="2022-02-19T00:00:00"/>
    <n v="9"/>
    <n v="52.983704701886701"/>
    <d v="2022-03-14T00:00:00"/>
    <d v="2022-03-14T00:00:00"/>
    <n v="476.85334231697999"/>
    <n v="0"/>
    <x v="15"/>
    <s v="Germany"/>
    <s v="South"/>
    <x v="0"/>
    <n v="0"/>
    <s v="No"/>
    <n v="1"/>
    <s v="On Time"/>
    <x v="3"/>
    <x v="9"/>
  </r>
  <r>
    <s v="PO001329"/>
    <s v="SUP00038"/>
    <s v="PROD00125"/>
    <d v="2021-11-11T00:00:00"/>
    <n v="13"/>
    <n v="17.735034663120999"/>
    <d v="2021-12-03T00:00:00"/>
    <d v="2021-11-30T00:00:00"/>
    <n v="230.555450620573"/>
    <n v="-3"/>
    <x v="34"/>
    <s v="Germany"/>
    <s v="South"/>
    <x v="1"/>
    <n v="0"/>
    <s v="No"/>
    <n v="1"/>
    <s v="On Time"/>
    <x v="1"/>
    <x v="6"/>
  </r>
  <r>
    <s v="PO001330"/>
    <s v="SUP00030"/>
    <s v="PROD00161"/>
    <d v="2023-10-21T00:00:00"/>
    <n v="11"/>
    <n v="67.056875893301694"/>
    <d v="2023-11-12T00:00:00"/>
    <d v="2023-11-11T00:00:00"/>
    <n v="737.62563482631901"/>
    <n v="-1"/>
    <x v="29"/>
    <s v="India"/>
    <s v="Central"/>
    <x v="0"/>
    <n v="0"/>
    <s v="No"/>
    <n v="1"/>
    <s v="On Time"/>
    <x v="2"/>
    <x v="4"/>
  </r>
  <r>
    <s v="PO001331"/>
    <s v="SUP00072"/>
    <s v="PROD00197"/>
    <d v="2022-12-21T00:00:00"/>
    <n v="14"/>
    <n v="56.972846042618002"/>
    <d v="2023-01-08T00:00:00"/>
    <d v="2023-01-05T00:00:00"/>
    <n v="797.619844596652"/>
    <n v="-3"/>
    <x v="83"/>
    <s v="India"/>
    <s v="Central"/>
    <x v="1"/>
    <n v="0"/>
    <s v="No"/>
    <n v="1"/>
    <s v="On Time"/>
    <x v="3"/>
    <x v="7"/>
  </r>
  <r>
    <s v="PO001332"/>
    <s v="SUP00090"/>
    <s v="PROD00144"/>
    <d v="2023-03-29T00:00:00"/>
    <n v="11"/>
    <n v="41.602199136204497"/>
    <d v="2023-04-10T00:00:00"/>
    <d v="2023-04-14T00:00:00"/>
    <n v="457.62419049825002"/>
    <n v="4"/>
    <x v="9"/>
    <s v="Canada"/>
    <s v="East"/>
    <x v="1"/>
    <n v="1"/>
    <s v="Yes"/>
    <n v="0"/>
    <s v="Late"/>
    <x v="2"/>
    <x v="0"/>
  </r>
  <r>
    <s v="PO001333"/>
    <s v="SUP00035"/>
    <s v="PROD00021"/>
    <d v="2022-07-06T00:00:00"/>
    <n v="12"/>
    <n v="53.7635220630644"/>
    <d v="2022-07-27T00:00:00"/>
    <d v="2022-08-01T00:00:00"/>
    <n v="645.16226475677297"/>
    <n v="5"/>
    <x v="25"/>
    <s v="Denmark"/>
    <s v="Central"/>
    <x v="1"/>
    <n v="1"/>
    <s v="Yes"/>
    <n v="0"/>
    <s v="Late"/>
    <x v="3"/>
    <x v="5"/>
  </r>
  <r>
    <s v="PO001334"/>
    <s v="SUP00084"/>
    <s v="PROD00073"/>
    <d v="2021-04-03T00:00:00"/>
    <n v="12"/>
    <n v="41.847632439263897"/>
    <d v="2021-04-15T00:00:00"/>
    <d v="2021-04-21T00:00:00"/>
    <n v="502.17158927116702"/>
    <n v="6"/>
    <x v="35"/>
    <s v="Canada"/>
    <s v="West"/>
    <x v="1"/>
    <n v="1"/>
    <s v="Yes"/>
    <n v="0"/>
    <s v="Late"/>
    <x v="1"/>
    <x v="8"/>
  </r>
  <r>
    <s v="PO001335"/>
    <s v="SUP00015"/>
    <s v="PROD00175"/>
    <d v="2022-01-14T00:00:00"/>
    <n v="10"/>
    <n v="41.433302706884398"/>
    <d v="2022-02-03T00:00:00"/>
    <d v="2022-02-06T00:00:00"/>
    <n v="414.33302706884399"/>
    <n v="3"/>
    <x v="51"/>
    <s v="China"/>
    <s v="South"/>
    <x v="0"/>
    <n v="1"/>
    <s v="Yes"/>
    <n v="0"/>
    <s v="Late"/>
    <x v="3"/>
    <x v="10"/>
  </r>
  <r>
    <s v="PO001336"/>
    <s v="SUP00034"/>
    <s v="PROD00140"/>
    <d v="2021-12-08T00:00:00"/>
    <n v="11"/>
    <n v="13.0234103289455"/>
    <d v="2021-12-27T00:00:00"/>
    <d v="2021-12-28T00:00:00"/>
    <n v="143.2575136184"/>
    <n v="1"/>
    <x v="67"/>
    <s v="Brazil"/>
    <s v="North"/>
    <x v="1"/>
    <n v="1"/>
    <s v="Yes"/>
    <n v="0"/>
    <s v="Late"/>
    <x v="1"/>
    <x v="7"/>
  </r>
  <r>
    <s v="PO001337"/>
    <s v="SUP00053"/>
    <s v="PROD00102"/>
    <d v="2021-06-24T00:00:00"/>
    <n v="14"/>
    <n v="36.3124492687922"/>
    <d v="2021-07-17T00:00:00"/>
    <d v="2021-07-23T00:00:00"/>
    <n v="508.37428976309099"/>
    <n v="6"/>
    <x v="18"/>
    <s v="India"/>
    <s v="North"/>
    <x v="2"/>
    <n v="1"/>
    <s v="Yes"/>
    <n v="0"/>
    <s v="Late"/>
    <x v="1"/>
    <x v="1"/>
  </r>
  <r>
    <s v="PO001338"/>
    <s v="SUP00078"/>
    <s v="PROD00171"/>
    <d v="2022-05-05T00:00:00"/>
    <n v="12"/>
    <n v="10.918689269878399"/>
    <d v="2022-05-16T00:00:00"/>
    <d v="2022-05-18T00:00:00"/>
    <n v="131.02427123854099"/>
    <n v="2"/>
    <x v="56"/>
    <s v="Germany"/>
    <s v="North"/>
    <x v="0"/>
    <n v="0"/>
    <s v="No"/>
    <n v="0"/>
    <s v="Late"/>
    <x v="3"/>
    <x v="3"/>
  </r>
  <r>
    <s v="PO001339"/>
    <s v="SUP00055"/>
    <s v="PROD00130"/>
    <d v="2024-03-31T00:00:00"/>
    <n v="12"/>
    <n v="5.0106996675569704"/>
    <d v="2024-04-21T00:00:00"/>
    <d v="2024-04-24T00:00:00"/>
    <n v="60.128396010683701"/>
    <n v="3"/>
    <x v="49"/>
    <s v="China"/>
    <s v="East"/>
    <x v="0"/>
    <n v="1"/>
    <s v="Yes"/>
    <n v="0"/>
    <s v="Late"/>
    <x v="0"/>
    <x v="0"/>
  </r>
  <r>
    <s v="PO001340"/>
    <s v="SUP00096"/>
    <s v="PROD00126"/>
    <d v="2022-05-29T00:00:00"/>
    <n v="8"/>
    <n v="47.367683256906098"/>
    <d v="2022-06-13T00:00:00"/>
    <d v="2022-06-11T00:00:00"/>
    <n v="378.94146605524901"/>
    <n v="-2"/>
    <x v="26"/>
    <s v="India"/>
    <s v="South"/>
    <x v="1"/>
    <n v="0"/>
    <s v="No"/>
    <n v="1"/>
    <s v="On Time"/>
    <x v="3"/>
    <x v="3"/>
  </r>
  <r>
    <s v="PO001341"/>
    <s v="SUP00064"/>
    <s v="PROD00187"/>
    <d v="2022-09-10T00:00:00"/>
    <n v="9"/>
    <n v="23.545395141698702"/>
    <d v="2022-09-24T00:00:00"/>
    <d v="2022-09-26T00:00:00"/>
    <n v="211.90855627528899"/>
    <n v="2"/>
    <x v="28"/>
    <s v="Brazil"/>
    <s v="North"/>
    <x v="0"/>
    <n v="1"/>
    <s v="Yes"/>
    <n v="0"/>
    <s v="Late"/>
    <x v="3"/>
    <x v="11"/>
  </r>
  <r>
    <s v="PO001342"/>
    <s v="SUP00054"/>
    <s v="PROD00117"/>
    <d v="2023-09-11T00:00:00"/>
    <n v="14"/>
    <n v="14.704801462433601"/>
    <d v="2023-09-27T00:00:00"/>
    <d v="2023-09-25T00:00:00"/>
    <n v="205.86722047407"/>
    <n v="-2"/>
    <x v="73"/>
    <s v="Canada"/>
    <s v="South"/>
    <x v="3"/>
    <n v="1"/>
    <s v="Yes"/>
    <n v="1"/>
    <s v="On Time"/>
    <x v="2"/>
    <x v="11"/>
  </r>
  <r>
    <s v="PO001343"/>
    <s v="SUP00061"/>
    <s v="PROD00020"/>
    <d v="2024-03-03T00:00:00"/>
    <n v="8"/>
    <n v="42.430359349764203"/>
    <d v="2024-03-22T00:00:00"/>
    <d v="2024-03-19T00:00:00"/>
    <n v="339.44287479811402"/>
    <n v="-3"/>
    <x v="71"/>
    <s v="India"/>
    <s v="South"/>
    <x v="2"/>
    <n v="0"/>
    <s v="No"/>
    <n v="1"/>
    <s v="On Time"/>
    <x v="0"/>
    <x v="0"/>
  </r>
  <r>
    <s v="PO001344"/>
    <s v="SUP00085"/>
    <s v="PROD00162"/>
    <d v="2023-05-27T00:00:00"/>
    <n v="12"/>
    <n v="27.319701565110702"/>
    <d v="2023-06-13T00:00:00"/>
    <d v="2023-06-10T00:00:00"/>
    <n v="327.83641878132897"/>
    <n v="-3"/>
    <x v="1"/>
    <s v="Germany"/>
    <s v="Central"/>
    <x v="1"/>
    <n v="1"/>
    <s v="Yes"/>
    <n v="1"/>
    <s v="On Time"/>
    <x v="2"/>
    <x v="3"/>
  </r>
  <r>
    <s v="PO001345"/>
    <s v="SUP00079"/>
    <s v="PROD00161"/>
    <d v="2022-08-22T00:00:00"/>
    <n v="7"/>
    <n v="74.215412328520301"/>
    <d v="2022-09-12T00:00:00"/>
    <d v="2022-09-12T00:00:00"/>
    <n v="519.507886299642"/>
    <n v="0"/>
    <x v="55"/>
    <s v="Denmark"/>
    <s v="South"/>
    <x v="0"/>
    <n v="0"/>
    <s v="No"/>
    <n v="1"/>
    <s v="On Time"/>
    <x v="3"/>
    <x v="2"/>
  </r>
  <r>
    <s v="PO001346"/>
    <s v="SUP00041"/>
    <s v="PROD00190"/>
    <d v="2024-01-08T00:00:00"/>
    <n v="9"/>
    <n v="62.406366265901603"/>
    <d v="2024-01-21T00:00:00"/>
    <d v="2024-01-26T00:00:00"/>
    <n v="561.65729639311405"/>
    <n v="5"/>
    <x v="72"/>
    <s v="Germany"/>
    <s v="West"/>
    <x v="1"/>
    <n v="0"/>
    <s v="No"/>
    <n v="0"/>
    <s v="Late"/>
    <x v="0"/>
    <x v="10"/>
  </r>
  <r>
    <s v="PO001347"/>
    <s v="SUP00062"/>
    <s v="PROD00187"/>
    <d v="2023-01-05T00:00:00"/>
    <n v="12"/>
    <n v="61.7251170218669"/>
    <d v="2023-01-26T00:00:00"/>
    <d v="2023-01-26T00:00:00"/>
    <n v="740.701404262403"/>
    <n v="0"/>
    <x v="81"/>
    <s v="Brazil"/>
    <s v="Central"/>
    <x v="0"/>
    <n v="0"/>
    <s v="No"/>
    <n v="1"/>
    <s v="On Time"/>
    <x v="2"/>
    <x v="10"/>
  </r>
  <r>
    <s v="PO001348"/>
    <s v="SUP00009"/>
    <s v="PROD00182"/>
    <d v="2021-01-13T00:00:00"/>
    <n v="8"/>
    <n v="11.3908389548195"/>
    <d v="2021-01-30T00:00:00"/>
    <d v="2021-01-29T00:00:00"/>
    <n v="91.126711638556003"/>
    <n v="-1"/>
    <x v="95"/>
    <s v="China"/>
    <s v="North"/>
    <x v="1"/>
    <n v="1"/>
    <s v="Yes"/>
    <n v="1"/>
    <s v="On Time"/>
    <x v="1"/>
    <x v="10"/>
  </r>
  <r>
    <s v="PO001349"/>
    <s v="SUP00010"/>
    <s v="PROD00115"/>
    <d v="2023-01-13T00:00:00"/>
    <n v="13"/>
    <n v="63.413216128417901"/>
    <d v="2023-01-24T00:00:00"/>
    <d v="2023-01-30T00:00:00"/>
    <n v="824.37180966943299"/>
    <n v="6"/>
    <x v="82"/>
    <s v="Denmark"/>
    <s v="Central"/>
    <x v="3"/>
    <n v="0"/>
    <s v="No"/>
    <n v="0"/>
    <s v="Late"/>
    <x v="2"/>
    <x v="10"/>
  </r>
  <r>
    <s v="PO001350"/>
    <s v="SUP00040"/>
    <s v="PROD00183"/>
    <d v="2023-11-23T00:00:00"/>
    <n v="14"/>
    <n v="30.471357458742801"/>
    <d v="2023-12-12T00:00:00"/>
    <d v="2023-12-17T00:00:00"/>
    <n v="426.59900442239899"/>
    <n v="5"/>
    <x v="58"/>
    <s v="Denmark"/>
    <s v="East"/>
    <x v="2"/>
    <n v="0"/>
    <s v="No"/>
    <n v="0"/>
    <s v="Late"/>
    <x v="2"/>
    <x v="6"/>
  </r>
  <r>
    <s v="PO001351"/>
    <s v="SUP00044"/>
    <s v="PROD00101"/>
    <d v="2022-12-09T00:00:00"/>
    <n v="11"/>
    <n v="79.447128537975004"/>
    <d v="2022-12-27T00:00:00"/>
    <d v="2023-01-01T00:00:00"/>
    <n v="873.91841391772505"/>
    <n v="5"/>
    <x v="21"/>
    <s v="Germany"/>
    <s v="Central"/>
    <x v="1"/>
    <n v="1"/>
    <s v="Yes"/>
    <n v="0"/>
    <s v="Late"/>
    <x v="3"/>
    <x v="7"/>
  </r>
  <r>
    <s v="PO001352"/>
    <s v="SUP00072"/>
    <s v="PROD00041"/>
    <d v="2022-08-24T00:00:00"/>
    <n v="7"/>
    <n v="41.338164521100403"/>
    <d v="2022-09-15T00:00:00"/>
    <d v="2022-09-15T00:00:00"/>
    <n v="289.367151647703"/>
    <n v="0"/>
    <x v="83"/>
    <s v="India"/>
    <s v="Central"/>
    <x v="1"/>
    <n v="0"/>
    <s v="No"/>
    <n v="1"/>
    <s v="On Time"/>
    <x v="3"/>
    <x v="2"/>
  </r>
  <r>
    <s v="PO001353"/>
    <s v="SUP00060"/>
    <s v="PROD00057"/>
    <d v="2022-05-11T00:00:00"/>
    <n v="12"/>
    <n v="3.2109819305038401"/>
    <d v="2022-05-30T00:00:00"/>
    <d v="2022-05-29T00:00:00"/>
    <n v="38.531783166046097"/>
    <n v="-1"/>
    <x v="85"/>
    <s v="UK"/>
    <s v="North"/>
    <x v="3"/>
    <n v="1"/>
    <s v="Yes"/>
    <n v="1"/>
    <s v="On Time"/>
    <x v="3"/>
    <x v="3"/>
  </r>
  <r>
    <s v="PO001354"/>
    <s v="SUP00064"/>
    <s v="PROD00006"/>
    <d v="2022-03-03T00:00:00"/>
    <n v="16"/>
    <n v="75.0830136377256"/>
    <d v="2022-03-15T00:00:00"/>
    <d v="2022-03-19T00:00:00"/>
    <n v="1201.32821820361"/>
    <n v="4"/>
    <x v="28"/>
    <s v="Brazil"/>
    <s v="North"/>
    <x v="0"/>
    <n v="1"/>
    <s v="Yes"/>
    <n v="0"/>
    <s v="Late"/>
    <x v="3"/>
    <x v="0"/>
  </r>
  <r>
    <s v="PO001355"/>
    <s v="SUP00056"/>
    <s v="PROD00199"/>
    <d v="2022-07-31T00:00:00"/>
    <n v="20"/>
    <n v="40.728325654877899"/>
    <d v="2022-08-23T00:00:00"/>
    <d v="2022-08-20T00:00:00"/>
    <n v="814.56651309755898"/>
    <n v="-3"/>
    <x v="13"/>
    <s v="China"/>
    <s v="North"/>
    <x v="2"/>
    <n v="0"/>
    <s v="No"/>
    <n v="1"/>
    <s v="On Time"/>
    <x v="3"/>
    <x v="5"/>
  </r>
  <r>
    <s v="PO001356"/>
    <s v="SUP00014"/>
    <s v="PROD00156"/>
    <d v="2022-08-06T00:00:00"/>
    <n v="10"/>
    <n v="46.490504428629997"/>
    <d v="2022-08-19T00:00:00"/>
    <d v="2022-08-24T00:00:00"/>
    <n v="464.90504428629998"/>
    <n v="5"/>
    <x v="59"/>
    <s v="Germany"/>
    <s v="West"/>
    <x v="1"/>
    <n v="0"/>
    <s v="No"/>
    <n v="0"/>
    <s v="Late"/>
    <x v="3"/>
    <x v="2"/>
  </r>
  <r>
    <s v="PO001357"/>
    <s v="SUP00052"/>
    <s v="PROD00025"/>
    <d v="2024-02-02T00:00:00"/>
    <n v="10"/>
    <n v="7.5946994263204699"/>
    <d v="2024-02-12T00:00:00"/>
    <d v="2024-02-15T00:00:00"/>
    <n v="75.946994263204701"/>
    <n v="3"/>
    <x v="80"/>
    <s v="Brazil"/>
    <s v="West"/>
    <x v="1"/>
    <n v="1"/>
    <s v="Yes"/>
    <n v="0"/>
    <s v="Late"/>
    <x v="0"/>
    <x v="9"/>
  </r>
  <r>
    <s v="PO001358"/>
    <s v="SUP00039"/>
    <s v="PROD00118"/>
    <d v="2022-07-02T00:00:00"/>
    <n v="12"/>
    <n v="39.912417614107198"/>
    <d v="2022-07-15T00:00:00"/>
    <d v="2022-07-13T00:00:00"/>
    <n v="478.94901136928598"/>
    <n v="-2"/>
    <x v="7"/>
    <s v="Denmark"/>
    <s v="South"/>
    <x v="0"/>
    <n v="1"/>
    <s v="Yes"/>
    <n v="1"/>
    <s v="On Time"/>
    <x v="3"/>
    <x v="5"/>
  </r>
  <r>
    <s v="PO001359"/>
    <s v="SUP00020"/>
    <s v="PROD00185"/>
    <d v="2023-11-05T00:00:00"/>
    <n v="11"/>
    <n v="31.657352984551199"/>
    <d v="2023-11-20T00:00:00"/>
    <d v="2023-11-23T00:00:00"/>
    <n v="348.23088283006399"/>
    <n v="3"/>
    <x v="21"/>
    <s v="Canada"/>
    <s v="Central"/>
    <x v="3"/>
    <n v="1"/>
    <s v="Yes"/>
    <n v="0"/>
    <s v="Late"/>
    <x v="2"/>
    <x v="6"/>
  </r>
  <r>
    <s v="PO001360"/>
    <s v="SUP00025"/>
    <s v="PROD00107"/>
    <d v="2022-11-27T00:00:00"/>
    <n v="13"/>
    <n v="72.512917065646505"/>
    <d v="2022-12-07T00:00:00"/>
    <d v="2022-12-10T00:00:00"/>
    <n v="942.66792185340501"/>
    <n v="3"/>
    <x v="6"/>
    <s v="Denmark"/>
    <s v="Central"/>
    <x v="2"/>
    <n v="0"/>
    <s v="No"/>
    <n v="0"/>
    <s v="Late"/>
    <x v="3"/>
    <x v="6"/>
  </r>
  <r>
    <s v="PO001361"/>
    <s v="SUP00006"/>
    <s v="PROD00168"/>
    <d v="2021-12-14T00:00:00"/>
    <n v="10"/>
    <n v="70.225962227351005"/>
    <d v="2021-12-30T00:00:00"/>
    <d v="2022-01-01T00:00:00"/>
    <n v="702.25962227350999"/>
    <n v="2"/>
    <x v="78"/>
    <s v="USA"/>
    <s v="East"/>
    <x v="0"/>
    <n v="1"/>
    <s v="Yes"/>
    <n v="0"/>
    <s v="Late"/>
    <x v="1"/>
    <x v="7"/>
  </r>
  <r>
    <s v="PO001362"/>
    <s v="SUP00031"/>
    <s v="PROD00058"/>
    <d v="2021-04-16T00:00:00"/>
    <n v="12"/>
    <n v="37.283731481274003"/>
    <d v="2021-05-10T00:00:00"/>
    <d v="2021-05-09T00:00:00"/>
    <n v="447.40477777528798"/>
    <n v="-1"/>
    <x v="33"/>
    <s v="USA"/>
    <s v="West"/>
    <x v="3"/>
    <n v="0"/>
    <s v="No"/>
    <n v="1"/>
    <s v="On Time"/>
    <x v="1"/>
    <x v="8"/>
  </r>
  <r>
    <s v="PO001363"/>
    <s v="SUP00002"/>
    <s v="PROD00163"/>
    <d v="2024-02-06T00:00:00"/>
    <n v="10"/>
    <n v="63.525971159392697"/>
    <d v="2024-02-24T00:00:00"/>
    <d v="2024-02-23T00:00:00"/>
    <n v="635.25971159392702"/>
    <n v="-1"/>
    <x v="94"/>
    <s v="China"/>
    <s v="South"/>
    <x v="1"/>
    <n v="0"/>
    <s v="No"/>
    <n v="1"/>
    <s v="On Time"/>
    <x v="0"/>
    <x v="9"/>
  </r>
  <r>
    <s v="PO001364"/>
    <s v="SUP00018"/>
    <s v="PROD00062"/>
    <d v="2022-01-06T00:00:00"/>
    <n v="11"/>
    <n v="37.568346471567601"/>
    <d v="2022-01-21T00:00:00"/>
    <d v="2022-01-21T00:00:00"/>
    <n v="413.25181118724402"/>
    <n v="0"/>
    <x v="8"/>
    <s v="UK"/>
    <s v="West"/>
    <x v="2"/>
    <n v="0"/>
    <s v="No"/>
    <n v="1"/>
    <s v="On Time"/>
    <x v="3"/>
    <x v="10"/>
  </r>
  <r>
    <s v="PO001365"/>
    <s v="SUP00070"/>
    <s v="PROD00060"/>
    <d v="2022-12-03T00:00:00"/>
    <n v="15"/>
    <n v="74.288360605538401"/>
    <d v="2022-12-27T00:00:00"/>
    <d v="2022-12-25T00:00:00"/>
    <n v="1114.3254090830701"/>
    <n v="-2"/>
    <x v="32"/>
    <s v="USA"/>
    <s v="Central"/>
    <x v="3"/>
    <n v="0"/>
    <s v="No"/>
    <n v="1"/>
    <s v="On Time"/>
    <x v="3"/>
    <x v="7"/>
  </r>
  <r>
    <s v="PO001366"/>
    <s v="SUP00065"/>
    <s v="PROD00006"/>
    <d v="2022-05-27T00:00:00"/>
    <n v="8"/>
    <n v="54.647194381151898"/>
    <d v="2022-06-06T00:00:00"/>
    <d v="2022-06-04T00:00:00"/>
    <n v="437.17755504921502"/>
    <n v="-2"/>
    <x v="16"/>
    <s v="Brazil"/>
    <s v="East"/>
    <x v="1"/>
    <n v="1"/>
    <s v="Yes"/>
    <n v="1"/>
    <s v="On Time"/>
    <x v="3"/>
    <x v="3"/>
  </r>
  <r>
    <s v="PO001367"/>
    <s v="SUP00045"/>
    <s v="PROD00046"/>
    <d v="2023-08-04T00:00:00"/>
    <n v="11"/>
    <n v="55.786705333379899"/>
    <d v="2023-08-14T00:00:00"/>
    <d v="2023-08-13T00:00:00"/>
    <n v="613.65375866717898"/>
    <n v="-1"/>
    <x v="84"/>
    <s v="Canada"/>
    <s v="North"/>
    <x v="3"/>
    <n v="1"/>
    <s v="Yes"/>
    <n v="1"/>
    <s v="On Time"/>
    <x v="2"/>
    <x v="2"/>
  </r>
  <r>
    <s v="PO001368"/>
    <s v="SUP00097"/>
    <s v="PROD00044"/>
    <d v="2022-10-22T00:00:00"/>
    <n v="15"/>
    <n v="58.167978174453303"/>
    <d v="2022-11-04T00:00:00"/>
    <d v="2022-11-10T00:00:00"/>
    <n v="872.51967261679999"/>
    <n v="6"/>
    <x v="2"/>
    <s v="USA"/>
    <s v="Central"/>
    <x v="2"/>
    <n v="1"/>
    <s v="Yes"/>
    <n v="0"/>
    <s v="Late"/>
    <x v="3"/>
    <x v="4"/>
  </r>
  <r>
    <s v="PO001369"/>
    <s v="SUP00014"/>
    <s v="PROD00094"/>
    <d v="2023-12-29T00:00:00"/>
    <n v="8"/>
    <n v="46.410083988097298"/>
    <d v="2024-01-22T00:00:00"/>
    <d v="2024-01-23T00:00:00"/>
    <n v="371.28067190477901"/>
    <n v="1"/>
    <x v="59"/>
    <s v="Germany"/>
    <s v="West"/>
    <x v="1"/>
    <n v="0"/>
    <s v="No"/>
    <n v="0"/>
    <s v="Late"/>
    <x v="2"/>
    <x v="7"/>
  </r>
  <r>
    <s v="PO001370"/>
    <s v="SUP00024"/>
    <s v="PROD00155"/>
    <d v="2022-03-15T00:00:00"/>
    <n v="13"/>
    <n v="39.074459051402002"/>
    <d v="2022-03-25T00:00:00"/>
    <d v="2022-03-25T00:00:00"/>
    <n v="507.96796766822598"/>
    <n v="0"/>
    <x v="5"/>
    <s v="UK"/>
    <s v="North"/>
    <x v="1"/>
    <n v="0"/>
    <s v="No"/>
    <n v="1"/>
    <s v="On Time"/>
    <x v="3"/>
    <x v="0"/>
  </r>
  <r>
    <s v="PO001371"/>
    <s v="SUP00094"/>
    <s v="PROD00102"/>
    <d v="2022-03-25T00:00:00"/>
    <n v="8"/>
    <n v="16.694601665531501"/>
    <d v="2022-04-12T00:00:00"/>
    <d v="2022-04-14T00:00:00"/>
    <n v="133.556813324252"/>
    <n v="2"/>
    <x v="62"/>
    <s v="USA"/>
    <s v="North"/>
    <x v="2"/>
    <n v="0"/>
    <s v="No"/>
    <n v="0"/>
    <s v="Late"/>
    <x v="3"/>
    <x v="0"/>
  </r>
  <r>
    <s v="PO001372"/>
    <s v="SUP00068"/>
    <s v="PROD00184"/>
    <d v="2023-06-03T00:00:00"/>
    <n v="8"/>
    <n v="62.759888928552897"/>
    <d v="2023-06-13T00:00:00"/>
    <d v="2023-06-10T00:00:00"/>
    <n v="502.079111428423"/>
    <n v="-3"/>
    <x v="12"/>
    <s v="UK"/>
    <s v="South"/>
    <x v="3"/>
    <n v="1"/>
    <s v="Yes"/>
    <n v="1"/>
    <s v="On Time"/>
    <x v="2"/>
    <x v="1"/>
  </r>
  <r>
    <s v="PO001373"/>
    <s v="SUP00065"/>
    <s v="PROD00082"/>
    <d v="2022-02-01T00:00:00"/>
    <n v="12"/>
    <n v="27.6598588464411"/>
    <d v="2022-02-19T00:00:00"/>
    <d v="2022-02-21T00:00:00"/>
    <n v="331.91830615729401"/>
    <n v="2"/>
    <x v="16"/>
    <s v="Brazil"/>
    <s v="East"/>
    <x v="1"/>
    <n v="1"/>
    <s v="Yes"/>
    <n v="0"/>
    <s v="Late"/>
    <x v="3"/>
    <x v="9"/>
  </r>
  <r>
    <s v="PO001374"/>
    <s v="SUP00063"/>
    <s v="PROD00074"/>
    <d v="2022-09-06T00:00:00"/>
    <n v="17"/>
    <n v="79.405589274618293"/>
    <d v="2022-09-27T00:00:00"/>
    <d v="2022-09-28T00:00:00"/>
    <n v="1349.89501766851"/>
    <n v="1"/>
    <x v="30"/>
    <s v="Denmark"/>
    <s v="North"/>
    <x v="1"/>
    <n v="0"/>
    <s v="No"/>
    <n v="0"/>
    <s v="Late"/>
    <x v="3"/>
    <x v="11"/>
  </r>
  <r>
    <s v="PO001375"/>
    <s v="SUP00093"/>
    <s v="PROD00065"/>
    <d v="2022-07-13T00:00:00"/>
    <n v="5"/>
    <n v="43.345534294064898"/>
    <d v="2022-07-24T00:00:00"/>
    <d v="2022-07-24T00:00:00"/>
    <n v="216.727671470324"/>
    <n v="0"/>
    <x v="20"/>
    <s v="USA"/>
    <s v="Central"/>
    <x v="2"/>
    <n v="0"/>
    <s v="No"/>
    <n v="1"/>
    <s v="On Time"/>
    <x v="3"/>
    <x v="5"/>
  </r>
  <r>
    <s v="PO001376"/>
    <s v="SUP00049"/>
    <s v="PROD00039"/>
    <d v="2023-08-18T00:00:00"/>
    <n v="8"/>
    <n v="3.9130017716348"/>
    <d v="2023-08-31T00:00:00"/>
    <d v="2023-09-05T00:00:00"/>
    <n v="31.3040141730784"/>
    <n v="5"/>
    <x v="71"/>
    <s v="Canada"/>
    <s v="East"/>
    <x v="0"/>
    <n v="1"/>
    <s v="Yes"/>
    <n v="0"/>
    <s v="Late"/>
    <x v="2"/>
    <x v="2"/>
  </r>
  <r>
    <s v="PO001377"/>
    <s v="SUP00065"/>
    <s v="PROD00008"/>
    <d v="2022-08-15T00:00:00"/>
    <n v="15"/>
    <n v="34.0456365655388"/>
    <d v="2022-08-27T00:00:00"/>
    <d v="2022-08-29T00:00:00"/>
    <n v="510.68454848308198"/>
    <n v="2"/>
    <x v="16"/>
    <s v="Brazil"/>
    <s v="East"/>
    <x v="1"/>
    <n v="1"/>
    <s v="Yes"/>
    <n v="0"/>
    <s v="Late"/>
    <x v="3"/>
    <x v="2"/>
  </r>
  <r>
    <s v="PO001378"/>
    <s v="SUP00045"/>
    <s v="PROD00022"/>
    <d v="2022-06-21T00:00:00"/>
    <n v="12"/>
    <n v="39.527993464775498"/>
    <d v="2022-07-07T00:00:00"/>
    <d v="2022-07-11T00:00:00"/>
    <n v="474.33592157730601"/>
    <n v="4"/>
    <x v="84"/>
    <s v="Canada"/>
    <s v="North"/>
    <x v="3"/>
    <n v="1"/>
    <s v="Yes"/>
    <n v="0"/>
    <s v="Late"/>
    <x v="3"/>
    <x v="1"/>
  </r>
  <r>
    <s v="PO001379"/>
    <s v="SUP00007"/>
    <s v="PROD00019"/>
    <d v="2023-04-27T00:00:00"/>
    <n v="12"/>
    <n v="41.320361187393601"/>
    <d v="2023-05-07T00:00:00"/>
    <d v="2023-05-10T00:00:00"/>
    <n v="495.84433424872299"/>
    <n v="3"/>
    <x v="24"/>
    <s v="China"/>
    <s v="East"/>
    <x v="1"/>
    <n v="1"/>
    <s v="Yes"/>
    <n v="0"/>
    <s v="Late"/>
    <x v="2"/>
    <x v="8"/>
  </r>
  <r>
    <s v="PO001380"/>
    <s v="SUP00097"/>
    <s v="PROD00132"/>
    <d v="2023-12-15T00:00:00"/>
    <n v="5"/>
    <n v="77.231261828942294"/>
    <d v="2023-12-27T00:00:00"/>
    <d v="2023-12-26T00:00:00"/>
    <n v="386.15630914471097"/>
    <n v="-1"/>
    <x v="2"/>
    <s v="USA"/>
    <s v="Central"/>
    <x v="2"/>
    <n v="1"/>
    <s v="Yes"/>
    <n v="1"/>
    <s v="On Time"/>
    <x v="2"/>
    <x v="7"/>
  </r>
  <r>
    <s v="PO001381"/>
    <s v="SUP00060"/>
    <s v="PROD00004"/>
    <d v="2022-11-02T00:00:00"/>
    <n v="13"/>
    <n v="54.788530678509801"/>
    <d v="2022-11-12T00:00:00"/>
    <d v="2022-11-14T00:00:00"/>
    <n v="712.25089882062696"/>
    <n v="2"/>
    <x v="85"/>
    <s v="UK"/>
    <s v="North"/>
    <x v="3"/>
    <n v="1"/>
    <s v="Yes"/>
    <n v="0"/>
    <s v="Late"/>
    <x v="3"/>
    <x v="6"/>
  </r>
  <r>
    <s v="PO001382"/>
    <s v="SUP00049"/>
    <s v="PROD00188"/>
    <d v="2023-05-07T00:00:00"/>
    <n v="12"/>
    <n v="59.951207101458401"/>
    <d v="2023-05-23T00:00:00"/>
    <d v="2023-05-22T00:00:00"/>
    <n v="719.41448521750101"/>
    <n v="-1"/>
    <x v="71"/>
    <s v="Canada"/>
    <s v="East"/>
    <x v="0"/>
    <n v="1"/>
    <s v="Yes"/>
    <n v="1"/>
    <s v="On Time"/>
    <x v="2"/>
    <x v="3"/>
  </r>
  <r>
    <s v="PO001383"/>
    <s v="SUP00091"/>
    <s v="PROD00098"/>
    <d v="2023-04-24T00:00:00"/>
    <n v="9"/>
    <n v="51.782150935891799"/>
    <d v="2023-05-18T00:00:00"/>
    <d v="2023-05-20T00:00:00"/>
    <n v="466.03935842302599"/>
    <n v="2"/>
    <x v="77"/>
    <s v="China"/>
    <s v="South"/>
    <x v="1"/>
    <n v="0"/>
    <s v="No"/>
    <n v="0"/>
    <s v="Late"/>
    <x v="2"/>
    <x v="8"/>
  </r>
  <r>
    <s v="PO001384"/>
    <s v="SUP00071"/>
    <s v="PROD00021"/>
    <d v="2024-01-18T00:00:00"/>
    <n v="15"/>
    <n v="59.653543898530401"/>
    <d v="2024-02-04T00:00:00"/>
    <d v="2024-02-05T00:00:00"/>
    <n v="894.80315847795703"/>
    <n v="1"/>
    <x v="50"/>
    <s v="Denmark"/>
    <s v="South"/>
    <x v="3"/>
    <n v="1"/>
    <s v="Yes"/>
    <n v="0"/>
    <s v="Late"/>
    <x v="0"/>
    <x v="10"/>
  </r>
  <r>
    <s v="PO001385"/>
    <s v="SUP00014"/>
    <s v="PROD00151"/>
    <d v="2022-01-04T00:00:00"/>
    <n v="7"/>
    <n v="12.7964182143358"/>
    <d v="2022-01-27T00:00:00"/>
    <d v="2022-01-25T00:00:00"/>
    <n v="89.574927500351095"/>
    <n v="-2"/>
    <x v="59"/>
    <s v="Germany"/>
    <s v="West"/>
    <x v="1"/>
    <n v="0"/>
    <s v="No"/>
    <n v="1"/>
    <s v="On Time"/>
    <x v="3"/>
    <x v="10"/>
  </r>
  <r>
    <s v="PO001386"/>
    <s v="SUP00051"/>
    <s v="PROD00189"/>
    <d v="2023-04-26T00:00:00"/>
    <n v="16"/>
    <n v="73.129608431898504"/>
    <d v="2023-05-16T00:00:00"/>
    <d v="2023-05-13T00:00:00"/>
    <n v="1170.0737349103699"/>
    <n v="-3"/>
    <x v="57"/>
    <s v="UK"/>
    <s v="South"/>
    <x v="1"/>
    <n v="0"/>
    <s v="No"/>
    <n v="1"/>
    <s v="On Time"/>
    <x v="2"/>
    <x v="8"/>
  </r>
  <r>
    <s v="PO001387"/>
    <s v="SUP00018"/>
    <s v="PROD00016"/>
    <d v="2024-04-08T00:00:00"/>
    <n v="8"/>
    <n v="46.609824826135799"/>
    <d v="2024-04-21T00:00:00"/>
    <d v="2024-04-22T00:00:00"/>
    <n v="372.878598609086"/>
    <n v="1"/>
    <x v="8"/>
    <s v="UK"/>
    <s v="West"/>
    <x v="2"/>
    <n v="0"/>
    <s v="No"/>
    <n v="0"/>
    <s v="Late"/>
    <x v="0"/>
    <x v="8"/>
  </r>
  <r>
    <s v="PO001388"/>
    <s v="SUP00049"/>
    <s v="PROD00100"/>
    <d v="2021-07-19T00:00:00"/>
    <n v="8"/>
    <n v="60.527086290548198"/>
    <d v="2021-08-05T00:00:00"/>
    <d v="2021-08-07T00:00:00"/>
    <n v="484.21669032438501"/>
    <n v="2"/>
    <x v="71"/>
    <s v="Canada"/>
    <s v="East"/>
    <x v="0"/>
    <n v="1"/>
    <s v="Yes"/>
    <n v="0"/>
    <s v="Late"/>
    <x v="1"/>
    <x v="5"/>
  </r>
  <r>
    <s v="PO001389"/>
    <s v="SUP00013"/>
    <s v="PROD00018"/>
    <d v="2022-06-04T00:00:00"/>
    <n v="11"/>
    <n v="4.9890454458705804"/>
    <d v="2022-06-14T00:00:00"/>
    <d v="2022-06-18T00:00:00"/>
    <n v="54.879499904576399"/>
    <n v="4"/>
    <x v="31"/>
    <s v="China"/>
    <s v="North"/>
    <x v="2"/>
    <n v="1"/>
    <s v="Yes"/>
    <n v="0"/>
    <s v="Late"/>
    <x v="3"/>
    <x v="1"/>
  </r>
  <r>
    <s v="PO001390"/>
    <s v="SUP00076"/>
    <s v="PROD00061"/>
    <d v="2022-09-10T00:00:00"/>
    <n v="11"/>
    <n v="33.636636622644303"/>
    <d v="2022-09-20T00:00:00"/>
    <d v="2022-09-24T00:00:00"/>
    <n v="370.00300284908701"/>
    <n v="4"/>
    <x v="89"/>
    <s v="USA"/>
    <s v="South"/>
    <x v="2"/>
    <n v="1"/>
    <s v="Yes"/>
    <n v="0"/>
    <s v="Late"/>
    <x v="3"/>
    <x v="11"/>
  </r>
  <r>
    <s v="PO001391"/>
    <s v="SUP00053"/>
    <s v="PROD00073"/>
    <d v="2021-03-02T00:00:00"/>
    <n v="14"/>
    <n v="39.663511406532599"/>
    <d v="2021-03-26T00:00:00"/>
    <d v="2021-04-01T00:00:00"/>
    <n v="555.28915969145703"/>
    <n v="6"/>
    <x v="18"/>
    <s v="India"/>
    <s v="North"/>
    <x v="2"/>
    <n v="1"/>
    <s v="Yes"/>
    <n v="0"/>
    <s v="Late"/>
    <x v="1"/>
    <x v="0"/>
  </r>
  <r>
    <s v="PO001392"/>
    <s v="SUP00039"/>
    <s v="PROD00023"/>
    <d v="2021-12-07T00:00:00"/>
    <n v="12"/>
    <n v="47.331897029377203"/>
    <d v="2021-12-20T00:00:00"/>
    <d v="2021-12-23T00:00:00"/>
    <n v="567.98276435252603"/>
    <n v="3"/>
    <x v="7"/>
    <s v="Denmark"/>
    <s v="South"/>
    <x v="0"/>
    <n v="1"/>
    <s v="Yes"/>
    <n v="0"/>
    <s v="Late"/>
    <x v="1"/>
    <x v="7"/>
  </r>
  <r>
    <s v="PO001393"/>
    <s v="SUP00047"/>
    <s v="PROD00018"/>
    <d v="2023-02-10T00:00:00"/>
    <n v="8"/>
    <n v="28.172802177379602"/>
    <d v="2023-02-27T00:00:00"/>
    <d v="2023-02-27T00:00:00"/>
    <n v="225.38241741903599"/>
    <n v="0"/>
    <x v="93"/>
    <s v="UK"/>
    <s v="Central"/>
    <x v="3"/>
    <n v="0"/>
    <s v="No"/>
    <n v="1"/>
    <s v="On Time"/>
    <x v="2"/>
    <x v="9"/>
  </r>
  <r>
    <s v="PO001394"/>
    <s v="SUP00084"/>
    <s v="PROD00167"/>
    <d v="2023-01-08T00:00:00"/>
    <n v="12"/>
    <n v="16.789653282179401"/>
    <d v="2023-01-21T00:00:00"/>
    <d v="2023-01-22T00:00:00"/>
    <n v="201.47583938615199"/>
    <n v="1"/>
    <x v="35"/>
    <s v="Canada"/>
    <s v="West"/>
    <x v="1"/>
    <n v="1"/>
    <s v="Yes"/>
    <n v="0"/>
    <s v="Late"/>
    <x v="2"/>
    <x v="10"/>
  </r>
  <r>
    <s v="PO001395"/>
    <s v="SUP00028"/>
    <s v="PROD00026"/>
    <d v="2022-08-01T00:00:00"/>
    <n v="7"/>
    <n v="14.5353561475243"/>
    <d v="2022-08-14T00:00:00"/>
    <d v="2022-08-12T00:00:00"/>
    <n v="101.74749303266999"/>
    <n v="-2"/>
    <x v="92"/>
    <s v="Canada"/>
    <s v="East"/>
    <x v="3"/>
    <n v="0"/>
    <s v="No"/>
    <n v="1"/>
    <s v="On Time"/>
    <x v="3"/>
    <x v="2"/>
  </r>
  <r>
    <s v="PO001396"/>
    <s v="SUP00075"/>
    <s v="PROD00041"/>
    <d v="2023-09-22T00:00:00"/>
    <n v="12"/>
    <n v="63.434612941441202"/>
    <d v="2023-10-04T00:00:00"/>
    <d v="2023-10-10T00:00:00"/>
    <n v="761.21535529729499"/>
    <n v="6"/>
    <x v="11"/>
    <s v="USA"/>
    <s v="Central"/>
    <x v="1"/>
    <n v="1"/>
    <s v="Yes"/>
    <n v="0"/>
    <s v="Late"/>
    <x v="2"/>
    <x v="11"/>
  </r>
  <r>
    <s v="PO001397"/>
    <s v="SUP00059"/>
    <s v="PROD00184"/>
    <d v="2023-04-26T00:00:00"/>
    <n v="8"/>
    <n v="71.949943204215302"/>
    <d v="2023-05-19T00:00:00"/>
    <d v="2023-05-16T00:00:00"/>
    <n v="575.59954563372196"/>
    <n v="-3"/>
    <x v="0"/>
    <s v="India"/>
    <s v="North"/>
    <x v="0"/>
    <n v="0"/>
    <s v="No"/>
    <n v="1"/>
    <s v="On Time"/>
    <x v="2"/>
    <x v="8"/>
  </r>
  <r>
    <s v="PO001398"/>
    <s v="SUP00086"/>
    <s v="PROD00154"/>
    <d v="2021-07-18T00:00:00"/>
    <n v="10"/>
    <n v="42.955083655617699"/>
    <d v="2021-08-07T00:00:00"/>
    <d v="2021-08-10T00:00:00"/>
    <n v="429.55083655617699"/>
    <n v="3"/>
    <x v="69"/>
    <s v="Denmark"/>
    <s v="South"/>
    <x v="0"/>
    <n v="1"/>
    <s v="Yes"/>
    <n v="0"/>
    <s v="Late"/>
    <x v="1"/>
    <x v="5"/>
  </r>
  <r>
    <s v="PO001399"/>
    <s v="SUP00054"/>
    <s v="PROD00019"/>
    <d v="2023-06-12T00:00:00"/>
    <n v="10"/>
    <n v="55.019463279045702"/>
    <d v="2023-06-24T00:00:00"/>
    <d v="2023-06-24T00:00:00"/>
    <n v="550.19463279045704"/>
    <n v="0"/>
    <x v="73"/>
    <s v="Canada"/>
    <s v="South"/>
    <x v="3"/>
    <n v="1"/>
    <s v="Yes"/>
    <n v="1"/>
    <s v="On Time"/>
    <x v="2"/>
    <x v="1"/>
  </r>
  <r>
    <s v="PO001400"/>
    <s v="SUP00092"/>
    <s v="PROD00193"/>
    <d v="2023-10-09T00:00:00"/>
    <n v="18"/>
    <n v="39.314548289557997"/>
    <d v="2023-10-25T00:00:00"/>
    <d v="2023-10-30T00:00:00"/>
    <n v="707.66186921204496"/>
    <n v="5"/>
    <x v="27"/>
    <s v="UK"/>
    <s v="West"/>
    <x v="0"/>
    <n v="0"/>
    <s v="No"/>
    <n v="0"/>
    <s v="Late"/>
    <x v="2"/>
    <x v="4"/>
  </r>
  <r>
    <s v="PO001401"/>
    <s v="SUP00083"/>
    <s v="PROD00100"/>
    <d v="2022-01-14T00:00:00"/>
    <n v="9"/>
    <n v="24.743531235629099"/>
    <d v="2022-02-03T00:00:00"/>
    <d v="2022-02-05T00:00:00"/>
    <n v="222.691781120662"/>
    <n v="2"/>
    <x v="43"/>
    <s v="China"/>
    <s v="South"/>
    <x v="0"/>
    <n v="0"/>
    <s v="No"/>
    <n v="0"/>
    <s v="Late"/>
    <x v="3"/>
    <x v="10"/>
  </r>
  <r>
    <s v="PO001402"/>
    <s v="SUP00049"/>
    <s v="PROD00032"/>
    <d v="2023-07-22T00:00:00"/>
    <n v="13"/>
    <n v="25.190390607041198"/>
    <d v="2023-08-15T00:00:00"/>
    <d v="2023-08-18T00:00:00"/>
    <n v="327.47507789153502"/>
    <n v="3"/>
    <x v="71"/>
    <s v="Canada"/>
    <s v="East"/>
    <x v="0"/>
    <n v="1"/>
    <s v="Yes"/>
    <n v="0"/>
    <s v="Late"/>
    <x v="2"/>
    <x v="5"/>
  </r>
  <r>
    <s v="PO001403"/>
    <s v="SUP00052"/>
    <s v="PROD00145"/>
    <d v="2024-01-13T00:00:00"/>
    <n v="17"/>
    <n v="22.437737672944898"/>
    <d v="2024-01-26T00:00:00"/>
    <d v="2024-01-23T00:00:00"/>
    <n v="381.44154044006302"/>
    <n v="-3"/>
    <x v="80"/>
    <s v="Brazil"/>
    <s v="West"/>
    <x v="1"/>
    <n v="1"/>
    <s v="Yes"/>
    <n v="1"/>
    <s v="On Time"/>
    <x v="0"/>
    <x v="10"/>
  </r>
  <r>
    <s v="PO001404"/>
    <s v="SUP00015"/>
    <s v="PROD00067"/>
    <d v="2022-08-29T00:00:00"/>
    <n v="12"/>
    <n v="50.585584090943797"/>
    <d v="2022-09-14T00:00:00"/>
    <d v="2022-09-17T00:00:00"/>
    <n v="607.02700909132602"/>
    <n v="3"/>
    <x v="51"/>
    <s v="China"/>
    <s v="South"/>
    <x v="0"/>
    <n v="1"/>
    <s v="Yes"/>
    <n v="0"/>
    <s v="Late"/>
    <x v="3"/>
    <x v="2"/>
  </r>
  <r>
    <s v="PO001405"/>
    <s v="SUP00001"/>
    <s v="PROD00060"/>
    <d v="2021-04-09T00:00:00"/>
    <n v="10"/>
    <n v="31.583640815433899"/>
    <d v="2021-05-01T00:00:00"/>
    <d v="2021-05-07T00:00:00"/>
    <n v="315.83640815433898"/>
    <n v="6"/>
    <x v="36"/>
    <s v="USA"/>
    <s v="West"/>
    <x v="3"/>
    <n v="0"/>
    <s v="No"/>
    <n v="0"/>
    <s v="Late"/>
    <x v="1"/>
    <x v="8"/>
  </r>
  <r>
    <s v="PO001406"/>
    <s v="SUP00100"/>
    <s v="PROD00076"/>
    <d v="2023-03-16T00:00:00"/>
    <n v="12"/>
    <n v="24.156574199426998"/>
    <d v="2023-04-06T00:00:00"/>
    <d v="2023-04-08T00:00:00"/>
    <n v="289.87889039312398"/>
    <n v="2"/>
    <x v="45"/>
    <s v="Canada"/>
    <s v="Central"/>
    <x v="1"/>
    <n v="0"/>
    <s v="No"/>
    <n v="0"/>
    <s v="Late"/>
    <x v="2"/>
    <x v="0"/>
  </r>
  <r>
    <s v="PO001407"/>
    <s v="SUP00028"/>
    <s v="PROD00094"/>
    <d v="2022-11-25T00:00:00"/>
    <n v="9"/>
    <n v="25.6011499987547"/>
    <d v="2022-12-19T00:00:00"/>
    <d v="2022-12-21T00:00:00"/>
    <n v="230.41034998879201"/>
    <n v="2"/>
    <x v="92"/>
    <s v="Canada"/>
    <s v="East"/>
    <x v="3"/>
    <n v="0"/>
    <s v="No"/>
    <n v="0"/>
    <s v="Late"/>
    <x v="3"/>
    <x v="6"/>
  </r>
  <r>
    <s v="PO001408"/>
    <s v="SUP00097"/>
    <s v="PROD00035"/>
    <d v="2022-11-29T00:00:00"/>
    <n v="11"/>
    <n v="64.182658793275905"/>
    <d v="2022-12-17T00:00:00"/>
    <d v="2022-12-22T00:00:00"/>
    <n v="706.00924672603503"/>
    <n v="5"/>
    <x v="2"/>
    <s v="USA"/>
    <s v="Central"/>
    <x v="2"/>
    <n v="1"/>
    <s v="Yes"/>
    <n v="0"/>
    <s v="Late"/>
    <x v="3"/>
    <x v="6"/>
  </r>
  <r>
    <s v="PO001409"/>
    <s v="SUP00057"/>
    <s v="PROD00033"/>
    <d v="2024-03-26T00:00:00"/>
    <n v="11"/>
    <n v="33.632038938297697"/>
    <d v="2024-04-19T00:00:00"/>
    <d v="2024-04-24T00:00:00"/>
    <n v="369.952428321274"/>
    <n v="5"/>
    <x v="68"/>
    <s v="UK"/>
    <s v="South"/>
    <x v="3"/>
    <n v="1"/>
    <s v="Yes"/>
    <n v="0"/>
    <s v="Late"/>
    <x v="0"/>
    <x v="0"/>
  </r>
  <r>
    <s v="PO001410"/>
    <s v="SUP00057"/>
    <s v="PROD00193"/>
    <d v="2021-01-19T00:00:00"/>
    <n v="6"/>
    <n v="13.954517751493601"/>
    <d v="2021-02-04T00:00:00"/>
    <d v="2021-02-10T00:00:00"/>
    <n v="83.727106508961896"/>
    <n v="6"/>
    <x v="68"/>
    <s v="UK"/>
    <s v="South"/>
    <x v="3"/>
    <n v="1"/>
    <s v="Yes"/>
    <n v="0"/>
    <s v="Late"/>
    <x v="1"/>
    <x v="10"/>
  </r>
  <r>
    <s v="PO001411"/>
    <s v="SUP00002"/>
    <s v="PROD00188"/>
    <d v="2021-02-07T00:00:00"/>
    <n v="8"/>
    <n v="66.999543227100006"/>
    <d v="2021-02-18T00:00:00"/>
    <d v="2021-02-20T00:00:00"/>
    <n v="535.99634581680004"/>
    <n v="2"/>
    <x v="94"/>
    <s v="China"/>
    <s v="South"/>
    <x v="1"/>
    <n v="0"/>
    <s v="No"/>
    <n v="0"/>
    <s v="Late"/>
    <x v="1"/>
    <x v="9"/>
  </r>
  <r>
    <s v="PO001412"/>
    <s v="SUP00056"/>
    <s v="PROD00132"/>
    <d v="2021-08-06T00:00:00"/>
    <n v="6"/>
    <n v="60.769133880971303"/>
    <d v="2021-08-17T00:00:00"/>
    <d v="2021-08-15T00:00:00"/>
    <n v="364.61480328582701"/>
    <n v="-2"/>
    <x v="13"/>
    <s v="China"/>
    <s v="North"/>
    <x v="2"/>
    <n v="0"/>
    <s v="No"/>
    <n v="1"/>
    <s v="On Time"/>
    <x v="1"/>
    <x v="2"/>
  </r>
  <r>
    <s v="PO001413"/>
    <s v="SUP00085"/>
    <s v="PROD00006"/>
    <d v="2022-11-30T00:00:00"/>
    <n v="9"/>
    <n v="79.155577293160903"/>
    <d v="2022-12-16T00:00:00"/>
    <d v="2022-12-18T00:00:00"/>
    <n v="712.40019563844805"/>
    <n v="2"/>
    <x v="1"/>
    <s v="Germany"/>
    <s v="Central"/>
    <x v="1"/>
    <n v="1"/>
    <s v="Yes"/>
    <n v="0"/>
    <s v="Late"/>
    <x v="3"/>
    <x v="6"/>
  </r>
  <r>
    <s v="PO001414"/>
    <s v="SUP00065"/>
    <s v="PROD00161"/>
    <d v="2021-05-13T00:00:00"/>
    <n v="18"/>
    <n v="55.371359924797702"/>
    <d v="2021-05-27T00:00:00"/>
    <d v="2021-05-29T00:00:00"/>
    <n v="996.68447864635903"/>
    <n v="2"/>
    <x v="16"/>
    <s v="Brazil"/>
    <s v="East"/>
    <x v="1"/>
    <n v="1"/>
    <s v="Yes"/>
    <n v="0"/>
    <s v="Late"/>
    <x v="1"/>
    <x v="3"/>
  </r>
  <r>
    <s v="PO001415"/>
    <s v="SUP00052"/>
    <s v="PROD00154"/>
    <d v="2022-02-13T00:00:00"/>
    <n v="12"/>
    <n v="40.882847108514"/>
    <d v="2022-02-23T00:00:00"/>
    <d v="2022-03-01T00:00:00"/>
    <n v="490.59416530216799"/>
    <n v="6"/>
    <x v="80"/>
    <s v="Brazil"/>
    <s v="West"/>
    <x v="1"/>
    <n v="1"/>
    <s v="Yes"/>
    <n v="0"/>
    <s v="Late"/>
    <x v="3"/>
    <x v="9"/>
  </r>
  <r>
    <s v="PO001416"/>
    <s v="SUP00060"/>
    <s v="PROD00116"/>
    <d v="2021-10-05T00:00:00"/>
    <n v="8"/>
    <n v="21.7928848958719"/>
    <d v="2021-10-25T00:00:00"/>
    <d v="2021-10-30T00:00:00"/>
    <n v="174.343079166975"/>
    <n v="5"/>
    <x v="85"/>
    <s v="UK"/>
    <s v="North"/>
    <x v="3"/>
    <n v="1"/>
    <s v="Yes"/>
    <n v="0"/>
    <s v="Late"/>
    <x v="1"/>
    <x v="4"/>
  </r>
  <r>
    <s v="PO001417"/>
    <s v="SUP00027"/>
    <s v="PROD00089"/>
    <d v="2021-11-15T00:00:00"/>
    <n v="17"/>
    <n v="66.467850443654299"/>
    <d v="2021-12-08T00:00:00"/>
    <d v="2021-12-13T00:00:00"/>
    <n v="1129.9534575421201"/>
    <n v="5"/>
    <x v="53"/>
    <s v="Brazil"/>
    <s v="Central"/>
    <x v="0"/>
    <n v="0"/>
    <s v="No"/>
    <n v="0"/>
    <s v="Late"/>
    <x v="1"/>
    <x v="6"/>
  </r>
  <r>
    <s v="PO001418"/>
    <s v="SUP00027"/>
    <s v="PROD00039"/>
    <d v="2024-04-09T00:00:00"/>
    <n v="10"/>
    <n v="11.6777114795233"/>
    <d v="2024-04-26T00:00:00"/>
    <d v="2024-04-27T00:00:00"/>
    <n v="116.777114795233"/>
    <n v="1"/>
    <x v="53"/>
    <s v="Brazil"/>
    <s v="Central"/>
    <x v="0"/>
    <n v="0"/>
    <s v="No"/>
    <n v="0"/>
    <s v="Late"/>
    <x v="0"/>
    <x v="8"/>
  </r>
  <r>
    <s v="PO001419"/>
    <s v="SUP00011"/>
    <s v="PROD00136"/>
    <d v="2023-08-24T00:00:00"/>
    <n v="15"/>
    <n v="23.0211981658999"/>
    <d v="2023-09-09T00:00:00"/>
    <d v="2023-09-11T00:00:00"/>
    <n v="345.31797248849801"/>
    <n v="2"/>
    <x v="37"/>
    <s v="UK"/>
    <s v="East"/>
    <x v="3"/>
    <n v="1"/>
    <s v="Yes"/>
    <n v="0"/>
    <s v="Late"/>
    <x v="2"/>
    <x v="2"/>
  </r>
  <r>
    <s v="PO001420"/>
    <s v="SUP00059"/>
    <s v="PROD00032"/>
    <d v="2023-07-04T00:00:00"/>
    <n v="9"/>
    <n v="28.007243966185001"/>
    <d v="2023-07-22T00:00:00"/>
    <d v="2023-07-28T00:00:00"/>
    <n v="252.06519569566501"/>
    <n v="6"/>
    <x v="0"/>
    <s v="India"/>
    <s v="North"/>
    <x v="0"/>
    <n v="0"/>
    <s v="No"/>
    <n v="0"/>
    <s v="Late"/>
    <x v="2"/>
    <x v="5"/>
  </r>
  <r>
    <s v="PO001421"/>
    <s v="SUP00090"/>
    <s v="PROD00082"/>
    <d v="2021-08-21T00:00:00"/>
    <n v="14"/>
    <n v="20.412213386241302"/>
    <d v="2021-09-04T00:00:00"/>
    <d v="2021-09-03T00:00:00"/>
    <n v="285.77098740737898"/>
    <n v="-1"/>
    <x v="9"/>
    <s v="Canada"/>
    <s v="East"/>
    <x v="1"/>
    <n v="1"/>
    <s v="Yes"/>
    <n v="1"/>
    <s v="On Time"/>
    <x v="1"/>
    <x v="2"/>
  </r>
  <r>
    <s v="PO001422"/>
    <s v="SUP00033"/>
    <s v="PROD00165"/>
    <d v="2023-10-04T00:00:00"/>
    <n v="7"/>
    <n v="53.657222762253497"/>
    <d v="2023-10-27T00:00:00"/>
    <d v="2023-10-29T00:00:00"/>
    <n v="375.60055933577502"/>
    <n v="2"/>
    <x v="54"/>
    <s v="USA"/>
    <s v="South"/>
    <x v="0"/>
    <n v="0"/>
    <s v="No"/>
    <n v="0"/>
    <s v="Late"/>
    <x v="2"/>
    <x v="4"/>
  </r>
  <r>
    <s v="PO001423"/>
    <s v="SUP00094"/>
    <s v="PROD00040"/>
    <d v="2022-09-08T00:00:00"/>
    <n v="9"/>
    <n v="47.002487630424703"/>
    <d v="2022-09-19T00:00:00"/>
    <d v="2022-09-23T00:00:00"/>
    <n v="423.02238867382198"/>
    <n v="4"/>
    <x v="62"/>
    <s v="USA"/>
    <s v="North"/>
    <x v="2"/>
    <n v="0"/>
    <s v="No"/>
    <n v="0"/>
    <s v="Late"/>
    <x v="3"/>
    <x v="11"/>
  </r>
  <r>
    <s v="PO001424"/>
    <s v="SUP00049"/>
    <s v="PROD00075"/>
    <d v="2023-03-14T00:00:00"/>
    <n v="14"/>
    <n v="66.386453591938505"/>
    <d v="2023-04-01T00:00:00"/>
    <d v="2023-03-30T00:00:00"/>
    <n v="929.41035028713895"/>
    <n v="-2"/>
    <x v="71"/>
    <s v="Canada"/>
    <s v="East"/>
    <x v="0"/>
    <n v="1"/>
    <s v="Yes"/>
    <n v="1"/>
    <s v="On Time"/>
    <x v="2"/>
    <x v="0"/>
  </r>
  <r>
    <s v="PO001425"/>
    <s v="SUP00001"/>
    <s v="PROD00124"/>
    <d v="2022-09-26T00:00:00"/>
    <n v="12"/>
    <n v="79.6506105066033"/>
    <d v="2022-10-20T00:00:00"/>
    <d v="2022-10-18T00:00:00"/>
    <n v="955.80732607924006"/>
    <n v="-2"/>
    <x v="36"/>
    <s v="USA"/>
    <s v="West"/>
    <x v="3"/>
    <n v="0"/>
    <s v="No"/>
    <n v="1"/>
    <s v="On Time"/>
    <x v="3"/>
    <x v="11"/>
  </r>
  <r>
    <s v="PO001426"/>
    <s v="SUP00095"/>
    <s v="PROD00047"/>
    <d v="2022-11-28T00:00:00"/>
    <n v="11"/>
    <n v="13.031721555796199"/>
    <d v="2022-12-10T00:00:00"/>
    <d v="2022-12-14T00:00:00"/>
    <n v="143.34893711375801"/>
    <n v="4"/>
    <x v="74"/>
    <s v="China"/>
    <s v="Central"/>
    <x v="1"/>
    <n v="0"/>
    <s v="No"/>
    <n v="0"/>
    <s v="Late"/>
    <x v="3"/>
    <x v="6"/>
  </r>
  <r>
    <s v="PO001427"/>
    <s v="SUP00012"/>
    <s v="PROD00194"/>
    <d v="2021-04-15T00:00:00"/>
    <n v="10"/>
    <n v="53.442340567353902"/>
    <d v="2021-04-27T00:00:00"/>
    <d v="2021-04-28T00:00:00"/>
    <n v="534.42340567353904"/>
    <n v="1"/>
    <x v="88"/>
    <s v="China"/>
    <s v="East"/>
    <x v="3"/>
    <n v="0"/>
    <s v="No"/>
    <n v="0"/>
    <s v="Late"/>
    <x v="1"/>
    <x v="8"/>
  </r>
  <r>
    <s v="PO001428"/>
    <s v="SUP00063"/>
    <s v="PROD00002"/>
    <d v="2021-11-16T00:00:00"/>
    <n v="17"/>
    <n v="36.857321925478402"/>
    <d v="2021-12-10T00:00:00"/>
    <d v="2021-12-10T00:00:00"/>
    <n v="626.57447273313301"/>
    <n v="0"/>
    <x v="30"/>
    <s v="Denmark"/>
    <s v="North"/>
    <x v="1"/>
    <n v="0"/>
    <s v="No"/>
    <n v="1"/>
    <s v="On Time"/>
    <x v="1"/>
    <x v="6"/>
  </r>
  <r>
    <s v="PO001429"/>
    <s v="SUP00069"/>
    <s v="PROD00196"/>
    <d v="2021-02-23T00:00:00"/>
    <n v="15"/>
    <n v="59.377853745411201"/>
    <d v="2021-03-07T00:00:00"/>
    <d v="2021-03-08T00:00:00"/>
    <n v="890.667806181169"/>
    <n v="1"/>
    <x v="90"/>
    <s v="China"/>
    <s v="Central"/>
    <x v="2"/>
    <n v="0"/>
    <s v="No"/>
    <n v="0"/>
    <s v="Late"/>
    <x v="1"/>
    <x v="9"/>
  </r>
  <r>
    <s v="PO001430"/>
    <s v="SUP00088"/>
    <s v="PROD00007"/>
    <d v="2024-04-11T00:00:00"/>
    <n v="11"/>
    <n v="64.037650548161494"/>
    <d v="2024-05-01T00:00:00"/>
    <d v="2024-04-28T00:00:00"/>
    <n v="704.414156029776"/>
    <n v="-3"/>
    <x v="41"/>
    <s v="Brazil"/>
    <s v="East"/>
    <x v="3"/>
    <n v="0"/>
    <s v="No"/>
    <n v="1"/>
    <s v="On Time"/>
    <x v="0"/>
    <x v="8"/>
  </r>
  <r>
    <s v="PO001431"/>
    <s v="SUP00052"/>
    <s v="PROD00182"/>
    <d v="2022-12-17T00:00:00"/>
    <n v="15"/>
    <n v="43.655313822645098"/>
    <d v="2023-01-02T00:00:00"/>
    <d v="2022-12-30T00:00:00"/>
    <n v="654.82970733967602"/>
    <n v="-3"/>
    <x v="80"/>
    <s v="Brazil"/>
    <s v="West"/>
    <x v="1"/>
    <n v="1"/>
    <s v="Yes"/>
    <n v="1"/>
    <s v="On Time"/>
    <x v="3"/>
    <x v="7"/>
  </r>
  <r>
    <s v="PO001432"/>
    <s v="SUP00032"/>
    <s v="PROD00020"/>
    <d v="2023-11-03T00:00:00"/>
    <n v="12"/>
    <n v="73.751183147136004"/>
    <d v="2023-11-14T00:00:00"/>
    <d v="2023-11-13T00:00:00"/>
    <n v="885.01419776563205"/>
    <n v="-1"/>
    <x v="15"/>
    <s v="Germany"/>
    <s v="South"/>
    <x v="0"/>
    <n v="0"/>
    <s v="No"/>
    <n v="1"/>
    <s v="On Time"/>
    <x v="2"/>
    <x v="6"/>
  </r>
  <r>
    <s v="PO001433"/>
    <s v="SUP00020"/>
    <s v="PROD00032"/>
    <d v="2021-09-11T00:00:00"/>
    <n v="10"/>
    <n v="39.759981686407102"/>
    <d v="2021-09-27T00:00:00"/>
    <d v="2021-09-26T00:00:00"/>
    <n v="397.59981686407099"/>
    <n v="-1"/>
    <x v="21"/>
    <s v="Canada"/>
    <s v="Central"/>
    <x v="3"/>
    <n v="1"/>
    <s v="Yes"/>
    <n v="1"/>
    <s v="On Time"/>
    <x v="1"/>
    <x v="11"/>
  </r>
  <r>
    <s v="PO001434"/>
    <s v="SUP00089"/>
    <s v="PROD00012"/>
    <d v="2022-10-14T00:00:00"/>
    <n v="9"/>
    <n v="63.373492145621803"/>
    <d v="2022-11-05T00:00:00"/>
    <d v="2022-11-11T00:00:00"/>
    <n v="570.36142931059703"/>
    <n v="6"/>
    <x v="87"/>
    <s v="Canada"/>
    <s v="North"/>
    <x v="0"/>
    <n v="0"/>
    <s v="No"/>
    <n v="0"/>
    <s v="Late"/>
    <x v="3"/>
    <x v="4"/>
  </r>
  <r>
    <s v="PO001435"/>
    <s v="SUP00035"/>
    <s v="PROD00138"/>
    <d v="2022-04-11T00:00:00"/>
    <n v="9"/>
    <n v="71.672088814265805"/>
    <d v="2022-04-24T00:00:00"/>
    <d v="2022-04-29T00:00:00"/>
    <n v="645.04879932839196"/>
    <n v="5"/>
    <x v="25"/>
    <s v="Denmark"/>
    <s v="Central"/>
    <x v="1"/>
    <n v="1"/>
    <s v="Yes"/>
    <n v="0"/>
    <s v="Late"/>
    <x v="3"/>
    <x v="8"/>
  </r>
  <r>
    <s v="PO001436"/>
    <s v="SUP00090"/>
    <s v="PROD00173"/>
    <d v="2021-01-21T00:00:00"/>
    <n v="11"/>
    <n v="50.020585587486799"/>
    <d v="2021-02-08T00:00:00"/>
    <d v="2021-02-08T00:00:00"/>
    <n v="550.22644146235496"/>
    <n v="0"/>
    <x v="9"/>
    <s v="Canada"/>
    <s v="East"/>
    <x v="1"/>
    <n v="1"/>
    <s v="Yes"/>
    <n v="1"/>
    <s v="On Time"/>
    <x v="1"/>
    <x v="10"/>
  </r>
  <r>
    <s v="PO001437"/>
    <s v="SUP00060"/>
    <s v="PROD00069"/>
    <d v="2023-09-06T00:00:00"/>
    <n v="14"/>
    <n v="72.050873734084107"/>
    <d v="2023-09-28T00:00:00"/>
    <d v="2023-09-28T00:00:00"/>
    <n v="1008.71223227717"/>
    <n v="0"/>
    <x v="85"/>
    <s v="UK"/>
    <s v="North"/>
    <x v="3"/>
    <n v="1"/>
    <s v="Yes"/>
    <n v="1"/>
    <s v="On Time"/>
    <x v="2"/>
    <x v="11"/>
  </r>
  <r>
    <s v="PO001438"/>
    <s v="SUP00072"/>
    <s v="PROD00150"/>
    <d v="2021-06-09T00:00:00"/>
    <n v="11"/>
    <n v="45.608898495559899"/>
    <d v="2021-07-02T00:00:00"/>
    <d v="2021-07-05T00:00:00"/>
    <n v="501.69788345115899"/>
    <n v="3"/>
    <x v="83"/>
    <s v="India"/>
    <s v="Central"/>
    <x v="1"/>
    <n v="0"/>
    <s v="No"/>
    <n v="0"/>
    <s v="Late"/>
    <x v="1"/>
    <x v="1"/>
  </r>
  <r>
    <s v="PO001439"/>
    <s v="SUP00033"/>
    <s v="PROD00091"/>
    <d v="2023-08-09T00:00:00"/>
    <n v="11"/>
    <n v="75.488679084144906"/>
    <d v="2023-08-19T00:00:00"/>
    <d v="2023-08-21T00:00:00"/>
    <n v="830.37546992559396"/>
    <n v="2"/>
    <x v="54"/>
    <s v="USA"/>
    <s v="South"/>
    <x v="0"/>
    <n v="0"/>
    <s v="No"/>
    <n v="0"/>
    <s v="Late"/>
    <x v="2"/>
    <x v="2"/>
  </r>
  <r>
    <s v="PO001440"/>
    <s v="SUP00082"/>
    <s v="PROD00159"/>
    <d v="2022-07-16T00:00:00"/>
    <n v="8"/>
    <n v="50.272002025882301"/>
    <d v="2022-08-06T00:00:00"/>
    <d v="2022-08-05T00:00:00"/>
    <n v="402.17601620705801"/>
    <n v="-1"/>
    <x v="76"/>
    <s v="India"/>
    <s v="North"/>
    <x v="1"/>
    <n v="1"/>
    <s v="Yes"/>
    <n v="1"/>
    <s v="On Time"/>
    <x v="3"/>
    <x v="5"/>
  </r>
  <r>
    <s v="PO001441"/>
    <s v="SUP00048"/>
    <s v="PROD00123"/>
    <d v="2021-07-19T00:00:00"/>
    <n v="10"/>
    <n v="48.3613638507776"/>
    <d v="2021-08-08T00:00:00"/>
    <d v="2021-08-07T00:00:00"/>
    <n v="483.61363850777599"/>
    <n v="-1"/>
    <x v="4"/>
    <s v="Denmark"/>
    <s v="West"/>
    <x v="2"/>
    <n v="1"/>
    <s v="Yes"/>
    <n v="1"/>
    <s v="On Time"/>
    <x v="1"/>
    <x v="5"/>
  </r>
  <r>
    <s v="PO001442"/>
    <s v="SUP00038"/>
    <s v="PROD00026"/>
    <d v="2022-07-19T00:00:00"/>
    <n v="8"/>
    <n v="21.971102415049099"/>
    <d v="2022-08-09T00:00:00"/>
    <d v="2022-08-15T00:00:00"/>
    <n v="175.768819320392"/>
    <n v="6"/>
    <x v="34"/>
    <s v="Germany"/>
    <s v="South"/>
    <x v="1"/>
    <n v="0"/>
    <s v="No"/>
    <n v="0"/>
    <s v="Late"/>
    <x v="3"/>
    <x v="5"/>
  </r>
  <r>
    <s v="PO001443"/>
    <s v="SUP00011"/>
    <s v="PROD00152"/>
    <d v="2024-03-24T00:00:00"/>
    <n v="9"/>
    <n v="43.521670180145797"/>
    <d v="2024-04-13T00:00:00"/>
    <d v="2024-04-11T00:00:00"/>
    <n v="391.69503162131201"/>
    <n v="-2"/>
    <x v="37"/>
    <s v="UK"/>
    <s v="East"/>
    <x v="3"/>
    <n v="1"/>
    <s v="Yes"/>
    <n v="1"/>
    <s v="On Time"/>
    <x v="0"/>
    <x v="0"/>
  </r>
  <r>
    <s v="PO001444"/>
    <s v="SUP00058"/>
    <s v="PROD00041"/>
    <d v="2023-02-28T00:00:00"/>
    <n v="7"/>
    <n v="62.074992630392003"/>
    <d v="2023-03-17T00:00:00"/>
    <d v="2023-03-22T00:00:00"/>
    <n v="434.52494841274398"/>
    <n v="5"/>
    <x v="86"/>
    <s v="China"/>
    <s v="East"/>
    <x v="2"/>
    <n v="1"/>
    <s v="Yes"/>
    <n v="0"/>
    <s v="Late"/>
    <x v="2"/>
    <x v="9"/>
  </r>
  <r>
    <s v="PO001445"/>
    <s v="SUP00053"/>
    <s v="PROD00041"/>
    <d v="2024-04-06T00:00:00"/>
    <n v="12"/>
    <n v="73.701016160614003"/>
    <d v="2024-04-17T00:00:00"/>
    <d v="2024-04-23T00:00:00"/>
    <n v="884.41219392736798"/>
    <n v="6"/>
    <x v="18"/>
    <s v="India"/>
    <s v="North"/>
    <x v="2"/>
    <n v="1"/>
    <s v="Yes"/>
    <n v="0"/>
    <s v="Late"/>
    <x v="0"/>
    <x v="8"/>
  </r>
  <r>
    <s v="PO001446"/>
    <s v="SUP00080"/>
    <s v="PROD00068"/>
    <d v="2023-09-29T00:00:00"/>
    <n v="11"/>
    <n v="67.131756025726006"/>
    <d v="2023-10-09T00:00:00"/>
    <d v="2023-10-13T00:00:00"/>
    <n v="738.44931628298696"/>
    <n v="4"/>
    <x v="70"/>
    <s v="USA"/>
    <s v="North"/>
    <x v="2"/>
    <n v="0"/>
    <s v="No"/>
    <n v="0"/>
    <s v="Late"/>
    <x v="2"/>
    <x v="11"/>
  </r>
  <r>
    <s v="PO001447"/>
    <s v="SUP00075"/>
    <s v="PROD00050"/>
    <d v="2023-06-13T00:00:00"/>
    <n v="11"/>
    <n v="56.9787270253534"/>
    <d v="2023-07-03T00:00:00"/>
    <d v="2023-07-07T00:00:00"/>
    <n v="626.76599727888799"/>
    <n v="4"/>
    <x v="11"/>
    <s v="USA"/>
    <s v="Central"/>
    <x v="1"/>
    <n v="1"/>
    <s v="Yes"/>
    <n v="0"/>
    <s v="Late"/>
    <x v="2"/>
    <x v="1"/>
  </r>
  <r>
    <s v="PO001448"/>
    <s v="SUP00031"/>
    <s v="PROD00165"/>
    <d v="2022-07-23T00:00:00"/>
    <n v="18"/>
    <n v="51.3568591913129"/>
    <d v="2022-08-11T00:00:00"/>
    <d v="2022-08-14T00:00:00"/>
    <n v="924.42346544363204"/>
    <n v="3"/>
    <x v="33"/>
    <s v="USA"/>
    <s v="West"/>
    <x v="3"/>
    <n v="0"/>
    <s v="No"/>
    <n v="0"/>
    <s v="Late"/>
    <x v="3"/>
    <x v="5"/>
  </r>
  <r>
    <s v="PO001449"/>
    <s v="SUP00082"/>
    <s v="PROD00037"/>
    <d v="2022-11-12T00:00:00"/>
    <n v="16"/>
    <n v="64.365162518546001"/>
    <d v="2022-11-27T00:00:00"/>
    <d v="2022-11-26T00:00:00"/>
    <n v="1029.8426002967301"/>
    <n v="-1"/>
    <x v="76"/>
    <s v="India"/>
    <s v="North"/>
    <x v="1"/>
    <n v="1"/>
    <s v="Yes"/>
    <n v="1"/>
    <s v="On Time"/>
    <x v="3"/>
    <x v="6"/>
  </r>
  <r>
    <s v="PO001450"/>
    <s v="SUP00095"/>
    <s v="PROD00116"/>
    <d v="2021-06-22T00:00:00"/>
    <n v="10"/>
    <n v="9.3936976271575805"/>
    <d v="2021-07-07T00:00:00"/>
    <d v="2021-07-10T00:00:00"/>
    <n v="93.936976271575801"/>
    <n v="3"/>
    <x v="74"/>
    <s v="China"/>
    <s v="Central"/>
    <x v="1"/>
    <n v="0"/>
    <s v="No"/>
    <n v="0"/>
    <s v="Late"/>
    <x v="1"/>
    <x v="1"/>
  </r>
  <r>
    <s v="PO001451"/>
    <s v="SUP00012"/>
    <s v="PROD00010"/>
    <d v="2022-06-03T00:00:00"/>
    <n v="16"/>
    <n v="39.360157904399799"/>
    <d v="2022-06-20T00:00:00"/>
    <d v="2022-06-20T00:00:00"/>
    <n v="629.76252647039701"/>
    <n v="0"/>
    <x v="88"/>
    <s v="China"/>
    <s v="East"/>
    <x v="3"/>
    <n v="0"/>
    <s v="No"/>
    <n v="1"/>
    <s v="On Time"/>
    <x v="3"/>
    <x v="1"/>
  </r>
  <r>
    <s v="PO001452"/>
    <s v="SUP00018"/>
    <s v="PROD00057"/>
    <d v="2022-04-11T00:00:00"/>
    <n v="12"/>
    <n v="42.865119636349597"/>
    <d v="2022-04-22T00:00:00"/>
    <d v="2022-04-25T00:00:00"/>
    <n v="514.38143563619496"/>
    <n v="3"/>
    <x v="8"/>
    <s v="UK"/>
    <s v="West"/>
    <x v="2"/>
    <n v="0"/>
    <s v="No"/>
    <n v="0"/>
    <s v="Late"/>
    <x v="3"/>
    <x v="8"/>
  </r>
  <r>
    <s v="PO001453"/>
    <s v="SUP00035"/>
    <s v="PROD00052"/>
    <d v="2022-08-30T00:00:00"/>
    <n v="14"/>
    <n v="7.43709683802975"/>
    <d v="2022-09-12T00:00:00"/>
    <d v="2022-09-09T00:00:00"/>
    <n v="104.119355732416"/>
    <n v="-3"/>
    <x v="25"/>
    <s v="Denmark"/>
    <s v="Central"/>
    <x v="1"/>
    <n v="1"/>
    <s v="Yes"/>
    <n v="1"/>
    <s v="On Time"/>
    <x v="3"/>
    <x v="2"/>
  </r>
  <r>
    <s v="PO001454"/>
    <s v="SUP00052"/>
    <s v="PROD00016"/>
    <d v="2021-02-26T00:00:00"/>
    <n v="9"/>
    <n v="25.354489744046699"/>
    <d v="2021-03-08T00:00:00"/>
    <d v="2021-03-13T00:00:00"/>
    <n v="228.190407696421"/>
    <n v="5"/>
    <x v="80"/>
    <s v="Brazil"/>
    <s v="West"/>
    <x v="1"/>
    <n v="1"/>
    <s v="Yes"/>
    <n v="0"/>
    <s v="Late"/>
    <x v="1"/>
    <x v="9"/>
  </r>
  <r>
    <s v="PO001455"/>
    <s v="SUP00009"/>
    <s v="PROD00111"/>
    <d v="2021-03-15T00:00:00"/>
    <n v="9"/>
    <n v="16.319929128671699"/>
    <d v="2021-04-03T00:00:00"/>
    <d v="2021-04-07T00:00:00"/>
    <n v="146.87936215804501"/>
    <n v="4"/>
    <x v="95"/>
    <s v="China"/>
    <s v="North"/>
    <x v="1"/>
    <n v="1"/>
    <s v="Yes"/>
    <n v="0"/>
    <s v="Late"/>
    <x v="1"/>
    <x v="0"/>
  </r>
  <r>
    <s v="PO001456"/>
    <s v="SUP00058"/>
    <s v="PROD00041"/>
    <d v="2023-11-06T00:00:00"/>
    <n v="13"/>
    <n v="53.638430235015797"/>
    <d v="2023-11-27T00:00:00"/>
    <d v="2023-11-27T00:00:00"/>
    <n v="697.29959305520504"/>
    <n v="0"/>
    <x v="86"/>
    <s v="China"/>
    <s v="East"/>
    <x v="2"/>
    <n v="1"/>
    <s v="Yes"/>
    <n v="1"/>
    <s v="On Time"/>
    <x v="2"/>
    <x v="6"/>
  </r>
  <r>
    <s v="PO001457"/>
    <s v="SUP00042"/>
    <s v="PROD00030"/>
    <d v="2023-08-29T00:00:00"/>
    <n v="12"/>
    <n v="64.616809639543902"/>
    <d v="2023-09-16T00:00:00"/>
    <d v="2023-09-17T00:00:00"/>
    <n v="775.40171567452603"/>
    <n v="1"/>
    <x v="64"/>
    <s v="India"/>
    <s v="West"/>
    <x v="2"/>
    <n v="0"/>
    <s v="No"/>
    <n v="0"/>
    <s v="Late"/>
    <x v="2"/>
    <x v="2"/>
  </r>
  <r>
    <s v="PO001458"/>
    <s v="SUP00079"/>
    <s v="PROD00044"/>
    <d v="2022-01-19T00:00:00"/>
    <n v="8"/>
    <n v="54.460881031760202"/>
    <d v="2022-02-11T00:00:00"/>
    <d v="2022-02-10T00:00:00"/>
    <n v="435.68704825408099"/>
    <n v="-1"/>
    <x v="55"/>
    <s v="Denmark"/>
    <s v="South"/>
    <x v="0"/>
    <n v="0"/>
    <s v="No"/>
    <n v="1"/>
    <s v="On Time"/>
    <x v="3"/>
    <x v="10"/>
  </r>
  <r>
    <s v="PO001459"/>
    <s v="SUP00086"/>
    <s v="PROD00020"/>
    <d v="2023-09-04T00:00:00"/>
    <n v="12"/>
    <n v="73.323046272091304"/>
    <d v="2023-09-17T00:00:00"/>
    <d v="2023-09-19T00:00:00"/>
    <n v="879.87655526509604"/>
    <n v="2"/>
    <x v="69"/>
    <s v="Denmark"/>
    <s v="South"/>
    <x v="0"/>
    <n v="1"/>
    <s v="Yes"/>
    <n v="0"/>
    <s v="Late"/>
    <x v="2"/>
    <x v="11"/>
  </r>
  <r>
    <s v="PO001460"/>
    <s v="SUP00070"/>
    <s v="PROD00193"/>
    <d v="2023-08-15T00:00:00"/>
    <n v="19"/>
    <n v="58.859678192971103"/>
    <d v="2023-08-30T00:00:00"/>
    <d v="2023-09-01T00:00:00"/>
    <n v="1118.33388566645"/>
    <n v="2"/>
    <x v="32"/>
    <s v="USA"/>
    <s v="Central"/>
    <x v="3"/>
    <n v="0"/>
    <s v="No"/>
    <n v="0"/>
    <s v="Late"/>
    <x v="2"/>
    <x v="2"/>
  </r>
  <r>
    <s v="PO001461"/>
    <s v="SUP00069"/>
    <s v="PROD00099"/>
    <d v="2022-01-27T00:00:00"/>
    <n v="13"/>
    <n v="56.413602005694798"/>
    <d v="2022-02-10T00:00:00"/>
    <d v="2022-02-13T00:00:00"/>
    <n v="733.37682607403303"/>
    <n v="3"/>
    <x v="90"/>
    <s v="China"/>
    <s v="Central"/>
    <x v="2"/>
    <n v="0"/>
    <s v="No"/>
    <n v="0"/>
    <s v="Late"/>
    <x v="3"/>
    <x v="10"/>
  </r>
  <r>
    <s v="PO001462"/>
    <s v="SUP00038"/>
    <s v="PROD00194"/>
    <d v="2023-08-21T00:00:00"/>
    <n v="9"/>
    <n v="21.878442724355398"/>
    <d v="2023-09-06T00:00:00"/>
    <d v="2023-09-07T00:00:00"/>
    <n v="196.905984519198"/>
    <n v="1"/>
    <x v="34"/>
    <s v="Germany"/>
    <s v="South"/>
    <x v="1"/>
    <n v="0"/>
    <s v="No"/>
    <n v="0"/>
    <s v="Late"/>
    <x v="2"/>
    <x v="2"/>
  </r>
  <r>
    <s v="PO001463"/>
    <s v="SUP00071"/>
    <s v="PROD00114"/>
    <d v="2021-05-26T00:00:00"/>
    <n v="4"/>
    <n v="71.553076330738605"/>
    <d v="2021-06-11T00:00:00"/>
    <d v="2021-06-13T00:00:00"/>
    <n v="286.21230532295402"/>
    <n v="2"/>
    <x v="50"/>
    <s v="Denmark"/>
    <s v="South"/>
    <x v="3"/>
    <n v="1"/>
    <s v="Yes"/>
    <n v="0"/>
    <s v="Late"/>
    <x v="1"/>
    <x v="3"/>
  </r>
  <r>
    <s v="PO001464"/>
    <s v="SUP00061"/>
    <s v="PROD00158"/>
    <d v="2021-09-02T00:00:00"/>
    <n v="9"/>
    <n v="25.963106009767898"/>
    <d v="2021-09-12T00:00:00"/>
    <d v="2021-09-09T00:00:00"/>
    <n v="233.66795408791199"/>
    <n v="-3"/>
    <x v="71"/>
    <s v="India"/>
    <s v="South"/>
    <x v="2"/>
    <n v="0"/>
    <s v="No"/>
    <n v="1"/>
    <s v="On Time"/>
    <x v="1"/>
    <x v="11"/>
  </r>
  <r>
    <s v="PO001465"/>
    <s v="SUP00034"/>
    <s v="PROD00036"/>
    <d v="2023-04-25T00:00:00"/>
    <n v="15"/>
    <n v="64.178722828741499"/>
    <d v="2023-05-15T00:00:00"/>
    <d v="2023-05-19T00:00:00"/>
    <n v="962.68084243112298"/>
    <n v="4"/>
    <x v="67"/>
    <s v="Brazil"/>
    <s v="North"/>
    <x v="1"/>
    <n v="1"/>
    <s v="Yes"/>
    <n v="0"/>
    <s v="Late"/>
    <x v="2"/>
    <x v="8"/>
  </r>
  <r>
    <s v="PO001466"/>
    <s v="SUP00022"/>
    <s v="PROD00029"/>
    <d v="2023-07-17T00:00:00"/>
    <n v="11"/>
    <n v="30.1859985092754"/>
    <d v="2023-07-30T00:00:00"/>
    <d v="2023-07-31T00:00:00"/>
    <n v="332.04598360202903"/>
    <n v="1"/>
    <x v="60"/>
    <s v="India"/>
    <s v="South"/>
    <x v="1"/>
    <n v="0"/>
    <s v="No"/>
    <n v="0"/>
    <s v="Late"/>
    <x v="2"/>
    <x v="5"/>
  </r>
  <r>
    <s v="PO001467"/>
    <s v="SUP00006"/>
    <s v="PROD00114"/>
    <d v="2022-01-07T00:00:00"/>
    <n v="15"/>
    <n v="52.052918015514699"/>
    <d v="2022-01-20T00:00:00"/>
    <d v="2022-01-23T00:00:00"/>
    <n v="780.79377023272002"/>
    <n v="3"/>
    <x v="78"/>
    <s v="USA"/>
    <s v="East"/>
    <x v="0"/>
    <n v="1"/>
    <s v="Yes"/>
    <n v="0"/>
    <s v="Late"/>
    <x v="3"/>
    <x v="10"/>
  </r>
  <r>
    <s v="PO001468"/>
    <s v="SUP00069"/>
    <s v="PROD00054"/>
    <d v="2023-01-08T00:00:00"/>
    <n v="16"/>
    <n v="13.0722328174847"/>
    <d v="2023-01-18T00:00:00"/>
    <d v="2023-01-15T00:00:00"/>
    <n v="209.155725079756"/>
    <n v="-3"/>
    <x v="90"/>
    <s v="China"/>
    <s v="Central"/>
    <x v="2"/>
    <n v="0"/>
    <s v="No"/>
    <n v="1"/>
    <s v="On Time"/>
    <x v="2"/>
    <x v="10"/>
  </r>
  <r>
    <s v="PO001469"/>
    <s v="SUP00037"/>
    <s v="PROD00037"/>
    <d v="2023-12-13T00:00:00"/>
    <n v="6"/>
    <n v="78.814290531283703"/>
    <d v="2024-01-03T00:00:00"/>
    <d v="2024-01-02T00:00:00"/>
    <n v="472.88574318770202"/>
    <n v="-1"/>
    <x v="46"/>
    <s v="Denmark"/>
    <s v="East"/>
    <x v="1"/>
    <n v="0"/>
    <s v="No"/>
    <n v="1"/>
    <s v="On Time"/>
    <x v="2"/>
    <x v="7"/>
  </r>
  <r>
    <s v="PO001470"/>
    <s v="SUP00080"/>
    <s v="PROD00134"/>
    <d v="2024-04-02T00:00:00"/>
    <n v="10"/>
    <n v="73.908711507441495"/>
    <d v="2024-04-18T00:00:00"/>
    <d v="2024-04-24T00:00:00"/>
    <n v="739.08711507441501"/>
    <n v="6"/>
    <x v="70"/>
    <s v="USA"/>
    <s v="North"/>
    <x v="2"/>
    <n v="0"/>
    <s v="No"/>
    <n v="0"/>
    <s v="Late"/>
    <x v="0"/>
    <x v="8"/>
  </r>
  <r>
    <s v="PO001471"/>
    <s v="SUP00071"/>
    <s v="PROD00010"/>
    <d v="2022-08-07T00:00:00"/>
    <n v="9"/>
    <n v="15.8917453297628"/>
    <d v="2022-08-27T00:00:00"/>
    <d v="2022-08-31T00:00:00"/>
    <n v="143.025707967865"/>
    <n v="4"/>
    <x v="50"/>
    <s v="Denmark"/>
    <s v="South"/>
    <x v="3"/>
    <n v="1"/>
    <s v="Yes"/>
    <n v="0"/>
    <s v="Late"/>
    <x v="3"/>
    <x v="2"/>
  </r>
  <r>
    <s v="PO001472"/>
    <s v="SUP00040"/>
    <s v="PROD00024"/>
    <d v="2021-01-09T00:00:00"/>
    <n v="13"/>
    <n v="4.99719448630381"/>
    <d v="2021-02-01T00:00:00"/>
    <d v="2021-02-06T00:00:00"/>
    <n v="64.963528321949596"/>
    <n v="5"/>
    <x v="58"/>
    <s v="Denmark"/>
    <s v="East"/>
    <x v="2"/>
    <n v="0"/>
    <s v="No"/>
    <n v="0"/>
    <s v="Late"/>
    <x v="1"/>
    <x v="10"/>
  </r>
  <r>
    <s v="PO001473"/>
    <s v="SUP00024"/>
    <s v="PROD00109"/>
    <d v="2023-03-03T00:00:00"/>
    <n v="7"/>
    <n v="9.9700847622080797"/>
    <d v="2023-03-24T00:00:00"/>
    <d v="2023-03-26T00:00:00"/>
    <n v="69.790593335456506"/>
    <n v="2"/>
    <x v="5"/>
    <s v="UK"/>
    <s v="North"/>
    <x v="1"/>
    <n v="0"/>
    <s v="No"/>
    <n v="0"/>
    <s v="Late"/>
    <x v="2"/>
    <x v="0"/>
  </r>
  <r>
    <s v="PO001474"/>
    <s v="SUP00034"/>
    <s v="PROD00091"/>
    <d v="2023-11-28T00:00:00"/>
    <n v="4"/>
    <n v="11.5788285408495"/>
    <d v="2023-12-10T00:00:00"/>
    <d v="2023-12-09T00:00:00"/>
    <n v="46.315314163398"/>
    <n v="-1"/>
    <x v="67"/>
    <s v="Brazil"/>
    <s v="North"/>
    <x v="1"/>
    <n v="1"/>
    <s v="Yes"/>
    <n v="1"/>
    <s v="On Time"/>
    <x v="2"/>
    <x v="6"/>
  </r>
  <r>
    <s v="PO001475"/>
    <s v="SUP00053"/>
    <s v="PROD00187"/>
    <d v="2021-03-23T00:00:00"/>
    <n v="13"/>
    <n v="61.313199129231997"/>
    <d v="2021-04-08T00:00:00"/>
    <d v="2021-04-07T00:00:00"/>
    <n v="797.07158868001602"/>
    <n v="-1"/>
    <x v="18"/>
    <s v="India"/>
    <s v="North"/>
    <x v="2"/>
    <n v="1"/>
    <s v="Yes"/>
    <n v="1"/>
    <s v="On Time"/>
    <x v="1"/>
    <x v="0"/>
  </r>
  <r>
    <s v="PO001476"/>
    <s v="SUP00011"/>
    <s v="PROD00020"/>
    <d v="2023-03-23T00:00:00"/>
    <n v="14"/>
    <n v="41.210957612129903"/>
    <d v="2023-04-10T00:00:00"/>
    <d v="2023-04-14T00:00:00"/>
    <n v="576.95340656981898"/>
    <n v="4"/>
    <x v="37"/>
    <s v="UK"/>
    <s v="East"/>
    <x v="3"/>
    <n v="1"/>
    <s v="Yes"/>
    <n v="0"/>
    <s v="Late"/>
    <x v="2"/>
    <x v="0"/>
  </r>
  <r>
    <s v="PO001477"/>
    <s v="SUP00062"/>
    <s v="PROD00011"/>
    <d v="2022-04-16T00:00:00"/>
    <n v="16"/>
    <n v="61.204205220523399"/>
    <d v="2022-05-06T00:00:00"/>
    <d v="2022-05-11T00:00:00"/>
    <n v="979.26728352837404"/>
    <n v="5"/>
    <x v="81"/>
    <s v="Brazil"/>
    <s v="Central"/>
    <x v="0"/>
    <n v="0"/>
    <s v="No"/>
    <n v="0"/>
    <s v="Late"/>
    <x v="3"/>
    <x v="8"/>
  </r>
  <r>
    <s v="PO001478"/>
    <s v="SUP00015"/>
    <s v="PROD00093"/>
    <d v="2021-11-21T00:00:00"/>
    <n v="10"/>
    <n v="70.015481780485501"/>
    <d v="2021-12-01T00:00:00"/>
    <d v="2021-12-02T00:00:00"/>
    <n v="700.15481780485504"/>
    <n v="1"/>
    <x v="51"/>
    <s v="China"/>
    <s v="South"/>
    <x v="0"/>
    <n v="1"/>
    <s v="Yes"/>
    <n v="0"/>
    <s v="Late"/>
    <x v="1"/>
    <x v="6"/>
  </r>
  <r>
    <s v="PO001479"/>
    <s v="SUP00062"/>
    <s v="PROD00151"/>
    <d v="2023-07-24T00:00:00"/>
    <n v="12"/>
    <n v="61.6509381453914"/>
    <d v="2023-08-14T00:00:00"/>
    <d v="2023-08-16T00:00:00"/>
    <n v="739.81125774469695"/>
    <n v="2"/>
    <x v="81"/>
    <s v="Brazil"/>
    <s v="Central"/>
    <x v="0"/>
    <n v="0"/>
    <s v="No"/>
    <n v="0"/>
    <s v="Late"/>
    <x v="2"/>
    <x v="5"/>
  </r>
  <r>
    <s v="PO001480"/>
    <s v="SUP00011"/>
    <s v="PROD00075"/>
    <d v="2021-07-28T00:00:00"/>
    <n v="11"/>
    <n v="66.120531865760498"/>
    <d v="2021-08-17T00:00:00"/>
    <d v="2021-08-15T00:00:00"/>
    <n v="727.32585052336594"/>
    <n v="-2"/>
    <x v="37"/>
    <s v="UK"/>
    <s v="East"/>
    <x v="3"/>
    <n v="1"/>
    <s v="Yes"/>
    <n v="1"/>
    <s v="On Time"/>
    <x v="1"/>
    <x v="5"/>
  </r>
  <r>
    <s v="PO001481"/>
    <s v="SUP00069"/>
    <s v="PROD00112"/>
    <d v="2023-10-24T00:00:00"/>
    <n v="9"/>
    <n v="25.975859243969399"/>
    <d v="2023-11-14T00:00:00"/>
    <d v="2023-11-16T00:00:00"/>
    <n v="233.782733195725"/>
    <n v="2"/>
    <x v="90"/>
    <s v="China"/>
    <s v="Central"/>
    <x v="2"/>
    <n v="0"/>
    <s v="No"/>
    <n v="0"/>
    <s v="Late"/>
    <x v="2"/>
    <x v="4"/>
  </r>
  <r>
    <s v="PO001482"/>
    <s v="SUP00016"/>
    <s v="PROD00192"/>
    <d v="2022-02-14T00:00:00"/>
    <n v="17"/>
    <n v="53.166592377103903"/>
    <d v="2022-03-08T00:00:00"/>
    <d v="2022-03-11T00:00:00"/>
    <n v="903.83207041076696"/>
    <n v="3"/>
    <x v="39"/>
    <s v="China"/>
    <s v="East"/>
    <x v="0"/>
    <n v="0"/>
    <s v="No"/>
    <n v="0"/>
    <s v="Late"/>
    <x v="3"/>
    <x v="9"/>
  </r>
  <r>
    <s v="PO001483"/>
    <s v="SUP00090"/>
    <s v="PROD00112"/>
    <d v="2021-02-11T00:00:00"/>
    <n v="11"/>
    <n v="76.741292202984198"/>
    <d v="2021-03-04T00:00:00"/>
    <d v="2021-03-08T00:00:00"/>
    <n v="844.15421423282601"/>
    <n v="4"/>
    <x v="9"/>
    <s v="Canada"/>
    <s v="East"/>
    <x v="1"/>
    <n v="1"/>
    <s v="Yes"/>
    <n v="0"/>
    <s v="Late"/>
    <x v="1"/>
    <x v="9"/>
  </r>
  <r>
    <s v="PO001484"/>
    <s v="SUP00014"/>
    <s v="PROD00069"/>
    <d v="2022-05-29T00:00:00"/>
    <n v="12"/>
    <n v="6.0287813740533203"/>
    <d v="2022-06-18T00:00:00"/>
    <d v="2022-06-23T00:00:00"/>
    <n v="72.3453764886399"/>
    <n v="5"/>
    <x v="59"/>
    <s v="Germany"/>
    <s v="West"/>
    <x v="1"/>
    <n v="0"/>
    <s v="No"/>
    <n v="0"/>
    <s v="Late"/>
    <x v="3"/>
    <x v="3"/>
  </r>
  <r>
    <s v="PO001485"/>
    <s v="SUP00005"/>
    <s v="PROD00035"/>
    <d v="2021-01-03T00:00:00"/>
    <n v="10"/>
    <n v="5.6077980261942901"/>
    <d v="2021-01-20T00:00:00"/>
    <d v="2021-01-17T00:00:00"/>
    <n v="56.077980261942898"/>
    <n v="-3"/>
    <x v="17"/>
    <s v="Canada"/>
    <s v="North"/>
    <x v="1"/>
    <n v="1"/>
    <s v="Yes"/>
    <n v="1"/>
    <s v="On Time"/>
    <x v="1"/>
    <x v="10"/>
  </r>
  <r>
    <s v="PO001486"/>
    <s v="SUP00095"/>
    <s v="PROD00147"/>
    <d v="2022-12-29T00:00:00"/>
    <n v="7"/>
    <n v="38.094171493635002"/>
    <d v="2023-01-11T00:00:00"/>
    <d v="2023-01-08T00:00:00"/>
    <n v="266.65920045544499"/>
    <n v="-3"/>
    <x v="74"/>
    <s v="China"/>
    <s v="Central"/>
    <x v="1"/>
    <n v="0"/>
    <s v="No"/>
    <n v="1"/>
    <s v="On Time"/>
    <x v="3"/>
    <x v="7"/>
  </r>
  <r>
    <s v="PO001487"/>
    <s v="SUP00031"/>
    <s v="PROD00167"/>
    <d v="2021-10-21T00:00:00"/>
    <n v="12"/>
    <n v="48.715541847691298"/>
    <d v="2021-11-06T00:00:00"/>
    <d v="2021-11-07T00:00:00"/>
    <n v="584.58650217229604"/>
    <n v="1"/>
    <x v="33"/>
    <s v="USA"/>
    <s v="West"/>
    <x v="3"/>
    <n v="0"/>
    <s v="No"/>
    <n v="0"/>
    <s v="Late"/>
    <x v="1"/>
    <x v="4"/>
  </r>
  <r>
    <s v="PO001488"/>
    <s v="SUP00048"/>
    <s v="PROD00032"/>
    <d v="2022-09-08T00:00:00"/>
    <n v="11"/>
    <n v="50.112755315122399"/>
    <d v="2022-09-27T00:00:00"/>
    <d v="2022-09-29T00:00:00"/>
    <n v="551.24030846634605"/>
    <n v="2"/>
    <x v="4"/>
    <s v="Denmark"/>
    <s v="West"/>
    <x v="2"/>
    <n v="1"/>
    <s v="Yes"/>
    <n v="0"/>
    <s v="Late"/>
    <x v="3"/>
    <x v="11"/>
  </r>
  <r>
    <s v="PO001489"/>
    <s v="SUP00030"/>
    <s v="PROD00144"/>
    <d v="2023-12-14T00:00:00"/>
    <n v="6"/>
    <n v="25.559257714444801"/>
    <d v="2023-12-30T00:00:00"/>
    <d v="2024-01-02T00:00:00"/>
    <n v="153.35554628666901"/>
    <n v="3"/>
    <x v="29"/>
    <s v="India"/>
    <s v="Central"/>
    <x v="0"/>
    <n v="0"/>
    <s v="No"/>
    <n v="0"/>
    <s v="Late"/>
    <x v="2"/>
    <x v="7"/>
  </r>
  <r>
    <s v="PO001490"/>
    <s v="SUP00039"/>
    <s v="PROD00159"/>
    <d v="2023-09-18T00:00:00"/>
    <n v="14"/>
    <n v="77.008535120746501"/>
    <d v="2023-10-07T00:00:00"/>
    <d v="2023-10-06T00:00:00"/>
    <n v="1078.1194916904501"/>
    <n v="-1"/>
    <x v="7"/>
    <s v="Denmark"/>
    <s v="South"/>
    <x v="0"/>
    <n v="1"/>
    <s v="Yes"/>
    <n v="1"/>
    <s v="On Time"/>
    <x v="2"/>
    <x v="11"/>
  </r>
  <r>
    <s v="PO001491"/>
    <s v="SUP00020"/>
    <s v="PROD00060"/>
    <d v="2023-03-05T00:00:00"/>
    <n v="11"/>
    <n v="46.338600750965703"/>
    <d v="2023-03-25T00:00:00"/>
    <d v="2023-03-23T00:00:00"/>
    <n v="509.72460826062297"/>
    <n v="-2"/>
    <x v="21"/>
    <s v="Canada"/>
    <s v="Central"/>
    <x v="3"/>
    <n v="1"/>
    <s v="Yes"/>
    <n v="1"/>
    <s v="On Time"/>
    <x v="2"/>
    <x v="0"/>
  </r>
  <r>
    <s v="PO001492"/>
    <s v="SUP00022"/>
    <s v="PROD00172"/>
    <d v="2022-10-23T00:00:00"/>
    <n v="11"/>
    <n v="44.4644311775631"/>
    <d v="2022-11-03T00:00:00"/>
    <d v="2022-11-03T00:00:00"/>
    <n v="489.108742953194"/>
    <n v="0"/>
    <x v="60"/>
    <s v="India"/>
    <s v="South"/>
    <x v="1"/>
    <n v="0"/>
    <s v="No"/>
    <n v="1"/>
    <s v="On Time"/>
    <x v="3"/>
    <x v="4"/>
  </r>
  <r>
    <s v="PO001493"/>
    <s v="SUP00058"/>
    <s v="PROD00183"/>
    <d v="2023-12-16T00:00:00"/>
    <n v="16"/>
    <n v="31.819932404489698"/>
    <d v="2023-12-29T00:00:00"/>
    <d v="2023-12-29T00:00:00"/>
    <n v="509.11891847183603"/>
    <n v="0"/>
    <x v="86"/>
    <s v="China"/>
    <s v="East"/>
    <x v="2"/>
    <n v="1"/>
    <s v="Yes"/>
    <n v="1"/>
    <s v="On Time"/>
    <x v="2"/>
    <x v="7"/>
  </r>
  <r>
    <s v="PO001494"/>
    <s v="SUP00079"/>
    <s v="PROD00099"/>
    <d v="2021-07-12T00:00:00"/>
    <n v="12"/>
    <n v="49.831406950503599"/>
    <d v="2021-07-29T00:00:00"/>
    <d v="2021-08-03T00:00:00"/>
    <n v="597.97688340604304"/>
    <n v="5"/>
    <x v="55"/>
    <s v="Denmark"/>
    <s v="South"/>
    <x v="0"/>
    <n v="0"/>
    <s v="No"/>
    <n v="0"/>
    <s v="Late"/>
    <x v="1"/>
    <x v="5"/>
  </r>
  <r>
    <s v="PO001495"/>
    <s v="SUP00100"/>
    <s v="PROD00050"/>
    <d v="2021-07-18T00:00:00"/>
    <n v="10"/>
    <n v="77.673725642799297"/>
    <d v="2021-08-09T00:00:00"/>
    <d v="2021-08-14T00:00:00"/>
    <n v="776.73725642799297"/>
    <n v="5"/>
    <x v="45"/>
    <s v="Canada"/>
    <s v="Central"/>
    <x v="1"/>
    <n v="0"/>
    <s v="No"/>
    <n v="0"/>
    <s v="Late"/>
    <x v="1"/>
    <x v="5"/>
  </r>
  <r>
    <s v="PO001496"/>
    <s v="SUP00075"/>
    <s v="PROD00084"/>
    <d v="2023-12-26T00:00:00"/>
    <n v="12"/>
    <n v="63.8886537199283"/>
    <d v="2024-01-11T00:00:00"/>
    <d v="2024-01-15T00:00:00"/>
    <n v="766.66384463914005"/>
    <n v="4"/>
    <x v="11"/>
    <s v="USA"/>
    <s v="Central"/>
    <x v="1"/>
    <n v="1"/>
    <s v="Yes"/>
    <n v="0"/>
    <s v="Late"/>
    <x v="2"/>
    <x v="7"/>
  </r>
  <r>
    <s v="PO001497"/>
    <s v="SUP00003"/>
    <s v="PROD00126"/>
    <d v="2022-11-09T00:00:00"/>
    <n v="11"/>
    <n v="65.031921971550901"/>
    <d v="2022-11-29T00:00:00"/>
    <d v="2022-11-30T00:00:00"/>
    <n v="715.351141687059"/>
    <n v="1"/>
    <x v="91"/>
    <s v="India"/>
    <s v="Central"/>
    <x v="0"/>
    <n v="1"/>
    <s v="Yes"/>
    <n v="0"/>
    <s v="Late"/>
    <x v="3"/>
    <x v="6"/>
  </r>
  <r>
    <s v="PO001498"/>
    <s v="SUP00044"/>
    <s v="PROD00193"/>
    <d v="2022-02-13T00:00:00"/>
    <n v="15"/>
    <n v="40.270489236921897"/>
    <d v="2022-02-27T00:00:00"/>
    <d v="2022-02-28T00:00:00"/>
    <n v="604.05733855382903"/>
    <n v="1"/>
    <x v="21"/>
    <s v="Germany"/>
    <s v="Central"/>
    <x v="1"/>
    <n v="1"/>
    <s v="Yes"/>
    <n v="0"/>
    <s v="Late"/>
    <x v="3"/>
    <x v="9"/>
  </r>
  <r>
    <s v="PO001499"/>
    <s v="SUP00028"/>
    <s v="PROD00070"/>
    <d v="2022-01-26T00:00:00"/>
    <n v="7"/>
    <n v="11.8769588183553"/>
    <d v="2022-02-07T00:00:00"/>
    <d v="2022-02-05T00:00:00"/>
    <n v="83.138711728487394"/>
    <n v="-2"/>
    <x v="92"/>
    <s v="Canada"/>
    <s v="East"/>
    <x v="3"/>
    <n v="0"/>
    <s v="No"/>
    <n v="1"/>
    <s v="On Time"/>
    <x v="3"/>
    <x v="10"/>
  </r>
  <r>
    <s v="PO001500"/>
    <s v="SUP00055"/>
    <s v="PROD00023"/>
    <d v="2024-01-29T00:00:00"/>
    <n v="17"/>
    <n v="50.158863297426201"/>
    <d v="2024-02-09T00:00:00"/>
    <d v="2024-02-11T00:00:00"/>
    <n v="852.70067605624695"/>
    <n v="2"/>
    <x v="49"/>
    <s v="China"/>
    <s v="East"/>
    <x v="0"/>
    <n v="1"/>
    <s v="Yes"/>
    <n v="0"/>
    <s v="Late"/>
    <x v="0"/>
    <x v="10"/>
  </r>
  <r>
    <s v="PO001501"/>
    <s v="SUP00056"/>
    <s v="PROD00139"/>
    <d v="2023-11-01T00:00:00"/>
    <n v="9"/>
    <n v="59.311099722244897"/>
    <d v="2023-11-20T00:00:00"/>
    <d v="2023-11-23T00:00:00"/>
    <n v="533.799897500204"/>
    <n v="3"/>
    <x v="13"/>
    <s v="China"/>
    <s v="North"/>
    <x v="2"/>
    <n v="0"/>
    <s v="No"/>
    <n v="0"/>
    <s v="Late"/>
    <x v="2"/>
    <x v="6"/>
  </r>
  <r>
    <s v="PO001502"/>
    <s v="SUP00019"/>
    <s v="PROD00146"/>
    <d v="2023-01-02T00:00:00"/>
    <n v="11"/>
    <n v="76.382934434890302"/>
    <d v="2023-01-26T00:00:00"/>
    <d v="2023-01-27T00:00:00"/>
    <n v="840.21227878379295"/>
    <n v="1"/>
    <x v="63"/>
    <s v="Denmark"/>
    <s v="West"/>
    <x v="2"/>
    <n v="0"/>
    <s v="No"/>
    <n v="0"/>
    <s v="Late"/>
    <x v="2"/>
    <x v="10"/>
  </r>
  <r>
    <s v="PO001503"/>
    <s v="SUP00046"/>
    <s v="PROD00088"/>
    <d v="2022-10-21T00:00:00"/>
    <n v="13"/>
    <n v="7.9845418369173897"/>
    <d v="2022-11-10T00:00:00"/>
    <d v="2022-11-13T00:00:00"/>
    <n v="103.799043879926"/>
    <n v="3"/>
    <x v="61"/>
    <s v="Brazil"/>
    <s v="South"/>
    <x v="3"/>
    <n v="1"/>
    <s v="Yes"/>
    <n v="0"/>
    <s v="Late"/>
    <x v="3"/>
    <x v="4"/>
  </r>
  <r>
    <s v="PO001504"/>
    <s v="SUP00075"/>
    <s v="PROD00153"/>
    <d v="2023-09-12T00:00:00"/>
    <n v="8"/>
    <n v="50.129778829088202"/>
    <d v="2023-09-23T00:00:00"/>
    <d v="2023-09-22T00:00:00"/>
    <n v="401.03823063270499"/>
    <n v="-1"/>
    <x v="11"/>
    <s v="USA"/>
    <s v="Central"/>
    <x v="1"/>
    <n v="1"/>
    <s v="Yes"/>
    <n v="1"/>
    <s v="On Time"/>
    <x v="2"/>
    <x v="11"/>
  </r>
  <r>
    <s v="PO001505"/>
    <s v="SUP00024"/>
    <s v="PROD00010"/>
    <d v="2024-02-19T00:00:00"/>
    <n v="7"/>
    <n v="75.8484115308908"/>
    <d v="2024-03-08T00:00:00"/>
    <d v="2024-03-08T00:00:00"/>
    <n v="530.93888071623496"/>
    <n v="0"/>
    <x v="5"/>
    <s v="UK"/>
    <s v="North"/>
    <x v="1"/>
    <n v="0"/>
    <s v="No"/>
    <n v="1"/>
    <s v="On Time"/>
    <x v="0"/>
    <x v="9"/>
  </r>
  <r>
    <s v="PO001506"/>
    <s v="SUP00016"/>
    <s v="PROD00152"/>
    <d v="2023-04-12T00:00:00"/>
    <n v="16"/>
    <n v="58.811270998985897"/>
    <d v="2023-05-02T00:00:00"/>
    <d v="2023-05-08T00:00:00"/>
    <n v="940.98033598377503"/>
    <n v="6"/>
    <x v="39"/>
    <s v="China"/>
    <s v="East"/>
    <x v="0"/>
    <n v="0"/>
    <s v="No"/>
    <n v="0"/>
    <s v="Late"/>
    <x v="2"/>
    <x v="8"/>
  </r>
  <r>
    <s v="PO001507"/>
    <s v="SUP00035"/>
    <s v="PROD00178"/>
    <d v="2021-06-24T00:00:00"/>
    <n v="10"/>
    <n v="8.8512333610764191"/>
    <d v="2021-07-10T00:00:00"/>
    <d v="2021-07-12T00:00:00"/>
    <n v="88.512333610764202"/>
    <n v="2"/>
    <x v="25"/>
    <s v="Denmark"/>
    <s v="Central"/>
    <x v="1"/>
    <n v="1"/>
    <s v="Yes"/>
    <n v="0"/>
    <s v="Late"/>
    <x v="1"/>
    <x v="1"/>
  </r>
  <r>
    <s v="PO001508"/>
    <s v="SUP00031"/>
    <s v="PROD00134"/>
    <d v="2022-02-13T00:00:00"/>
    <n v="12"/>
    <n v="31.776635472037501"/>
    <d v="2022-03-03T00:00:00"/>
    <d v="2022-03-07T00:00:00"/>
    <n v="381.31962566444997"/>
    <n v="4"/>
    <x v="33"/>
    <s v="USA"/>
    <s v="West"/>
    <x v="3"/>
    <n v="0"/>
    <s v="No"/>
    <n v="0"/>
    <s v="Late"/>
    <x v="3"/>
    <x v="9"/>
  </r>
  <r>
    <s v="PO001509"/>
    <s v="SUP00083"/>
    <s v="PROD00120"/>
    <d v="2023-12-15T00:00:00"/>
    <n v="10"/>
    <n v="74.580039659841702"/>
    <d v="2024-01-08T00:00:00"/>
    <d v="2024-01-10T00:00:00"/>
    <n v="745.80039659841702"/>
    <n v="2"/>
    <x v="43"/>
    <s v="China"/>
    <s v="South"/>
    <x v="0"/>
    <n v="0"/>
    <s v="No"/>
    <n v="0"/>
    <s v="Late"/>
    <x v="2"/>
    <x v="7"/>
  </r>
  <r>
    <s v="PO001510"/>
    <s v="SUP00041"/>
    <s v="PROD00102"/>
    <d v="2021-09-16T00:00:00"/>
    <n v="16"/>
    <n v="16.177271037576201"/>
    <d v="2021-10-05T00:00:00"/>
    <d v="2021-10-10T00:00:00"/>
    <n v="258.83633660122001"/>
    <n v="5"/>
    <x v="72"/>
    <s v="Germany"/>
    <s v="West"/>
    <x v="1"/>
    <n v="0"/>
    <s v="No"/>
    <n v="0"/>
    <s v="Late"/>
    <x v="1"/>
    <x v="11"/>
  </r>
  <r>
    <s v="PO001511"/>
    <s v="SUP00005"/>
    <s v="PROD00021"/>
    <d v="2023-12-27T00:00:00"/>
    <n v="15"/>
    <n v="11.8564011751325"/>
    <d v="2024-01-07T00:00:00"/>
    <d v="2024-01-13T00:00:00"/>
    <n v="177.84601762698799"/>
    <n v="6"/>
    <x v="17"/>
    <s v="Canada"/>
    <s v="North"/>
    <x v="1"/>
    <n v="1"/>
    <s v="Yes"/>
    <n v="0"/>
    <s v="Late"/>
    <x v="2"/>
    <x v="7"/>
  </r>
  <r>
    <s v="PO001512"/>
    <s v="SUP00076"/>
    <s v="PROD00044"/>
    <d v="2023-04-26T00:00:00"/>
    <n v="8"/>
    <n v="35.3874100191357"/>
    <d v="2023-05-17T00:00:00"/>
    <d v="2023-05-23T00:00:00"/>
    <n v="283.09928015308498"/>
    <n v="6"/>
    <x v="89"/>
    <s v="USA"/>
    <s v="South"/>
    <x v="2"/>
    <n v="1"/>
    <s v="Yes"/>
    <n v="0"/>
    <s v="Late"/>
    <x v="2"/>
    <x v="8"/>
  </r>
  <r>
    <s v="PO001513"/>
    <s v="SUP00097"/>
    <s v="PROD00011"/>
    <d v="2022-08-23T00:00:00"/>
    <n v="13"/>
    <n v="29.468921333578901"/>
    <d v="2022-09-10T00:00:00"/>
    <d v="2022-09-15T00:00:00"/>
    <n v="383.09597733652498"/>
    <n v="5"/>
    <x v="2"/>
    <s v="USA"/>
    <s v="Central"/>
    <x v="2"/>
    <n v="1"/>
    <s v="Yes"/>
    <n v="0"/>
    <s v="Late"/>
    <x v="3"/>
    <x v="2"/>
  </r>
  <r>
    <s v="PO001514"/>
    <s v="SUP00011"/>
    <s v="PROD00036"/>
    <d v="2023-09-15T00:00:00"/>
    <n v="13"/>
    <n v="77.868361881781993"/>
    <d v="2023-10-01T00:00:00"/>
    <d v="2023-10-02T00:00:00"/>
    <n v="1012.28870446316"/>
    <n v="1"/>
    <x v="37"/>
    <s v="UK"/>
    <s v="East"/>
    <x v="3"/>
    <n v="1"/>
    <s v="Yes"/>
    <n v="0"/>
    <s v="Late"/>
    <x v="2"/>
    <x v="11"/>
  </r>
  <r>
    <s v="PO001515"/>
    <s v="SUP00031"/>
    <s v="PROD00025"/>
    <d v="2021-07-06T00:00:00"/>
    <n v="9"/>
    <n v="62.752479931227398"/>
    <d v="2021-07-22T00:00:00"/>
    <d v="2021-07-19T00:00:00"/>
    <n v="564.77231938104603"/>
    <n v="-3"/>
    <x v="33"/>
    <s v="USA"/>
    <s v="West"/>
    <x v="3"/>
    <n v="0"/>
    <s v="No"/>
    <n v="1"/>
    <s v="On Time"/>
    <x v="1"/>
    <x v="5"/>
  </r>
  <r>
    <s v="PO001516"/>
    <s v="SUP00066"/>
    <s v="PROD00112"/>
    <d v="2022-03-20T00:00:00"/>
    <n v="9"/>
    <n v="69.341536098205907"/>
    <d v="2022-04-01T00:00:00"/>
    <d v="2022-04-05T00:00:00"/>
    <n v="624.07382488385394"/>
    <n v="4"/>
    <x v="65"/>
    <s v="India"/>
    <s v="West"/>
    <x v="2"/>
    <n v="0"/>
    <s v="No"/>
    <n v="0"/>
    <s v="Late"/>
    <x v="3"/>
    <x v="0"/>
  </r>
  <r>
    <s v="PO001517"/>
    <s v="SUP00058"/>
    <s v="PROD00188"/>
    <d v="2021-12-06T00:00:00"/>
    <n v="13"/>
    <n v="24.114484718924398"/>
    <d v="2021-12-16T00:00:00"/>
    <d v="2021-12-21T00:00:00"/>
    <n v="313.48830134601701"/>
    <n v="5"/>
    <x v="86"/>
    <s v="China"/>
    <s v="East"/>
    <x v="2"/>
    <n v="1"/>
    <s v="Yes"/>
    <n v="0"/>
    <s v="Late"/>
    <x v="1"/>
    <x v="7"/>
  </r>
  <r>
    <s v="PO001518"/>
    <s v="SUP00004"/>
    <s v="PROD00132"/>
    <d v="2024-02-23T00:00:00"/>
    <n v="10"/>
    <n v="38.399435863577601"/>
    <d v="2024-03-18T00:00:00"/>
    <d v="2024-03-22T00:00:00"/>
    <n v="383.994358635776"/>
    <n v="4"/>
    <x v="28"/>
    <s v="USA"/>
    <s v="North"/>
    <x v="1"/>
    <n v="0"/>
    <s v="No"/>
    <n v="0"/>
    <s v="Late"/>
    <x v="0"/>
    <x v="9"/>
  </r>
  <r>
    <s v="PO001519"/>
    <s v="SUP00014"/>
    <s v="PROD00118"/>
    <d v="2024-03-27T00:00:00"/>
    <n v="10"/>
    <n v="73.1517898985404"/>
    <d v="2024-04-20T00:00:00"/>
    <d v="2024-04-18T00:00:00"/>
    <n v="731.51789898540403"/>
    <n v="-2"/>
    <x v="59"/>
    <s v="Germany"/>
    <s v="West"/>
    <x v="1"/>
    <n v="0"/>
    <s v="No"/>
    <n v="1"/>
    <s v="On Time"/>
    <x v="0"/>
    <x v="0"/>
  </r>
  <r>
    <s v="PO001520"/>
    <s v="SUP00019"/>
    <s v="PROD00122"/>
    <d v="2021-05-11T00:00:00"/>
    <n v="5"/>
    <n v="26.913034375469799"/>
    <d v="2021-05-24T00:00:00"/>
    <d v="2021-05-24T00:00:00"/>
    <n v="134.565171877349"/>
    <n v="0"/>
    <x v="63"/>
    <s v="Denmark"/>
    <s v="West"/>
    <x v="2"/>
    <n v="0"/>
    <s v="No"/>
    <n v="1"/>
    <s v="On Time"/>
    <x v="1"/>
    <x v="3"/>
  </r>
  <r>
    <s v="PO001521"/>
    <s v="SUP00025"/>
    <s v="PROD00018"/>
    <d v="2023-01-06T00:00:00"/>
    <n v="11"/>
    <n v="4.9434334459924996"/>
    <d v="2023-01-22T00:00:00"/>
    <d v="2023-01-23T00:00:00"/>
    <n v="54.377767905917501"/>
    <n v="1"/>
    <x v="6"/>
    <s v="Denmark"/>
    <s v="Central"/>
    <x v="2"/>
    <n v="0"/>
    <s v="No"/>
    <n v="0"/>
    <s v="Late"/>
    <x v="2"/>
    <x v="10"/>
  </r>
  <r>
    <s v="PO001522"/>
    <s v="SUP00097"/>
    <s v="PROD00032"/>
    <d v="2024-04-02T00:00:00"/>
    <n v="14"/>
    <n v="65.342210857455896"/>
    <d v="2024-04-24T00:00:00"/>
    <d v="2024-04-24T00:00:00"/>
    <n v="914.79095200438201"/>
    <n v="0"/>
    <x v="2"/>
    <s v="USA"/>
    <s v="Central"/>
    <x v="2"/>
    <n v="1"/>
    <s v="Yes"/>
    <n v="1"/>
    <s v="On Time"/>
    <x v="0"/>
    <x v="8"/>
  </r>
  <r>
    <s v="PO001523"/>
    <s v="SUP00081"/>
    <s v="PROD00152"/>
    <d v="2023-08-23T00:00:00"/>
    <n v="17"/>
    <n v="62.612269139025798"/>
    <d v="2023-09-02T00:00:00"/>
    <d v="2023-09-07T00:00:00"/>
    <n v="1064.4085753634299"/>
    <n v="5"/>
    <x v="66"/>
    <s v="India"/>
    <s v="Central"/>
    <x v="0"/>
    <n v="1"/>
    <s v="Yes"/>
    <n v="0"/>
    <s v="Late"/>
    <x v="2"/>
    <x v="2"/>
  </r>
  <r>
    <s v="PO001524"/>
    <s v="SUP00048"/>
    <s v="PROD00056"/>
    <d v="2021-11-26T00:00:00"/>
    <n v="13"/>
    <n v="74.344472643230105"/>
    <d v="2021-12-10T00:00:00"/>
    <d v="2021-12-16T00:00:00"/>
    <n v="966.47814436199099"/>
    <n v="6"/>
    <x v="4"/>
    <s v="Denmark"/>
    <s v="West"/>
    <x v="2"/>
    <n v="1"/>
    <s v="Yes"/>
    <n v="0"/>
    <s v="Late"/>
    <x v="1"/>
    <x v="6"/>
  </r>
  <r>
    <s v="PO001525"/>
    <s v="SUP00003"/>
    <s v="PROD00162"/>
    <d v="2023-12-04T00:00:00"/>
    <n v="8"/>
    <n v="53.072659126036001"/>
    <d v="2023-12-26T00:00:00"/>
    <d v="2023-12-30T00:00:00"/>
    <n v="424.58127300828801"/>
    <n v="4"/>
    <x v="91"/>
    <s v="India"/>
    <s v="Central"/>
    <x v="0"/>
    <n v="1"/>
    <s v="Yes"/>
    <n v="0"/>
    <s v="Late"/>
    <x v="2"/>
    <x v="7"/>
  </r>
  <r>
    <s v="PO001526"/>
    <s v="SUP00089"/>
    <s v="PROD00051"/>
    <d v="2022-10-16T00:00:00"/>
    <n v="12"/>
    <n v="22.493777138393899"/>
    <d v="2022-11-03T00:00:00"/>
    <d v="2022-11-02T00:00:00"/>
    <n v="269.92532566072703"/>
    <n v="-1"/>
    <x v="87"/>
    <s v="Canada"/>
    <s v="North"/>
    <x v="0"/>
    <n v="0"/>
    <s v="No"/>
    <n v="1"/>
    <s v="On Time"/>
    <x v="3"/>
    <x v="4"/>
  </r>
  <r>
    <s v="PO001527"/>
    <s v="SUP00069"/>
    <s v="PROD00097"/>
    <d v="2023-03-16T00:00:00"/>
    <n v="13"/>
    <n v="11.566258697614501"/>
    <d v="2023-04-03T00:00:00"/>
    <d v="2023-04-08T00:00:00"/>
    <n v="150.36136306898899"/>
    <n v="5"/>
    <x v="90"/>
    <s v="China"/>
    <s v="Central"/>
    <x v="2"/>
    <n v="0"/>
    <s v="No"/>
    <n v="0"/>
    <s v="Late"/>
    <x v="2"/>
    <x v="0"/>
  </r>
  <r>
    <s v="PO001528"/>
    <s v="SUP00093"/>
    <s v="PROD00021"/>
    <d v="2022-06-18T00:00:00"/>
    <n v="16"/>
    <n v="33.566455887918998"/>
    <d v="2022-06-28T00:00:00"/>
    <d v="2022-06-26T00:00:00"/>
    <n v="537.06329420670397"/>
    <n v="-2"/>
    <x v="20"/>
    <s v="USA"/>
    <s v="Central"/>
    <x v="2"/>
    <n v="0"/>
    <s v="No"/>
    <n v="1"/>
    <s v="On Time"/>
    <x v="3"/>
    <x v="1"/>
  </r>
  <r>
    <s v="PO001529"/>
    <s v="SUP00050"/>
    <s v="PROD00196"/>
    <d v="2022-03-13T00:00:00"/>
    <n v="12"/>
    <n v="35.882672226645397"/>
    <d v="2022-04-01T00:00:00"/>
    <d v="2022-04-02T00:00:00"/>
    <n v="430.59206671974499"/>
    <n v="1"/>
    <x v="75"/>
    <s v="Denmark"/>
    <s v="West"/>
    <x v="1"/>
    <n v="0"/>
    <s v="No"/>
    <n v="0"/>
    <s v="Late"/>
    <x v="3"/>
    <x v="0"/>
  </r>
  <r>
    <s v="PO001530"/>
    <s v="SUP00100"/>
    <s v="PROD00178"/>
    <d v="2023-07-20T00:00:00"/>
    <n v="11"/>
    <n v="73.089818478634697"/>
    <d v="2023-07-30T00:00:00"/>
    <d v="2023-07-31T00:00:00"/>
    <n v="803.98800326498201"/>
    <n v="1"/>
    <x v="45"/>
    <s v="Canada"/>
    <s v="Central"/>
    <x v="1"/>
    <n v="0"/>
    <s v="No"/>
    <n v="0"/>
    <s v="Late"/>
    <x v="2"/>
    <x v="5"/>
  </r>
  <r>
    <s v="PO001531"/>
    <s v="SUP00001"/>
    <s v="PROD00081"/>
    <d v="2021-05-04T00:00:00"/>
    <n v="9"/>
    <n v="77.633385999340206"/>
    <d v="2021-05-22T00:00:00"/>
    <d v="2021-05-26T00:00:00"/>
    <n v="698.70047399406201"/>
    <n v="4"/>
    <x v="36"/>
    <s v="USA"/>
    <s v="West"/>
    <x v="3"/>
    <n v="0"/>
    <s v="No"/>
    <n v="0"/>
    <s v="Late"/>
    <x v="1"/>
    <x v="3"/>
  </r>
  <r>
    <s v="PO001532"/>
    <s v="SUP00014"/>
    <s v="PROD00120"/>
    <d v="2022-09-28T00:00:00"/>
    <n v="9"/>
    <n v="71.472871196071694"/>
    <d v="2022-10-19T00:00:00"/>
    <d v="2022-10-20T00:00:00"/>
    <n v="643.25584076464497"/>
    <n v="1"/>
    <x v="59"/>
    <s v="Germany"/>
    <s v="West"/>
    <x v="1"/>
    <n v="0"/>
    <s v="No"/>
    <n v="0"/>
    <s v="Late"/>
    <x v="3"/>
    <x v="11"/>
  </r>
  <r>
    <s v="PO001533"/>
    <s v="SUP00033"/>
    <s v="PROD00174"/>
    <d v="2023-09-24T00:00:00"/>
    <n v="11"/>
    <n v="55.8252003681826"/>
    <d v="2023-10-06T00:00:00"/>
    <d v="2023-10-07T00:00:00"/>
    <n v="614.07720405000805"/>
    <n v="1"/>
    <x v="54"/>
    <s v="USA"/>
    <s v="South"/>
    <x v="0"/>
    <n v="0"/>
    <s v="No"/>
    <n v="0"/>
    <s v="Late"/>
    <x v="2"/>
    <x v="11"/>
  </r>
  <r>
    <s v="PO001534"/>
    <s v="SUP00081"/>
    <s v="PROD00043"/>
    <d v="2023-03-17T00:00:00"/>
    <n v="11"/>
    <n v="66.251104463119603"/>
    <d v="2023-04-06T00:00:00"/>
    <d v="2023-04-11T00:00:00"/>
    <n v="728.76214909431599"/>
    <n v="5"/>
    <x v="66"/>
    <s v="India"/>
    <s v="Central"/>
    <x v="0"/>
    <n v="1"/>
    <s v="Yes"/>
    <n v="0"/>
    <s v="Late"/>
    <x v="2"/>
    <x v="0"/>
  </r>
  <r>
    <s v="PO001535"/>
    <s v="SUP00075"/>
    <s v="PROD00117"/>
    <d v="2023-03-30T00:00:00"/>
    <n v="10"/>
    <n v="19.610636805265099"/>
    <d v="2023-04-15T00:00:00"/>
    <d v="2023-04-14T00:00:00"/>
    <n v="196.10636805265099"/>
    <n v="-1"/>
    <x v="11"/>
    <s v="USA"/>
    <s v="Central"/>
    <x v="1"/>
    <n v="1"/>
    <s v="Yes"/>
    <n v="1"/>
    <s v="On Time"/>
    <x v="2"/>
    <x v="0"/>
  </r>
  <r>
    <s v="PO001536"/>
    <s v="SUP00098"/>
    <s v="PROD00165"/>
    <d v="2023-05-18T00:00:00"/>
    <n v="10"/>
    <n v="43.684512522018302"/>
    <d v="2023-06-06T00:00:00"/>
    <d v="2023-06-07T00:00:00"/>
    <n v="436.84512522018298"/>
    <n v="1"/>
    <x v="38"/>
    <s v="Germany"/>
    <s v="North"/>
    <x v="3"/>
    <n v="1"/>
    <s v="Yes"/>
    <n v="0"/>
    <s v="Late"/>
    <x v="2"/>
    <x v="3"/>
  </r>
  <r>
    <s v="PO001537"/>
    <s v="SUP00100"/>
    <s v="PROD00033"/>
    <d v="2023-02-23T00:00:00"/>
    <n v="19"/>
    <n v="6.3226400779017196"/>
    <d v="2023-03-19T00:00:00"/>
    <d v="2023-03-20T00:00:00"/>
    <n v="120.130161480132"/>
    <n v="1"/>
    <x v="45"/>
    <s v="Canada"/>
    <s v="Central"/>
    <x v="1"/>
    <n v="0"/>
    <s v="No"/>
    <n v="0"/>
    <s v="Late"/>
    <x v="2"/>
    <x v="9"/>
  </r>
  <r>
    <s v="PO001538"/>
    <s v="SUP00027"/>
    <s v="PROD00072"/>
    <d v="2022-07-15T00:00:00"/>
    <n v="8"/>
    <n v="60.414392513811698"/>
    <d v="2022-08-04T00:00:00"/>
    <d v="2022-08-05T00:00:00"/>
    <n v="483.31514011049399"/>
    <n v="1"/>
    <x v="53"/>
    <s v="Brazil"/>
    <s v="Central"/>
    <x v="0"/>
    <n v="0"/>
    <s v="No"/>
    <n v="0"/>
    <s v="Late"/>
    <x v="3"/>
    <x v="5"/>
  </r>
  <r>
    <s v="PO001539"/>
    <s v="SUP00035"/>
    <s v="PROD00096"/>
    <d v="2021-10-01T00:00:00"/>
    <n v="9"/>
    <n v="71.489123069432196"/>
    <d v="2021-10-19T00:00:00"/>
    <d v="2021-10-24T00:00:00"/>
    <n v="643.40210762489005"/>
    <n v="5"/>
    <x v="25"/>
    <s v="Denmark"/>
    <s v="Central"/>
    <x v="1"/>
    <n v="1"/>
    <s v="Yes"/>
    <n v="0"/>
    <s v="Late"/>
    <x v="1"/>
    <x v="4"/>
  </r>
  <r>
    <s v="PO001540"/>
    <s v="SUP00023"/>
    <s v="PROD00049"/>
    <d v="2023-12-28T00:00:00"/>
    <n v="12"/>
    <n v="15.0178011074356"/>
    <d v="2024-01-17T00:00:00"/>
    <d v="2024-01-17T00:00:00"/>
    <n v="180.21361328922799"/>
    <n v="0"/>
    <x v="3"/>
    <s v="Brazil"/>
    <s v="South"/>
    <x v="0"/>
    <n v="1"/>
    <s v="Yes"/>
    <n v="1"/>
    <s v="On Time"/>
    <x v="2"/>
    <x v="7"/>
  </r>
  <r>
    <s v="PO001541"/>
    <s v="SUP00087"/>
    <s v="PROD00111"/>
    <d v="2021-07-02T00:00:00"/>
    <n v="7"/>
    <n v="52.624284958041102"/>
    <d v="2021-07-24T00:00:00"/>
    <d v="2021-07-27T00:00:00"/>
    <n v="368.369994706287"/>
    <n v="3"/>
    <x v="14"/>
    <s v="UK"/>
    <s v="Central"/>
    <x v="2"/>
    <n v="0"/>
    <s v="No"/>
    <n v="0"/>
    <s v="Late"/>
    <x v="1"/>
    <x v="5"/>
  </r>
  <r>
    <s v="PO001542"/>
    <s v="SUP00029"/>
    <s v="PROD00009"/>
    <d v="2021-04-23T00:00:00"/>
    <n v="14"/>
    <n v="58.9262339102428"/>
    <d v="2021-05-13T00:00:00"/>
    <d v="2021-05-12T00:00:00"/>
    <n v="824.96727474340003"/>
    <n v="-1"/>
    <x v="47"/>
    <s v="China"/>
    <s v="West"/>
    <x v="0"/>
    <n v="1"/>
    <s v="Yes"/>
    <n v="1"/>
    <s v="On Time"/>
    <x v="1"/>
    <x v="8"/>
  </r>
  <r>
    <s v="PO001543"/>
    <s v="SUP00051"/>
    <s v="PROD00176"/>
    <d v="2022-09-27T00:00:00"/>
    <n v="14"/>
    <n v="67.539122934773303"/>
    <d v="2022-10-20T00:00:00"/>
    <d v="2022-10-22T00:00:00"/>
    <n v="945.54772108682596"/>
    <n v="2"/>
    <x v="57"/>
    <s v="UK"/>
    <s v="South"/>
    <x v="1"/>
    <n v="0"/>
    <s v="No"/>
    <n v="0"/>
    <s v="Late"/>
    <x v="3"/>
    <x v="11"/>
  </r>
  <r>
    <s v="PO001544"/>
    <s v="SUP00025"/>
    <s v="PROD00128"/>
    <d v="2022-11-07T00:00:00"/>
    <n v="11"/>
    <n v="36.500614959375099"/>
    <d v="2022-11-27T00:00:00"/>
    <d v="2022-12-01T00:00:00"/>
    <n v="401.50676455312703"/>
    <n v="4"/>
    <x v="6"/>
    <s v="Denmark"/>
    <s v="Central"/>
    <x v="2"/>
    <n v="0"/>
    <s v="No"/>
    <n v="0"/>
    <s v="Late"/>
    <x v="3"/>
    <x v="6"/>
  </r>
  <r>
    <s v="PO001545"/>
    <s v="SUP00086"/>
    <s v="PROD00185"/>
    <d v="2021-04-06T00:00:00"/>
    <n v="7"/>
    <n v="8.8590520862587105"/>
    <d v="2021-04-22T00:00:00"/>
    <d v="2021-04-24T00:00:00"/>
    <n v="62.013364603810999"/>
    <n v="2"/>
    <x v="69"/>
    <s v="Denmark"/>
    <s v="South"/>
    <x v="0"/>
    <n v="1"/>
    <s v="Yes"/>
    <n v="0"/>
    <s v="Late"/>
    <x v="1"/>
    <x v="8"/>
  </r>
  <r>
    <s v="PO001546"/>
    <s v="SUP00074"/>
    <s v="PROD00159"/>
    <d v="2021-07-11T00:00:00"/>
    <n v="13"/>
    <n v="10.9548787963385"/>
    <d v="2021-07-24T00:00:00"/>
    <d v="2021-07-21T00:00:00"/>
    <n v="142.41342435240099"/>
    <n v="-3"/>
    <x v="48"/>
    <s v="Canada"/>
    <s v="South"/>
    <x v="0"/>
    <n v="1"/>
    <s v="Yes"/>
    <n v="1"/>
    <s v="On Time"/>
    <x v="1"/>
    <x v="5"/>
  </r>
  <r>
    <s v="PO001547"/>
    <s v="SUP00013"/>
    <s v="PROD00126"/>
    <d v="2021-10-20T00:00:00"/>
    <n v="6"/>
    <n v="50.242513415648702"/>
    <d v="2021-10-31T00:00:00"/>
    <d v="2021-10-30T00:00:00"/>
    <n v="301.45508049389201"/>
    <n v="-1"/>
    <x v="31"/>
    <s v="China"/>
    <s v="North"/>
    <x v="2"/>
    <n v="1"/>
    <s v="Yes"/>
    <n v="1"/>
    <s v="On Time"/>
    <x v="1"/>
    <x v="4"/>
  </r>
  <r>
    <s v="PO001548"/>
    <s v="SUP00085"/>
    <s v="PROD00146"/>
    <d v="2021-12-17T00:00:00"/>
    <n v="12"/>
    <n v="9.2437641515851201"/>
    <d v="2021-12-30T00:00:00"/>
    <d v="2022-01-03T00:00:00"/>
    <n v="110.92516981902099"/>
    <n v="4"/>
    <x v="1"/>
    <s v="Germany"/>
    <s v="Central"/>
    <x v="1"/>
    <n v="1"/>
    <s v="Yes"/>
    <n v="0"/>
    <s v="Late"/>
    <x v="1"/>
    <x v="7"/>
  </r>
  <r>
    <s v="PO001549"/>
    <s v="SUP00036"/>
    <s v="PROD00195"/>
    <d v="2021-07-11T00:00:00"/>
    <n v="9"/>
    <n v="47.9597029007356"/>
    <d v="2021-07-26T00:00:00"/>
    <d v="2021-07-29T00:00:00"/>
    <n v="431.63732610661998"/>
    <n v="3"/>
    <x v="40"/>
    <s v="Canada"/>
    <s v="West"/>
    <x v="3"/>
    <n v="1"/>
    <s v="Yes"/>
    <n v="0"/>
    <s v="Late"/>
    <x v="1"/>
    <x v="5"/>
  </r>
  <r>
    <s v="PO001550"/>
    <s v="SUP00048"/>
    <s v="PROD00015"/>
    <d v="2021-08-04T00:00:00"/>
    <n v="9"/>
    <n v="72.765980586965597"/>
    <d v="2021-08-23T00:00:00"/>
    <d v="2021-08-22T00:00:00"/>
    <n v="654.89382528269095"/>
    <n v="-1"/>
    <x v="4"/>
    <s v="Denmark"/>
    <s v="West"/>
    <x v="2"/>
    <n v="1"/>
    <s v="Yes"/>
    <n v="1"/>
    <s v="On Time"/>
    <x v="1"/>
    <x v="2"/>
  </r>
  <r>
    <s v="PO001551"/>
    <s v="SUP00019"/>
    <s v="PROD00009"/>
    <d v="2023-11-08T00:00:00"/>
    <n v="9"/>
    <n v="22.798081859334701"/>
    <d v="2023-11-20T00:00:00"/>
    <d v="2023-11-18T00:00:00"/>
    <n v="205.182736734012"/>
    <n v="-2"/>
    <x v="63"/>
    <s v="Denmark"/>
    <s v="West"/>
    <x v="2"/>
    <n v="0"/>
    <s v="No"/>
    <n v="1"/>
    <s v="On Time"/>
    <x v="2"/>
    <x v="6"/>
  </r>
  <r>
    <s v="PO001552"/>
    <s v="SUP00097"/>
    <s v="PROD00036"/>
    <d v="2022-09-25T00:00:00"/>
    <n v="13"/>
    <n v="51.230348742227001"/>
    <d v="2022-10-18T00:00:00"/>
    <d v="2022-10-18T00:00:00"/>
    <n v="665.99453364895203"/>
    <n v="0"/>
    <x v="2"/>
    <s v="USA"/>
    <s v="Central"/>
    <x v="2"/>
    <n v="1"/>
    <s v="Yes"/>
    <n v="1"/>
    <s v="On Time"/>
    <x v="3"/>
    <x v="11"/>
  </r>
  <r>
    <s v="PO001553"/>
    <s v="SUP00003"/>
    <s v="PROD00099"/>
    <d v="2022-09-26T00:00:00"/>
    <n v="11"/>
    <n v="55.859072705449798"/>
    <d v="2022-10-16T00:00:00"/>
    <d v="2022-10-20T00:00:00"/>
    <n v="614.44979975994795"/>
    <n v="4"/>
    <x v="91"/>
    <s v="India"/>
    <s v="Central"/>
    <x v="0"/>
    <n v="1"/>
    <s v="Yes"/>
    <n v="0"/>
    <s v="Late"/>
    <x v="3"/>
    <x v="11"/>
  </r>
  <r>
    <s v="PO001554"/>
    <s v="SUP00072"/>
    <s v="PROD00100"/>
    <d v="2023-02-13T00:00:00"/>
    <n v="6"/>
    <n v="77.882999799212598"/>
    <d v="2023-03-02T00:00:00"/>
    <d v="2023-03-01T00:00:00"/>
    <n v="467.29799879527502"/>
    <n v="-1"/>
    <x v="83"/>
    <s v="India"/>
    <s v="Central"/>
    <x v="1"/>
    <n v="0"/>
    <s v="No"/>
    <n v="1"/>
    <s v="On Time"/>
    <x v="2"/>
    <x v="9"/>
  </r>
  <r>
    <s v="PO001555"/>
    <s v="SUP00048"/>
    <s v="PROD00122"/>
    <d v="2024-02-05T00:00:00"/>
    <n v="7"/>
    <n v="38.610703637328299"/>
    <d v="2024-02-16T00:00:00"/>
    <d v="2024-02-17T00:00:00"/>
    <n v="270.27492546129798"/>
    <n v="1"/>
    <x v="4"/>
    <s v="Denmark"/>
    <s v="West"/>
    <x v="2"/>
    <n v="1"/>
    <s v="Yes"/>
    <n v="0"/>
    <s v="Late"/>
    <x v="0"/>
    <x v="9"/>
  </r>
  <r>
    <s v="PO001556"/>
    <s v="SUP00021"/>
    <s v="PROD00126"/>
    <d v="2021-11-18T00:00:00"/>
    <n v="7"/>
    <n v="56.404536245417802"/>
    <d v="2021-11-30T00:00:00"/>
    <d v="2021-12-06T00:00:00"/>
    <n v="394.83175371792402"/>
    <n v="6"/>
    <x v="19"/>
    <s v="Germany"/>
    <s v="Central"/>
    <x v="1"/>
    <n v="1"/>
    <s v="Yes"/>
    <n v="0"/>
    <s v="Late"/>
    <x v="1"/>
    <x v="6"/>
  </r>
  <r>
    <s v="PO001557"/>
    <s v="SUP00001"/>
    <s v="PROD00040"/>
    <d v="2021-07-28T00:00:00"/>
    <n v="12"/>
    <n v="68.2497776438084"/>
    <d v="2021-08-12T00:00:00"/>
    <d v="2021-08-15T00:00:00"/>
    <n v="818.99733172569995"/>
    <n v="3"/>
    <x v="36"/>
    <s v="USA"/>
    <s v="West"/>
    <x v="3"/>
    <n v="0"/>
    <s v="No"/>
    <n v="0"/>
    <s v="Late"/>
    <x v="1"/>
    <x v="5"/>
  </r>
  <r>
    <s v="PO001558"/>
    <s v="SUP00042"/>
    <s v="PROD00055"/>
    <d v="2023-08-22T00:00:00"/>
    <n v="12"/>
    <n v="12.5238147253243"/>
    <d v="2023-09-02T00:00:00"/>
    <d v="2023-09-01T00:00:00"/>
    <n v="150.285776703892"/>
    <n v="-1"/>
    <x v="64"/>
    <s v="India"/>
    <s v="West"/>
    <x v="2"/>
    <n v="0"/>
    <s v="No"/>
    <n v="1"/>
    <s v="On Time"/>
    <x v="2"/>
    <x v="2"/>
  </r>
  <r>
    <s v="PO001559"/>
    <s v="SUP00083"/>
    <s v="PROD00039"/>
    <d v="2021-02-16T00:00:00"/>
    <n v="6"/>
    <n v="46.384969784431803"/>
    <d v="2021-03-04T00:00:00"/>
    <d v="2021-03-07T00:00:00"/>
    <n v="278.30981870659099"/>
    <n v="3"/>
    <x v="43"/>
    <s v="China"/>
    <s v="South"/>
    <x v="0"/>
    <n v="0"/>
    <s v="No"/>
    <n v="0"/>
    <s v="Late"/>
    <x v="1"/>
    <x v="9"/>
  </r>
  <r>
    <s v="PO001560"/>
    <s v="SUP00010"/>
    <s v="PROD00109"/>
    <d v="2022-10-07T00:00:00"/>
    <n v="8"/>
    <n v="35.7669050854362"/>
    <d v="2022-10-30T00:00:00"/>
    <d v="2022-10-28T00:00:00"/>
    <n v="286.13524068348897"/>
    <n v="-2"/>
    <x v="82"/>
    <s v="Denmark"/>
    <s v="Central"/>
    <x v="3"/>
    <n v="0"/>
    <s v="No"/>
    <n v="1"/>
    <s v="On Time"/>
    <x v="3"/>
    <x v="4"/>
  </r>
  <r>
    <s v="PO001561"/>
    <s v="SUP00091"/>
    <s v="PROD00009"/>
    <d v="2023-07-26T00:00:00"/>
    <n v="15"/>
    <n v="30.482759345078701"/>
    <d v="2023-08-08T00:00:00"/>
    <d v="2023-08-06T00:00:00"/>
    <n v="457.24139017618"/>
    <n v="-2"/>
    <x v="77"/>
    <s v="China"/>
    <s v="South"/>
    <x v="1"/>
    <n v="0"/>
    <s v="No"/>
    <n v="1"/>
    <s v="On Time"/>
    <x v="2"/>
    <x v="5"/>
  </r>
  <r>
    <s v="PO001562"/>
    <s v="SUP00010"/>
    <s v="PROD00139"/>
    <d v="2021-10-15T00:00:00"/>
    <n v="13"/>
    <n v="46.318902953067202"/>
    <d v="2021-10-30T00:00:00"/>
    <d v="2021-11-03T00:00:00"/>
    <n v="602.14573838987405"/>
    <n v="4"/>
    <x v="82"/>
    <s v="Denmark"/>
    <s v="Central"/>
    <x v="3"/>
    <n v="0"/>
    <s v="No"/>
    <n v="0"/>
    <s v="Late"/>
    <x v="1"/>
    <x v="4"/>
  </r>
  <r>
    <s v="PO001563"/>
    <s v="SUP00070"/>
    <s v="PROD00010"/>
    <d v="2021-05-06T00:00:00"/>
    <n v="12"/>
    <n v="58.207717736491198"/>
    <d v="2021-05-27T00:00:00"/>
    <d v="2021-06-02T00:00:00"/>
    <n v="698.49261283789394"/>
    <n v="6"/>
    <x v="32"/>
    <s v="USA"/>
    <s v="Central"/>
    <x v="3"/>
    <n v="0"/>
    <s v="No"/>
    <n v="0"/>
    <s v="Late"/>
    <x v="1"/>
    <x v="3"/>
  </r>
  <r>
    <s v="PO001564"/>
    <s v="SUP00068"/>
    <s v="PROD00163"/>
    <d v="2024-04-11T00:00:00"/>
    <n v="6"/>
    <n v="42.901208969641502"/>
    <d v="2024-05-01T00:00:00"/>
    <d v="2024-04-29T00:00:00"/>
    <n v="257.40725381784898"/>
    <n v="-2"/>
    <x v="12"/>
    <s v="UK"/>
    <s v="South"/>
    <x v="3"/>
    <n v="1"/>
    <s v="Yes"/>
    <n v="1"/>
    <s v="On Time"/>
    <x v="0"/>
    <x v="8"/>
  </r>
  <r>
    <s v="PO001565"/>
    <s v="SUP00048"/>
    <s v="PROD00138"/>
    <d v="2023-12-15T00:00:00"/>
    <n v="9"/>
    <n v="10.538295724469601"/>
    <d v="2024-01-07T00:00:00"/>
    <d v="2024-01-12T00:00:00"/>
    <n v="94.844661520227106"/>
    <n v="5"/>
    <x v="4"/>
    <s v="Denmark"/>
    <s v="West"/>
    <x v="2"/>
    <n v="1"/>
    <s v="Yes"/>
    <n v="0"/>
    <s v="Late"/>
    <x v="2"/>
    <x v="7"/>
  </r>
  <r>
    <s v="PO001566"/>
    <s v="SUP00037"/>
    <s v="PROD00110"/>
    <d v="2023-09-18T00:00:00"/>
    <n v="15"/>
    <n v="73.896116560543504"/>
    <d v="2023-09-28T00:00:00"/>
    <d v="2023-09-29T00:00:00"/>
    <n v="1108.44174840815"/>
    <n v="1"/>
    <x v="46"/>
    <s v="Denmark"/>
    <s v="East"/>
    <x v="1"/>
    <n v="0"/>
    <s v="No"/>
    <n v="0"/>
    <s v="Late"/>
    <x v="2"/>
    <x v="11"/>
  </r>
  <r>
    <s v="PO001567"/>
    <s v="SUP00054"/>
    <s v="PROD00139"/>
    <d v="2023-11-06T00:00:00"/>
    <n v="8"/>
    <n v="52.488354399817297"/>
    <d v="2023-11-28T00:00:00"/>
    <d v="2023-11-30T00:00:00"/>
    <n v="419.906835198539"/>
    <n v="2"/>
    <x v="73"/>
    <s v="Canada"/>
    <s v="South"/>
    <x v="3"/>
    <n v="1"/>
    <s v="Yes"/>
    <n v="0"/>
    <s v="Late"/>
    <x v="2"/>
    <x v="6"/>
  </r>
  <r>
    <s v="PO001568"/>
    <s v="SUP00041"/>
    <s v="PROD00037"/>
    <d v="2024-04-09T00:00:00"/>
    <n v="10"/>
    <n v="68.757829444169005"/>
    <d v="2024-04-28T00:00:00"/>
    <d v="2024-05-02T00:00:00"/>
    <n v="687.57829444168999"/>
    <n v="4"/>
    <x v="72"/>
    <s v="Germany"/>
    <s v="West"/>
    <x v="1"/>
    <n v="0"/>
    <s v="No"/>
    <n v="0"/>
    <s v="Late"/>
    <x v="0"/>
    <x v="8"/>
  </r>
  <r>
    <s v="PO001569"/>
    <s v="SUP00038"/>
    <s v="PROD00172"/>
    <d v="2023-01-29T00:00:00"/>
    <n v="11"/>
    <n v="64.086787914173897"/>
    <d v="2023-02-21T00:00:00"/>
    <d v="2023-02-27T00:00:00"/>
    <n v="704.95466705591298"/>
    <n v="6"/>
    <x v="34"/>
    <s v="Germany"/>
    <s v="South"/>
    <x v="1"/>
    <n v="0"/>
    <s v="No"/>
    <n v="0"/>
    <s v="Late"/>
    <x v="2"/>
    <x v="10"/>
  </r>
  <r>
    <s v="PO001570"/>
    <s v="SUP00092"/>
    <s v="PROD00112"/>
    <d v="2022-08-11T00:00:00"/>
    <n v="7"/>
    <n v="57.813082505199503"/>
    <d v="2022-08-28T00:00:00"/>
    <d v="2022-08-27T00:00:00"/>
    <n v="404.69157753639598"/>
    <n v="-1"/>
    <x v="27"/>
    <s v="UK"/>
    <s v="West"/>
    <x v="0"/>
    <n v="0"/>
    <s v="No"/>
    <n v="1"/>
    <s v="On Time"/>
    <x v="3"/>
    <x v="2"/>
  </r>
  <r>
    <s v="PO001571"/>
    <s v="SUP00054"/>
    <s v="PROD00126"/>
    <d v="2022-10-05T00:00:00"/>
    <n v="9"/>
    <n v="35.009741007135098"/>
    <d v="2022-10-29T00:00:00"/>
    <d v="2022-11-02T00:00:00"/>
    <n v="315.08766906421602"/>
    <n v="4"/>
    <x v="73"/>
    <s v="Canada"/>
    <s v="South"/>
    <x v="3"/>
    <n v="1"/>
    <s v="Yes"/>
    <n v="0"/>
    <s v="Late"/>
    <x v="3"/>
    <x v="4"/>
  </r>
  <r>
    <s v="PO001572"/>
    <s v="SUP00039"/>
    <s v="PROD00123"/>
    <d v="2023-05-30T00:00:00"/>
    <n v="9"/>
    <n v="11.9778766420037"/>
    <d v="2023-06-16T00:00:00"/>
    <d v="2023-06-18T00:00:00"/>
    <n v="107.800889778033"/>
    <n v="2"/>
    <x v="7"/>
    <s v="Denmark"/>
    <s v="South"/>
    <x v="0"/>
    <n v="1"/>
    <s v="Yes"/>
    <n v="0"/>
    <s v="Late"/>
    <x v="2"/>
    <x v="3"/>
  </r>
  <r>
    <s v="PO001573"/>
    <s v="SUP00037"/>
    <s v="PROD00133"/>
    <d v="2022-12-28T00:00:00"/>
    <n v="10"/>
    <n v="47.510042630507897"/>
    <d v="2023-01-14T00:00:00"/>
    <d v="2023-01-18T00:00:00"/>
    <n v="475.100426305079"/>
    <n v="4"/>
    <x v="46"/>
    <s v="Denmark"/>
    <s v="East"/>
    <x v="1"/>
    <n v="0"/>
    <s v="No"/>
    <n v="0"/>
    <s v="Late"/>
    <x v="3"/>
    <x v="7"/>
  </r>
  <r>
    <s v="PO001574"/>
    <s v="SUP00068"/>
    <s v="PROD00116"/>
    <d v="2022-09-19T00:00:00"/>
    <n v="15"/>
    <n v="19.2990481085208"/>
    <d v="2022-10-11T00:00:00"/>
    <d v="2022-10-08T00:00:00"/>
    <n v="289.48572162781198"/>
    <n v="-3"/>
    <x v="12"/>
    <s v="UK"/>
    <s v="South"/>
    <x v="3"/>
    <n v="1"/>
    <s v="Yes"/>
    <n v="1"/>
    <s v="On Time"/>
    <x v="3"/>
    <x v="11"/>
  </r>
  <r>
    <s v="PO001575"/>
    <s v="SUP00014"/>
    <s v="PROD00098"/>
    <d v="2022-08-22T00:00:00"/>
    <n v="14"/>
    <n v="70.030766392103004"/>
    <d v="2022-09-08T00:00:00"/>
    <d v="2022-09-12T00:00:00"/>
    <n v="980.430729489442"/>
    <n v="4"/>
    <x v="59"/>
    <s v="Germany"/>
    <s v="West"/>
    <x v="1"/>
    <n v="0"/>
    <s v="No"/>
    <n v="0"/>
    <s v="Late"/>
    <x v="3"/>
    <x v="2"/>
  </r>
  <r>
    <s v="PO001576"/>
    <s v="SUP00010"/>
    <s v="PROD00098"/>
    <d v="2021-04-14T00:00:00"/>
    <n v="16"/>
    <n v="28.256472791425001"/>
    <d v="2021-05-02T00:00:00"/>
    <d v="2021-05-08T00:00:00"/>
    <n v="452.10356466280001"/>
    <n v="6"/>
    <x v="82"/>
    <s v="Denmark"/>
    <s v="Central"/>
    <x v="3"/>
    <n v="0"/>
    <s v="No"/>
    <n v="0"/>
    <s v="Late"/>
    <x v="1"/>
    <x v="8"/>
  </r>
  <r>
    <s v="PO001577"/>
    <s v="SUP00034"/>
    <s v="PROD00113"/>
    <d v="2022-05-25T00:00:00"/>
    <n v="12"/>
    <n v="47.3378095150264"/>
    <d v="2022-06-09T00:00:00"/>
    <d v="2022-06-06T00:00:00"/>
    <n v="568.053714180317"/>
    <n v="-3"/>
    <x v="67"/>
    <s v="Brazil"/>
    <s v="North"/>
    <x v="1"/>
    <n v="1"/>
    <s v="Yes"/>
    <n v="1"/>
    <s v="On Time"/>
    <x v="3"/>
    <x v="3"/>
  </r>
  <r>
    <s v="PO001578"/>
    <s v="SUP00003"/>
    <s v="PROD00144"/>
    <d v="2023-11-22T00:00:00"/>
    <n v="10"/>
    <n v="67.189165812737002"/>
    <d v="2023-12-08T00:00:00"/>
    <d v="2023-12-09T00:00:00"/>
    <n v="671.89165812736996"/>
    <n v="1"/>
    <x v="91"/>
    <s v="India"/>
    <s v="Central"/>
    <x v="0"/>
    <n v="1"/>
    <s v="Yes"/>
    <n v="0"/>
    <s v="Late"/>
    <x v="2"/>
    <x v="6"/>
  </r>
  <r>
    <s v="PO001579"/>
    <s v="SUP00020"/>
    <s v="PROD00134"/>
    <d v="2022-01-20T00:00:00"/>
    <n v="21"/>
    <n v="58.9316234670843"/>
    <d v="2022-01-30T00:00:00"/>
    <d v="2022-02-03T00:00:00"/>
    <n v="1237.5640928087701"/>
    <n v="4"/>
    <x v="21"/>
    <s v="Canada"/>
    <s v="Central"/>
    <x v="3"/>
    <n v="1"/>
    <s v="Yes"/>
    <n v="0"/>
    <s v="Late"/>
    <x v="3"/>
    <x v="10"/>
  </r>
  <r>
    <s v="PO001580"/>
    <s v="SUP00063"/>
    <s v="PROD00119"/>
    <d v="2022-12-13T00:00:00"/>
    <n v="17"/>
    <n v="4.7189801050913198"/>
    <d v="2023-01-06T00:00:00"/>
    <d v="2023-01-06T00:00:00"/>
    <n v="80.222661786552493"/>
    <n v="0"/>
    <x v="30"/>
    <s v="Denmark"/>
    <s v="North"/>
    <x v="1"/>
    <n v="0"/>
    <s v="No"/>
    <n v="1"/>
    <s v="On Time"/>
    <x v="3"/>
    <x v="7"/>
  </r>
  <r>
    <s v="PO001581"/>
    <s v="SUP00032"/>
    <s v="PROD00053"/>
    <d v="2022-02-16T00:00:00"/>
    <n v="12"/>
    <n v="54.6502182098384"/>
    <d v="2022-03-03T00:00:00"/>
    <d v="2022-03-03T00:00:00"/>
    <n v="655.80261851806097"/>
    <n v="0"/>
    <x v="15"/>
    <s v="Germany"/>
    <s v="South"/>
    <x v="0"/>
    <n v="0"/>
    <s v="No"/>
    <n v="1"/>
    <s v="On Time"/>
    <x v="3"/>
    <x v="9"/>
  </r>
  <r>
    <s v="PO001582"/>
    <s v="SUP00039"/>
    <s v="PROD00152"/>
    <d v="2023-07-30T00:00:00"/>
    <n v="11"/>
    <n v="74.050068575274494"/>
    <d v="2023-08-12T00:00:00"/>
    <d v="2023-08-14T00:00:00"/>
    <n v="814.55075432802005"/>
    <n v="2"/>
    <x v="7"/>
    <s v="Denmark"/>
    <s v="South"/>
    <x v="0"/>
    <n v="1"/>
    <s v="Yes"/>
    <n v="0"/>
    <s v="Late"/>
    <x v="2"/>
    <x v="5"/>
  </r>
  <r>
    <s v="PO001583"/>
    <s v="SUP00058"/>
    <s v="PROD00112"/>
    <d v="2022-09-28T00:00:00"/>
    <n v="11"/>
    <n v="25.044935112929601"/>
    <d v="2022-10-10T00:00:00"/>
    <d v="2022-10-14T00:00:00"/>
    <n v="275.494286242226"/>
    <n v="4"/>
    <x v="86"/>
    <s v="China"/>
    <s v="East"/>
    <x v="2"/>
    <n v="1"/>
    <s v="Yes"/>
    <n v="0"/>
    <s v="Late"/>
    <x v="3"/>
    <x v="11"/>
  </r>
  <r>
    <s v="PO001584"/>
    <s v="SUP00075"/>
    <s v="PROD00123"/>
    <d v="2022-02-19T00:00:00"/>
    <n v="15"/>
    <n v="42.405919998985503"/>
    <d v="2022-03-12T00:00:00"/>
    <d v="2022-03-10T00:00:00"/>
    <n v="636.08879998478301"/>
    <n v="-2"/>
    <x v="11"/>
    <s v="USA"/>
    <s v="Central"/>
    <x v="1"/>
    <n v="1"/>
    <s v="Yes"/>
    <n v="1"/>
    <s v="On Time"/>
    <x v="3"/>
    <x v="9"/>
  </r>
  <r>
    <s v="PO001585"/>
    <s v="SUP00001"/>
    <s v="PROD00104"/>
    <d v="2021-01-14T00:00:00"/>
    <n v="14"/>
    <n v="6.57623389866714"/>
    <d v="2021-02-04T00:00:00"/>
    <d v="2021-02-01T00:00:00"/>
    <n v="92.067274581339902"/>
    <n v="-3"/>
    <x v="36"/>
    <s v="USA"/>
    <s v="West"/>
    <x v="3"/>
    <n v="0"/>
    <s v="No"/>
    <n v="1"/>
    <s v="On Time"/>
    <x v="1"/>
    <x v="10"/>
  </r>
  <r>
    <s v="PO001586"/>
    <s v="SUP00058"/>
    <s v="PROD00034"/>
    <d v="2023-07-19T00:00:00"/>
    <n v="16"/>
    <n v="47.703011056265296"/>
    <d v="2023-07-31T00:00:00"/>
    <d v="2023-07-31T00:00:00"/>
    <n v="763.24817690024395"/>
    <n v="0"/>
    <x v="86"/>
    <s v="China"/>
    <s v="East"/>
    <x v="2"/>
    <n v="1"/>
    <s v="Yes"/>
    <n v="1"/>
    <s v="On Time"/>
    <x v="2"/>
    <x v="5"/>
  </r>
  <r>
    <s v="PO001587"/>
    <s v="SUP00090"/>
    <s v="PROD00123"/>
    <d v="2022-09-04T00:00:00"/>
    <n v="12"/>
    <n v="24.029610445025"/>
    <d v="2022-09-26T00:00:00"/>
    <d v="2022-09-25T00:00:00"/>
    <n v="288.3553253403"/>
    <n v="-1"/>
    <x v="9"/>
    <s v="Canada"/>
    <s v="East"/>
    <x v="1"/>
    <n v="1"/>
    <s v="Yes"/>
    <n v="1"/>
    <s v="On Time"/>
    <x v="3"/>
    <x v="11"/>
  </r>
  <r>
    <s v="PO001588"/>
    <s v="SUP00025"/>
    <s v="PROD00168"/>
    <d v="2023-06-14T00:00:00"/>
    <n v="11"/>
    <n v="22.536299721177301"/>
    <d v="2023-07-05T00:00:00"/>
    <d v="2023-07-05T00:00:00"/>
    <n v="247.89929693294999"/>
    <n v="0"/>
    <x v="6"/>
    <s v="Denmark"/>
    <s v="Central"/>
    <x v="2"/>
    <n v="0"/>
    <s v="No"/>
    <n v="1"/>
    <s v="On Time"/>
    <x v="2"/>
    <x v="1"/>
  </r>
  <r>
    <s v="PO001589"/>
    <s v="SUP00080"/>
    <s v="PROD00070"/>
    <d v="2024-03-01T00:00:00"/>
    <n v="13"/>
    <n v="24.777720920784201"/>
    <d v="2024-03-14T00:00:00"/>
    <d v="2024-03-15T00:00:00"/>
    <n v="322.11037197019402"/>
    <n v="1"/>
    <x v="70"/>
    <s v="USA"/>
    <s v="North"/>
    <x v="2"/>
    <n v="0"/>
    <s v="No"/>
    <n v="0"/>
    <s v="Late"/>
    <x v="0"/>
    <x v="0"/>
  </r>
  <r>
    <s v="PO001590"/>
    <s v="SUP00019"/>
    <s v="PROD00126"/>
    <d v="2023-04-24T00:00:00"/>
    <n v="9"/>
    <n v="79.987708117705395"/>
    <d v="2023-05-17T00:00:00"/>
    <d v="2023-05-21T00:00:00"/>
    <n v="719.88937305934803"/>
    <n v="4"/>
    <x v="63"/>
    <s v="Denmark"/>
    <s v="West"/>
    <x v="2"/>
    <n v="0"/>
    <s v="No"/>
    <n v="0"/>
    <s v="Late"/>
    <x v="2"/>
    <x v="8"/>
  </r>
  <r>
    <s v="PO001591"/>
    <s v="SUP00001"/>
    <s v="PROD00044"/>
    <d v="2024-03-21T00:00:00"/>
    <n v="6"/>
    <n v="45.578211339053297"/>
    <d v="2024-04-03T00:00:00"/>
    <d v="2024-04-07T00:00:00"/>
    <n v="273.46926803431899"/>
    <n v="4"/>
    <x v="36"/>
    <s v="USA"/>
    <s v="West"/>
    <x v="3"/>
    <n v="0"/>
    <s v="No"/>
    <n v="0"/>
    <s v="Late"/>
    <x v="0"/>
    <x v="0"/>
  </r>
  <r>
    <s v="PO001592"/>
    <s v="SUP00016"/>
    <s v="PROD00027"/>
    <d v="2022-12-21T00:00:00"/>
    <n v="6"/>
    <n v="3.7660942399925199"/>
    <d v="2023-01-11T00:00:00"/>
    <d v="2023-01-08T00:00:00"/>
    <n v="22.5965654399551"/>
    <n v="-3"/>
    <x v="39"/>
    <s v="China"/>
    <s v="East"/>
    <x v="0"/>
    <n v="0"/>
    <s v="No"/>
    <n v="1"/>
    <s v="On Time"/>
    <x v="3"/>
    <x v="7"/>
  </r>
  <r>
    <s v="PO001593"/>
    <s v="SUP00070"/>
    <s v="PROD00078"/>
    <d v="2021-05-02T00:00:00"/>
    <n v="15"/>
    <n v="34.789336439042302"/>
    <d v="2021-05-16T00:00:00"/>
    <d v="2021-05-14T00:00:00"/>
    <n v="521.84004658563504"/>
    <n v="-2"/>
    <x v="32"/>
    <s v="USA"/>
    <s v="Central"/>
    <x v="3"/>
    <n v="0"/>
    <s v="No"/>
    <n v="1"/>
    <s v="On Time"/>
    <x v="1"/>
    <x v="3"/>
  </r>
  <r>
    <s v="PO001594"/>
    <s v="SUP00068"/>
    <s v="PROD00016"/>
    <d v="2023-02-04T00:00:00"/>
    <n v="11"/>
    <n v="73.154977646393604"/>
    <d v="2023-02-20T00:00:00"/>
    <d v="2023-02-20T00:00:00"/>
    <n v="804.70475411032999"/>
    <n v="0"/>
    <x v="12"/>
    <s v="UK"/>
    <s v="South"/>
    <x v="3"/>
    <n v="1"/>
    <s v="Yes"/>
    <n v="1"/>
    <s v="On Time"/>
    <x v="2"/>
    <x v="9"/>
  </r>
  <r>
    <s v="PO001595"/>
    <s v="SUP00013"/>
    <s v="PROD00117"/>
    <d v="2022-07-23T00:00:00"/>
    <n v="10"/>
    <n v="53.568892984768802"/>
    <d v="2022-08-15T00:00:00"/>
    <d v="2022-08-20T00:00:00"/>
    <n v="535.68892984768797"/>
    <n v="5"/>
    <x v="31"/>
    <s v="China"/>
    <s v="North"/>
    <x v="2"/>
    <n v="1"/>
    <s v="Yes"/>
    <n v="0"/>
    <s v="Late"/>
    <x v="3"/>
    <x v="5"/>
  </r>
  <r>
    <s v="PO001596"/>
    <s v="SUP00096"/>
    <s v="PROD00074"/>
    <d v="2021-06-24T00:00:00"/>
    <n v="10"/>
    <n v="40.226383028589098"/>
    <d v="2021-07-06T00:00:00"/>
    <d v="2021-07-12T00:00:00"/>
    <n v="402.263830285891"/>
    <n v="6"/>
    <x v="26"/>
    <s v="India"/>
    <s v="South"/>
    <x v="1"/>
    <n v="0"/>
    <s v="No"/>
    <n v="0"/>
    <s v="Late"/>
    <x v="1"/>
    <x v="1"/>
  </r>
  <r>
    <s v="PO001597"/>
    <s v="SUP00012"/>
    <s v="PROD00013"/>
    <d v="2023-04-19T00:00:00"/>
    <n v="10"/>
    <n v="22.495097545144599"/>
    <d v="2023-04-29T00:00:00"/>
    <d v="2023-05-01T00:00:00"/>
    <n v="224.950975451446"/>
    <n v="2"/>
    <x v="88"/>
    <s v="China"/>
    <s v="East"/>
    <x v="3"/>
    <n v="0"/>
    <s v="No"/>
    <n v="0"/>
    <s v="Late"/>
    <x v="2"/>
    <x v="8"/>
  </r>
  <r>
    <s v="PO001598"/>
    <s v="SUP00007"/>
    <s v="PROD00098"/>
    <d v="2022-08-14T00:00:00"/>
    <n v="10"/>
    <n v="16.239075509546499"/>
    <d v="2022-09-03T00:00:00"/>
    <d v="2022-09-08T00:00:00"/>
    <n v="162.39075509546501"/>
    <n v="5"/>
    <x v="24"/>
    <s v="China"/>
    <s v="East"/>
    <x v="1"/>
    <n v="1"/>
    <s v="Yes"/>
    <n v="0"/>
    <s v="Late"/>
    <x v="3"/>
    <x v="2"/>
  </r>
  <r>
    <s v="PO001599"/>
    <s v="SUP00070"/>
    <s v="PROD00126"/>
    <d v="2023-12-31T00:00:00"/>
    <n v="16"/>
    <n v="55.857467410959202"/>
    <d v="2024-01-17T00:00:00"/>
    <d v="2024-01-23T00:00:00"/>
    <n v="893.71947857534701"/>
    <n v="6"/>
    <x v="32"/>
    <s v="USA"/>
    <s v="Central"/>
    <x v="3"/>
    <n v="0"/>
    <s v="No"/>
    <n v="0"/>
    <s v="Late"/>
    <x v="2"/>
    <x v="7"/>
  </r>
  <r>
    <s v="PO001600"/>
    <s v="SUP00005"/>
    <s v="PROD00162"/>
    <d v="2024-01-15T00:00:00"/>
    <n v="11"/>
    <n v="53.171571847065898"/>
    <d v="2024-01-29T00:00:00"/>
    <d v="2024-01-30T00:00:00"/>
    <n v="584.88729031772505"/>
    <n v="1"/>
    <x v="17"/>
    <s v="Canada"/>
    <s v="North"/>
    <x v="1"/>
    <n v="1"/>
    <s v="Yes"/>
    <n v="0"/>
    <s v="Late"/>
    <x v="0"/>
    <x v="10"/>
  </r>
  <r>
    <s v="PO001601"/>
    <s v="SUP00035"/>
    <s v="PROD00158"/>
    <d v="2021-04-16T00:00:00"/>
    <n v="13"/>
    <n v="31.5546901889394"/>
    <d v="2021-05-04T00:00:00"/>
    <d v="2021-05-02T00:00:00"/>
    <n v="410.210972456212"/>
    <n v="-2"/>
    <x v="25"/>
    <s v="Denmark"/>
    <s v="Central"/>
    <x v="1"/>
    <n v="1"/>
    <s v="Yes"/>
    <n v="1"/>
    <s v="On Time"/>
    <x v="1"/>
    <x v="8"/>
  </r>
  <r>
    <s v="PO001602"/>
    <s v="SUP00071"/>
    <s v="PROD00075"/>
    <d v="2021-06-23T00:00:00"/>
    <n v="9"/>
    <n v="59.546875325867802"/>
    <d v="2021-07-11T00:00:00"/>
    <d v="2021-07-16T00:00:00"/>
    <n v="535.92187793281096"/>
    <n v="5"/>
    <x v="50"/>
    <s v="Denmark"/>
    <s v="South"/>
    <x v="3"/>
    <n v="1"/>
    <s v="Yes"/>
    <n v="0"/>
    <s v="Late"/>
    <x v="1"/>
    <x v="1"/>
  </r>
  <r>
    <s v="PO001603"/>
    <s v="SUP00080"/>
    <s v="PROD00188"/>
    <d v="2023-09-14T00:00:00"/>
    <n v="18"/>
    <n v="68.5913650024101"/>
    <d v="2023-10-08T00:00:00"/>
    <d v="2023-10-13T00:00:00"/>
    <n v="1234.6445700433801"/>
    <n v="5"/>
    <x v="70"/>
    <s v="USA"/>
    <s v="North"/>
    <x v="2"/>
    <n v="0"/>
    <s v="No"/>
    <n v="0"/>
    <s v="Late"/>
    <x v="2"/>
    <x v="11"/>
  </r>
  <r>
    <s v="PO001604"/>
    <s v="SUP00089"/>
    <s v="PROD00092"/>
    <d v="2024-02-03T00:00:00"/>
    <n v="12"/>
    <n v="32.550490934008103"/>
    <d v="2024-02-17T00:00:00"/>
    <d v="2024-02-21T00:00:00"/>
    <n v="390.60589120809698"/>
    <n v="4"/>
    <x v="87"/>
    <s v="Canada"/>
    <s v="North"/>
    <x v="0"/>
    <n v="0"/>
    <s v="No"/>
    <n v="0"/>
    <s v="Late"/>
    <x v="0"/>
    <x v="9"/>
  </r>
  <r>
    <s v="PO001605"/>
    <s v="SUP00002"/>
    <s v="PROD00004"/>
    <d v="2023-02-22T00:00:00"/>
    <n v="10"/>
    <n v="72.236778674775294"/>
    <d v="2023-03-13T00:00:00"/>
    <d v="2023-03-15T00:00:00"/>
    <n v="722.36778674775303"/>
    <n v="2"/>
    <x v="94"/>
    <s v="China"/>
    <s v="South"/>
    <x v="1"/>
    <n v="0"/>
    <s v="No"/>
    <n v="0"/>
    <s v="Late"/>
    <x v="2"/>
    <x v="9"/>
  </r>
  <r>
    <s v="PO001606"/>
    <s v="SUP00012"/>
    <s v="PROD00157"/>
    <d v="2023-04-11T00:00:00"/>
    <n v="9"/>
    <n v="7.2870951843118599"/>
    <d v="2023-05-03T00:00:00"/>
    <d v="2023-05-09T00:00:00"/>
    <n v="65.583856658806695"/>
    <n v="6"/>
    <x v="88"/>
    <s v="China"/>
    <s v="East"/>
    <x v="3"/>
    <n v="0"/>
    <s v="No"/>
    <n v="0"/>
    <s v="Late"/>
    <x v="2"/>
    <x v="8"/>
  </r>
  <r>
    <s v="PO001607"/>
    <s v="SUP00040"/>
    <s v="PROD00093"/>
    <d v="2023-07-19T00:00:00"/>
    <n v="12"/>
    <n v="48.482645701840902"/>
    <d v="2023-08-03T00:00:00"/>
    <d v="2023-08-01T00:00:00"/>
    <n v="581.79174842209102"/>
    <n v="-2"/>
    <x v="58"/>
    <s v="Denmark"/>
    <s v="East"/>
    <x v="2"/>
    <n v="0"/>
    <s v="No"/>
    <n v="1"/>
    <s v="On Time"/>
    <x v="2"/>
    <x v="5"/>
  </r>
  <r>
    <s v="PO001608"/>
    <s v="SUP00020"/>
    <s v="PROD00062"/>
    <d v="2021-05-17T00:00:00"/>
    <n v="11"/>
    <n v="9.3870150436401705"/>
    <d v="2021-05-31T00:00:00"/>
    <d v="2021-06-03T00:00:00"/>
    <n v="103.257165480041"/>
    <n v="3"/>
    <x v="21"/>
    <s v="Canada"/>
    <s v="Central"/>
    <x v="3"/>
    <n v="1"/>
    <s v="Yes"/>
    <n v="0"/>
    <s v="Late"/>
    <x v="1"/>
    <x v="3"/>
  </r>
  <r>
    <s v="PO001609"/>
    <s v="SUP00053"/>
    <s v="PROD00161"/>
    <d v="2022-10-04T00:00:00"/>
    <n v="14"/>
    <n v="41.348260728834703"/>
    <d v="2022-10-28T00:00:00"/>
    <d v="2022-10-28T00:00:00"/>
    <n v="578.87565020368697"/>
    <n v="0"/>
    <x v="18"/>
    <s v="India"/>
    <s v="North"/>
    <x v="2"/>
    <n v="1"/>
    <s v="Yes"/>
    <n v="1"/>
    <s v="On Time"/>
    <x v="3"/>
    <x v="4"/>
  </r>
  <r>
    <s v="PO001610"/>
    <s v="SUP00020"/>
    <s v="PROD00022"/>
    <d v="2022-06-20T00:00:00"/>
    <n v="12"/>
    <n v="33.139159054120398"/>
    <d v="2022-06-30T00:00:00"/>
    <d v="2022-06-27T00:00:00"/>
    <n v="397.66990864944501"/>
    <n v="-3"/>
    <x v="21"/>
    <s v="Canada"/>
    <s v="Central"/>
    <x v="3"/>
    <n v="1"/>
    <s v="Yes"/>
    <n v="1"/>
    <s v="On Time"/>
    <x v="3"/>
    <x v="1"/>
  </r>
  <r>
    <s v="PO001611"/>
    <s v="SUP00051"/>
    <s v="PROD00176"/>
    <d v="2021-01-29T00:00:00"/>
    <n v="10"/>
    <n v="29.203539216228201"/>
    <d v="2021-02-22T00:00:00"/>
    <d v="2021-02-28T00:00:00"/>
    <n v="292.03539216228199"/>
    <n v="6"/>
    <x v="57"/>
    <s v="UK"/>
    <s v="South"/>
    <x v="1"/>
    <n v="0"/>
    <s v="No"/>
    <n v="0"/>
    <s v="Late"/>
    <x v="1"/>
    <x v="10"/>
  </r>
  <r>
    <s v="PO001612"/>
    <s v="SUP00031"/>
    <s v="PROD00117"/>
    <d v="2021-06-21T00:00:00"/>
    <n v="6"/>
    <n v="40.052688623371999"/>
    <d v="2021-07-09T00:00:00"/>
    <d v="2021-07-13T00:00:00"/>
    <n v="240.31613174023201"/>
    <n v="4"/>
    <x v="33"/>
    <s v="USA"/>
    <s v="West"/>
    <x v="3"/>
    <n v="0"/>
    <s v="No"/>
    <n v="0"/>
    <s v="Late"/>
    <x v="1"/>
    <x v="1"/>
  </r>
  <r>
    <s v="PO001613"/>
    <s v="SUP00070"/>
    <s v="PROD00145"/>
    <d v="2024-02-11T00:00:00"/>
    <n v="14"/>
    <n v="47.341911304744002"/>
    <d v="2024-02-24T00:00:00"/>
    <d v="2024-02-28T00:00:00"/>
    <n v="662.786758266417"/>
    <n v="4"/>
    <x v="32"/>
    <s v="USA"/>
    <s v="Central"/>
    <x v="3"/>
    <n v="0"/>
    <s v="No"/>
    <n v="0"/>
    <s v="Late"/>
    <x v="0"/>
    <x v="9"/>
  </r>
  <r>
    <s v="PO001614"/>
    <s v="SUP00045"/>
    <s v="PROD00064"/>
    <d v="2021-01-18T00:00:00"/>
    <n v="13"/>
    <n v="4.1152476732088896"/>
    <d v="2021-02-05T00:00:00"/>
    <d v="2021-02-10T00:00:00"/>
    <n v="53.498219751715602"/>
    <n v="5"/>
    <x v="84"/>
    <s v="Canada"/>
    <s v="North"/>
    <x v="3"/>
    <n v="1"/>
    <s v="Yes"/>
    <n v="0"/>
    <s v="Late"/>
    <x v="1"/>
    <x v="10"/>
  </r>
  <r>
    <s v="PO001615"/>
    <s v="SUP00055"/>
    <s v="PROD00013"/>
    <d v="2024-03-24T00:00:00"/>
    <n v="8"/>
    <n v="40.794803204443497"/>
    <d v="2024-04-06T00:00:00"/>
    <d v="2024-04-06T00:00:00"/>
    <n v="326.35842563554797"/>
    <n v="0"/>
    <x v="49"/>
    <s v="China"/>
    <s v="East"/>
    <x v="0"/>
    <n v="1"/>
    <s v="Yes"/>
    <n v="1"/>
    <s v="On Time"/>
    <x v="0"/>
    <x v="0"/>
  </r>
  <r>
    <s v="PO001616"/>
    <s v="SUP00061"/>
    <s v="PROD00093"/>
    <d v="2022-03-29T00:00:00"/>
    <n v="17"/>
    <n v="43.707797085476102"/>
    <d v="2022-04-14T00:00:00"/>
    <d v="2022-04-20T00:00:00"/>
    <n v="743.03255045309504"/>
    <n v="6"/>
    <x v="71"/>
    <s v="India"/>
    <s v="South"/>
    <x v="2"/>
    <n v="0"/>
    <s v="No"/>
    <n v="0"/>
    <s v="Late"/>
    <x v="3"/>
    <x v="0"/>
  </r>
  <r>
    <s v="PO001617"/>
    <s v="SUP00046"/>
    <s v="PROD00195"/>
    <d v="2023-08-14T00:00:00"/>
    <n v="7"/>
    <n v="14.964704103012799"/>
    <d v="2023-08-28T00:00:00"/>
    <d v="2023-08-29T00:00:00"/>
    <n v="104.75292872108901"/>
    <n v="1"/>
    <x v="61"/>
    <s v="Brazil"/>
    <s v="South"/>
    <x v="3"/>
    <n v="1"/>
    <s v="Yes"/>
    <n v="0"/>
    <s v="Late"/>
    <x v="2"/>
    <x v="2"/>
  </r>
  <r>
    <s v="PO001618"/>
    <s v="SUP00072"/>
    <s v="PROD00199"/>
    <d v="2023-08-05T00:00:00"/>
    <n v="10"/>
    <n v="4.1691981316147499"/>
    <d v="2023-08-27T00:00:00"/>
    <d v="2023-09-01T00:00:00"/>
    <n v="41.691981316147498"/>
    <n v="5"/>
    <x v="83"/>
    <s v="India"/>
    <s v="Central"/>
    <x v="1"/>
    <n v="0"/>
    <s v="No"/>
    <n v="0"/>
    <s v="Late"/>
    <x v="2"/>
    <x v="2"/>
  </r>
  <r>
    <s v="PO001619"/>
    <s v="SUP00006"/>
    <s v="PROD00124"/>
    <d v="2022-09-28T00:00:00"/>
    <n v="9"/>
    <n v="74.163325219458102"/>
    <d v="2022-10-13T00:00:00"/>
    <d v="2022-10-17T00:00:00"/>
    <n v="667.46992697512303"/>
    <n v="4"/>
    <x v="78"/>
    <s v="USA"/>
    <s v="East"/>
    <x v="0"/>
    <n v="1"/>
    <s v="Yes"/>
    <n v="0"/>
    <s v="Late"/>
    <x v="3"/>
    <x v="11"/>
  </r>
  <r>
    <s v="PO001620"/>
    <s v="SUP00078"/>
    <s v="PROD00065"/>
    <d v="2021-09-10T00:00:00"/>
    <n v="8"/>
    <n v="28.672006717091101"/>
    <d v="2021-10-02T00:00:00"/>
    <d v="2021-10-03T00:00:00"/>
    <n v="229.37605373672901"/>
    <n v="1"/>
    <x v="56"/>
    <s v="Germany"/>
    <s v="North"/>
    <x v="0"/>
    <n v="0"/>
    <s v="No"/>
    <n v="0"/>
    <s v="Late"/>
    <x v="1"/>
    <x v="11"/>
  </r>
  <r>
    <s v="PO001621"/>
    <s v="SUP00088"/>
    <s v="PROD00134"/>
    <d v="2023-08-18T00:00:00"/>
    <n v="7"/>
    <n v="49.997170515085102"/>
    <d v="2023-09-05T00:00:00"/>
    <d v="2023-09-07T00:00:00"/>
    <n v="349.98019360559499"/>
    <n v="2"/>
    <x v="41"/>
    <s v="Brazil"/>
    <s v="East"/>
    <x v="3"/>
    <n v="0"/>
    <s v="No"/>
    <n v="0"/>
    <s v="Late"/>
    <x v="2"/>
    <x v="2"/>
  </r>
  <r>
    <s v="PO001622"/>
    <s v="SUP00077"/>
    <s v="PROD00196"/>
    <d v="2022-02-03T00:00:00"/>
    <n v="15"/>
    <n v="26.073718971422501"/>
    <d v="2022-02-22T00:00:00"/>
    <d v="2022-02-25T00:00:00"/>
    <n v="391.10578457133698"/>
    <n v="3"/>
    <x v="10"/>
    <s v="India"/>
    <s v="West"/>
    <x v="1"/>
    <n v="0"/>
    <s v="No"/>
    <n v="0"/>
    <s v="Late"/>
    <x v="3"/>
    <x v="9"/>
  </r>
  <r>
    <s v="PO001623"/>
    <s v="SUP00075"/>
    <s v="PROD00058"/>
    <d v="2022-11-25T00:00:00"/>
    <n v="13"/>
    <n v="48.440083460165603"/>
    <d v="2022-12-05T00:00:00"/>
    <d v="2022-12-07T00:00:00"/>
    <n v="629.721084982153"/>
    <n v="2"/>
    <x v="11"/>
    <s v="USA"/>
    <s v="Central"/>
    <x v="1"/>
    <n v="1"/>
    <s v="Yes"/>
    <n v="0"/>
    <s v="Late"/>
    <x v="3"/>
    <x v="6"/>
  </r>
  <r>
    <s v="PO001624"/>
    <s v="SUP00095"/>
    <s v="PROD00007"/>
    <d v="2023-09-05T00:00:00"/>
    <n v="14"/>
    <n v="21.5115748567409"/>
    <d v="2023-09-24T00:00:00"/>
    <d v="2023-09-21T00:00:00"/>
    <n v="301.16204799437298"/>
    <n v="-3"/>
    <x v="74"/>
    <s v="China"/>
    <s v="Central"/>
    <x v="1"/>
    <n v="0"/>
    <s v="No"/>
    <n v="1"/>
    <s v="On Time"/>
    <x v="2"/>
    <x v="11"/>
  </r>
  <r>
    <s v="PO001625"/>
    <s v="SUP00095"/>
    <s v="PROD00122"/>
    <d v="2022-07-07T00:00:00"/>
    <n v="10"/>
    <n v="15.264139788124799"/>
    <d v="2022-07-19T00:00:00"/>
    <d v="2022-07-16T00:00:00"/>
    <n v="152.641397881248"/>
    <n v="-3"/>
    <x v="74"/>
    <s v="China"/>
    <s v="Central"/>
    <x v="1"/>
    <n v="0"/>
    <s v="No"/>
    <n v="1"/>
    <s v="On Time"/>
    <x v="3"/>
    <x v="5"/>
  </r>
  <r>
    <s v="PO001626"/>
    <s v="SUP00041"/>
    <s v="PROD00131"/>
    <d v="2022-08-26T00:00:00"/>
    <n v="9"/>
    <n v="79.360188357651793"/>
    <d v="2022-09-18T00:00:00"/>
    <d v="2022-09-15T00:00:00"/>
    <n v="714.24169521886597"/>
    <n v="-3"/>
    <x v="72"/>
    <s v="Germany"/>
    <s v="West"/>
    <x v="1"/>
    <n v="0"/>
    <s v="No"/>
    <n v="1"/>
    <s v="On Time"/>
    <x v="3"/>
    <x v="2"/>
  </r>
  <r>
    <s v="PO001627"/>
    <s v="SUP00040"/>
    <s v="PROD00101"/>
    <d v="2022-09-05T00:00:00"/>
    <n v="9"/>
    <n v="15.170446866997599"/>
    <d v="2022-09-20T00:00:00"/>
    <d v="2022-09-26T00:00:00"/>
    <n v="136.534021802978"/>
    <n v="6"/>
    <x v="58"/>
    <s v="Denmark"/>
    <s v="East"/>
    <x v="2"/>
    <n v="0"/>
    <s v="No"/>
    <n v="0"/>
    <s v="Late"/>
    <x v="3"/>
    <x v="11"/>
  </r>
  <r>
    <s v="PO001628"/>
    <s v="SUP00014"/>
    <s v="PROD00090"/>
    <d v="2021-12-18T00:00:00"/>
    <n v="10"/>
    <n v="74.810519451393503"/>
    <d v="2021-12-31T00:00:00"/>
    <d v="2022-01-04T00:00:00"/>
    <n v="748.10519451393498"/>
    <n v="4"/>
    <x v="59"/>
    <s v="Germany"/>
    <s v="West"/>
    <x v="1"/>
    <n v="0"/>
    <s v="No"/>
    <n v="0"/>
    <s v="Late"/>
    <x v="1"/>
    <x v="7"/>
  </r>
  <r>
    <s v="PO001629"/>
    <s v="SUP00003"/>
    <s v="PROD00091"/>
    <d v="2024-02-08T00:00:00"/>
    <n v="15"/>
    <n v="28.910205415494101"/>
    <d v="2024-02-26T00:00:00"/>
    <d v="2024-03-02T00:00:00"/>
    <n v="433.65308123241198"/>
    <n v="5"/>
    <x v="91"/>
    <s v="India"/>
    <s v="Central"/>
    <x v="0"/>
    <n v="1"/>
    <s v="Yes"/>
    <n v="0"/>
    <s v="Late"/>
    <x v="0"/>
    <x v="9"/>
  </r>
  <r>
    <s v="PO001630"/>
    <s v="SUP00007"/>
    <s v="PROD00107"/>
    <d v="2021-12-04T00:00:00"/>
    <n v="15"/>
    <n v="31.084888436011401"/>
    <d v="2021-12-22T00:00:00"/>
    <d v="2021-12-28T00:00:00"/>
    <n v="466.27332654017198"/>
    <n v="6"/>
    <x v="24"/>
    <s v="China"/>
    <s v="East"/>
    <x v="1"/>
    <n v="1"/>
    <s v="Yes"/>
    <n v="0"/>
    <s v="Late"/>
    <x v="1"/>
    <x v="7"/>
  </r>
  <r>
    <s v="PO001631"/>
    <s v="SUP00082"/>
    <s v="PROD00059"/>
    <d v="2022-01-08T00:00:00"/>
    <n v="6"/>
    <n v="59.828505400206097"/>
    <d v="2022-01-20T00:00:00"/>
    <d v="2022-01-24T00:00:00"/>
    <n v="358.97103240123698"/>
    <n v="4"/>
    <x v="76"/>
    <s v="India"/>
    <s v="North"/>
    <x v="1"/>
    <n v="1"/>
    <s v="Yes"/>
    <n v="0"/>
    <s v="Late"/>
    <x v="3"/>
    <x v="10"/>
  </r>
  <r>
    <s v="PO001632"/>
    <s v="SUP00061"/>
    <s v="PROD00150"/>
    <d v="2023-08-21T00:00:00"/>
    <n v="12"/>
    <n v="32.188061720870003"/>
    <d v="2023-09-07T00:00:00"/>
    <d v="2023-09-12T00:00:00"/>
    <n v="386.25674065044097"/>
    <n v="5"/>
    <x v="71"/>
    <s v="India"/>
    <s v="South"/>
    <x v="2"/>
    <n v="0"/>
    <s v="No"/>
    <n v="0"/>
    <s v="Late"/>
    <x v="2"/>
    <x v="2"/>
  </r>
  <r>
    <s v="PO001633"/>
    <s v="SUP00075"/>
    <s v="PROD00052"/>
    <d v="2022-08-04T00:00:00"/>
    <n v="17"/>
    <n v="49.507331937926097"/>
    <d v="2022-08-26T00:00:00"/>
    <d v="2022-08-30T00:00:00"/>
    <n v="841.62464294474398"/>
    <n v="4"/>
    <x v="11"/>
    <s v="USA"/>
    <s v="Central"/>
    <x v="1"/>
    <n v="1"/>
    <s v="Yes"/>
    <n v="0"/>
    <s v="Late"/>
    <x v="3"/>
    <x v="2"/>
  </r>
  <r>
    <s v="PO001634"/>
    <s v="SUP00092"/>
    <s v="PROD00149"/>
    <d v="2021-05-24T00:00:00"/>
    <n v="14"/>
    <n v="11.9080434062962"/>
    <d v="2021-06-12T00:00:00"/>
    <d v="2021-06-11T00:00:00"/>
    <n v="166.71260768814699"/>
    <n v="-1"/>
    <x v="27"/>
    <s v="UK"/>
    <s v="West"/>
    <x v="0"/>
    <n v="0"/>
    <s v="No"/>
    <n v="1"/>
    <s v="On Time"/>
    <x v="1"/>
    <x v="3"/>
  </r>
  <r>
    <s v="PO001635"/>
    <s v="SUP00092"/>
    <s v="PROD00111"/>
    <d v="2022-06-13T00:00:00"/>
    <n v="17"/>
    <n v="76.254981336500293"/>
    <d v="2022-06-29T00:00:00"/>
    <d v="2022-06-26T00:00:00"/>
    <n v="1296.3346827205"/>
    <n v="-3"/>
    <x v="27"/>
    <s v="UK"/>
    <s v="West"/>
    <x v="0"/>
    <n v="0"/>
    <s v="No"/>
    <n v="1"/>
    <s v="On Time"/>
    <x v="3"/>
    <x v="1"/>
  </r>
  <r>
    <s v="PO001636"/>
    <s v="SUP00087"/>
    <s v="PROD00045"/>
    <d v="2021-01-25T00:00:00"/>
    <n v="9"/>
    <n v="45.709008614654699"/>
    <d v="2021-02-07T00:00:00"/>
    <d v="2021-02-06T00:00:00"/>
    <n v="411.381077531892"/>
    <n v="-1"/>
    <x v="14"/>
    <s v="UK"/>
    <s v="Central"/>
    <x v="2"/>
    <n v="0"/>
    <s v="No"/>
    <n v="1"/>
    <s v="On Time"/>
    <x v="1"/>
    <x v="10"/>
  </r>
  <r>
    <s v="PO001637"/>
    <s v="SUP00038"/>
    <s v="PROD00048"/>
    <d v="2021-10-03T00:00:00"/>
    <n v="14"/>
    <n v="31.5773768989235"/>
    <d v="2021-10-26T00:00:00"/>
    <d v="2021-10-30T00:00:00"/>
    <n v="442.08327658492902"/>
    <n v="4"/>
    <x v="34"/>
    <s v="Germany"/>
    <s v="South"/>
    <x v="1"/>
    <n v="0"/>
    <s v="No"/>
    <n v="0"/>
    <s v="Late"/>
    <x v="1"/>
    <x v="4"/>
  </r>
  <r>
    <s v="PO001638"/>
    <s v="SUP00020"/>
    <s v="PROD00132"/>
    <d v="2022-06-03T00:00:00"/>
    <n v="21"/>
    <n v="26.804712886130101"/>
    <d v="2022-06-17T00:00:00"/>
    <d v="2022-06-18T00:00:00"/>
    <n v="562.89897060873295"/>
    <n v="1"/>
    <x v="21"/>
    <s v="Canada"/>
    <s v="Central"/>
    <x v="3"/>
    <n v="1"/>
    <s v="Yes"/>
    <n v="0"/>
    <s v="Late"/>
    <x v="3"/>
    <x v="1"/>
  </r>
  <r>
    <s v="PO001639"/>
    <s v="SUP00060"/>
    <s v="PROD00095"/>
    <d v="2021-01-31T00:00:00"/>
    <n v="8"/>
    <n v="27.6096236068962"/>
    <d v="2021-02-12T00:00:00"/>
    <d v="2021-02-15T00:00:00"/>
    <n v="220.876988855169"/>
    <n v="3"/>
    <x v="85"/>
    <s v="UK"/>
    <s v="North"/>
    <x v="3"/>
    <n v="1"/>
    <s v="Yes"/>
    <n v="0"/>
    <s v="Late"/>
    <x v="1"/>
    <x v="10"/>
  </r>
  <r>
    <s v="PO001640"/>
    <s v="SUP00079"/>
    <s v="PROD00161"/>
    <d v="2023-06-02T00:00:00"/>
    <n v="10"/>
    <n v="54.535330298909798"/>
    <d v="2023-06-15T00:00:00"/>
    <d v="2023-06-13T00:00:00"/>
    <n v="545.35330298909798"/>
    <n v="-2"/>
    <x v="55"/>
    <s v="Denmark"/>
    <s v="South"/>
    <x v="0"/>
    <n v="0"/>
    <s v="No"/>
    <n v="1"/>
    <s v="On Time"/>
    <x v="2"/>
    <x v="1"/>
  </r>
  <r>
    <s v="PO001641"/>
    <s v="SUP00002"/>
    <s v="PROD00169"/>
    <d v="2024-01-19T00:00:00"/>
    <n v="5"/>
    <n v="47.1482453837897"/>
    <d v="2024-02-01T00:00:00"/>
    <d v="2024-02-01T00:00:00"/>
    <n v="235.741226918948"/>
    <n v="0"/>
    <x v="94"/>
    <s v="China"/>
    <s v="South"/>
    <x v="1"/>
    <n v="0"/>
    <s v="No"/>
    <n v="1"/>
    <s v="On Time"/>
    <x v="0"/>
    <x v="10"/>
  </r>
  <r>
    <s v="PO001642"/>
    <s v="SUP00056"/>
    <s v="PROD00098"/>
    <d v="2022-06-12T00:00:00"/>
    <n v="12"/>
    <n v="24.710231706549301"/>
    <d v="2022-07-03T00:00:00"/>
    <d v="2022-07-03T00:00:00"/>
    <n v="296.52278047859102"/>
    <n v="0"/>
    <x v="13"/>
    <s v="China"/>
    <s v="North"/>
    <x v="2"/>
    <n v="0"/>
    <s v="No"/>
    <n v="1"/>
    <s v="On Time"/>
    <x v="3"/>
    <x v="1"/>
  </r>
  <r>
    <s v="PO001643"/>
    <s v="SUP00078"/>
    <s v="PROD00073"/>
    <d v="2022-11-30T00:00:00"/>
    <n v="15"/>
    <n v="8.1604648131074295"/>
    <d v="2022-12-10T00:00:00"/>
    <d v="2022-12-15T00:00:00"/>
    <n v="122.40697219661099"/>
    <n v="5"/>
    <x v="56"/>
    <s v="Germany"/>
    <s v="North"/>
    <x v="0"/>
    <n v="0"/>
    <s v="No"/>
    <n v="0"/>
    <s v="Late"/>
    <x v="3"/>
    <x v="6"/>
  </r>
  <r>
    <s v="PO001644"/>
    <s v="SUP00034"/>
    <s v="PROD00035"/>
    <d v="2023-03-31T00:00:00"/>
    <n v="14"/>
    <n v="45.365750329073002"/>
    <d v="2023-04-10T00:00:00"/>
    <d v="2023-04-15T00:00:00"/>
    <n v="635.12050460702301"/>
    <n v="5"/>
    <x v="67"/>
    <s v="Brazil"/>
    <s v="North"/>
    <x v="1"/>
    <n v="1"/>
    <s v="Yes"/>
    <n v="0"/>
    <s v="Late"/>
    <x v="2"/>
    <x v="0"/>
  </r>
  <r>
    <s v="PO001645"/>
    <s v="SUP00067"/>
    <s v="PROD00112"/>
    <d v="2023-02-11T00:00:00"/>
    <n v="12"/>
    <n v="15.0686819941095"/>
    <d v="2023-02-23T00:00:00"/>
    <d v="2023-02-21T00:00:00"/>
    <n v="180.82418392931501"/>
    <n v="-2"/>
    <x v="22"/>
    <s v="UK"/>
    <s v="South"/>
    <x v="3"/>
    <n v="1"/>
    <s v="Yes"/>
    <n v="1"/>
    <s v="On Time"/>
    <x v="2"/>
    <x v="9"/>
  </r>
  <r>
    <s v="PO001646"/>
    <s v="SUP00016"/>
    <s v="PROD00111"/>
    <d v="2023-07-11T00:00:00"/>
    <n v="11"/>
    <n v="77.897898968121197"/>
    <d v="2023-07-24T00:00:00"/>
    <d v="2023-07-29T00:00:00"/>
    <n v="856.87688864933398"/>
    <n v="5"/>
    <x v="39"/>
    <s v="China"/>
    <s v="East"/>
    <x v="0"/>
    <n v="0"/>
    <s v="No"/>
    <n v="0"/>
    <s v="Late"/>
    <x v="2"/>
    <x v="5"/>
  </r>
  <r>
    <s v="PO001647"/>
    <s v="SUP00092"/>
    <s v="PROD00183"/>
    <d v="2021-07-22T00:00:00"/>
    <n v="14"/>
    <n v="60.6397574760853"/>
    <d v="2021-08-14T00:00:00"/>
    <d v="2021-08-18T00:00:00"/>
    <n v="848.95660466519405"/>
    <n v="4"/>
    <x v="27"/>
    <s v="UK"/>
    <s v="West"/>
    <x v="0"/>
    <n v="0"/>
    <s v="No"/>
    <n v="0"/>
    <s v="Late"/>
    <x v="1"/>
    <x v="5"/>
  </r>
  <r>
    <s v="PO001648"/>
    <s v="SUP00090"/>
    <s v="PROD00070"/>
    <d v="2022-10-18T00:00:00"/>
    <n v="12"/>
    <n v="8.3066276867424307"/>
    <d v="2022-10-28T00:00:00"/>
    <d v="2022-10-31T00:00:00"/>
    <n v="99.679532240909197"/>
    <n v="3"/>
    <x v="9"/>
    <s v="Canada"/>
    <s v="East"/>
    <x v="1"/>
    <n v="1"/>
    <s v="Yes"/>
    <n v="0"/>
    <s v="Late"/>
    <x v="3"/>
    <x v="4"/>
  </r>
  <r>
    <s v="PO001649"/>
    <s v="SUP00095"/>
    <s v="PROD00160"/>
    <d v="2023-05-05T00:00:00"/>
    <n v="15"/>
    <n v="55.349838335066003"/>
    <d v="2023-05-21T00:00:00"/>
    <d v="2023-05-24T00:00:00"/>
    <n v="830.24757502599005"/>
    <n v="3"/>
    <x v="74"/>
    <s v="China"/>
    <s v="Central"/>
    <x v="1"/>
    <n v="0"/>
    <s v="No"/>
    <n v="0"/>
    <s v="Late"/>
    <x v="2"/>
    <x v="3"/>
  </r>
  <r>
    <s v="PO001650"/>
    <s v="SUP00007"/>
    <s v="PROD00005"/>
    <d v="2022-06-21T00:00:00"/>
    <n v="11"/>
    <n v="77.658186274770799"/>
    <d v="2022-07-09T00:00:00"/>
    <d v="2022-07-07T00:00:00"/>
    <n v="854.24004902247805"/>
    <n v="-2"/>
    <x v="24"/>
    <s v="China"/>
    <s v="East"/>
    <x v="1"/>
    <n v="1"/>
    <s v="Yes"/>
    <n v="1"/>
    <s v="On Time"/>
    <x v="3"/>
    <x v="1"/>
  </r>
  <r>
    <s v="PO001651"/>
    <s v="SUP00035"/>
    <s v="PROD00079"/>
    <d v="2022-08-30T00:00:00"/>
    <n v="15"/>
    <n v="48.064211145138103"/>
    <d v="2022-09-09T00:00:00"/>
    <d v="2022-09-07T00:00:00"/>
    <n v="720.963167177071"/>
    <n v="-2"/>
    <x v="25"/>
    <s v="Denmark"/>
    <s v="Central"/>
    <x v="1"/>
    <n v="1"/>
    <s v="Yes"/>
    <n v="1"/>
    <s v="On Time"/>
    <x v="3"/>
    <x v="2"/>
  </r>
  <r>
    <s v="PO001652"/>
    <s v="SUP00037"/>
    <s v="PROD00067"/>
    <d v="2021-01-30T00:00:00"/>
    <n v="11"/>
    <n v="41.779475934439098"/>
    <d v="2021-02-12T00:00:00"/>
    <d v="2021-02-09T00:00:00"/>
    <n v="459.57423527882997"/>
    <n v="-3"/>
    <x v="46"/>
    <s v="Denmark"/>
    <s v="East"/>
    <x v="1"/>
    <n v="0"/>
    <s v="No"/>
    <n v="1"/>
    <s v="On Time"/>
    <x v="1"/>
    <x v="10"/>
  </r>
  <r>
    <s v="PO001653"/>
    <s v="SUP00095"/>
    <s v="PROD00186"/>
    <d v="2023-07-07T00:00:00"/>
    <n v="11"/>
    <n v="78.957606443815195"/>
    <d v="2023-07-30T00:00:00"/>
    <d v="2023-08-02T00:00:00"/>
    <n v="868.53367088196705"/>
    <n v="3"/>
    <x v="74"/>
    <s v="China"/>
    <s v="Central"/>
    <x v="1"/>
    <n v="0"/>
    <s v="No"/>
    <n v="0"/>
    <s v="Late"/>
    <x v="2"/>
    <x v="5"/>
  </r>
  <r>
    <s v="PO001654"/>
    <s v="SUP00041"/>
    <s v="PROD00032"/>
    <d v="2023-02-23T00:00:00"/>
    <n v="8"/>
    <n v="26.109657545443699"/>
    <d v="2023-03-11T00:00:00"/>
    <d v="2023-03-09T00:00:00"/>
    <n v="208.877260363549"/>
    <n v="-2"/>
    <x v="72"/>
    <s v="Germany"/>
    <s v="West"/>
    <x v="1"/>
    <n v="0"/>
    <s v="No"/>
    <n v="1"/>
    <s v="On Time"/>
    <x v="2"/>
    <x v="9"/>
  </r>
  <r>
    <s v="PO001655"/>
    <s v="SUP00052"/>
    <s v="PROD00117"/>
    <d v="2021-06-04T00:00:00"/>
    <n v="11"/>
    <n v="51.903922922829103"/>
    <d v="2021-06-16T00:00:00"/>
    <d v="2021-06-16T00:00:00"/>
    <n v="570.94315215111999"/>
    <n v="0"/>
    <x v="80"/>
    <s v="Brazil"/>
    <s v="West"/>
    <x v="1"/>
    <n v="1"/>
    <s v="Yes"/>
    <n v="1"/>
    <s v="On Time"/>
    <x v="1"/>
    <x v="1"/>
  </r>
  <r>
    <s v="PO001656"/>
    <s v="SUP00035"/>
    <s v="PROD00170"/>
    <d v="2021-11-30T00:00:00"/>
    <n v="9"/>
    <n v="63.005231566307202"/>
    <d v="2021-12-20T00:00:00"/>
    <d v="2021-12-26T00:00:00"/>
    <n v="567.04708409676505"/>
    <n v="6"/>
    <x v="25"/>
    <s v="Denmark"/>
    <s v="Central"/>
    <x v="1"/>
    <n v="1"/>
    <s v="Yes"/>
    <n v="0"/>
    <s v="Late"/>
    <x v="1"/>
    <x v="6"/>
  </r>
  <r>
    <s v="PO001657"/>
    <s v="SUP00079"/>
    <s v="PROD00031"/>
    <d v="2023-04-21T00:00:00"/>
    <n v="17"/>
    <n v="59.7811398459041"/>
    <d v="2023-05-08T00:00:00"/>
    <d v="2023-05-05T00:00:00"/>
    <n v="1016.27937738037"/>
    <n v="-3"/>
    <x v="55"/>
    <s v="Denmark"/>
    <s v="South"/>
    <x v="0"/>
    <n v="0"/>
    <s v="No"/>
    <n v="1"/>
    <s v="On Time"/>
    <x v="2"/>
    <x v="8"/>
  </r>
  <r>
    <s v="PO001658"/>
    <s v="SUP00005"/>
    <s v="PROD00064"/>
    <d v="2021-08-08T00:00:00"/>
    <n v="10"/>
    <n v="24.253666224336801"/>
    <d v="2021-08-31T00:00:00"/>
    <d v="2021-08-30T00:00:00"/>
    <n v="242.536662243368"/>
    <n v="-1"/>
    <x v="17"/>
    <s v="Canada"/>
    <s v="North"/>
    <x v="1"/>
    <n v="1"/>
    <s v="Yes"/>
    <n v="1"/>
    <s v="On Time"/>
    <x v="1"/>
    <x v="2"/>
  </r>
  <r>
    <s v="PO001659"/>
    <s v="SUP00074"/>
    <s v="PROD00125"/>
    <d v="2022-04-08T00:00:00"/>
    <n v="10"/>
    <n v="38.592398718540998"/>
    <d v="2022-05-02T00:00:00"/>
    <d v="2022-05-08T00:00:00"/>
    <n v="385.92398718541"/>
    <n v="6"/>
    <x v="48"/>
    <s v="Canada"/>
    <s v="South"/>
    <x v="0"/>
    <n v="1"/>
    <s v="Yes"/>
    <n v="0"/>
    <s v="Late"/>
    <x v="3"/>
    <x v="8"/>
  </r>
  <r>
    <s v="PO001660"/>
    <s v="SUP00057"/>
    <s v="PROD00164"/>
    <d v="2021-05-24T00:00:00"/>
    <n v="15"/>
    <n v="16.805091100496199"/>
    <d v="2021-06-15T00:00:00"/>
    <d v="2021-06-13T00:00:00"/>
    <n v="252.076366507443"/>
    <n v="-2"/>
    <x v="68"/>
    <s v="UK"/>
    <s v="South"/>
    <x v="3"/>
    <n v="1"/>
    <s v="Yes"/>
    <n v="1"/>
    <s v="On Time"/>
    <x v="1"/>
    <x v="3"/>
  </r>
  <r>
    <s v="PO001661"/>
    <s v="SUP00100"/>
    <s v="PROD00023"/>
    <d v="2022-02-05T00:00:00"/>
    <n v="7"/>
    <n v="9.0109324014189909"/>
    <d v="2022-02-24T00:00:00"/>
    <d v="2022-02-24T00:00:00"/>
    <n v="63.076526809932901"/>
    <n v="0"/>
    <x v="45"/>
    <s v="Canada"/>
    <s v="Central"/>
    <x v="1"/>
    <n v="0"/>
    <s v="No"/>
    <n v="1"/>
    <s v="On Time"/>
    <x v="3"/>
    <x v="9"/>
  </r>
  <r>
    <s v="PO001662"/>
    <s v="SUP00086"/>
    <s v="PROD00007"/>
    <d v="2024-01-04T00:00:00"/>
    <n v="5"/>
    <n v="23.633618725327398"/>
    <d v="2024-01-15T00:00:00"/>
    <d v="2024-01-19T00:00:00"/>
    <n v="118.168093626637"/>
    <n v="4"/>
    <x v="69"/>
    <s v="Denmark"/>
    <s v="South"/>
    <x v="0"/>
    <n v="1"/>
    <s v="Yes"/>
    <n v="0"/>
    <s v="Late"/>
    <x v="0"/>
    <x v="10"/>
  </r>
  <r>
    <s v="PO001663"/>
    <s v="SUP00006"/>
    <s v="PROD00146"/>
    <d v="2023-03-04T00:00:00"/>
    <n v="7"/>
    <n v="13.310885056024"/>
    <d v="2023-03-15T00:00:00"/>
    <d v="2023-03-15T00:00:00"/>
    <n v="93.176195392167998"/>
    <n v="0"/>
    <x v="78"/>
    <s v="USA"/>
    <s v="East"/>
    <x v="0"/>
    <n v="1"/>
    <s v="Yes"/>
    <n v="1"/>
    <s v="On Time"/>
    <x v="2"/>
    <x v="0"/>
  </r>
  <r>
    <s v="PO001664"/>
    <s v="SUP00079"/>
    <s v="PROD00052"/>
    <d v="2022-01-05T00:00:00"/>
    <n v="6"/>
    <n v="14.7657614550956"/>
    <d v="2022-01-23T00:00:00"/>
    <d v="2022-01-22T00:00:00"/>
    <n v="88.594568730573997"/>
    <n v="-1"/>
    <x v="55"/>
    <s v="Denmark"/>
    <s v="South"/>
    <x v="0"/>
    <n v="0"/>
    <s v="No"/>
    <n v="1"/>
    <s v="On Time"/>
    <x v="3"/>
    <x v="10"/>
  </r>
  <r>
    <s v="PO001665"/>
    <s v="SUP00034"/>
    <s v="PROD00095"/>
    <d v="2023-07-24T00:00:00"/>
    <n v="14"/>
    <n v="38.115655389451199"/>
    <d v="2023-08-17T00:00:00"/>
    <d v="2023-08-23T00:00:00"/>
    <n v="533.61917545231699"/>
    <n v="6"/>
    <x v="67"/>
    <s v="Brazil"/>
    <s v="North"/>
    <x v="1"/>
    <n v="1"/>
    <s v="Yes"/>
    <n v="0"/>
    <s v="Late"/>
    <x v="2"/>
    <x v="5"/>
  </r>
  <r>
    <s v="PO001666"/>
    <s v="SUP00083"/>
    <s v="PROD00019"/>
    <d v="2023-03-27T00:00:00"/>
    <n v="14"/>
    <n v="33.727313758875297"/>
    <d v="2023-04-12T00:00:00"/>
    <d v="2023-04-12T00:00:00"/>
    <n v="472.18239262425402"/>
    <n v="0"/>
    <x v="43"/>
    <s v="China"/>
    <s v="South"/>
    <x v="0"/>
    <n v="0"/>
    <s v="No"/>
    <n v="1"/>
    <s v="On Time"/>
    <x v="2"/>
    <x v="0"/>
  </r>
  <r>
    <s v="PO001667"/>
    <s v="SUP00037"/>
    <s v="PROD00111"/>
    <d v="2021-09-24T00:00:00"/>
    <n v="7"/>
    <n v="58.933142809311597"/>
    <d v="2021-10-06T00:00:00"/>
    <d v="2021-10-07T00:00:00"/>
    <n v="412.53199966518099"/>
    <n v="1"/>
    <x v="46"/>
    <s v="Denmark"/>
    <s v="East"/>
    <x v="1"/>
    <n v="0"/>
    <s v="No"/>
    <n v="0"/>
    <s v="Late"/>
    <x v="1"/>
    <x v="11"/>
  </r>
  <r>
    <s v="PO001668"/>
    <s v="SUP00019"/>
    <s v="PROD00144"/>
    <d v="2021-11-15T00:00:00"/>
    <n v="12"/>
    <n v="64.202855803077895"/>
    <d v="2021-12-08T00:00:00"/>
    <d v="2021-12-09T00:00:00"/>
    <n v="770.434269636934"/>
    <n v="1"/>
    <x v="63"/>
    <s v="Denmark"/>
    <s v="West"/>
    <x v="2"/>
    <n v="0"/>
    <s v="No"/>
    <n v="0"/>
    <s v="Late"/>
    <x v="1"/>
    <x v="6"/>
  </r>
  <r>
    <s v="PO001669"/>
    <s v="SUP00095"/>
    <s v="PROD00107"/>
    <d v="2021-10-10T00:00:00"/>
    <n v="7"/>
    <n v="8.2248843406608199"/>
    <d v="2021-10-23T00:00:00"/>
    <d v="2021-10-21T00:00:00"/>
    <n v="57.574190384625702"/>
    <n v="-2"/>
    <x v="74"/>
    <s v="China"/>
    <s v="Central"/>
    <x v="1"/>
    <n v="0"/>
    <s v="No"/>
    <n v="1"/>
    <s v="On Time"/>
    <x v="1"/>
    <x v="4"/>
  </r>
  <r>
    <s v="PO001670"/>
    <s v="SUP00054"/>
    <s v="PROD00025"/>
    <d v="2022-02-09T00:00:00"/>
    <n v="9"/>
    <n v="31.567424165133499"/>
    <d v="2022-02-23T00:00:00"/>
    <d v="2022-02-26T00:00:00"/>
    <n v="284.10681748620198"/>
    <n v="3"/>
    <x v="73"/>
    <s v="Canada"/>
    <s v="South"/>
    <x v="3"/>
    <n v="1"/>
    <s v="Yes"/>
    <n v="0"/>
    <s v="Late"/>
    <x v="3"/>
    <x v="9"/>
  </r>
  <r>
    <s v="PO001671"/>
    <s v="SUP00080"/>
    <s v="PROD00091"/>
    <d v="2022-11-20T00:00:00"/>
    <n v="7"/>
    <n v="15.564387869975301"/>
    <d v="2022-11-30T00:00:00"/>
    <d v="2022-11-29T00:00:00"/>
    <n v="108.950715089827"/>
    <n v="-1"/>
    <x v="70"/>
    <s v="USA"/>
    <s v="North"/>
    <x v="2"/>
    <n v="0"/>
    <s v="No"/>
    <n v="1"/>
    <s v="On Time"/>
    <x v="3"/>
    <x v="6"/>
  </r>
  <r>
    <s v="PO001672"/>
    <s v="SUP00035"/>
    <s v="PROD00015"/>
    <d v="2022-04-09T00:00:00"/>
    <n v="13"/>
    <n v="53.674989870230199"/>
    <d v="2022-04-19T00:00:00"/>
    <d v="2022-04-22T00:00:00"/>
    <n v="697.774868312992"/>
    <n v="3"/>
    <x v="25"/>
    <s v="Denmark"/>
    <s v="Central"/>
    <x v="1"/>
    <n v="1"/>
    <s v="Yes"/>
    <n v="0"/>
    <s v="Late"/>
    <x v="3"/>
    <x v="8"/>
  </r>
  <r>
    <s v="PO001673"/>
    <s v="SUP00052"/>
    <s v="PROD00120"/>
    <d v="2021-12-28T00:00:00"/>
    <n v="11"/>
    <n v="51.084041422435703"/>
    <d v="2022-01-10T00:00:00"/>
    <d v="2022-01-08T00:00:00"/>
    <n v="561.92445564679304"/>
    <n v="-2"/>
    <x v="80"/>
    <s v="Brazil"/>
    <s v="West"/>
    <x v="1"/>
    <n v="1"/>
    <s v="Yes"/>
    <n v="1"/>
    <s v="On Time"/>
    <x v="1"/>
    <x v="7"/>
  </r>
  <r>
    <s v="PO001674"/>
    <s v="SUP00076"/>
    <s v="PROD00002"/>
    <d v="2023-12-02T00:00:00"/>
    <n v="11"/>
    <n v="15.195235705912101"/>
    <d v="2023-12-24T00:00:00"/>
    <d v="2023-12-23T00:00:00"/>
    <n v="167.14759276503301"/>
    <n v="-1"/>
    <x v="89"/>
    <s v="USA"/>
    <s v="South"/>
    <x v="2"/>
    <n v="1"/>
    <s v="Yes"/>
    <n v="1"/>
    <s v="On Time"/>
    <x v="2"/>
    <x v="7"/>
  </r>
  <r>
    <s v="PO001675"/>
    <s v="SUP00080"/>
    <s v="PROD00021"/>
    <d v="2023-07-26T00:00:00"/>
    <n v="10"/>
    <n v="70.427994116134201"/>
    <d v="2023-08-07T00:00:00"/>
    <d v="2023-08-06T00:00:00"/>
    <n v="704.27994116134198"/>
    <n v="-1"/>
    <x v="70"/>
    <s v="USA"/>
    <s v="North"/>
    <x v="2"/>
    <n v="0"/>
    <s v="No"/>
    <n v="1"/>
    <s v="On Time"/>
    <x v="2"/>
    <x v="5"/>
  </r>
  <r>
    <s v="PO001676"/>
    <s v="SUP00049"/>
    <s v="PROD00107"/>
    <d v="2022-07-27T00:00:00"/>
    <n v="12"/>
    <n v="23.501504349444001"/>
    <d v="2022-08-08T00:00:00"/>
    <d v="2022-08-11T00:00:00"/>
    <n v="282.018052193328"/>
    <n v="3"/>
    <x v="71"/>
    <s v="Canada"/>
    <s v="East"/>
    <x v="0"/>
    <n v="1"/>
    <s v="Yes"/>
    <n v="0"/>
    <s v="Late"/>
    <x v="3"/>
    <x v="5"/>
  </r>
  <r>
    <s v="PO001677"/>
    <s v="SUP00082"/>
    <s v="PROD00003"/>
    <d v="2021-01-20T00:00:00"/>
    <n v="12"/>
    <n v="3.28935454678117"/>
    <d v="2021-02-04T00:00:00"/>
    <d v="2021-02-06T00:00:00"/>
    <n v="39.472254561374001"/>
    <n v="2"/>
    <x v="76"/>
    <s v="India"/>
    <s v="North"/>
    <x v="1"/>
    <n v="1"/>
    <s v="Yes"/>
    <n v="0"/>
    <s v="Late"/>
    <x v="1"/>
    <x v="10"/>
  </r>
  <r>
    <s v="PO001678"/>
    <s v="SUP00009"/>
    <s v="PROD00058"/>
    <d v="2023-05-08T00:00:00"/>
    <n v="13"/>
    <n v="58.546436856314699"/>
    <d v="2023-05-21T00:00:00"/>
    <d v="2023-05-27T00:00:00"/>
    <n v="761.10367913209097"/>
    <n v="6"/>
    <x v="95"/>
    <s v="China"/>
    <s v="North"/>
    <x v="1"/>
    <n v="1"/>
    <s v="Yes"/>
    <n v="0"/>
    <s v="Late"/>
    <x v="2"/>
    <x v="3"/>
  </r>
  <r>
    <s v="PO001679"/>
    <s v="SUP00084"/>
    <s v="PROD00173"/>
    <d v="2023-10-23T00:00:00"/>
    <n v="5"/>
    <n v="61.418827075058097"/>
    <d v="2023-11-16T00:00:00"/>
    <d v="2023-11-15T00:00:00"/>
    <n v="307.09413537529002"/>
    <n v="-1"/>
    <x v="35"/>
    <s v="Canada"/>
    <s v="West"/>
    <x v="1"/>
    <n v="1"/>
    <s v="Yes"/>
    <n v="1"/>
    <s v="On Time"/>
    <x v="2"/>
    <x v="4"/>
  </r>
  <r>
    <s v="PO001680"/>
    <s v="SUP00042"/>
    <s v="PROD00016"/>
    <d v="2022-09-05T00:00:00"/>
    <n v="13"/>
    <n v="60.385328067930097"/>
    <d v="2022-09-21T00:00:00"/>
    <d v="2022-09-23T00:00:00"/>
    <n v="785.00926488309199"/>
    <n v="2"/>
    <x v="64"/>
    <s v="India"/>
    <s v="West"/>
    <x v="2"/>
    <n v="0"/>
    <s v="No"/>
    <n v="0"/>
    <s v="Late"/>
    <x v="3"/>
    <x v="11"/>
  </r>
  <r>
    <s v="PO001681"/>
    <s v="SUP00074"/>
    <s v="PROD00120"/>
    <d v="2021-03-21T00:00:00"/>
    <n v="8"/>
    <n v="71.369398281619993"/>
    <d v="2021-04-03T00:00:00"/>
    <d v="2021-03-31T00:00:00"/>
    <n v="570.95518625295995"/>
    <n v="-3"/>
    <x v="48"/>
    <s v="Canada"/>
    <s v="South"/>
    <x v="0"/>
    <n v="1"/>
    <s v="Yes"/>
    <n v="1"/>
    <s v="On Time"/>
    <x v="1"/>
    <x v="0"/>
  </r>
  <r>
    <s v="PO001682"/>
    <s v="SUP00042"/>
    <s v="PROD00161"/>
    <d v="2021-03-08T00:00:00"/>
    <n v="9"/>
    <n v="21.663779614241999"/>
    <d v="2021-03-20T00:00:00"/>
    <d v="2021-03-25T00:00:00"/>
    <n v="194.974016528178"/>
    <n v="5"/>
    <x v="64"/>
    <s v="India"/>
    <s v="West"/>
    <x v="2"/>
    <n v="0"/>
    <s v="No"/>
    <n v="0"/>
    <s v="Late"/>
    <x v="1"/>
    <x v="0"/>
  </r>
  <r>
    <s v="PO001683"/>
    <s v="SUP00070"/>
    <s v="PROD00003"/>
    <d v="2023-03-05T00:00:00"/>
    <n v="8"/>
    <n v="64.187021934982099"/>
    <d v="2023-03-16T00:00:00"/>
    <d v="2023-03-21T00:00:00"/>
    <n v="513.49617547985702"/>
    <n v="5"/>
    <x v="32"/>
    <s v="USA"/>
    <s v="Central"/>
    <x v="3"/>
    <n v="0"/>
    <s v="No"/>
    <n v="0"/>
    <s v="Late"/>
    <x v="2"/>
    <x v="0"/>
  </r>
  <r>
    <s v="PO001684"/>
    <s v="SUP00077"/>
    <s v="PROD00137"/>
    <d v="2021-04-03T00:00:00"/>
    <n v="6"/>
    <n v="26.1234099439475"/>
    <d v="2021-04-16T00:00:00"/>
    <d v="2021-04-22T00:00:00"/>
    <n v="156.74045966368499"/>
    <n v="6"/>
    <x v="10"/>
    <s v="India"/>
    <s v="West"/>
    <x v="1"/>
    <n v="0"/>
    <s v="No"/>
    <n v="0"/>
    <s v="Late"/>
    <x v="1"/>
    <x v="8"/>
  </r>
  <r>
    <s v="PO001685"/>
    <s v="SUP00028"/>
    <s v="PROD00104"/>
    <d v="2022-06-01T00:00:00"/>
    <n v="10"/>
    <n v="48.9834681881823"/>
    <d v="2022-06-22T00:00:00"/>
    <d v="2022-06-25T00:00:00"/>
    <n v="489.83468188182297"/>
    <n v="3"/>
    <x v="92"/>
    <s v="Canada"/>
    <s v="East"/>
    <x v="3"/>
    <n v="0"/>
    <s v="No"/>
    <n v="0"/>
    <s v="Late"/>
    <x v="3"/>
    <x v="1"/>
  </r>
  <r>
    <s v="PO001686"/>
    <s v="SUP00042"/>
    <s v="PROD00199"/>
    <d v="2021-03-26T00:00:00"/>
    <n v="11"/>
    <n v="9.3593807211797007"/>
    <d v="2021-04-19T00:00:00"/>
    <d v="2021-04-17T00:00:00"/>
    <n v="102.95318793297599"/>
    <n v="-2"/>
    <x v="64"/>
    <s v="India"/>
    <s v="West"/>
    <x v="2"/>
    <n v="0"/>
    <s v="No"/>
    <n v="1"/>
    <s v="On Time"/>
    <x v="1"/>
    <x v="0"/>
  </r>
  <r>
    <s v="PO001687"/>
    <s v="SUP00086"/>
    <s v="PROD00133"/>
    <d v="2023-09-10T00:00:00"/>
    <n v="15"/>
    <n v="29.513874293965898"/>
    <d v="2023-09-21T00:00:00"/>
    <d v="2023-09-27T00:00:00"/>
    <n v="442.70811440948899"/>
    <n v="6"/>
    <x v="69"/>
    <s v="Denmark"/>
    <s v="South"/>
    <x v="0"/>
    <n v="1"/>
    <s v="Yes"/>
    <n v="0"/>
    <s v="Late"/>
    <x v="2"/>
    <x v="11"/>
  </r>
  <r>
    <s v="PO001688"/>
    <s v="SUP00057"/>
    <s v="PROD00161"/>
    <d v="2021-08-25T00:00:00"/>
    <n v="16"/>
    <n v="71.471306818196794"/>
    <d v="2021-09-05T00:00:00"/>
    <d v="2021-09-02T00:00:00"/>
    <n v="1143.5409090911501"/>
    <n v="-3"/>
    <x v="68"/>
    <s v="UK"/>
    <s v="South"/>
    <x v="3"/>
    <n v="1"/>
    <s v="Yes"/>
    <n v="1"/>
    <s v="On Time"/>
    <x v="1"/>
    <x v="2"/>
  </r>
  <r>
    <s v="PO001689"/>
    <s v="SUP00006"/>
    <s v="PROD00122"/>
    <d v="2022-05-06T00:00:00"/>
    <n v="12"/>
    <n v="25.701302748679801"/>
    <d v="2022-05-29T00:00:00"/>
    <d v="2022-05-28T00:00:00"/>
    <n v="308.41563298415798"/>
    <n v="-1"/>
    <x v="78"/>
    <s v="USA"/>
    <s v="East"/>
    <x v="0"/>
    <n v="1"/>
    <s v="Yes"/>
    <n v="1"/>
    <s v="On Time"/>
    <x v="3"/>
    <x v="3"/>
  </r>
  <r>
    <s v="PO001690"/>
    <s v="SUP00088"/>
    <s v="PROD00160"/>
    <d v="2021-05-05T00:00:00"/>
    <n v="13"/>
    <n v="59.124097919539402"/>
    <d v="2021-05-23T00:00:00"/>
    <d v="2021-05-27T00:00:00"/>
    <n v="768.61327295401304"/>
    <n v="4"/>
    <x v="41"/>
    <s v="Brazil"/>
    <s v="East"/>
    <x v="3"/>
    <n v="0"/>
    <s v="No"/>
    <n v="0"/>
    <s v="Late"/>
    <x v="1"/>
    <x v="3"/>
  </r>
  <r>
    <s v="PO001691"/>
    <s v="SUP00048"/>
    <s v="PROD00156"/>
    <d v="2022-01-16T00:00:00"/>
    <n v="14"/>
    <n v="77.513194378864597"/>
    <d v="2022-02-04T00:00:00"/>
    <d v="2022-02-10T00:00:00"/>
    <n v="1085.1847213041001"/>
    <n v="6"/>
    <x v="4"/>
    <s v="Denmark"/>
    <s v="West"/>
    <x v="2"/>
    <n v="1"/>
    <s v="Yes"/>
    <n v="0"/>
    <s v="Late"/>
    <x v="3"/>
    <x v="10"/>
  </r>
  <r>
    <s v="PO001692"/>
    <s v="SUP00071"/>
    <s v="PROD00169"/>
    <d v="2022-05-07T00:00:00"/>
    <n v="12"/>
    <n v="43.021437660635101"/>
    <d v="2022-05-21T00:00:00"/>
    <d v="2022-05-21T00:00:00"/>
    <n v="516.25725192762104"/>
    <n v="0"/>
    <x v="50"/>
    <s v="Denmark"/>
    <s v="South"/>
    <x v="3"/>
    <n v="1"/>
    <s v="Yes"/>
    <n v="1"/>
    <s v="On Time"/>
    <x v="3"/>
    <x v="3"/>
  </r>
  <r>
    <s v="PO001693"/>
    <s v="SUP00082"/>
    <s v="PROD00153"/>
    <d v="2022-01-13T00:00:00"/>
    <n v="10"/>
    <n v="17.106617900579401"/>
    <d v="2022-02-04T00:00:00"/>
    <d v="2022-02-01T00:00:00"/>
    <n v="171.066179005794"/>
    <n v="-3"/>
    <x v="76"/>
    <s v="India"/>
    <s v="North"/>
    <x v="1"/>
    <n v="1"/>
    <s v="Yes"/>
    <n v="1"/>
    <s v="On Time"/>
    <x v="3"/>
    <x v="10"/>
  </r>
  <r>
    <s v="PO001694"/>
    <s v="SUP00060"/>
    <s v="PROD00064"/>
    <d v="2024-03-31T00:00:00"/>
    <n v="8"/>
    <n v="15.6865379799787"/>
    <d v="2024-04-17T00:00:00"/>
    <d v="2024-04-18T00:00:00"/>
    <n v="125.49230383983"/>
    <n v="1"/>
    <x v="85"/>
    <s v="UK"/>
    <s v="North"/>
    <x v="3"/>
    <n v="1"/>
    <s v="Yes"/>
    <n v="0"/>
    <s v="Late"/>
    <x v="0"/>
    <x v="0"/>
  </r>
  <r>
    <s v="PO001695"/>
    <s v="SUP00001"/>
    <s v="PROD00080"/>
    <d v="2023-05-29T00:00:00"/>
    <n v="9"/>
    <n v="8.7800962662021291"/>
    <d v="2023-06-18T00:00:00"/>
    <d v="2023-06-23T00:00:00"/>
    <n v="79.020866395819198"/>
    <n v="5"/>
    <x v="36"/>
    <s v="USA"/>
    <s v="West"/>
    <x v="3"/>
    <n v="0"/>
    <s v="No"/>
    <n v="0"/>
    <s v="Late"/>
    <x v="2"/>
    <x v="3"/>
  </r>
  <r>
    <s v="PO001696"/>
    <s v="SUP00042"/>
    <s v="PROD00097"/>
    <d v="2022-05-21T00:00:00"/>
    <n v="12"/>
    <n v="15.5640190266282"/>
    <d v="2022-06-08T00:00:00"/>
    <d v="2022-06-06T00:00:00"/>
    <n v="186.768228319538"/>
    <n v="-2"/>
    <x v="64"/>
    <s v="India"/>
    <s v="West"/>
    <x v="2"/>
    <n v="0"/>
    <s v="No"/>
    <n v="1"/>
    <s v="On Time"/>
    <x v="3"/>
    <x v="3"/>
  </r>
  <r>
    <s v="PO001697"/>
    <s v="SUP00020"/>
    <s v="PROD00021"/>
    <d v="2023-02-27T00:00:00"/>
    <n v="15"/>
    <n v="54.590075930393802"/>
    <d v="2023-03-17T00:00:00"/>
    <d v="2023-03-19T00:00:00"/>
    <n v="818.851138955907"/>
    <n v="2"/>
    <x v="21"/>
    <s v="Canada"/>
    <s v="Central"/>
    <x v="3"/>
    <n v="1"/>
    <s v="Yes"/>
    <n v="0"/>
    <s v="Late"/>
    <x v="2"/>
    <x v="9"/>
  </r>
  <r>
    <s v="PO001698"/>
    <s v="SUP00021"/>
    <s v="PROD00100"/>
    <d v="2021-07-26T00:00:00"/>
    <n v="12"/>
    <n v="74.426186774102604"/>
    <d v="2021-08-12T00:00:00"/>
    <d v="2021-08-14T00:00:00"/>
    <n v="893.11424128923102"/>
    <n v="2"/>
    <x v="19"/>
    <s v="Germany"/>
    <s v="Central"/>
    <x v="1"/>
    <n v="1"/>
    <s v="Yes"/>
    <n v="0"/>
    <s v="Late"/>
    <x v="1"/>
    <x v="5"/>
  </r>
  <r>
    <s v="PO001699"/>
    <s v="SUP00071"/>
    <s v="PROD00073"/>
    <d v="2022-07-28T00:00:00"/>
    <n v="14"/>
    <n v="54.793197223125098"/>
    <d v="2022-08-07T00:00:00"/>
    <d v="2022-08-10T00:00:00"/>
    <n v="767.10476112375204"/>
    <n v="3"/>
    <x v="50"/>
    <s v="Denmark"/>
    <s v="South"/>
    <x v="3"/>
    <n v="1"/>
    <s v="Yes"/>
    <n v="0"/>
    <s v="Late"/>
    <x v="3"/>
    <x v="5"/>
  </r>
  <r>
    <s v="PO001700"/>
    <s v="SUP00083"/>
    <s v="PROD00146"/>
    <d v="2022-05-30T00:00:00"/>
    <n v="16"/>
    <n v="15.5440566417348"/>
    <d v="2022-06-09T00:00:00"/>
    <d v="2022-06-07T00:00:00"/>
    <n v="248.704906267756"/>
    <n v="-2"/>
    <x v="43"/>
    <s v="China"/>
    <s v="South"/>
    <x v="0"/>
    <n v="0"/>
    <s v="No"/>
    <n v="1"/>
    <s v="On Time"/>
    <x v="3"/>
    <x v="3"/>
  </r>
  <r>
    <s v="PO001701"/>
    <s v="SUP00072"/>
    <s v="PROD00034"/>
    <d v="2024-02-14T00:00:00"/>
    <n v="5"/>
    <n v="30.218944520401799"/>
    <d v="2024-02-29T00:00:00"/>
    <d v="2024-03-03T00:00:00"/>
    <n v="151.094722602009"/>
    <n v="3"/>
    <x v="83"/>
    <s v="India"/>
    <s v="Central"/>
    <x v="1"/>
    <n v="0"/>
    <s v="No"/>
    <n v="0"/>
    <s v="Late"/>
    <x v="0"/>
    <x v="9"/>
  </r>
  <r>
    <s v="PO001702"/>
    <s v="SUP00032"/>
    <s v="PROD00137"/>
    <d v="2021-05-05T00:00:00"/>
    <n v="13"/>
    <n v="45.080733486979703"/>
    <d v="2021-05-23T00:00:00"/>
    <d v="2021-05-27T00:00:00"/>
    <n v="586.04953533073603"/>
    <n v="4"/>
    <x v="15"/>
    <s v="Germany"/>
    <s v="South"/>
    <x v="0"/>
    <n v="0"/>
    <s v="No"/>
    <n v="0"/>
    <s v="Late"/>
    <x v="1"/>
    <x v="3"/>
  </r>
  <r>
    <s v="PO001703"/>
    <s v="SUP00098"/>
    <s v="PROD00148"/>
    <d v="2021-09-03T00:00:00"/>
    <n v="5"/>
    <n v="69.356163977538998"/>
    <d v="2021-09-23T00:00:00"/>
    <d v="2021-09-25T00:00:00"/>
    <n v="346.78081988769497"/>
    <n v="2"/>
    <x v="38"/>
    <s v="Germany"/>
    <s v="North"/>
    <x v="3"/>
    <n v="1"/>
    <s v="Yes"/>
    <n v="0"/>
    <s v="Late"/>
    <x v="1"/>
    <x v="11"/>
  </r>
  <r>
    <s v="PO001704"/>
    <s v="SUP00091"/>
    <s v="PROD00110"/>
    <d v="2024-01-10T00:00:00"/>
    <n v="8"/>
    <n v="31.180780514769101"/>
    <d v="2024-01-30T00:00:00"/>
    <d v="2024-01-28T00:00:00"/>
    <n v="249.446244118153"/>
    <n v="-2"/>
    <x v="77"/>
    <s v="China"/>
    <s v="South"/>
    <x v="1"/>
    <n v="0"/>
    <s v="No"/>
    <n v="1"/>
    <s v="On Time"/>
    <x v="0"/>
    <x v="10"/>
  </r>
  <r>
    <s v="PO001705"/>
    <s v="SUP00061"/>
    <s v="PROD00197"/>
    <d v="2022-01-07T00:00:00"/>
    <n v="6"/>
    <n v="22.201746251620499"/>
    <d v="2022-01-17T00:00:00"/>
    <d v="2022-01-16T00:00:00"/>
    <n v="133.21047750972301"/>
    <n v="-1"/>
    <x v="71"/>
    <s v="India"/>
    <s v="South"/>
    <x v="2"/>
    <n v="0"/>
    <s v="No"/>
    <n v="1"/>
    <s v="On Time"/>
    <x v="3"/>
    <x v="10"/>
  </r>
  <r>
    <s v="PO001706"/>
    <s v="SUP00014"/>
    <s v="PROD00123"/>
    <d v="2021-02-08T00:00:00"/>
    <n v="9"/>
    <n v="19.6638967308498"/>
    <d v="2021-03-01T00:00:00"/>
    <d v="2021-03-02T00:00:00"/>
    <n v="176.97507057764801"/>
    <n v="1"/>
    <x v="59"/>
    <s v="Germany"/>
    <s v="West"/>
    <x v="1"/>
    <n v="0"/>
    <s v="No"/>
    <n v="0"/>
    <s v="Late"/>
    <x v="1"/>
    <x v="9"/>
  </r>
  <r>
    <s v="PO001707"/>
    <s v="SUP00058"/>
    <s v="PROD00032"/>
    <d v="2023-08-04T00:00:00"/>
    <n v="12"/>
    <n v="62.323356794350197"/>
    <d v="2023-08-27T00:00:00"/>
    <d v="2023-08-27T00:00:00"/>
    <n v="747.88028153220296"/>
    <n v="0"/>
    <x v="86"/>
    <s v="China"/>
    <s v="East"/>
    <x v="2"/>
    <n v="1"/>
    <s v="Yes"/>
    <n v="1"/>
    <s v="On Time"/>
    <x v="2"/>
    <x v="2"/>
  </r>
  <r>
    <s v="PO001708"/>
    <s v="SUP00083"/>
    <s v="PROD00058"/>
    <d v="2022-04-17T00:00:00"/>
    <n v="9"/>
    <n v="36.004643740197999"/>
    <d v="2022-05-02T00:00:00"/>
    <d v="2022-04-29T00:00:00"/>
    <n v="324.04179366178198"/>
    <n v="-3"/>
    <x v="43"/>
    <s v="China"/>
    <s v="South"/>
    <x v="0"/>
    <n v="0"/>
    <s v="No"/>
    <n v="1"/>
    <s v="On Time"/>
    <x v="3"/>
    <x v="8"/>
  </r>
  <r>
    <s v="PO001709"/>
    <s v="SUP00096"/>
    <s v="PROD00182"/>
    <d v="2022-10-19T00:00:00"/>
    <n v="13"/>
    <n v="14.1510727318986"/>
    <d v="2022-11-04T00:00:00"/>
    <d v="2022-11-04T00:00:00"/>
    <n v="183.963945514682"/>
    <n v="0"/>
    <x v="26"/>
    <s v="India"/>
    <s v="South"/>
    <x v="1"/>
    <n v="0"/>
    <s v="No"/>
    <n v="1"/>
    <s v="On Time"/>
    <x v="3"/>
    <x v="4"/>
  </r>
  <r>
    <s v="PO001710"/>
    <s v="SUP00028"/>
    <s v="PROD00066"/>
    <d v="2021-02-20T00:00:00"/>
    <n v="12"/>
    <n v="65.390404333690398"/>
    <d v="2021-03-11T00:00:00"/>
    <d v="2021-03-16T00:00:00"/>
    <n v="784.68485200428495"/>
    <n v="5"/>
    <x v="92"/>
    <s v="Canada"/>
    <s v="East"/>
    <x v="3"/>
    <n v="0"/>
    <s v="No"/>
    <n v="0"/>
    <s v="Late"/>
    <x v="1"/>
    <x v="9"/>
  </r>
  <r>
    <s v="PO001711"/>
    <s v="SUP00019"/>
    <s v="PROD00065"/>
    <d v="2022-12-25T00:00:00"/>
    <n v="11"/>
    <n v="4.9739610453905403"/>
    <d v="2023-01-16T00:00:00"/>
    <d v="2023-01-15T00:00:00"/>
    <n v="54.713571499296002"/>
    <n v="-1"/>
    <x v="63"/>
    <s v="Denmark"/>
    <s v="West"/>
    <x v="2"/>
    <n v="0"/>
    <s v="No"/>
    <n v="1"/>
    <s v="On Time"/>
    <x v="3"/>
    <x v="7"/>
  </r>
  <r>
    <s v="PO001712"/>
    <s v="SUP00027"/>
    <s v="PROD00169"/>
    <d v="2023-11-14T00:00:00"/>
    <n v="8"/>
    <n v="31.155637392331499"/>
    <d v="2023-12-04T00:00:00"/>
    <d v="2023-12-02T00:00:00"/>
    <n v="249.24509913865199"/>
    <n v="-2"/>
    <x v="53"/>
    <s v="Brazil"/>
    <s v="Central"/>
    <x v="0"/>
    <n v="0"/>
    <s v="No"/>
    <n v="1"/>
    <s v="On Time"/>
    <x v="2"/>
    <x v="6"/>
  </r>
  <r>
    <s v="PO001713"/>
    <s v="SUP00081"/>
    <s v="PROD00190"/>
    <d v="2022-01-04T00:00:00"/>
    <n v="14"/>
    <n v="19.539920956273999"/>
    <d v="2022-01-26T00:00:00"/>
    <d v="2022-01-23T00:00:00"/>
    <n v="273.55889338783601"/>
    <n v="-3"/>
    <x v="66"/>
    <s v="India"/>
    <s v="Central"/>
    <x v="0"/>
    <n v="1"/>
    <s v="Yes"/>
    <n v="1"/>
    <s v="On Time"/>
    <x v="3"/>
    <x v="10"/>
  </r>
  <r>
    <s v="PO001714"/>
    <s v="SUP00059"/>
    <s v="PROD00173"/>
    <d v="2024-03-02T00:00:00"/>
    <n v="6"/>
    <n v="57.539131856251402"/>
    <d v="2024-03-16T00:00:00"/>
    <d v="2024-03-16T00:00:00"/>
    <n v="345.23479113750801"/>
    <n v="0"/>
    <x v="0"/>
    <s v="India"/>
    <s v="North"/>
    <x v="0"/>
    <n v="0"/>
    <s v="No"/>
    <n v="1"/>
    <s v="On Time"/>
    <x v="0"/>
    <x v="0"/>
  </r>
  <r>
    <s v="PO001715"/>
    <s v="SUP00074"/>
    <s v="PROD00163"/>
    <d v="2021-02-03T00:00:00"/>
    <n v="11"/>
    <n v="64.243881969358995"/>
    <d v="2021-02-19T00:00:00"/>
    <d v="2021-02-25T00:00:00"/>
    <n v="706.68270166294894"/>
    <n v="6"/>
    <x v="48"/>
    <s v="Canada"/>
    <s v="South"/>
    <x v="0"/>
    <n v="1"/>
    <s v="Yes"/>
    <n v="0"/>
    <s v="Late"/>
    <x v="1"/>
    <x v="9"/>
  </r>
  <r>
    <s v="PO001716"/>
    <s v="SUP00025"/>
    <s v="PROD00079"/>
    <d v="2023-12-23T00:00:00"/>
    <n v="15"/>
    <n v="43.533054045230301"/>
    <d v="2024-01-11T00:00:00"/>
    <d v="2024-01-09T00:00:00"/>
    <n v="652.99581067845497"/>
    <n v="-2"/>
    <x v="6"/>
    <s v="Denmark"/>
    <s v="Central"/>
    <x v="2"/>
    <n v="0"/>
    <s v="No"/>
    <n v="1"/>
    <s v="On Time"/>
    <x v="2"/>
    <x v="7"/>
  </r>
  <r>
    <s v="PO001717"/>
    <s v="SUP00085"/>
    <s v="PROD00008"/>
    <d v="2024-04-07T00:00:00"/>
    <n v="10"/>
    <n v="73.101784642100696"/>
    <d v="2024-04-25T00:00:00"/>
    <d v="2024-04-27T00:00:00"/>
    <n v="731.01784642100699"/>
    <n v="2"/>
    <x v="1"/>
    <s v="Germany"/>
    <s v="Central"/>
    <x v="1"/>
    <n v="1"/>
    <s v="Yes"/>
    <n v="0"/>
    <s v="Late"/>
    <x v="0"/>
    <x v="8"/>
  </r>
  <r>
    <s v="PO001718"/>
    <s v="SUP00059"/>
    <s v="PROD00023"/>
    <d v="2022-03-10T00:00:00"/>
    <n v="9"/>
    <n v="37.8687517992363"/>
    <d v="2022-04-02T00:00:00"/>
    <d v="2022-04-05T00:00:00"/>
    <n v="340.81876619312601"/>
    <n v="3"/>
    <x v="0"/>
    <s v="India"/>
    <s v="North"/>
    <x v="0"/>
    <n v="0"/>
    <s v="No"/>
    <n v="0"/>
    <s v="Late"/>
    <x v="3"/>
    <x v="0"/>
  </r>
  <r>
    <s v="PO001719"/>
    <s v="SUP00100"/>
    <s v="PROD00136"/>
    <d v="2023-12-30T00:00:00"/>
    <n v="15"/>
    <n v="14.1488783751114"/>
    <d v="2024-01-12T00:00:00"/>
    <d v="2024-01-13T00:00:00"/>
    <n v="212.233175626671"/>
    <n v="1"/>
    <x v="45"/>
    <s v="Canada"/>
    <s v="Central"/>
    <x v="1"/>
    <n v="0"/>
    <s v="No"/>
    <n v="0"/>
    <s v="Late"/>
    <x v="2"/>
    <x v="7"/>
  </r>
  <r>
    <s v="PO001720"/>
    <s v="SUP00035"/>
    <s v="PROD00032"/>
    <d v="2023-12-27T00:00:00"/>
    <n v="12"/>
    <n v="19.3178434771376"/>
    <d v="2024-01-19T00:00:00"/>
    <d v="2024-01-21T00:00:00"/>
    <n v="231.81412172565101"/>
    <n v="2"/>
    <x v="25"/>
    <s v="Denmark"/>
    <s v="Central"/>
    <x v="1"/>
    <n v="1"/>
    <s v="Yes"/>
    <n v="0"/>
    <s v="Late"/>
    <x v="2"/>
    <x v="7"/>
  </r>
  <r>
    <s v="PO001721"/>
    <s v="SUP00052"/>
    <s v="PROD00162"/>
    <d v="2023-03-24T00:00:00"/>
    <n v="13"/>
    <n v="57.084266430798202"/>
    <d v="2023-04-11T00:00:00"/>
    <d v="2023-04-17T00:00:00"/>
    <n v="742.095463600377"/>
    <n v="6"/>
    <x v="80"/>
    <s v="Brazil"/>
    <s v="West"/>
    <x v="1"/>
    <n v="1"/>
    <s v="Yes"/>
    <n v="0"/>
    <s v="Late"/>
    <x v="2"/>
    <x v="0"/>
  </r>
  <r>
    <s v="PO001722"/>
    <s v="SUP00085"/>
    <s v="PROD00143"/>
    <d v="2021-04-27T00:00:00"/>
    <n v="14"/>
    <n v="51.853640331429801"/>
    <d v="2021-05-09T00:00:00"/>
    <d v="2021-05-08T00:00:00"/>
    <n v="725.95096464001699"/>
    <n v="-1"/>
    <x v="1"/>
    <s v="Germany"/>
    <s v="Central"/>
    <x v="1"/>
    <n v="1"/>
    <s v="Yes"/>
    <n v="1"/>
    <s v="On Time"/>
    <x v="1"/>
    <x v="8"/>
  </r>
  <r>
    <s v="PO001723"/>
    <s v="SUP00008"/>
    <s v="PROD00111"/>
    <d v="2023-10-20T00:00:00"/>
    <n v="15"/>
    <n v="56.3188642694208"/>
    <d v="2023-10-31T00:00:00"/>
    <d v="2023-11-02T00:00:00"/>
    <n v="844.78296404131299"/>
    <n v="2"/>
    <x v="79"/>
    <s v="USA"/>
    <s v="Central"/>
    <x v="3"/>
    <n v="0"/>
    <s v="No"/>
    <n v="0"/>
    <s v="Late"/>
    <x v="2"/>
    <x v="4"/>
  </r>
  <r>
    <s v="PO001724"/>
    <s v="SUP00035"/>
    <s v="PROD00073"/>
    <d v="2023-09-22T00:00:00"/>
    <n v="9"/>
    <n v="33.911083044491299"/>
    <d v="2023-10-13T00:00:00"/>
    <d v="2023-10-14T00:00:00"/>
    <n v="305.19974740042198"/>
    <n v="1"/>
    <x v="25"/>
    <s v="Denmark"/>
    <s v="Central"/>
    <x v="1"/>
    <n v="1"/>
    <s v="Yes"/>
    <n v="0"/>
    <s v="Late"/>
    <x v="2"/>
    <x v="11"/>
  </r>
  <r>
    <s v="PO001725"/>
    <s v="SUP00082"/>
    <s v="PROD00068"/>
    <d v="2023-08-22T00:00:00"/>
    <n v="19"/>
    <n v="25.1646181588136"/>
    <d v="2023-09-10T00:00:00"/>
    <d v="2023-09-12T00:00:00"/>
    <n v="478.12774501745901"/>
    <n v="2"/>
    <x v="76"/>
    <s v="India"/>
    <s v="North"/>
    <x v="1"/>
    <n v="1"/>
    <s v="Yes"/>
    <n v="0"/>
    <s v="Late"/>
    <x v="2"/>
    <x v="2"/>
  </r>
  <r>
    <s v="PO001726"/>
    <s v="SUP00059"/>
    <s v="PROD00093"/>
    <d v="2022-11-08T00:00:00"/>
    <n v="13"/>
    <n v="19.3899058638012"/>
    <d v="2022-11-30T00:00:00"/>
    <d v="2022-12-05T00:00:00"/>
    <n v="252.06877622941599"/>
    <n v="5"/>
    <x v="0"/>
    <s v="India"/>
    <s v="North"/>
    <x v="0"/>
    <n v="0"/>
    <s v="No"/>
    <n v="0"/>
    <s v="Late"/>
    <x v="3"/>
    <x v="6"/>
  </r>
  <r>
    <s v="PO001727"/>
    <s v="SUP00082"/>
    <s v="PROD00036"/>
    <d v="2021-12-02T00:00:00"/>
    <n v="11"/>
    <n v="21.053350565141699"/>
    <d v="2021-12-15T00:00:00"/>
    <d v="2021-12-16T00:00:00"/>
    <n v="231.586856216559"/>
    <n v="1"/>
    <x v="76"/>
    <s v="India"/>
    <s v="North"/>
    <x v="1"/>
    <n v="1"/>
    <s v="Yes"/>
    <n v="0"/>
    <s v="Late"/>
    <x v="1"/>
    <x v="7"/>
  </r>
  <r>
    <s v="PO001728"/>
    <s v="SUP00038"/>
    <s v="PROD00197"/>
    <d v="2023-11-15T00:00:00"/>
    <n v="11"/>
    <n v="70.105586429650501"/>
    <d v="2023-12-07T00:00:00"/>
    <d v="2023-12-13T00:00:00"/>
    <n v="771.16145072615598"/>
    <n v="6"/>
    <x v="34"/>
    <s v="Germany"/>
    <s v="South"/>
    <x v="1"/>
    <n v="0"/>
    <s v="No"/>
    <n v="0"/>
    <s v="Late"/>
    <x v="2"/>
    <x v="6"/>
  </r>
  <r>
    <s v="PO001729"/>
    <s v="SUP00076"/>
    <s v="PROD00110"/>
    <d v="2023-03-14T00:00:00"/>
    <n v="11"/>
    <n v="77.999275463694701"/>
    <d v="2023-03-27T00:00:00"/>
    <d v="2023-03-26T00:00:00"/>
    <n v="857.99203010064105"/>
    <n v="-1"/>
    <x v="89"/>
    <s v="USA"/>
    <s v="South"/>
    <x v="2"/>
    <n v="1"/>
    <s v="Yes"/>
    <n v="1"/>
    <s v="On Time"/>
    <x v="2"/>
    <x v="0"/>
  </r>
  <r>
    <s v="PO001730"/>
    <s v="SUP00051"/>
    <s v="PROD00111"/>
    <d v="2021-11-28T00:00:00"/>
    <n v="10"/>
    <n v="67.388918004383896"/>
    <d v="2021-12-11T00:00:00"/>
    <d v="2021-12-17T00:00:00"/>
    <n v="673.88918004383902"/>
    <n v="6"/>
    <x v="57"/>
    <s v="UK"/>
    <s v="South"/>
    <x v="1"/>
    <n v="0"/>
    <s v="No"/>
    <n v="0"/>
    <s v="Late"/>
    <x v="1"/>
    <x v="6"/>
  </r>
  <r>
    <s v="PO001731"/>
    <s v="SUP00076"/>
    <s v="PROD00098"/>
    <d v="2023-08-02T00:00:00"/>
    <n v="6"/>
    <n v="71.374715787906197"/>
    <d v="2023-08-14T00:00:00"/>
    <d v="2023-08-13T00:00:00"/>
    <n v="428.24829472743698"/>
    <n v="-1"/>
    <x v="89"/>
    <s v="USA"/>
    <s v="South"/>
    <x v="2"/>
    <n v="1"/>
    <s v="Yes"/>
    <n v="1"/>
    <s v="On Time"/>
    <x v="2"/>
    <x v="2"/>
  </r>
  <r>
    <s v="PO001732"/>
    <s v="SUP00022"/>
    <s v="PROD00117"/>
    <d v="2023-01-16T00:00:00"/>
    <n v="5"/>
    <n v="19.1507663938002"/>
    <d v="2023-01-27T00:00:00"/>
    <d v="2023-01-25T00:00:00"/>
    <n v="95.753831969000998"/>
    <n v="-2"/>
    <x v="60"/>
    <s v="India"/>
    <s v="South"/>
    <x v="1"/>
    <n v="0"/>
    <s v="No"/>
    <n v="1"/>
    <s v="On Time"/>
    <x v="2"/>
    <x v="10"/>
  </r>
  <r>
    <s v="PO001733"/>
    <s v="SUP00059"/>
    <s v="PROD00101"/>
    <d v="2024-01-29T00:00:00"/>
    <n v="11"/>
    <n v="8.7045903320704401"/>
    <d v="2024-02-12T00:00:00"/>
    <d v="2024-02-12T00:00:00"/>
    <n v="95.750493652774907"/>
    <n v="0"/>
    <x v="0"/>
    <s v="India"/>
    <s v="North"/>
    <x v="0"/>
    <n v="0"/>
    <s v="No"/>
    <n v="1"/>
    <s v="On Time"/>
    <x v="0"/>
    <x v="10"/>
  </r>
  <r>
    <s v="PO001734"/>
    <s v="SUP00020"/>
    <s v="PROD00079"/>
    <d v="2024-03-01T00:00:00"/>
    <n v="12"/>
    <n v="21.179426526231801"/>
    <d v="2024-03-16T00:00:00"/>
    <d v="2024-03-19T00:00:00"/>
    <n v="254.15311831478201"/>
    <n v="3"/>
    <x v="21"/>
    <s v="Canada"/>
    <s v="Central"/>
    <x v="3"/>
    <n v="1"/>
    <s v="Yes"/>
    <n v="0"/>
    <s v="Late"/>
    <x v="0"/>
    <x v="0"/>
  </r>
  <r>
    <s v="PO001735"/>
    <s v="SUP00063"/>
    <s v="PROD00010"/>
    <d v="2021-08-19T00:00:00"/>
    <n v="6"/>
    <n v="36.424895317900898"/>
    <d v="2021-09-06T00:00:00"/>
    <d v="2021-09-03T00:00:00"/>
    <n v="218.549371907405"/>
    <n v="-3"/>
    <x v="30"/>
    <s v="Denmark"/>
    <s v="North"/>
    <x v="1"/>
    <n v="0"/>
    <s v="No"/>
    <n v="1"/>
    <s v="On Time"/>
    <x v="1"/>
    <x v="2"/>
  </r>
  <r>
    <s v="PO001736"/>
    <s v="SUP00010"/>
    <s v="PROD00080"/>
    <d v="2021-05-04T00:00:00"/>
    <n v="9"/>
    <n v="77.053973892847395"/>
    <d v="2021-05-16T00:00:00"/>
    <d v="2021-05-18T00:00:00"/>
    <n v="693.48576503562697"/>
    <n v="2"/>
    <x v="82"/>
    <s v="Denmark"/>
    <s v="Central"/>
    <x v="3"/>
    <n v="0"/>
    <s v="No"/>
    <n v="0"/>
    <s v="Late"/>
    <x v="1"/>
    <x v="3"/>
  </r>
  <r>
    <s v="PO001737"/>
    <s v="SUP00088"/>
    <s v="PROD00149"/>
    <d v="2022-08-30T00:00:00"/>
    <n v="10"/>
    <n v="29.219794949462301"/>
    <d v="2022-09-16T00:00:00"/>
    <d v="2022-09-17T00:00:00"/>
    <n v="292.197949494623"/>
    <n v="1"/>
    <x v="41"/>
    <s v="Brazil"/>
    <s v="East"/>
    <x v="3"/>
    <n v="0"/>
    <s v="No"/>
    <n v="0"/>
    <s v="Late"/>
    <x v="3"/>
    <x v="2"/>
  </r>
  <r>
    <s v="PO001738"/>
    <s v="SUP00098"/>
    <s v="PROD00185"/>
    <d v="2023-08-31T00:00:00"/>
    <n v="9"/>
    <n v="75.116539194985407"/>
    <d v="2023-09-18T00:00:00"/>
    <d v="2023-09-16T00:00:00"/>
    <n v="676.04885275486902"/>
    <n v="-2"/>
    <x v="38"/>
    <s v="Germany"/>
    <s v="North"/>
    <x v="3"/>
    <n v="1"/>
    <s v="Yes"/>
    <n v="1"/>
    <s v="On Time"/>
    <x v="2"/>
    <x v="2"/>
  </r>
  <r>
    <s v="PO001739"/>
    <s v="SUP00084"/>
    <s v="PROD00119"/>
    <d v="2022-05-23T00:00:00"/>
    <n v="13"/>
    <n v="5.7650033982698803"/>
    <d v="2022-06-16T00:00:00"/>
    <d v="2022-06-18T00:00:00"/>
    <n v="74.945044177508507"/>
    <n v="2"/>
    <x v="35"/>
    <s v="Canada"/>
    <s v="West"/>
    <x v="1"/>
    <n v="1"/>
    <s v="Yes"/>
    <n v="0"/>
    <s v="Late"/>
    <x v="3"/>
    <x v="3"/>
  </r>
  <r>
    <s v="PO001740"/>
    <s v="SUP00067"/>
    <s v="PROD00125"/>
    <d v="2024-04-02T00:00:00"/>
    <n v="11"/>
    <n v="41.013688937193898"/>
    <d v="2024-04-24T00:00:00"/>
    <d v="2024-04-22T00:00:00"/>
    <n v="451.15057830913298"/>
    <n v="-2"/>
    <x v="22"/>
    <s v="UK"/>
    <s v="South"/>
    <x v="3"/>
    <n v="1"/>
    <s v="Yes"/>
    <n v="1"/>
    <s v="On Time"/>
    <x v="0"/>
    <x v="8"/>
  </r>
  <r>
    <s v="PO001741"/>
    <s v="SUP00040"/>
    <s v="PROD00139"/>
    <d v="2021-05-07T00:00:00"/>
    <n v="10"/>
    <n v="65.025238021735703"/>
    <d v="2021-05-25T00:00:00"/>
    <d v="2021-05-31T00:00:00"/>
    <n v="650.25238021735697"/>
    <n v="6"/>
    <x v="58"/>
    <s v="Denmark"/>
    <s v="East"/>
    <x v="2"/>
    <n v="0"/>
    <s v="No"/>
    <n v="0"/>
    <s v="Late"/>
    <x v="1"/>
    <x v="3"/>
  </r>
  <r>
    <s v="PO001742"/>
    <s v="SUP00098"/>
    <s v="PROD00124"/>
    <d v="2023-05-04T00:00:00"/>
    <n v="8"/>
    <n v="54.4020510507751"/>
    <d v="2023-05-27T00:00:00"/>
    <d v="2023-05-24T00:00:00"/>
    <n v="435.21640840620103"/>
    <n v="-3"/>
    <x v="38"/>
    <s v="Germany"/>
    <s v="North"/>
    <x v="3"/>
    <n v="1"/>
    <s v="Yes"/>
    <n v="1"/>
    <s v="On Time"/>
    <x v="2"/>
    <x v="3"/>
  </r>
  <r>
    <s v="PO001743"/>
    <s v="SUP00070"/>
    <s v="PROD00081"/>
    <d v="2023-08-16T00:00:00"/>
    <n v="9"/>
    <n v="29.674448725838701"/>
    <d v="2023-09-06T00:00:00"/>
    <d v="2023-09-10T00:00:00"/>
    <n v="267.07003853254798"/>
    <n v="4"/>
    <x v="32"/>
    <s v="USA"/>
    <s v="Central"/>
    <x v="3"/>
    <n v="0"/>
    <s v="No"/>
    <n v="0"/>
    <s v="Late"/>
    <x v="2"/>
    <x v="2"/>
  </r>
  <r>
    <s v="PO001744"/>
    <s v="SUP00086"/>
    <s v="PROD00166"/>
    <d v="2023-01-04T00:00:00"/>
    <n v="12"/>
    <n v="11.1805791572739"/>
    <d v="2023-01-15T00:00:00"/>
    <d v="2023-01-21T00:00:00"/>
    <n v="134.16694988728699"/>
    <n v="6"/>
    <x v="69"/>
    <s v="Denmark"/>
    <s v="South"/>
    <x v="0"/>
    <n v="1"/>
    <s v="Yes"/>
    <n v="0"/>
    <s v="Late"/>
    <x v="2"/>
    <x v="10"/>
  </r>
  <r>
    <s v="PO001745"/>
    <s v="SUP00086"/>
    <s v="PROD00081"/>
    <d v="2024-02-12T00:00:00"/>
    <n v="13"/>
    <n v="57.053729004454297"/>
    <d v="2024-03-02T00:00:00"/>
    <d v="2024-03-02T00:00:00"/>
    <n v="741.69847705790596"/>
    <n v="0"/>
    <x v="69"/>
    <s v="Denmark"/>
    <s v="South"/>
    <x v="0"/>
    <n v="1"/>
    <s v="Yes"/>
    <n v="1"/>
    <s v="On Time"/>
    <x v="0"/>
    <x v="9"/>
  </r>
  <r>
    <s v="PO001746"/>
    <s v="SUP00063"/>
    <s v="PROD00157"/>
    <d v="2023-02-20T00:00:00"/>
    <n v="8"/>
    <n v="30.527409582134901"/>
    <d v="2023-03-12T00:00:00"/>
    <d v="2023-03-12T00:00:00"/>
    <n v="244.21927665707901"/>
    <n v="0"/>
    <x v="30"/>
    <s v="Denmark"/>
    <s v="North"/>
    <x v="1"/>
    <n v="0"/>
    <s v="No"/>
    <n v="1"/>
    <s v="On Time"/>
    <x v="2"/>
    <x v="9"/>
  </r>
  <r>
    <s v="PO001747"/>
    <s v="SUP00100"/>
    <s v="PROD00200"/>
    <d v="2021-06-24T00:00:00"/>
    <n v="12"/>
    <n v="41.115764451336602"/>
    <d v="2021-07-08T00:00:00"/>
    <d v="2021-07-13T00:00:00"/>
    <n v="493.389173416039"/>
    <n v="5"/>
    <x v="45"/>
    <s v="Canada"/>
    <s v="Central"/>
    <x v="1"/>
    <n v="0"/>
    <s v="No"/>
    <n v="0"/>
    <s v="Late"/>
    <x v="1"/>
    <x v="1"/>
  </r>
  <r>
    <s v="PO001748"/>
    <s v="SUP00068"/>
    <s v="PROD00096"/>
    <d v="2023-04-24T00:00:00"/>
    <n v="15"/>
    <n v="11.63586880645"/>
    <d v="2023-05-04T00:00:00"/>
    <d v="2023-05-09T00:00:00"/>
    <n v="174.53803209674999"/>
    <n v="5"/>
    <x v="12"/>
    <s v="UK"/>
    <s v="South"/>
    <x v="3"/>
    <n v="1"/>
    <s v="Yes"/>
    <n v="0"/>
    <s v="Late"/>
    <x v="2"/>
    <x v="8"/>
  </r>
  <r>
    <s v="PO001749"/>
    <s v="SUP00068"/>
    <s v="PROD00047"/>
    <d v="2023-07-14T00:00:00"/>
    <n v="13"/>
    <n v="22.882901721078301"/>
    <d v="2023-07-24T00:00:00"/>
    <d v="2023-07-25T00:00:00"/>
    <n v="297.47772237401801"/>
    <n v="1"/>
    <x v="12"/>
    <s v="UK"/>
    <s v="South"/>
    <x v="3"/>
    <n v="1"/>
    <s v="Yes"/>
    <n v="0"/>
    <s v="Late"/>
    <x v="2"/>
    <x v="5"/>
  </r>
  <r>
    <s v="PO001750"/>
    <s v="SUP00027"/>
    <s v="PROD00200"/>
    <d v="2023-01-15T00:00:00"/>
    <n v="14"/>
    <n v="15.092364319685201"/>
    <d v="2023-01-25T00:00:00"/>
    <d v="2023-01-24T00:00:00"/>
    <n v="211.29310047559301"/>
    <n v="-1"/>
    <x v="53"/>
    <s v="Brazil"/>
    <s v="Central"/>
    <x v="0"/>
    <n v="0"/>
    <s v="No"/>
    <n v="1"/>
    <s v="On Time"/>
    <x v="2"/>
    <x v="10"/>
  </r>
  <r>
    <s v="PO001751"/>
    <s v="SUP00039"/>
    <s v="PROD00118"/>
    <d v="2022-10-07T00:00:00"/>
    <n v="11"/>
    <n v="44.7416279136932"/>
    <d v="2022-10-28T00:00:00"/>
    <d v="2022-11-01T00:00:00"/>
    <n v="492.157907050625"/>
    <n v="4"/>
    <x v="7"/>
    <s v="Denmark"/>
    <s v="South"/>
    <x v="0"/>
    <n v="1"/>
    <s v="Yes"/>
    <n v="0"/>
    <s v="Late"/>
    <x v="3"/>
    <x v="4"/>
  </r>
  <r>
    <s v="PO001752"/>
    <s v="SUP00033"/>
    <s v="PROD00014"/>
    <d v="2021-06-14T00:00:00"/>
    <n v="14"/>
    <n v="4.2848667737949002"/>
    <d v="2021-06-29T00:00:00"/>
    <d v="2021-07-04T00:00:00"/>
    <n v="59.988134833128697"/>
    <n v="5"/>
    <x v="54"/>
    <s v="USA"/>
    <s v="South"/>
    <x v="0"/>
    <n v="0"/>
    <s v="No"/>
    <n v="0"/>
    <s v="Late"/>
    <x v="1"/>
    <x v="1"/>
  </r>
  <r>
    <s v="PO001753"/>
    <s v="SUP00095"/>
    <s v="PROD00060"/>
    <d v="2022-10-10T00:00:00"/>
    <n v="8"/>
    <n v="3.6406206559055301"/>
    <d v="2022-10-24T00:00:00"/>
    <d v="2022-10-26T00:00:00"/>
    <n v="29.124965247244301"/>
    <n v="2"/>
    <x v="74"/>
    <s v="China"/>
    <s v="Central"/>
    <x v="1"/>
    <n v="0"/>
    <s v="No"/>
    <n v="0"/>
    <s v="Late"/>
    <x v="3"/>
    <x v="4"/>
  </r>
  <r>
    <s v="PO001754"/>
    <s v="SUP00051"/>
    <s v="PROD00007"/>
    <d v="2021-03-12T00:00:00"/>
    <n v="9"/>
    <n v="17.9684627353877"/>
    <d v="2021-03-26T00:00:00"/>
    <d v="2021-03-28T00:00:00"/>
    <n v="161.71616461848899"/>
    <n v="2"/>
    <x v="57"/>
    <s v="UK"/>
    <s v="South"/>
    <x v="1"/>
    <n v="0"/>
    <s v="No"/>
    <n v="0"/>
    <s v="Late"/>
    <x v="1"/>
    <x v="0"/>
  </r>
  <r>
    <s v="PO001755"/>
    <s v="SUP00077"/>
    <s v="PROD00040"/>
    <d v="2023-06-11T00:00:00"/>
    <n v="7"/>
    <n v="42.474047699883101"/>
    <d v="2023-06-24T00:00:00"/>
    <d v="2023-06-27T00:00:00"/>
    <n v="297.31833389918199"/>
    <n v="3"/>
    <x v="10"/>
    <s v="India"/>
    <s v="West"/>
    <x v="1"/>
    <n v="0"/>
    <s v="No"/>
    <n v="0"/>
    <s v="Late"/>
    <x v="2"/>
    <x v="1"/>
  </r>
  <r>
    <s v="PO001756"/>
    <s v="SUP00094"/>
    <s v="PROD00014"/>
    <d v="2022-10-30T00:00:00"/>
    <n v="8"/>
    <n v="63.250292104427402"/>
    <d v="2022-11-21T00:00:00"/>
    <d v="2022-11-24T00:00:00"/>
    <n v="506.00233683541899"/>
    <n v="3"/>
    <x v="62"/>
    <s v="USA"/>
    <s v="North"/>
    <x v="2"/>
    <n v="0"/>
    <s v="No"/>
    <n v="0"/>
    <s v="Late"/>
    <x v="3"/>
    <x v="4"/>
  </r>
  <r>
    <s v="PO001757"/>
    <s v="SUP00031"/>
    <s v="PROD00108"/>
    <d v="2021-01-23T00:00:00"/>
    <n v="12"/>
    <n v="63.094701238240901"/>
    <d v="2021-02-03T00:00:00"/>
    <d v="2021-01-31T00:00:00"/>
    <n v="757.13641485889002"/>
    <n v="-3"/>
    <x v="33"/>
    <s v="USA"/>
    <s v="West"/>
    <x v="3"/>
    <n v="0"/>
    <s v="No"/>
    <n v="1"/>
    <s v="On Time"/>
    <x v="1"/>
    <x v="10"/>
  </r>
  <r>
    <s v="PO001758"/>
    <s v="SUP00080"/>
    <s v="PROD00017"/>
    <d v="2021-06-03T00:00:00"/>
    <n v="8"/>
    <n v="10.9844602779333"/>
    <d v="2021-06-21T00:00:00"/>
    <d v="2021-06-25T00:00:00"/>
    <n v="87.875682223466598"/>
    <n v="4"/>
    <x v="70"/>
    <s v="USA"/>
    <s v="North"/>
    <x v="2"/>
    <n v="0"/>
    <s v="No"/>
    <n v="0"/>
    <s v="Late"/>
    <x v="1"/>
    <x v="1"/>
  </r>
  <r>
    <s v="PO001759"/>
    <s v="SUP00075"/>
    <s v="PROD00034"/>
    <d v="2021-11-25T00:00:00"/>
    <n v="6"/>
    <n v="71.512663280073099"/>
    <d v="2021-12-11T00:00:00"/>
    <d v="2021-12-15T00:00:00"/>
    <n v="429.07597968043899"/>
    <n v="4"/>
    <x v="11"/>
    <s v="USA"/>
    <s v="Central"/>
    <x v="1"/>
    <n v="1"/>
    <s v="Yes"/>
    <n v="0"/>
    <s v="Late"/>
    <x v="1"/>
    <x v="6"/>
  </r>
  <r>
    <s v="PO001760"/>
    <s v="SUP00048"/>
    <s v="PROD00037"/>
    <d v="2022-03-28T00:00:00"/>
    <n v="13"/>
    <n v="68.664546894957297"/>
    <d v="2022-04-10T00:00:00"/>
    <d v="2022-04-11T00:00:00"/>
    <n v="892.63910963444505"/>
    <n v="1"/>
    <x v="4"/>
    <s v="Denmark"/>
    <s v="West"/>
    <x v="2"/>
    <n v="1"/>
    <s v="Yes"/>
    <n v="0"/>
    <s v="Late"/>
    <x v="3"/>
    <x v="0"/>
  </r>
  <r>
    <s v="PO001761"/>
    <s v="SUP00069"/>
    <s v="PROD00011"/>
    <d v="2021-04-05T00:00:00"/>
    <n v="9"/>
    <n v="55.667211285443997"/>
    <d v="2021-04-26T00:00:00"/>
    <d v="2021-05-02T00:00:00"/>
    <n v="501.00490156899599"/>
    <n v="6"/>
    <x v="90"/>
    <s v="China"/>
    <s v="Central"/>
    <x v="2"/>
    <n v="0"/>
    <s v="No"/>
    <n v="0"/>
    <s v="Late"/>
    <x v="1"/>
    <x v="8"/>
  </r>
  <r>
    <s v="PO001762"/>
    <s v="SUP00097"/>
    <s v="PROD00063"/>
    <d v="2021-01-30T00:00:00"/>
    <n v="6"/>
    <n v="67.096314458516204"/>
    <d v="2021-02-15T00:00:00"/>
    <d v="2021-02-20T00:00:00"/>
    <n v="402.57788675109703"/>
    <n v="5"/>
    <x v="2"/>
    <s v="USA"/>
    <s v="Central"/>
    <x v="2"/>
    <n v="1"/>
    <s v="Yes"/>
    <n v="0"/>
    <s v="Late"/>
    <x v="1"/>
    <x v="10"/>
  </r>
  <r>
    <s v="PO001763"/>
    <s v="SUP00022"/>
    <s v="PROD00016"/>
    <d v="2024-02-25T00:00:00"/>
    <n v="14"/>
    <n v="30.797590442696201"/>
    <d v="2024-03-14T00:00:00"/>
    <d v="2024-03-19T00:00:00"/>
    <n v="431.16626619774701"/>
    <n v="5"/>
    <x v="60"/>
    <s v="India"/>
    <s v="South"/>
    <x v="1"/>
    <n v="0"/>
    <s v="No"/>
    <n v="0"/>
    <s v="Late"/>
    <x v="0"/>
    <x v="9"/>
  </r>
  <r>
    <s v="PO001764"/>
    <s v="SUP00086"/>
    <s v="PROD00049"/>
    <d v="2021-07-10T00:00:00"/>
    <n v="6"/>
    <n v="10.1572412132577"/>
    <d v="2021-07-29T00:00:00"/>
    <d v="2021-08-04T00:00:00"/>
    <n v="60.943447279546596"/>
    <n v="6"/>
    <x v="69"/>
    <s v="Denmark"/>
    <s v="South"/>
    <x v="0"/>
    <n v="1"/>
    <s v="Yes"/>
    <n v="0"/>
    <s v="Late"/>
    <x v="1"/>
    <x v="5"/>
  </r>
  <r>
    <s v="PO001765"/>
    <s v="SUP00010"/>
    <s v="PROD00133"/>
    <d v="2021-06-26T00:00:00"/>
    <n v="11"/>
    <n v="14.8470948046714"/>
    <d v="2021-07-06T00:00:00"/>
    <d v="2021-07-12T00:00:00"/>
    <n v="163.318042851385"/>
    <n v="6"/>
    <x v="82"/>
    <s v="Denmark"/>
    <s v="Central"/>
    <x v="3"/>
    <n v="0"/>
    <s v="No"/>
    <n v="0"/>
    <s v="Late"/>
    <x v="1"/>
    <x v="1"/>
  </r>
  <r>
    <s v="PO001766"/>
    <s v="SUP00013"/>
    <s v="PROD00156"/>
    <d v="2022-11-01T00:00:00"/>
    <n v="6"/>
    <n v="40.398856359504201"/>
    <d v="2022-11-23T00:00:00"/>
    <d v="2022-11-24T00:00:00"/>
    <n v="242.39313815702499"/>
    <n v="1"/>
    <x v="31"/>
    <s v="China"/>
    <s v="North"/>
    <x v="2"/>
    <n v="1"/>
    <s v="Yes"/>
    <n v="0"/>
    <s v="Late"/>
    <x v="3"/>
    <x v="6"/>
  </r>
  <r>
    <s v="PO001767"/>
    <s v="SUP00065"/>
    <s v="PROD00039"/>
    <d v="2022-08-07T00:00:00"/>
    <n v="16"/>
    <n v="16.832908866817899"/>
    <d v="2022-08-17T00:00:00"/>
    <d v="2022-08-21T00:00:00"/>
    <n v="269.32654186908701"/>
    <n v="4"/>
    <x v="16"/>
    <s v="Brazil"/>
    <s v="East"/>
    <x v="1"/>
    <n v="1"/>
    <s v="Yes"/>
    <n v="0"/>
    <s v="Late"/>
    <x v="3"/>
    <x v="2"/>
  </r>
  <r>
    <s v="PO001768"/>
    <s v="SUP00068"/>
    <s v="PROD00142"/>
    <d v="2021-06-08T00:00:00"/>
    <n v="11"/>
    <n v="6.6341008479483499"/>
    <d v="2021-06-21T00:00:00"/>
    <d v="2021-06-20T00:00:00"/>
    <n v="72.975109327431895"/>
    <n v="-1"/>
    <x v="12"/>
    <s v="UK"/>
    <s v="South"/>
    <x v="3"/>
    <n v="1"/>
    <s v="Yes"/>
    <n v="1"/>
    <s v="On Time"/>
    <x v="1"/>
    <x v="1"/>
  </r>
  <r>
    <s v="PO001769"/>
    <s v="SUP00044"/>
    <s v="PROD00009"/>
    <d v="2021-05-17T00:00:00"/>
    <n v="13"/>
    <n v="21.4424433654744"/>
    <d v="2021-05-29T00:00:00"/>
    <d v="2021-05-31T00:00:00"/>
    <n v="278.75176375116803"/>
    <n v="2"/>
    <x v="21"/>
    <s v="Germany"/>
    <s v="Central"/>
    <x v="1"/>
    <n v="1"/>
    <s v="Yes"/>
    <n v="0"/>
    <s v="Late"/>
    <x v="1"/>
    <x v="3"/>
  </r>
  <r>
    <s v="PO001770"/>
    <s v="SUP00089"/>
    <s v="PROD00068"/>
    <d v="2023-03-08T00:00:00"/>
    <n v="8"/>
    <n v="67.783710886723"/>
    <d v="2023-03-26T00:00:00"/>
    <d v="2023-03-24T00:00:00"/>
    <n v="542.269687093784"/>
    <n v="-2"/>
    <x v="87"/>
    <s v="Canada"/>
    <s v="North"/>
    <x v="0"/>
    <n v="0"/>
    <s v="No"/>
    <n v="1"/>
    <s v="On Time"/>
    <x v="2"/>
    <x v="0"/>
  </r>
  <r>
    <s v="PO001771"/>
    <s v="SUP00042"/>
    <s v="PROD00187"/>
    <d v="2021-02-26T00:00:00"/>
    <n v="11"/>
    <n v="29.477324409654798"/>
    <d v="2021-03-17T00:00:00"/>
    <d v="2021-03-18T00:00:00"/>
    <n v="324.25056850620302"/>
    <n v="1"/>
    <x v="64"/>
    <s v="India"/>
    <s v="West"/>
    <x v="2"/>
    <n v="0"/>
    <s v="No"/>
    <n v="0"/>
    <s v="Late"/>
    <x v="1"/>
    <x v="9"/>
  </r>
  <r>
    <s v="PO001772"/>
    <s v="SUP00025"/>
    <s v="PROD00032"/>
    <d v="2022-05-04T00:00:00"/>
    <n v="12"/>
    <n v="67.399267999091705"/>
    <d v="2022-05-28T00:00:00"/>
    <d v="2022-05-26T00:00:00"/>
    <n v="808.79121598910001"/>
    <n v="-2"/>
    <x v="6"/>
    <s v="Denmark"/>
    <s v="Central"/>
    <x v="2"/>
    <n v="0"/>
    <s v="No"/>
    <n v="1"/>
    <s v="On Time"/>
    <x v="3"/>
    <x v="3"/>
  </r>
  <r>
    <s v="PO001773"/>
    <s v="SUP00023"/>
    <s v="PROD00134"/>
    <d v="2023-12-31T00:00:00"/>
    <n v="15"/>
    <n v="60.676707282665902"/>
    <d v="2024-01-10T00:00:00"/>
    <d v="2024-01-09T00:00:00"/>
    <n v="910.15060923998897"/>
    <n v="-1"/>
    <x v="3"/>
    <s v="Brazil"/>
    <s v="South"/>
    <x v="0"/>
    <n v="1"/>
    <s v="Yes"/>
    <n v="1"/>
    <s v="On Time"/>
    <x v="2"/>
    <x v="7"/>
  </r>
  <r>
    <s v="PO001774"/>
    <s v="SUP00027"/>
    <s v="PROD00031"/>
    <d v="2022-05-07T00:00:00"/>
    <n v="11"/>
    <n v="54.316921414695102"/>
    <d v="2022-05-20T00:00:00"/>
    <d v="2022-05-21T00:00:00"/>
    <n v="597.48613556164696"/>
    <n v="1"/>
    <x v="53"/>
    <s v="Brazil"/>
    <s v="Central"/>
    <x v="0"/>
    <n v="0"/>
    <s v="No"/>
    <n v="0"/>
    <s v="Late"/>
    <x v="3"/>
    <x v="3"/>
  </r>
  <r>
    <s v="PO001775"/>
    <s v="SUP00047"/>
    <s v="PROD00196"/>
    <d v="2022-06-02T00:00:00"/>
    <n v="6"/>
    <n v="15.232556713129499"/>
    <d v="2022-06-12T00:00:00"/>
    <d v="2022-06-11T00:00:00"/>
    <n v="91.395340278777297"/>
    <n v="-1"/>
    <x v="93"/>
    <s v="UK"/>
    <s v="Central"/>
    <x v="3"/>
    <n v="0"/>
    <s v="No"/>
    <n v="1"/>
    <s v="On Time"/>
    <x v="3"/>
    <x v="1"/>
  </r>
  <r>
    <s v="PO001776"/>
    <s v="SUP00010"/>
    <s v="PROD00128"/>
    <d v="2022-10-16T00:00:00"/>
    <n v="14"/>
    <n v="30.736640838827299"/>
    <d v="2022-11-03T00:00:00"/>
    <d v="2022-11-06T00:00:00"/>
    <n v="430.31297174358201"/>
    <n v="3"/>
    <x v="82"/>
    <s v="Denmark"/>
    <s v="Central"/>
    <x v="3"/>
    <n v="0"/>
    <s v="No"/>
    <n v="0"/>
    <s v="Late"/>
    <x v="3"/>
    <x v="4"/>
  </r>
  <r>
    <s v="PO001777"/>
    <s v="SUP00022"/>
    <s v="PROD00110"/>
    <d v="2022-12-17T00:00:00"/>
    <n v="17"/>
    <n v="6.7565585949288502"/>
    <d v="2022-12-27T00:00:00"/>
    <d v="2022-12-26T00:00:00"/>
    <n v="114.86149611379"/>
    <n v="-1"/>
    <x v="60"/>
    <s v="India"/>
    <s v="South"/>
    <x v="1"/>
    <n v="0"/>
    <s v="No"/>
    <n v="1"/>
    <s v="On Time"/>
    <x v="3"/>
    <x v="7"/>
  </r>
  <r>
    <s v="PO001778"/>
    <s v="SUP00073"/>
    <s v="PROD00036"/>
    <d v="2021-01-22T00:00:00"/>
    <n v="7"/>
    <n v="6.9075398715882397"/>
    <d v="2021-02-05T00:00:00"/>
    <d v="2021-02-07T00:00:00"/>
    <n v="48.352779101117598"/>
    <n v="2"/>
    <x v="42"/>
    <s v="China"/>
    <s v="East"/>
    <x v="2"/>
    <n v="1"/>
    <s v="Yes"/>
    <n v="0"/>
    <s v="Late"/>
    <x v="1"/>
    <x v="10"/>
  </r>
  <r>
    <s v="PO001779"/>
    <s v="SUP00010"/>
    <s v="PROD00163"/>
    <d v="2021-03-19T00:00:00"/>
    <n v="14"/>
    <n v="63.895894028516601"/>
    <d v="2021-04-09T00:00:00"/>
    <d v="2021-04-15T00:00:00"/>
    <n v="894.54251639923302"/>
    <n v="6"/>
    <x v="82"/>
    <s v="Denmark"/>
    <s v="Central"/>
    <x v="3"/>
    <n v="0"/>
    <s v="No"/>
    <n v="0"/>
    <s v="Late"/>
    <x v="1"/>
    <x v="0"/>
  </r>
  <r>
    <s v="PO001780"/>
    <s v="SUP00071"/>
    <s v="PROD00008"/>
    <d v="2021-06-03T00:00:00"/>
    <n v="12"/>
    <n v="3.0278489544264602"/>
    <d v="2021-06-23T00:00:00"/>
    <d v="2021-06-22T00:00:00"/>
    <n v="36.334187453117501"/>
    <n v="-1"/>
    <x v="50"/>
    <s v="Denmark"/>
    <s v="South"/>
    <x v="3"/>
    <n v="1"/>
    <s v="Yes"/>
    <n v="1"/>
    <s v="On Time"/>
    <x v="1"/>
    <x v="1"/>
  </r>
  <r>
    <s v="PO001781"/>
    <s v="SUP00055"/>
    <s v="PROD00007"/>
    <d v="2023-08-14T00:00:00"/>
    <n v="13"/>
    <n v="51.375834335198398"/>
    <d v="2023-09-03T00:00:00"/>
    <d v="2023-09-07T00:00:00"/>
    <n v="667.885846357579"/>
    <n v="4"/>
    <x v="49"/>
    <s v="China"/>
    <s v="East"/>
    <x v="0"/>
    <n v="1"/>
    <s v="Yes"/>
    <n v="0"/>
    <s v="Late"/>
    <x v="2"/>
    <x v="2"/>
  </r>
  <r>
    <s v="PO001782"/>
    <s v="SUP00061"/>
    <s v="PROD00022"/>
    <d v="2023-05-11T00:00:00"/>
    <n v="13"/>
    <n v="30.1184974889823"/>
    <d v="2023-05-26T00:00:00"/>
    <d v="2023-05-28T00:00:00"/>
    <n v="391.54046735677002"/>
    <n v="2"/>
    <x v="71"/>
    <s v="India"/>
    <s v="South"/>
    <x v="2"/>
    <n v="0"/>
    <s v="No"/>
    <n v="0"/>
    <s v="Late"/>
    <x v="2"/>
    <x v="3"/>
  </r>
  <r>
    <s v="PO001783"/>
    <s v="SUP00093"/>
    <s v="PROD00021"/>
    <d v="2023-12-30T00:00:00"/>
    <n v="10"/>
    <n v="63.822429934920201"/>
    <d v="2024-01-09T00:00:00"/>
    <d v="2024-01-07T00:00:00"/>
    <n v="638.22429934920206"/>
    <n v="-2"/>
    <x v="20"/>
    <s v="USA"/>
    <s v="Central"/>
    <x v="2"/>
    <n v="0"/>
    <s v="No"/>
    <n v="1"/>
    <s v="On Time"/>
    <x v="2"/>
    <x v="7"/>
  </r>
  <r>
    <s v="PO001784"/>
    <s v="SUP00058"/>
    <s v="PROD00153"/>
    <d v="2022-06-03T00:00:00"/>
    <n v="9"/>
    <n v="44.704703301621699"/>
    <d v="2022-06-18T00:00:00"/>
    <d v="2022-06-18T00:00:00"/>
    <n v="402.342329714595"/>
    <n v="0"/>
    <x v="86"/>
    <s v="China"/>
    <s v="East"/>
    <x v="2"/>
    <n v="1"/>
    <s v="Yes"/>
    <n v="1"/>
    <s v="On Time"/>
    <x v="3"/>
    <x v="1"/>
  </r>
  <r>
    <s v="PO001785"/>
    <s v="SUP00015"/>
    <s v="PROD00136"/>
    <d v="2021-08-31T00:00:00"/>
    <n v="11"/>
    <n v="28.8318225239946"/>
    <d v="2021-09-23T00:00:00"/>
    <d v="2021-09-24T00:00:00"/>
    <n v="317.15004776393999"/>
    <n v="1"/>
    <x v="51"/>
    <s v="China"/>
    <s v="South"/>
    <x v="0"/>
    <n v="1"/>
    <s v="Yes"/>
    <n v="0"/>
    <s v="Late"/>
    <x v="1"/>
    <x v="2"/>
  </r>
  <r>
    <s v="PO001786"/>
    <s v="SUP00073"/>
    <s v="PROD00161"/>
    <d v="2022-06-26T00:00:00"/>
    <n v="10"/>
    <n v="39.457397066960802"/>
    <d v="2022-07-12T00:00:00"/>
    <d v="2022-07-16T00:00:00"/>
    <n v="394.573970669608"/>
    <n v="4"/>
    <x v="42"/>
    <s v="China"/>
    <s v="East"/>
    <x v="2"/>
    <n v="1"/>
    <s v="Yes"/>
    <n v="0"/>
    <s v="Late"/>
    <x v="3"/>
    <x v="1"/>
  </r>
  <r>
    <s v="PO001787"/>
    <s v="SUP00022"/>
    <s v="PROD00069"/>
    <d v="2023-02-20T00:00:00"/>
    <n v="8"/>
    <n v="6.7931965533944103"/>
    <d v="2023-03-13T00:00:00"/>
    <d v="2023-03-16T00:00:00"/>
    <n v="54.345572427155297"/>
    <n v="3"/>
    <x v="60"/>
    <s v="India"/>
    <s v="South"/>
    <x v="1"/>
    <n v="0"/>
    <s v="No"/>
    <n v="0"/>
    <s v="Late"/>
    <x v="2"/>
    <x v="9"/>
  </r>
  <r>
    <s v="PO001788"/>
    <s v="SUP00086"/>
    <s v="PROD00065"/>
    <d v="2022-01-04T00:00:00"/>
    <n v="8"/>
    <n v="27.2066078682174"/>
    <d v="2022-01-28T00:00:00"/>
    <d v="2022-01-28T00:00:00"/>
    <n v="217.652862945739"/>
    <n v="0"/>
    <x v="69"/>
    <s v="Denmark"/>
    <s v="South"/>
    <x v="0"/>
    <n v="1"/>
    <s v="Yes"/>
    <n v="1"/>
    <s v="On Time"/>
    <x v="3"/>
    <x v="10"/>
  </r>
  <r>
    <s v="PO001789"/>
    <s v="SUP00014"/>
    <s v="PROD00061"/>
    <d v="2022-11-18T00:00:00"/>
    <n v="18"/>
    <n v="7.6897013669822201"/>
    <d v="2022-12-07T00:00:00"/>
    <d v="2022-12-11T00:00:00"/>
    <n v="138.41462460567999"/>
    <n v="4"/>
    <x v="59"/>
    <s v="Germany"/>
    <s v="West"/>
    <x v="1"/>
    <n v="0"/>
    <s v="No"/>
    <n v="0"/>
    <s v="Late"/>
    <x v="3"/>
    <x v="6"/>
  </r>
  <r>
    <s v="PO001790"/>
    <s v="SUP00011"/>
    <s v="PROD00093"/>
    <d v="2021-02-18T00:00:00"/>
    <n v="15"/>
    <n v="31.096638672279301"/>
    <d v="2021-03-12T00:00:00"/>
    <d v="2021-03-10T00:00:00"/>
    <n v="466.44958008419002"/>
    <n v="-2"/>
    <x v="37"/>
    <s v="UK"/>
    <s v="East"/>
    <x v="3"/>
    <n v="1"/>
    <s v="Yes"/>
    <n v="1"/>
    <s v="On Time"/>
    <x v="1"/>
    <x v="9"/>
  </r>
  <r>
    <s v="PO001791"/>
    <s v="SUP00009"/>
    <s v="PROD00033"/>
    <d v="2022-03-06T00:00:00"/>
    <n v="12"/>
    <n v="3.9975046695050498"/>
    <d v="2022-03-19T00:00:00"/>
    <d v="2022-03-16T00:00:00"/>
    <n v="47.970056034060597"/>
    <n v="-3"/>
    <x v="95"/>
    <s v="China"/>
    <s v="North"/>
    <x v="1"/>
    <n v="1"/>
    <s v="Yes"/>
    <n v="1"/>
    <s v="On Time"/>
    <x v="3"/>
    <x v="0"/>
  </r>
  <r>
    <s v="PO001792"/>
    <s v="SUP00042"/>
    <s v="PROD00158"/>
    <d v="2022-03-25T00:00:00"/>
    <n v="7"/>
    <n v="56.849165807362702"/>
    <d v="2022-04-08T00:00:00"/>
    <d v="2022-04-11T00:00:00"/>
    <n v="397.94416065153899"/>
    <n v="3"/>
    <x v="64"/>
    <s v="India"/>
    <s v="West"/>
    <x v="2"/>
    <n v="0"/>
    <s v="No"/>
    <n v="0"/>
    <s v="Late"/>
    <x v="3"/>
    <x v="0"/>
  </r>
  <r>
    <s v="PO001793"/>
    <s v="SUP00083"/>
    <s v="PROD00147"/>
    <d v="2023-06-07T00:00:00"/>
    <n v="7"/>
    <n v="19.4989483145763"/>
    <d v="2023-06-21T00:00:00"/>
    <d v="2023-06-20T00:00:00"/>
    <n v="136.49263820203399"/>
    <n v="-1"/>
    <x v="43"/>
    <s v="China"/>
    <s v="South"/>
    <x v="0"/>
    <n v="0"/>
    <s v="No"/>
    <n v="1"/>
    <s v="On Time"/>
    <x v="2"/>
    <x v="1"/>
  </r>
  <r>
    <s v="PO001794"/>
    <s v="SUP00053"/>
    <s v="PROD00088"/>
    <d v="2023-02-02T00:00:00"/>
    <n v="15"/>
    <n v="56.6827579460683"/>
    <d v="2023-02-16T00:00:00"/>
    <d v="2023-02-15T00:00:00"/>
    <n v="850.24136919102398"/>
    <n v="-1"/>
    <x v="18"/>
    <s v="India"/>
    <s v="North"/>
    <x v="2"/>
    <n v="1"/>
    <s v="Yes"/>
    <n v="1"/>
    <s v="On Time"/>
    <x v="2"/>
    <x v="9"/>
  </r>
  <r>
    <s v="PO001795"/>
    <s v="SUP00066"/>
    <s v="PROD00172"/>
    <d v="2024-02-23T00:00:00"/>
    <n v="7"/>
    <n v="78.709018444614898"/>
    <d v="2024-03-09T00:00:00"/>
    <d v="2024-03-06T00:00:00"/>
    <n v="550.96312911230405"/>
    <n v="-3"/>
    <x v="65"/>
    <s v="India"/>
    <s v="West"/>
    <x v="2"/>
    <n v="0"/>
    <s v="No"/>
    <n v="1"/>
    <s v="On Time"/>
    <x v="0"/>
    <x v="9"/>
  </r>
  <r>
    <s v="PO001796"/>
    <s v="SUP00042"/>
    <s v="PROD00013"/>
    <d v="2021-12-04T00:00:00"/>
    <n v="10"/>
    <n v="42.798651903304602"/>
    <d v="2021-12-26T00:00:00"/>
    <d v="2021-12-28T00:00:00"/>
    <n v="427.98651903304602"/>
    <n v="2"/>
    <x v="64"/>
    <s v="India"/>
    <s v="West"/>
    <x v="2"/>
    <n v="0"/>
    <s v="No"/>
    <n v="0"/>
    <s v="Late"/>
    <x v="1"/>
    <x v="7"/>
  </r>
  <r>
    <s v="PO001797"/>
    <s v="SUP00079"/>
    <s v="PROD00004"/>
    <d v="2021-10-29T00:00:00"/>
    <n v="10"/>
    <n v="65.876608243191001"/>
    <d v="2021-11-10T00:00:00"/>
    <d v="2021-11-16T00:00:00"/>
    <n v="658.76608243191004"/>
    <n v="6"/>
    <x v="55"/>
    <s v="Denmark"/>
    <s v="South"/>
    <x v="0"/>
    <n v="0"/>
    <s v="No"/>
    <n v="0"/>
    <s v="Late"/>
    <x v="1"/>
    <x v="4"/>
  </r>
  <r>
    <s v="PO001798"/>
    <s v="SUP00010"/>
    <s v="PROD00018"/>
    <d v="2022-10-02T00:00:00"/>
    <n v="9"/>
    <n v="51.583279511103299"/>
    <d v="2022-10-24T00:00:00"/>
    <d v="2022-10-23T00:00:00"/>
    <n v="464.249515599929"/>
    <n v="-1"/>
    <x v="82"/>
    <s v="Denmark"/>
    <s v="Central"/>
    <x v="3"/>
    <n v="0"/>
    <s v="No"/>
    <n v="1"/>
    <s v="On Time"/>
    <x v="3"/>
    <x v="4"/>
  </r>
  <r>
    <s v="PO001799"/>
    <s v="SUP00078"/>
    <s v="PROD00113"/>
    <d v="2023-04-09T00:00:00"/>
    <n v="14"/>
    <n v="61.946261993151502"/>
    <d v="2023-04-21T00:00:00"/>
    <d v="2023-04-26T00:00:00"/>
    <n v="867.24766790412195"/>
    <n v="5"/>
    <x v="56"/>
    <s v="Germany"/>
    <s v="North"/>
    <x v="0"/>
    <n v="0"/>
    <s v="No"/>
    <n v="0"/>
    <s v="Late"/>
    <x v="2"/>
    <x v="8"/>
  </r>
  <r>
    <s v="PO001800"/>
    <s v="SUP00024"/>
    <s v="PROD00106"/>
    <d v="2022-09-01T00:00:00"/>
    <n v="11"/>
    <n v="38.239084407445297"/>
    <d v="2022-09-19T00:00:00"/>
    <d v="2022-09-19T00:00:00"/>
    <n v="420.62992848189901"/>
    <n v="0"/>
    <x v="5"/>
    <s v="UK"/>
    <s v="North"/>
    <x v="1"/>
    <n v="0"/>
    <s v="No"/>
    <n v="1"/>
    <s v="On Time"/>
    <x v="3"/>
    <x v="11"/>
  </r>
  <r>
    <s v="PO001801"/>
    <s v="SUP00062"/>
    <s v="PROD00006"/>
    <d v="2023-04-02T00:00:00"/>
    <n v="8"/>
    <n v="48.113651385545602"/>
    <d v="2023-04-22T00:00:00"/>
    <d v="2023-04-24T00:00:00"/>
    <n v="384.90921108436402"/>
    <n v="2"/>
    <x v="81"/>
    <s v="Brazil"/>
    <s v="Central"/>
    <x v="0"/>
    <n v="0"/>
    <s v="No"/>
    <n v="0"/>
    <s v="Late"/>
    <x v="2"/>
    <x v="8"/>
  </r>
  <r>
    <s v="PO001802"/>
    <s v="SUP00004"/>
    <s v="PROD00092"/>
    <d v="2022-02-20T00:00:00"/>
    <n v="15"/>
    <n v="39.038272516494601"/>
    <d v="2022-03-13T00:00:00"/>
    <d v="2022-03-18T00:00:00"/>
    <n v="585.57408774741896"/>
    <n v="5"/>
    <x v="28"/>
    <s v="USA"/>
    <s v="North"/>
    <x v="1"/>
    <n v="0"/>
    <s v="No"/>
    <n v="0"/>
    <s v="Late"/>
    <x v="3"/>
    <x v="9"/>
  </r>
  <r>
    <s v="PO001803"/>
    <s v="SUP00020"/>
    <s v="PROD00164"/>
    <d v="2022-01-21T00:00:00"/>
    <n v="10"/>
    <n v="25.478636824121001"/>
    <d v="2022-02-01T00:00:00"/>
    <d v="2022-02-07T00:00:00"/>
    <n v="254.78636824121"/>
    <n v="6"/>
    <x v="21"/>
    <s v="Canada"/>
    <s v="Central"/>
    <x v="3"/>
    <n v="1"/>
    <s v="Yes"/>
    <n v="0"/>
    <s v="Late"/>
    <x v="3"/>
    <x v="10"/>
  </r>
  <r>
    <s v="PO001804"/>
    <s v="SUP00023"/>
    <s v="PROD00050"/>
    <d v="2022-06-11T00:00:00"/>
    <n v="15"/>
    <n v="3.9806453072743202"/>
    <d v="2022-06-27T00:00:00"/>
    <d v="2022-06-24T00:00:00"/>
    <n v="59.7096796091149"/>
    <n v="-3"/>
    <x v="3"/>
    <s v="Brazil"/>
    <s v="South"/>
    <x v="0"/>
    <n v="1"/>
    <s v="Yes"/>
    <n v="1"/>
    <s v="On Time"/>
    <x v="3"/>
    <x v="1"/>
  </r>
  <r>
    <s v="PO001805"/>
    <s v="SUP00013"/>
    <s v="PROD00102"/>
    <d v="2022-01-30T00:00:00"/>
    <n v="8"/>
    <n v="45.322431925801098"/>
    <d v="2022-02-15T00:00:00"/>
    <d v="2022-02-17T00:00:00"/>
    <n v="362.57945540640901"/>
    <n v="2"/>
    <x v="31"/>
    <s v="China"/>
    <s v="North"/>
    <x v="2"/>
    <n v="1"/>
    <s v="Yes"/>
    <n v="0"/>
    <s v="Late"/>
    <x v="3"/>
    <x v="10"/>
  </r>
  <r>
    <s v="PO001806"/>
    <s v="SUP00020"/>
    <s v="PROD00171"/>
    <d v="2022-01-08T00:00:00"/>
    <n v="7"/>
    <n v="56.712243446164997"/>
    <d v="2022-01-21T00:00:00"/>
    <d v="2022-01-26T00:00:00"/>
    <n v="396.98570412315502"/>
    <n v="5"/>
    <x v="21"/>
    <s v="Canada"/>
    <s v="Central"/>
    <x v="3"/>
    <n v="1"/>
    <s v="Yes"/>
    <n v="0"/>
    <s v="Late"/>
    <x v="3"/>
    <x v="10"/>
  </r>
  <r>
    <s v="PO001807"/>
    <s v="SUP00063"/>
    <s v="PROD00179"/>
    <d v="2023-06-06T00:00:00"/>
    <n v="17"/>
    <n v="44.585680742167398"/>
    <d v="2023-06-21T00:00:00"/>
    <d v="2023-06-27T00:00:00"/>
    <n v="757.95657261684596"/>
    <n v="6"/>
    <x v="30"/>
    <s v="Denmark"/>
    <s v="North"/>
    <x v="1"/>
    <n v="0"/>
    <s v="No"/>
    <n v="0"/>
    <s v="Late"/>
    <x v="2"/>
    <x v="1"/>
  </r>
  <r>
    <s v="PO001808"/>
    <s v="SUP00038"/>
    <s v="PROD00078"/>
    <d v="2024-03-02T00:00:00"/>
    <n v="14"/>
    <n v="56.144499657942802"/>
    <d v="2024-03-15T00:00:00"/>
    <d v="2024-03-15T00:00:00"/>
    <n v="786.02299521119903"/>
    <n v="0"/>
    <x v="34"/>
    <s v="Germany"/>
    <s v="South"/>
    <x v="1"/>
    <n v="0"/>
    <s v="No"/>
    <n v="1"/>
    <s v="On Time"/>
    <x v="0"/>
    <x v="0"/>
  </r>
  <r>
    <s v="PO001809"/>
    <s v="SUP00043"/>
    <s v="PROD00031"/>
    <d v="2021-09-27T00:00:00"/>
    <n v="11"/>
    <n v="42.769469053709898"/>
    <d v="2021-10-11T00:00:00"/>
    <d v="2021-10-13T00:00:00"/>
    <n v="470.464159590809"/>
    <n v="2"/>
    <x v="23"/>
    <s v="India"/>
    <s v="Central"/>
    <x v="1"/>
    <n v="0"/>
    <s v="No"/>
    <n v="0"/>
    <s v="Late"/>
    <x v="1"/>
    <x v="11"/>
  </r>
  <r>
    <s v="PO001810"/>
    <s v="SUP00027"/>
    <s v="PROD00103"/>
    <d v="2023-10-05T00:00:00"/>
    <n v="5"/>
    <n v="56.154229052830203"/>
    <d v="2023-10-21T00:00:00"/>
    <d v="2023-10-20T00:00:00"/>
    <n v="280.77114526415102"/>
    <n v="-1"/>
    <x v="53"/>
    <s v="Brazil"/>
    <s v="Central"/>
    <x v="0"/>
    <n v="0"/>
    <s v="No"/>
    <n v="1"/>
    <s v="On Time"/>
    <x v="2"/>
    <x v="4"/>
  </r>
  <r>
    <s v="PO001811"/>
    <s v="SUP00094"/>
    <s v="PROD00175"/>
    <d v="2022-06-10T00:00:00"/>
    <n v="10"/>
    <n v="43.238874745119503"/>
    <d v="2022-06-21T00:00:00"/>
    <d v="2022-06-24T00:00:00"/>
    <n v="432.388747451195"/>
    <n v="3"/>
    <x v="62"/>
    <s v="USA"/>
    <s v="North"/>
    <x v="2"/>
    <n v="0"/>
    <s v="No"/>
    <n v="0"/>
    <s v="Late"/>
    <x v="3"/>
    <x v="1"/>
  </r>
  <r>
    <s v="PO001812"/>
    <s v="SUP00083"/>
    <s v="PROD00072"/>
    <d v="2021-10-28T00:00:00"/>
    <n v="12"/>
    <n v="31.7351848428669"/>
    <d v="2021-11-10T00:00:00"/>
    <d v="2021-11-12T00:00:00"/>
    <n v="380.82221811440297"/>
    <n v="2"/>
    <x v="43"/>
    <s v="China"/>
    <s v="South"/>
    <x v="0"/>
    <n v="0"/>
    <s v="No"/>
    <n v="0"/>
    <s v="Late"/>
    <x v="1"/>
    <x v="4"/>
  </r>
  <r>
    <s v="PO001813"/>
    <s v="SUP00030"/>
    <s v="PROD00055"/>
    <d v="2021-11-22T00:00:00"/>
    <n v="19"/>
    <n v="9.1190935679567797"/>
    <d v="2021-12-05T00:00:00"/>
    <d v="2021-12-05T00:00:00"/>
    <n v="173.262777791178"/>
    <n v="0"/>
    <x v="29"/>
    <s v="India"/>
    <s v="Central"/>
    <x v="0"/>
    <n v="0"/>
    <s v="No"/>
    <n v="1"/>
    <s v="On Time"/>
    <x v="1"/>
    <x v="6"/>
  </r>
  <r>
    <s v="PO001814"/>
    <s v="SUP00027"/>
    <s v="PROD00076"/>
    <d v="2021-05-12T00:00:00"/>
    <n v="10"/>
    <n v="39.807179609959597"/>
    <d v="2021-05-25T00:00:00"/>
    <d v="2021-05-31T00:00:00"/>
    <n v="398.07179609959599"/>
    <n v="6"/>
    <x v="53"/>
    <s v="Brazil"/>
    <s v="Central"/>
    <x v="0"/>
    <n v="0"/>
    <s v="No"/>
    <n v="0"/>
    <s v="Late"/>
    <x v="1"/>
    <x v="3"/>
  </r>
  <r>
    <s v="PO001815"/>
    <s v="SUP00066"/>
    <s v="PROD00033"/>
    <d v="2021-04-26T00:00:00"/>
    <n v="8"/>
    <n v="60.613674447047501"/>
    <d v="2021-05-06T00:00:00"/>
    <d v="2021-05-12T00:00:00"/>
    <n v="484.90939557638001"/>
    <n v="6"/>
    <x v="65"/>
    <s v="India"/>
    <s v="West"/>
    <x v="2"/>
    <n v="0"/>
    <s v="No"/>
    <n v="0"/>
    <s v="Late"/>
    <x v="1"/>
    <x v="8"/>
  </r>
  <r>
    <s v="PO001816"/>
    <s v="SUP00099"/>
    <s v="PROD00018"/>
    <d v="2022-08-13T00:00:00"/>
    <n v="9"/>
    <n v="50.593527599369999"/>
    <d v="2022-09-06T00:00:00"/>
    <d v="2022-09-12T00:00:00"/>
    <n v="455.34174839433001"/>
    <n v="6"/>
    <x v="19"/>
    <s v="Denmark"/>
    <s v="South"/>
    <x v="0"/>
    <n v="0"/>
    <s v="No"/>
    <n v="0"/>
    <s v="Late"/>
    <x v="3"/>
    <x v="2"/>
  </r>
  <r>
    <s v="PO001817"/>
    <s v="SUP00040"/>
    <s v="PROD00169"/>
    <d v="2024-01-03T00:00:00"/>
    <n v="12"/>
    <n v="34.446700025943201"/>
    <d v="2024-01-22T00:00:00"/>
    <d v="2024-01-19T00:00:00"/>
    <n v="413.36040031131802"/>
    <n v="-3"/>
    <x v="58"/>
    <s v="Denmark"/>
    <s v="East"/>
    <x v="2"/>
    <n v="0"/>
    <s v="No"/>
    <n v="1"/>
    <s v="On Time"/>
    <x v="0"/>
    <x v="10"/>
  </r>
  <r>
    <s v="PO001818"/>
    <s v="SUP00078"/>
    <s v="PROD00083"/>
    <d v="2021-08-13T00:00:00"/>
    <n v="11"/>
    <n v="24.9401044243399"/>
    <d v="2021-09-03T00:00:00"/>
    <d v="2021-09-05T00:00:00"/>
    <n v="274.34114866773899"/>
    <n v="2"/>
    <x v="56"/>
    <s v="Germany"/>
    <s v="North"/>
    <x v="0"/>
    <n v="0"/>
    <s v="No"/>
    <n v="0"/>
    <s v="Late"/>
    <x v="1"/>
    <x v="2"/>
  </r>
  <r>
    <s v="PO001819"/>
    <s v="SUP00003"/>
    <s v="PROD00001"/>
    <d v="2022-04-21T00:00:00"/>
    <n v="12"/>
    <n v="33.7474693662855"/>
    <d v="2022-05-10T00:00:00"/>
    <d v="2022-05-09T00:00:00"/>
    <n v="404.969632395426"/>
    <n v="-1"/>
    <x v="91"/>
    <s v="India"/>
    <s v="Central"/>
    <x v="0"/>
    <n v="1"/>
    <s v="Yes"/>
    <n v="1"/>
    <s v="On Time"/>
    <x v="3"/>
    <x v="8"/>
  </r>
  <r>
    <s v="PO001820"/>
    <s v="SUP00033"/>
    <s v="PROD00014"/>
    <d v="2023-11-04T00:00:00"/>
    <n v="16"/>
    <n v="14.4042695179799"/>
    <d v="2023-11-17T00:00:00"/>
    <d v="2023-11-19T00:00:00"/>
    <n v="230.468312287679"/>
    <n v="2"/>
    <x v="54"/>
    <s v="USA"/>
    <s v="South"/>
    <x v="0"/>
    <n v="0"/>
    <s v="No"/>
    <n v="0"/>
    <s v="Late"/>
    <x v="2"/>
    <x v="6"/>
  </r>
  <r>
    <s v="PO001821"/>
    <s v="SUP00053"/>
    <s v="PROD00182"/>
    <d v="2023-05-16T00:00:00"/>
    <n v="8"/>
    <n v="44.7689767260458"/>
    <d v="2023-06-08T00:00:00"/>
    <d v="2023-06-06T00:00:00"/>
    <n v="358.151813808366"/>
    <n v="-2"/>
    <x v="18"/>
    <s v="India"/>
    <s v="North"/>
    <x v="2"/>
    <n v="1"/>
    <s v="Yes"/>
    <n v="1"/>
    <s v="On Time"/>
    <x v="2"/>
    <x v="3"/>
  </r>
  <r>
    <s v="PO001822"/>
    <s v="SUP00051"/>
    <s v="PROD00169"/>
    <d v="2022-09-24T00:00:00"/>
    <n v="9"/>
    <n v="57.460478648228602"/>
    <d v="2022-10-16T00:00:00"/>
    <d v="2022-10-19T00:00:00"/>
    <n v="517.14430783405703"/>
    <n v="3"/>
    <x v="57"/>
    <s v="UK"/>
    <s v="South"/>
    <x v="1"/>
    <n v="0"/>
    <s v="No"/>
    <n v="0"/>
    <s v="Late"/>
    <x v="3"/>
    <x v="11"/>
  </r>
  <r>
    <s v="PO001823"/>
    <s v="SUP00066"/>
    <s v="PROD00092"/>
    <d v="2023-05-21T00:00:00"/>
    <n v="19"/>
    <n v="8.7722135593084101"/>
    <d v="2023-06-14T00:00:00"/>
    <d v="2023-06-12T00:00:00"/>
    <n v="166.67205762685899"/>
    <n v="-2"/>
    <x v="65"/>
    <s v="India"/>
    <s v="West"/>
    <x v="2"/>
    <n v="0"/>
    <s v="No"/>
    <n v="1"/>
    <s v="On Time"/>
    <x v="2"/>
    <x v="3"/>
  </r>
  <r>
    <s v="PO001824"/>
    <s v="SUP00065"/>
    <s v="PROD00055"/>
    <d v="2021-09-12T00:00:00"/>
    <n v="6"/>
    <n v="47.620295491162402"/>
    <d v="2021-09-24T00:00:00"/>
    <d v="2021-09-30T00:00:00"/>
    <n v="285.721772946974"/>
    <n v="6"/>
    <x v="16"/>
    <s v="Brazil"/>
    <s v="East"/>
    <x v="1"/>
    <n v="1"/>
    <s v="Yes"/>
    <n v="0"/>
    <s v="Late"/>
    <x v="1"/>
    <x v="11"/>
  </r>
  <r>
    <s v="PO001825"/>
    <s v="SUP00030"/>
    <s v="PROD00129"/>
    <d v="2023-10-19T00:00:00"/>
    <n v="22"/>
    <n v="26.3530071330479"/>
    <d v="2023-11-08T00:00:00"/>
    <d v="2023-11-10T00:00:00"/>
    <n v="579.766156927054"/>
    <n v="2"/>
    <x v="29"/>
    <s v="India"/>
    <s v="Central"/>
    <x v="0"/>
    <n v="0"/>
    <s v="No"/>
    <n v="0"/>
    <s v="Late"/>
    <x v="2"/>
    <x v="4"/>
  </r>
  <r>
    <s v="PO001826"/>
    <s v="SUP00017"/>
    <s v="PROD00138"/>
    <d v="2022-03-28T00:00:00"/>
    <n v="11"/>
    <n v="75.825384533834395"/>
    <d v="2022-04-14T00:00:00"/>
    <d v="2022-04-17T00:00:00"/>
    <n v="834.07922987217898"/>
    <n v="3"/>
    <x v="52"/>
    <s v="India"/>
    <s v="East"/>
    <x v="1"/>
    <n v="0"/>
    <s v="No"/>
    <n v="0"/>
    <s v="Late"/>
    <x v="3"/>
    <x v="0"/>
  </r>
  <r>
    <s v="PO001827"/>
    <s v="SUP00047"/>
    <s v="PROD00198"/>
    <d v="2021-12-06T00:00:00"/>
    <n v="15"/>
    <n v="5.0961058740237499"/>
    <d v="2021-12-22T00:00:00"/>
    <d v="2021-12-23T00:00:00"/>
    <n v="76.441588110356307"/>
    <n v="1"/>
    <x v="93"/>
    <s v="UK"/>
    <s v="Central"/>
    <x v="3"/>
    <n v="0"/>
    <s v="No"/>
    <n v="0"/>
    <s v="Late"/>
    <x v="1"/>
    <x v="7"/>
  </r>
  <r>
    <s v="PO001828"/>
    <s v="SUP00010"/>
    <s v="PROD00095"/>
    <d v="2022-07-24T00:00:00"/>
    <n v="6"/>
    <n v="47.357684350345103"/>
    <d v="2022-08-16T00:00:00"/>
    <d v="2022-08-22T00:00:00"/>
    <n v="284.14610610207097"/>
    <n v="6"/>
    <x v="82"/>
    <s v="Denmark"/>
    <s v="Central"/>
    <x v="3"/>
    <n v="0"/>
    <s v="No"/>
    <n v="0"/>
    <s v="Late"/>
    <x v="3"/>
    <x v="5"/>
  </r>
  <r>
    <s v="PO001829"/>
    <s v="SUP00032"/>
    <s v="PROD00145"/>
    <d v="2022-03-28T00:00:00"/>
    <n v="8"/>
    <n v="55.408572833708199"/>
    <d v="2022-04-09T00:00:00"/>
    <d v="2022-04-11T00:00:00"/>
    <n v="443.26858266966599"/>
    <n v="2"/>
    <x v="15"/>
    <s v="Germany"/>
    <s v="South"/>
    <x v="0"/>
    <n v="0"/>
    <s v="No"/>
    <n v="0"/>
    <s v="Late"/>
    <x v="3"/>
    <x v="0"/>
  </r>
  <r>
    <s v="PO001830"/>
    <s v="SUP00060"/>
    <s v="PROD00026"/>
    <d v="2022-12-12T00:00:00"/>
    <n v="14"/>
    <n v="55.5688864428489"/>
    <d v="2022-12-28T00:00:00"/>
    <d v="2022-12-27T00:00:00"/>
    <n v="777.96441019988401"/>
    <n v="-1"/>
    <x v="85"/>
    <s v="UK"/>
    <s v="North"/>
    <x v="3"/>
    <n v="1"/>
    <s v="Yes"/>
    <n v="1"/>
    <s v="On Time"/>
    <x v="3"/>
    <x v="7"/>
  </r>
  <r>
    <s v="PO001831"/>
    <s v="SUP00052"/>
    <s v="PROD00141"/>
    <d v="2022-03-19T00:00:00"/>
    <n v="12"/>
    <n v="66.068182799693702"/>
    <d v="2022-04-12T00:00:00"/>
    <d v="2022-04-14T00:00:00"/>
    <n v="792.81819359632402"/>
    <n v="2"/>
    <x v="80"/>
    <s v="Brazil"/>
    <s v="West"/>
    <x v="1"/>
    <n v="1"/>
    <s v="Yes"/>
    <n v="0"/>
    <s v="Late"/>
    <x v="3"/>
    <x v="0"/>
  </r>
  <r>
    <s v="PO001832"/>
    <s v="SUP00098"/>
    <s v="PROD00135"/>
    <d v="2023-04-03T00:00:00"/>
    <n v="13"/>
    <n v="43.458860847675403"/>
    <d v="2023-04-19T00:00:00"/>
    <d v="2023-04-19T00:00:00"/>
    <n v="564.96519101978004"/>
    <n v="0"/>
    <x v="38"/>
    <s v="Germany"/>
    <s v="North"/>
    <x v="3"/>
    <n v="1"/>
    <s v="Yes"/>
    <n v="1"/>
    <s v="On Time"/>
    <x v="2"/>
    <x v="8"/>
  </r>
  <r>
    <s v="PO001833"/>
    <s v="SUP00016"/>
    <s v="PROD00107"/>
    <d v="2021-08-13T00:00:00"/>
    <n v="18"/>
    <n v="26.803773415125999"/>
    <d v="2021-09-02T00:00:00"/>
    <d v="2021-08-30T00:00:00"/>
    <n v="482.46792147226802"/>
    <n v="-3"/>
    <x v="39"/>
    <s v="China"/>
    <s v="East"/>
    <x v="0"/>
    <n v="0"/>
    <s v="No"/>
    <n v="1"/>
    <s v="On Time"/>
    <x v="1"/>
    <x v="2"/>
  </r>
  <r>
    <s v="PO001834"/>
    <s v="SUP00013"/>
    <s v="PROD00102"/>
    <d v="2023-04-25T00:00:00"/>
    <n v="17"/>
    <n v="72.448981705235198"/>
    <d v="2023-05-14T00:00:00"/>
    <d v="2023-05-18T00:00:00"/>
    <n v="1231.6326889889899"/>
    <n v="4"/>
    <x v="31"/>
    <s v="China"/>
    <s v="North"/>
    <x v="2"/>
    <n v="1"/>
    <s v="Yes"/>
    <n v="0"/>
    <s v="Late"/>
    <x v="2"/>
    <x v="8"/>
  </r>
  <r>
    <s v="PO001835"/>
    <s v="SUP00026"/>
    <s v="PROD00053"/>
    <d v="2024-02-29T00:00:00"/>
    <n v="6"/>
    <n v="21.969179688924498"/>
    <d v="2024-03-17T00:00:00"/>
    <d v="2024-03-18T00:00:00"/>
    <n v="131.81507813354699"/>
    <n v="1"/>
    <x v="44"/>
    <s v="Denmark"/>
    <s v="East"/>
    <x v="1"/>
    <n v="1"/>
    <s v="Yes"/>
    <n v="0"/>
    <s v="Late"/>
    <x v="0"/>
    <x v="9"/>
  </r>
  <r>
    <s v="PO001836"/>
    <s v="SUP00039"/>
    <s v="PROD00164"/>
    <d v="2021-06-16T00:00:00"/>
    <n v="18"/>
    <n v="46.307757662595897"/>
    <d v="2021-07-06T00:00:00"/>
    <d v="2021-07-11T00:00:00"/>
    <n v="833.53963792672698"/>
    <n v="5"/>
    <x v="7"/>
    <s v="Denmark"/>
    <s v="South"/>
    <x v="0"/>
    <n v="1"/>
    <s v="Yes"/>
    <n v="0"/>
    <s v="Late"/>
    <x v="1"/>
    <x v="1"/>
  </r>
  <r>
    <s v="PO001837"/>
    <s v="SUP00075"/>
    <s v="PROD00174"/>
    <d v="2021-07-07T00:00:00"/>
    <n v="9"/>
    <n v="79.624945948941999"/>
    <d v="2021-07-24T00:00:00"/>
    <d v="2021-07-27T00:00:00"/>
    <n v="716.62451354047801"/>
    <n v="3"/>
    <x v="11"/>
    <s v="USA"/>
    <s v="Central"/>
    <x v="1"/>
    <n v="1"/>
    <s v="Yes"/>
    <n v="0"/>
    <s v="Late"/>
    <x v="1"/>
    <x v="5"/>
  </r>
  <r>
    <s v="PO001838"/>
    <s v="SUP00056"/>
    <s v="PROD00126"/>
    <d v="2022-10-16T00:00:00"/>
    <n v="9"/>
    <n v="50.832045787634399"/>
    <d v="2022-10-29T00:00:00"/>
    <d v="2022-11-04T00:00:00"/>
    <n v="457.48841208870903"/>
    <n v="6"/>
    <x v="13"/>
    <s v="China"/>
    <s v="North"/>
    <x v="2"/>
    <n v="0"/>
    <s v="No"/>
    <n v="0"/>
    <s v="Late"/>
    <x v="3"/>
    <x v="4"/>
  </r>
  <r>
    <s v="PO001839"/>
    <s v="SUP00025"/>
    <s v="PROD00139"/>
    <d v="2024-02-17T00:00:00"/>
    <n v="17"/>
    <n v="14.0483116474065"/>
    <d v="2024-03-10T00:00:00"/>
    <d v="2024-03-14T00:00:00"/>
    <n v="238.82129800591099"/>
    <n v="4"/>
    <x v="6"/>
    <s v="Denmark"/>
    <s v="Central"/>
    <x v="2"/>
    <n v="0"/>
    <s v="No"/>
    <n v="0"/>
    <s v="Late"/>
    <x v="0"/>
    <x v="9"/>
  </r>
  <r>
    <s v="PO001840"/>
    <s v="SUP00099"/>
    <s v="PROD00177"/>
    <d v="2023-01-14T00:00:00"/>
    <n v="8"/>
    <n v="60.2536423635798"/>
    <d v="2023-01-24T00:00:00"/>
    <d v="2023-01-21T00:00:00"/>
    <n v="482.029138908638"/>
    <n v="-3"/>
    <x v="19"/>
    <s v="Denmark"/>
    <s v="South"/>
    <x v="0"/>
    <n v="0"/>
    <s v="No"/>
    <n v="1"/>
    <s v="On Time"/>
    <x v="2"/>
    <x v="10"/>
  </r>
  <r>
    <s v="PO001841"/>
    <s v="SUP00048"/>
    <s v="PROD00002"/>
    <d v="2022-10-06T00:00:00"/>
    <n v="11"/>
    <n v="32.989912723896197"/>
    <d v="2022-10-25T00:00:00"/>
    <d v="2022-10-26T00:00:00"/>
    <n v="362.88903996285802"/>
    <n v="1"/>
    <x v="4"/>
    <s v="Denmark"/>
    <s v="West"/>
    <x v="2"/>
    <n v="1"/>
    <s v="Yes"/>
    <n v="0"/>
    <s v="Late"/>
    <x v="3"/>
    <x v="4"/>
  </r>
  <r>
    <s v="PO001842"/>
    <s v="SUP00024"/>
    <s v="PROD00193"/>
    <d v="2022-07-23T00:00:00"/>
    <n v="13"/>
    <n v="43.625179338970398"/>
    <d v="2022-08-11T00:00:00"/>
    <d v="2022-08-15T00:00:00"/>
    <n v="567.12733140661499"/>
    <n v="4"/>
    <x v="5"/>
    <s v="UK"/>
    <s v="North"/>
    <x v="1"/>
    <n v="0"/>
    <s v="No"/>
    <n v="0"/>
    <s v="Late"/>
    <x v="3"/>
    <x v="5"/>
  </r>
  <r>
    <s v="PO001843"/>
    <s v="SUP00060"/>
    <s v="PROD00045"/>
    <d v="2023-11-14T00:00:00"/>
    <n v="7"/>
    <n v="43.345836463885099"/>
    <d v="2023-12-06T00:00:00"/>
    <d v="2023-12-05T00:00:00"/>
    <n v="303.42085524719602"/>
    <n v="-1"/>
    <x v="85"/>
    <s v="UK"/>
    <s v="North"/>
    <x v="3"/>
    <n v="1"/>
    <s v="Yes"/>
    <n v="1"/>
    <s v="On Time"/>
    <x v="2"/>
    <x v="6"/>
  </r>
  <r>
    <s v="PO001844"/>
    <s v="SUP00071"/>
    <s v="PROD00117"/>
    <d v="2022-02-10T00:00:00"/>
    <n v="14"/>
    <n v="75.092437475609003"/>
    <d v="2022-02-26T00:00:00"/>
    <d v="2022-02-28T00:00:00"/>
    <n v="1051.2941246585201"/>
    <n v="2"/>
    <x v="50"/>
    <s v="Denmark"/>
    <s v="South"/>
    <x v="3"/>
    <n v="1"/>
    <s v="Yes"/>
    <n v="0"/>
    <s v="Late"/>
    <x v="3"/>
    <x v="9"/>
  </r>
  <r>
    <s v="PO001845"/>
    <s v="SUP00048"/>
    <s v="PROD00028"/>
    <d v="2021-04-16T00:00:00"/>
    <n v="7"/>
    <n v="29.9186219980263"/>
    <d v="2021-04-26T00:00:00"/>
    <d v="2021-05-02T00:00:00"/>
    <n v="209.430353986184"/>
    <n v="6"/>
    <x v="4"/>
    <s v="Denmark"/>
    <s v="West"/>
    <x v="2"/>
    <n v="1"/>
    <s v="Yes"/>
    <n v="0"/>
    <s v="Late"/>
    <x v="1"/>
    <x v="8"/>
  </r>
  <r>
    <s v="PO001846"/>
    <s v="SUP00059"/>
    <s v="PROD00132"/>
    <d v="2021-09-12T00:00:00"/>
    <n v="9"/>
    <n v="12.629908508578801"/>
    <d v="2021-09-28T00:00:00"/>
    <d v="2021-09-30T00:00:00"/>
    <n v="113.669176577209"/>
    <n v="2"/>
    <x v="0"/>
    <s v="India"/>
    <s v="North"/>
    <x v="0"/>
    <n v="0"/>
    <s v="No"/>
    <n v="0"/>
    <s v="Late"/>
    <x v="1"/>
    <x v="11"/>
  </r>
  <r>
    <s v="PO001847"/>
    <s v="SUP00093"/>
    <s v="PROD00004"/>
    <d v="2023-01-11T00:00:00"/>
    <n v="11"/>
    <n v="51.653600498223803"/>
    <d v="2023-02-02T00:00:00"/>
    <d v="2023-02-07T00:00:00"/>
    <n v="568.18960548046095"/>
    <n v="5"/>
    <x v="20"/>
    <s v="USA"/>
    <s v="Central"/>
    <x v="2"/>
    <n v="0"/>
    <s v="No"/>
    <n v="0"/>
    <s v="Late"/>
    <x v="2"/>
    <x v="10"/>
  </r>
  <r>
    <s v="PO001848"/>
    <s v="SUP00087"/>
    <s v="PROD00088"/>
    <d v="2023-12-28T00:00:00"/>
    <n v="15"/>
    <n v="4.5826622865967197"/>
    <d v="2024-01-15T00:00:00"/>
    <d v="2024-01-18T00:00:00"/>
    <n v="68.739934298950899"/>
    <n v="3"/>
    <x v="14"/>
    <s v="UK"/>
    <s v="Central"/>
    <x v="2"/>
    <n v="0"/>
    <s v="No"/>
    <n v="0"/>
    <s v="Late"/>
    <x v="2"/>
    <x v="7"/>
  </r>
  <r>
    <s v="PO001849"/>
    <s v="SUP00015"/>
    <s v="PROD00002"/>
    <d v="2022-09-18T00:00:00"/>
    <n v="6"/>
    <n v="46.586140230848997"/>
    <d v="2022-09-30T00:00:00"/>
    <d v="2022-10-05T00:00:00"/>
    <n v="279.51684138509398"/>
    <n v="5"/>
    <x v="51"/>
    <s v="China"/>
    <s v="South"/>
    <x v="0"/>
    <n v="1"/>
    <s v="Yes"/>
    <n v="0"/>
    <s v="Late"/>
    <x v="3"/>
    <x v="11"/>
  </r>
  <r>
    <s v="PO001850"/>
    <s v="SUP00080"/>
    <s v="PROD00009"/>
    <d v="2021-07-26T00:00:00"/>
    <n v="14"/>
    <n v="21.434197057558801"/>
    <d v="2021-08-07T00:00:00"/>
    <d v="2021-08-04T00:00:00"/>
    <n v="300.07875880582401"/>
    <n v="-3"/>
    <x v="70"/>
    <s v="USA"/>
    <s v="North"/>
    <x v="2"/>
    <n v="0"/>
    <s v="No"/>
    <n v="1"/>
    <s v="On Time"/>
    <x v="1"/>
    <x v="5"/>
  </r>
  <r>
    <s v="PO001851"/>
    <s v="SUP00054"/>
    <s v="PROD00050"/>
    <d v="2021-01-21T00:00:00"/>
    <n v="6"/>
    <n v="38.256886414782102"/>
    <d v="2021-02-10T00:00:00"/>
    <d v="2021-02-14T00:00:00"/>
    <n v="229.54131848869301"/>
    <n v="4"/>
    <x v="73"/>
    <s v="Canada"/>
    <s v="South"/>
    <x v="3"/>
    <n v="1"/>
    <s v="Yes"/>
    <n v="0"/>
    <s v="Late"/>
    <x v="1"/>
    <x v="10"/>
  </r>
  <r>
    <s v="PO001852"/>
    <s v="SUP00026"/>
    <s v="PROD00085"/>
    <d v="2023-07-24T00:00:00"/>
    <n v="9"/>
    <n v="28.0360201737127"/>
    <d v="2023-08-10T00:00:00"/>
    <d v="2023-08-12T00:00:00"/>
    <n v="252.32418156341399"/>
    <n v="2"/>
    <x v="44"/>
    <s v="Denmark"/>
    <s v="East"/>
    <x v="1"/>
    <n v="1"/>
    <s v="Yes"/>
    <n v="0"/>
    <s v="Late"/>
    <x v="2"/>
    <x v="5"/>
  </r>
  <r>
    <s v="PO001853"/>
    <s v="SUP00039"/>
    <s v="PROD00010"/>
    <d v="2022-07-08T00:00:00"/>
    <n v="8"/>
    <n v="45.7583113542075"/>
    <d v="2022-07-18T00:00:00"/>
    <d v="2022-07-22T00:00:00"/>
    <n v="366.06649083366"/>
    <n v="4"/>
    <x v="7"/>
    <s v="Denmark"/>
    <s v="South"/>
    <x v="0"/>
    <n v="1"/>
    <s v="Yes"/>
    <n v="0"/>
    <s v="Late"/>
    <x v="3"/>
    <x v="5"/>
  </r>
  <r>
    <s v="PO001854"/>
    <s v="SUP00054"/>
    <s v="PROD00044"/>
    <d v="2022-09-02T00:00:00"/>
    <n v="10"/>
    <n v="22.532553230259701"/>
    <d v="2022-09-18T00:00:00"/>
    <d v="2022-09-23T00:00:00"/>
    <n v="225.325532302597"/>
    <n v="5"/>
    <x v="73"/>
    <s v="Canada"/>
    <s v="South"/>
    <x v="3"/>
    <n v="1"/>
    <s v="Yes"/>
    <n v="0"/>
    <s v="Late"/>
    <x v="3"/>
    <x v="11"/>
  </r>
  <r>
    <s v="PO001855"/>
    <s v="SUP00017"/>
    <s v="PROD00067"/>
    <d v="2021-03-06T00:00:00"/>
    <n v="7"/>
    <n v="15.399207962772101"/>
    <d v="2021-03-28T00:00:00"/>
    <d v="2021-03-26T00:00:00"/>
    <n v="107.794455739405"/>
    <n v="-2"/>
    <x v="52"/>
    <s v="India"/>
    <s v="East"/>
    <x v="1"/>
    <n v="0"/>
    <s v="No"/>
    <n v="1"/>
    <s v="On Time"/>
    <x v="1"/>
    <x v="0"/>
  </r>
  <r>
    <s v="PO001856"/>
    <s v="SUP00042"/>
    <s v="PROD00188"/>
    <d v="2022-06-22T00:00:00"/>
    <n v="8"/>
    <n v="28.253542435304301"/>
    <d v="2022-07-05T00:00:00"/>
    <d v="2022-07-05T00:00:00"/>
    <n v="226.02833948243401"/>
    <n v="0"/>
    <x v="64"/>
    <s v="India"/>
    <s v="West"/>
    <x v="2"/>
    <n v="0"/>
    <s v="No"/>
    <n v="1"/>
    <s v="On Time"/>
    <x v="3"/>
    <x v="1"/>
  </r>
  <r>
    <s v="PO001857"/>
    <s v="SUP00091"/>
    <s v="PROD00054"/>
    <d v="2022-03-17T00:00:00"/>
    <n v="9"/>
    <n v="42.448423716224397"/>
    <d v="2022-04-07T00:00:00"/>
    <d v="2022-04-09T00:00:00"/>
    <n v="382.03581344601997"/>
    <n v="2"/>
    <x v="77"/>
    <s v="China"/>
    <s v="South"/>
    <x v="1"/>
    <n v="0"/>
    <s v="No"/>
    <n v="0"/>
    <s v="Late"/>
    <x v="3"/>
    <x v="0"/>
  </r>
  <r>
    <s v="PO001858"/>
    <s v="SUP00075"/>
    <s v="PROD00096"/>
    <d v="2021-06-09T00:00:00"/>
    <n v="13"/>
    <n v="36.097081048826098"/>
    <d v="2021-06-23T00:00:00"/>
    <d v="2021-06-28T00:00:00"/>
    <n v="469.262053634739"/>
    <n v="5"/>
    <x v="11"/>
    <s v="USA"/>
    <s v="Central"/>
    <x v="1"/>
    <n v="1"/>
    <s v="Yes"/>
    <n v="0"/>
    <s v="Late"/>
    <x v="1"/>
    <x v="1"/>
  </r>
  <r>
    <s v="PO001859"/>
    <s v="SUP00051"/>
    <s v="PROD00083"/>
    <d v="2023-01-24T00:00:00"/>
    <n v="17"/>
    <n v="78.207360590007795"/>
    <d v="2023-02-10T00:00:00"/>
    <d v="2023-02-15T00:00:00"/>
    <n v="1329.52513003013"/>
    <n v="5"/>
    <x v="57"/>
    <s v="UK"/>
    <s v="South"/>
    <x v="1"/>
    <n v="0"/>
    <s v="No"/>
    <n v="0"/>
    <s v="Late"/>
    <x v="2"/>
    <x v="10"/>
  </r>
  <r>
    <s v="PO001860"/>
    <s v="SUP00089"/>
    <s v="PROD00162"/>
    <d v="2023-11-04T00:00:00"/>
    <n v="7"/>
    <n v="34.530484252113197"/>
    <d v="2023-11-25T00:00:00"/>
    <d v="2023-12-01T00:00:00"/>
    <n v="241.713389764792"/>
    <n v="6"/>
    <x v="87"/>
    <s v="Canada"/>
    <s v="North"/>
    <x v="0"/>
    <n v="0"/>
    <s v="No"/>
    <n v="0"/>
    <s v="Late"/>
    <x v="2"/>
    <x v="6"/>
  </r>
  <r>
    <s v="PO001861"/>
    <s v="SUP00056"/>
    <s v="PROD00105"/>
    <d v="2022-02-26T00:00:00"/>
    <n v="10"/>
    <n v="77.384083323894899"/>
    <d v="2022-03-11T00:00:00"/>
    <d v="2022-03-16T00:00:00"/>
    <n v="773.84083323894902"/>
    <n v="5"/>
    <x v="13"/>
    <s v="China"/>
    <s v="North"/>
    <x v="2"/>
    <n v="0"/>
    <s v="No"/>
    <n v="0"/>
    <s v="Late"/>
    <x v="3"/>
    <x v="9"/>
  </r>
  <r>
    <s v="PO001862"/>
    <s v="SUP00056"/>
    <s v="PROD00156"/>
    <d v="2022-02-25T00:00:00"/>
    <n v="20"/>
    <n v="4.4486858210654399"/>
    <d v="2022-03-16T00:00:00"/>
    <d v="2022-03-15T00:00:00"/>
    <n v="88.973716421308794"/>
    <n v="-1"/>
    <x v="13"/>
    <s v="China"/>
    <s v="North"/>
    <x v="2"/>
    <n v="0"/>
    <s v="No"/>
    <n v="1"/>
    <s v="On Time"/>
    <x v="3"/>
    <x v="9"/>
  </r>
  <r>
    <s v="PO001863"/>
    <s v="SUP00098"/>
    <s v="PROD00005"/>
    <d v="2022-12-20T00:00:00"/>
    <n v="12"/>
    <n v="51.8437459015123"/>
    <d v="2023-01-05T00:00:00"/>
    <d v="2023-01-03T00:00:00"/>
    <n v="622.12495081814802"/>
    <n v="-2"/>
    <x v="38"/>
    <s v="Germany"/>
    <s v="North"/>
    <x v="3"/>
    <n v="1"/>
    <s v="Yes"/>
    <n v="1"/>
    <s v="On Time"/>
    <x v="3"/>
    <x v="7"/>
  </r>
  <r>
    <s v="PO001864"/>
    <s v="SUP00021"/>
    <s v="PROD00026"/>
    <d v="2021-09-27T00:00:00"/>
    <n v="12"/>
    <n v="27.782634942245899"/>
    <d v="2021-10-18T00:00:00"/>
    <d v="2021-10-20T00:00:00"/>
    <n v="333.39161930695099"/>
    <n v="2"/>
    <x v="19"/>
    <s v="Germany"/>
    <s v="Central"/>
    <x v="1"/>
    <n v="1"/>
    <s v="Yes"/>
    <n v="0"/>
    <s v="Late"/>
    <x v="1"/>
    <x v="11"/>
  </r>
  <r>
    <s v="PO001865"/>
    <s v="SUP00064"/>
    <s v="PROD00002"/>
    <d v="2022-08-22T00:00:00"/>
    <n v="10"/>
    <n v="31.894580184908801"/>
    <d v="2022-09-15T00:00:00"/>
    <d v="2022-09-12T00:00:00"/>
    <n v="318.94580184908801"/>
    <n v="-3"/>
    <x v="28"/>
    <s v="Brazil"/>
    <s v="North"/>
    <x v="0"/>
    <n v="1"/>
    <s v="Yes"/>
    <n v="1"/>
    <s v="On Time"/>
    <x v="3"/>
    <x v="2"/>
  </r>
  <r>
    <s v="PO001866"/>
    <s v="SUP00092"/>
    <s v="PROD00173"/>
    <d v="2023-11-06T00:00:00"/>
    <n v="7"/>
    <n v="33.642913915268799"/>
    <d v="2023-11-26T00:00:00"/>
    <d v="2023-12-02T00:00:00"/>
    <n v="235.50039740688101"/>
    <n v="6"/>
    <x v="27"/>
    <s v="UK"/>
    <s v="West"/>
    <x v="0"/>
    <n v="0"/>
    <s v="No"/>
    <n v="0"/>
    <s v="Late"/>
    <x v="2"/>
    <x v="6"/>
  </r>
  <r>
    <s v="PO001867"/>
    <s v="SUP00039"/>
    <s v="PROD00007"/>
    <d v="2023-08-16T00:00:00"/>
    <n v="9"/>
    <n v="41.693338840671302"/>
    <d v="2023-09-09T00:00:00"/>
    <d v="2023-09-13T00:00:00"/>
    <n v="375.24004956604199"/>
    <n v="4"/>
    <x v="7"/>
    <s v="Denmark"/>
    <s v="South"/>
    <x v="0"/>
    <n v="1"/>
    <s v="Yes"/>
    <n v="0"/>
    <s v="Late"/>
    <x v="2"/>
    <x v="2"/>
  </r>
  <r>
    <s v="PO001868"/>
    <s v="SUP00096"/>
    <s v="PROD00054"/>
    <d v="2023-12-07T00:00:00"/>
    <n v="8"/>
    <n v="59.059426980403998"/>
    <d v="2023-12-31T00:00:00"/>
    <d v="2024-01-04T00:00:00"/>
    <n v="472.47541584323199"/>
    <n v="4"/>
    <x v="26"/>
    <s v="India"/>
    <s v="South"/>
    <x v="1"/>
    <n v="0"/>
    <s v="No"/>
    <n v="0"/>
    <s v="Late"/>
    <x v="2"/>
    <x v="7"/>
  </r>
  <r>
    <s v="PO001869"/>
    <s v="SUP00067"/>
    <s v="PROD00073"/>
    <d v="2021-04-15T00:00:00"/>
    <n v="12"/>
    <n v="42.757640765940998"/>
    <d v="2021-05-07T00:00:00"/>
    <d v="2021-05-11T00:00:00"/>
    <n v="513.09168919129195"/>
    <n v="4"/>
    <x v="22"/>
    <s v="UK"/>
    <s v="South"/>
    <x v="3"/>
    <n v="1"/>
    <s v="Yes"/>
    <n v="0"/>
    <s v="Late"/>
    <x v="1"/>
    <x v="8"/>
  </r>
  <r>
    <s v="PO001870"/>
    <s v="SUP00067"/>
    <s v="PROD00130"/>
    <d v="2021-02-18T00:00:00"/>
    <n v="11"/>
    <n v="16.106204694554201"/>
    <d v="2021-03-13T00:00:00"/>
    <d v="2021-03-16T00:00:00"/>
    <n v="177.168251640096"/>
    <n v="3"/>
    <x v="22"/>
    <s v="UK"/>
    <s v="South"/>
    <x v="3"/>
    <n v="1"/>
    <s v="Yes"/>
    <n v="0"/>
    <s v="Late"/>
    <x v="1"/>
    <x v="9"/>
  </r>
  <r>
    <s v="PO001871"/>
    <s v="SUP00040"/>
    <s v="PROD00063"/>
    <d v="2023-06-14T00:00:00"/>
    <n v="9"/>
    <n v="55.652453007738302"/>
    <d v="2023-07-04T00:00:00"/>
    <d v="2023-07-02T00:00:00"/>
    <n v="500.87207706964398"/>
    <n v="-2"/>
    <x v="58"/>
    <s v="Denmark"/>
    <s v="East"/>
    <x v="2"/>
    <n v="0"/>
    <s v="No"/>
    <n v="1"/>
    <s v="On Time"/>
    <x v="2"/>
    <x v="1"/>
  </r>
  <r>
    <s v="PO001872"/>
    <s v="SUP00085"/>
    <s v="PROD00168"/>
    <d v="2023-03-08T00:00:00"/>
    <n v="9"/>
    <n v="34.579809504097597"/>
    <d v="2023-04-01T00:00:00"/>
    <d v="2023-04-07T00:00:00"/>
    <n v="311.218285536878"/>
    <n v="6"/>
    <x v="1"/>
    <s v="Germany"/>
    <s v="Central"/>
    <x v="1"/>
    <n v="1"/>
    <s v="Yes"/>
    <n v="0"/>
    <s v="Late"/>
    <x v="2"/>
    <x v="0"/>
  </r>
  <r>
    <s v="PO001873"/>
    <s v="SUP00033"/>
    <s v="PROD00166"/>
    <d v="2023-03-21T00:00:00"/>
    <n v="7"/>
    <n v="31.7370581887943"/>
    <d v="2023-03-31T00:00:00"/>
    <d v="2023-03-30T00:00:00"/>
    <n v="222.15940732156"/>
    <n v="-1"/>
    <x v="54"/>
    <s v="USA"/>
    <s v="South"/>
    <x v="0"/>
    <n v="0"/>
    <s v="No"/>
    <n v="1"/>
    <s v="On Time"/>
    <x v="2"/>
    <x v="0"/>
  </r>
  <r>
    <s v="PO001874"/>
    <s v="SUP00065"/>
    <s v="PROD00149"/>
    <d v="2023-06-04T00:00:00"/>
    <n v="15"/>
    <n v="5.8239655818174398"/>
    <d v="2023-06-14T00:00:00"/>
    <d v="2023-06-20T00:00:00"/>
    <n v="87.359483727261605"/>
    <n v="6"/>
    <x v="16"/>
    <s v="Brazil"/>
    <s v="East"/>
    <x v="1"/>
    <n v="1"/>
    <s v="Yes"/>
    <n v="0"/>
    <s v="Late"/>
    <x v="2"/>
    <x v="1"/>
  </r>
  <r>
    <s v="PO001875"/>
    <s v="SUP00047"/>
    <s v="PROD00161"/>
    <d v="2022-01-24T00:00:00"/>
    <n v="12"/>
    <n v="10.2330193330877"/>
    <d v="2022-02-14T00:00:00"/>
    <d v="2022-02-11T00:00:00"/>
    <n v="122.796231997053"/>
    <n v="-3"/>
    <x v="93"/>
    <s v="UK"/>
    <s v="Central"/>
    <x v="3"/>
    <n v="0"/>
    <s v="No"/>
    <n v="1"/>
    <s v="On Time"/>
    <x v="3"/>
    <x v="10"/>
  </r>
  <r>
    <s v="PO001876"/>
    <s v="SUP00077"/>
    <s v="PROD00143"/>
    <d v="2022-03-20T00:00:00"/>
    <n v="12"/>
    <n v="25.260433328314502"/>
    <d v="2022-04-10T00:00:00"/>
    <d v="2022-04-15T00:00:00"/>
    <n v="303.12519993977401"/>
    <n v="5"/>
    <x v="10"/>
    <s v="India"/>
    <s v="West"/>
    <x v="1"/>
    <n v="0"/>
    <s v="No"/>
    <n v="0"/>
    <s v="Late"/>
    <x v="3"/>
    <x v="0"/>
  </r>
  <r>
    <s v="PO001877"/>
    <s v="SUP00019"/>
    <s v="PROD00149"/>
    <d v="2021-03-31T00:00:00"/>
    <n v="8"/>
    <n v="22.799821609149902"/>
    <d v="2021-04-16T00:00:00"/>
    <d v="2021-04-13T00:00:00"/>
    <n v="182.39857287319899"/>
    <n v="-3"/>
    <x v="63"/>
    <s v="Denmark"/>
    <s v="West"/>
    <x v="2"/>
    <n v="0"/>
    <s v="No"/>
    <n v="1"/>
    <s v="On Time"/>
    <x v="1"/>
    <x v="0"/>
  </r>
  <r>
    <s v="PO001878"/>
    <s v="SUP00084"/>
    <s v="PROD00117"/>
    <d v="2023-02-10T00:00:00"/>
    <n v="12"/>
    <n v="15.8873799205565"/>
    <d v="2023-03-03T00:00:00"/>
    <d v="2023-03-03T00:00:00"/>
    <n v="190.648559046679"/>
    <n v="0"/>
    <x v="35"/>
    <s v="Canada"/>
    <s v="West"/>
    <x v="1"/>
    <n v="1"/>
    <s v="Yes"/>
    <n v="1"/>
    <s v="On Time"/>
    <x v="2"/>
    <x v="9"/>
  </r>
  <r>
    <s v="PO001879"/>
    <s v="SUP00045"/>
    <s v="PROD00127"/>
    <d v="2021-09-07T00:00:00"/>
    <n v="13"/>
    <n v="70.161797899245499"/>
    <d v="2021-09-18T00:00:00"/>
    <d v="2021-09-24T00:00:00"/>
    <n v="912.10337269019203"/>
    <n v="6"/>
    <x v="84"/>
    <s v="Canada"/>
    <s v="North"/>
    <x v="3"/>
    <n v="1"/>
    <s v="Yes"/>
    <n v="0"/>
    <s v="Late"/>
    <x v="1"/>
    <x v="11"/>
  </r>
  <r>
    <s v="PO001880"/>
    <s v="SUP00038"/>
    <s v="PROD00189"/>
    <d v="2023-09-16T00:00:00"/>
    <n v="10"/>
    <n v="7.7355297421105798"/>
    <d v="2023-10-01T00:00:00"/>
    <d v="2023-09-28T00:00:00"/>
    <n v="77.355297421105803"/>
    <n v="-3"/>
    <x v="34"/>
    <s v="Germany"/>
    <s v="South"/>
    <x v="1"/>
    <n v="0"/>
    <s v="No"/>
    <n v="1"/>
    <s v="On Time"/>
    <x v="2"/>
    <x v="11"/>
  </r>
  <r>
    <s v="PO001881"/>
    <s v="SUP00006"/>
    <s v="PROD00023"/>
    <d v="2023-05-17T00:00:00"/>
    <n v="10"/>
    <n v="76.273278533812004"/>
    <d v="2023-06-10T00:00:00"/>
    <d v="2023-06-14T00:00:00"/>
    <n v="762.73278533812095"/>
    <n v="4"/>
    <x v="78"/>
    <s v="USA"/>
    <s v="East"/>
    <x v="0"/>
    <n v="1"/>
    <s v="Yes"/>
    <n v="0"/>
    <s v="Late"/>
    <x v="2"/>
    <x v="3"/>
  </r>
  <r>
    <s v="PO001882"/>
    <s v="SUP00025"/>
    <s v="PROD00039"/>
    <d v="2021-05-22T00:00:00"/>
    <n v="10"/>
    <n v="50.543093249102498"/>
    <d v="2021-06-13T00:00:00"/>
    <d v="2021-06-15T00:00:00"/>
    <n v="505.43093249102498"/>
    <n v="2"/>
    <x v="6"/>
    <s v="Denmark"/>
    <s v="Central"/>
    <x v="2"/>
    <n v="0"/>
    <s v="No"/>
    <n v="0"/>
    <s v="Late"/>
    <x v="1"/>
    <x v="3"/>
  </r>
  <r>
    <s v="PO001883"/>
    <s v="SUP00015"/>
    <s v="PROD00044"/>
    <d v="2022-05-02T00:00:00"/>
    <n v="11"/>
    <n v="26.4629706553511"/>
    <d v="2022-05-24T00:00:00"/>
    <d v="2022-05-26T00:00:00"/>
    <n v="291.09267720886203"/>
    <n v="2"/>
    <x v="51"/>
    <s v="China"/>
    <s v="South"/>
    <x v="0"/>
    <n v="1"/>
    <s v="Yes"/>
    <n v="0"/>
    <s v="Late"/>
    <x v="3"/>
    <x v="3"/>
  </r>
  <r>
    <s v="PO001884"/>
    <s v="SUP00075"/>
    <s v="PROD00128"/>
    <d v="2023-03-22T00:00:00"/>
    <n v="12"/>
    <n v="46.030019232378002"/>
    <d v="2023-04-10T00:00:00"/>
    <d v="2023-04-15T00:00:00"/>
    <n v="552.360230788536"/>
    <n v="5"/>
    <x v="11"/>
    <s v="USA"/>
    <s v="Central"/>
    <x v="1"/>
    <n v="1"/>
    <s v="Yes"/>
    <n v="0"/>
    <s v="Late"/>
    <x v="2"/>
    <x v="0"/>
  </r>
  <r>
    <s v="PO001885"/>
    <s v="SUP00037"/>
    <s v="PROD00125"/>
    <d v="2023-03-17T00:00:00"/>
    <n v="9"/>
    <n v="61.970429224281503"/>
    <d v="2023-04-04T00:00:00"/>
    <d v="2023-04-08T00:00:00"/>
    <n v="557.73386301853304"/>
    <n v="4"/>
    <x v="46"/>
    <s v="Denmark"/>
    <s v="East"/>
    <x v="1"/>
    <n v="0"/>
    <s v="No"/>
    <n v="0"/>
    <s v="Late"/>
    <x v="2"/>
    <x v="0"/>
  </r>
  <r>
    <s v="PO001886"/>
    <s v="SUP00010"/>
    <s v="PROD00152"/>
    <d v="2021-04-16T00:00:00"/>
    <n v="15"/>
    <n v="18.554917330005502"/>
    <d v="2021-04-26T00:00:00"/>
    <d v="2021-04-24T00:00:00"/>
    <n v="278.323759950083"/>
    <n v="-2"/>
    <x v="82"/>
    <s v="Denmark"/>
    <s v="Central"/>
    <x v="3"/>
    <n v="0"/>
    <s v="No"/>
    <n v="1"/>
    <s v="On Time"/>
    <x v="1"/>
    <x v="8"/>
  </r>
  <r>
    <s v="PO001887"/>
    <s v="SUP00056"/>
    <s v="PROD00013"/>
    <d v="2023-12-29T00:00:00"/>
    <n v="14"/>
    <n v="49.322004195072303"/>
    <d v="2024-01-09T00:00:00"/>
    <d v="2024-01-07T00:00:00"/>
    <n v="690.50805873101297"/>
    <n v="-2"/>
    <x v="13"/>
    <s v="China"/>
    <s v="North"/>
    <x v="2"/>
    <n v="0"/>
    <s v="No"/>
    <n v="1"/>
    <s v="On Time"/>
    <x v="2"/>
    <x v="7"/>
  </r>
  <r>
    <s v="PO001888"/>
    <s v="SUP00028"/>
    <s v="PROD00094"/>
    <d v="2023-11-23T00:00:00"/>
    <n v="11"/>
    <n v="72.830334595622205"/>
    <d v="2023-12-05T00:00:00"/>
    <d v="2023-12-05T00:00:00"/>
    <n v="801.13368055184401"/>
    <n v="0"/>
    <x v="92"/>
    <s v="Canada"/>
    <s v="East"/>
    <x v="3"/>
    <n v="0"/>
    <s v="No"/>
    <n v="1"/>
    <s v="On Time"/>
    <x v="2"/>
    <x v="6"/>
  </r>
  <r>
    <s v="PO001889"/>
    <s v="SUP00089"/>
    <s v="PROD00146"/>
    <d v="2023-01-04T00:00:00"/>
    <n v="6"/>
    <n v="18.9240599233088"/>
    <d v="2023-01-23T00:00:00"/>
    <d v="2023-01-29T00:00:00"/>
    <n v="113.54435953985301"/>
    <n v="6"/>
    <x v="87"/>
    <s v="Canada"/>
    <s v="North"/>
    <x v="0"/>
    <n v="0"/>
    <s v="No"/>
    <n v="0"/>
    <s v="Late"/>
    <x v="2"/>
    <x v="10"/>
  </r>
  <r>
    <s v="PO001890"/>
    <s v="SUP00016"/>
    <s v="PROD00075"/>
    <d v="2021-01-06T00:00:00"/>
    <n v="9"/>
    <n v="32.050166620899802"/>
    <d v="2021-01-30T00:00:00"/>
    <d v="2021-01-29T00:00:00"/>
    <n v="288.45149958809799"/>
    <n v="-1"/>
    <x v="39"/>
    <s v="China"/>
    <s v="East"/>
    <x v="0"/>
    <n v="0"/>
    <s v="No"/>
    <n v="1"/>
    <s v="On Time"/>
    <x v="1"/>
    <x v="10"/>
  </r>
  <r>
    <s v="PO001891"/>
    <s v="SUP00088"/>
    <s v="PROD00142"/>
    <d v="2022-04-10T00:00:00"/>
    <n v="7"/>
    <n v="67.025267705972496"/>
    <d v="2022-05-03T00:00:00"/>
    <d v="2022-05-07T00:00:00"/>
    <n v="469.176873941807"/>
    <n v="4"/>
    <x v="41"/>
    <s v="Brazil"/>
    <s v="East"/>
    <x v="3"/>
    <n v="0"/>
    <s v="No"/>
    <n v="0"/>
    <s v="Late"/>
    <x v="3"/>
    <x v="8"/>
  </r>
  <r>
    <s v="PO001892"/>
    <s v="SUP00043"/>
    <s v="PROD00173"/>
    <d v="2023-05-15T00:00:00"/>
    <n v="15"/>
    <n v="5.6696231676083597"/>
    <d v="2023-06-05T00:00:00"/>
    <d v="2023-06-02T00:00:00"/>
    <n v="85.044347514125405"/>
    <n v="-3"/>
    <x v="23"/>
    <s v="India"/>
    <s v="Central"/>
    <x v="1"/>
    <n v="0"/>
    <s v="No"/>
    <n v="1"/>
    <s v="On Time"/>
    <x v="2"/>
    <x v="3"/>
  </r>
  <r>
    <s v="PO001893"/>
    <s v="SUP00034"/>
    <s v="PROD00097"/>
    <d v="2022-08-21T00:00:00"/>
    <n v="14"/>
    <n v="3.36731576206973"/>
    <d v="2022-09-06T00:00:00"/>
    <d v="2022-09-07T00:00:00"/>
    <n v="47.1424206689762"/>
    <n v="1"/>
    <x v="67"/>
    <s v="Brazil"/>
    <s v="North"/>
    <x v="1"/>
    <n v="1"/>
    <s v="Yes"/>
    <n v="0"/>
    <s v="Late"/>
    <x v="3"/>
    <x v="2"/>
  </r>
  <r>
    <s v="PO001894"/>
    <s v="SUP00014"/>
    <s v="PROD00118"/>
    <d v="2022-01-30T00:00:00"/>
    <n v="11"/>
    <n v="65.689204167994404"/>
    <d v="2022-02-17T00:00:00"/>
    <d v="2022-02-16T00:00:00"/>
    <n v="722.58124584793904"/>
    <n v="-1"/>
    <x v="59"/>
    <s v="Germany"/>
    <s v="West"/>
    <x v="1"/>
    <n v="0"/>
    <s v="No"/>
    <n v="1"/>
    <s v="On Time"/>
    <x v="3"/>
    <x v="10"/>
  </r>
  <r>
    <s v="PO001895"/>
    <s v="SUP00061"/>
    <s v="PROD00069"/>
    <d v="2023-06-05T00:00:00"/>
    <n v="10"/>
    <n v="35.926141966183202"/>
    <d v="2023-06-29T00:00:00"/>
    <d v="2023-07-02T00:00:00"/>
    <n v="359.26141966183201"/>
    <n v="3"/>
    <x v="71"/>
    <s v="India"/>
    <s v="South"/>
    <x v="2"/>
    <n v="0"/>
    <s v="No"/>
    <n v="0"/>
    <s v="Late"/>
    <x v="2"/>
    <x v="1"/>
  </r>
  <r>
    <s v="PO001896"/>
    <s v="SUP00087"/>
    <s v="PROD00114"/>
    <d v="2023-04-04T00:00:00"/>
    <n v="13"/>
    <n v="71.715145833177502"/>
    <d v="2023-04-27T00:00:00"/>
    <d v="2023-04-28T00:00:00"/>
    <n v="932.29689583130698"/>
    <n v="1"/>
    <x v="14"/>
    <s v="UK"/>
    <s v="Central"/>
    <x v="2"/>
    <n v="0"/>
    <s v="No"/>
    <n v="0"/>
    <s v="Late"/>
    <x v="2"/>
    <x v="8"/>
  </r>
  <r>
    <s v="PO001897"/>
    <s v="SUP00068"/>
    <s v="PROD00059"/>
    <d v="2022-04-28T00:00:00"/>
    <n v="17"/>
    <n v="59.697308272258702"/>
    <d v="2022-05-10T00:00:00"/>
    <d v="2022-05-08T00:00:00"/>
    <n v="1014.85424062839"/>
    <n v="-2"/>
    <x v="12"/>
    <s v="UK"/>
    <s v="South"/>
    <x v="3"/>
    <n v="1"/>
    <s v="Yes"/>
    <n v="1"/>
    <s v="On Time"/>
    <x v="3"/>
    <x v="8"/>
  </r>
  <r>
    <s v="PO001898"/>
    <s v="SUP00054"/>
    <s v="PROD00132"/>
    <d v="2022-08-20T00:00:00"/>
    <n v="10"/>
    <n v="8.7603748913863804"/>
    <d v="2022-08-30T00:00:00"/>
    <d v="2022-08-30T00:00:00"/>
    <n v="87.603748913863797"/>
    <n v="0"/>
    <x v="73"/>
    <s v="Canada"/>
    <s v="South"/>
    <x v="3"/>
    <n v="1"/>
    <s v="Yes"/>
    <n v="1"/>
    <s v="On Time"/>
    <x v="3"/>
    <x v="2"/>
  </r>
  <r>
    <s v="PO001899"/>
    <s v="SUP00093"/>
    <s v="PROD00060"/>
    <d v="2024-04-06T00:00:00"/>
    <n v="12"/>
    <n v="62.561035387675503"/>
    <d v="2024-04-26T00:00:00"/>
    <d v="2024-05-02T00:00:00"/>
    <n v="750.73242465210603"/>
    <n v="6"/>
    <x v="20"/>
    <s v="USA"/>
    <s v="Central"/>
    <x v="2"/>
    <n v="0"/>
    <s v="No"/>
    <n v="0"/>
    <s v="Late"/>
    <x v="0"/>
    <x v="8"/>
  </r>
  <r>
    <s v="PO001900"/>
    <s v="SUP00040"/>
    <s v="PROD00144"/>
    <d v="2021-02-21T00:00:00"/>
    <n v="14"/>
    <n v="12.4367826840351"/>
    <d v="2021-03-15T00:00:00"/>
    <d v="2021-03-18T00:00:00"/>
    <n v="174.11495757649101"/>
    <n v="3"/>
    <x v="58"/>
    <s v="Denmark"/>
    <s v="East"/>
    <x v="2"/>
    <n v="0"/>
    <s v="No"/>
    <n v="0"/>
    <s v="Late"/>
    <x v="1"/>
    <x v="9"/>
  </r>
  <r>
    <s v="PO001901"/>
    <s v="SUP00019"/>
    <s v="PROD00073"/>
    <d v="2021-04-07T00:00:00"/>
    <n v="12"/>
    <n v="3.3418731147776701"/>
    <d v="2021-04-30T00:00:00"/>
    <d v="2021-05-06T00:00:00"/>
    <n v="40.1024773773321"/>
    <n v="6"/>
    <x v="63"/>
    <s v="Denmark"/>
    <s v="West"/>
    <x v="2"/>
    <n v="0"/>
    <s v="No"/>
    <n v="0"/>
    <s v="Late"/>
    <x v="1"/>
    <x v="8"/>
  </r>
  <r>
    <s v="PO001902"/>
    <s v="SUP00006"/>
    <s v="PROD00138"/>
    <d v="2022-11-09T00:00:00"/>
    <n v="8"/>
    <n v="34.516590582662097"/>
    <d v="2022-12-03T00:00:00"/>
    <d v="2022-11-30T00:00:00"/>
    <n v="276.132724661297"/>
    <n v="-3"/>
    <x v="78"/>
    <s v="USA"/>
    <s v="East"/>
    <x v="0"/>
    <n v="1"/>
    <s v="Yes"/>
    <n v="1"/>
    <s v="On Time"/>
    <x v="3"/>
    <x v="6"/>
  </r>
  <r>
    <s v="PO001903"/>
    <s v="SUP00043"/>
    <s v="PROD00022"/>
    <d v="2022-04-11T00:00:00"/>
    <n v="7"/>
    <n v="53.523892403160403"/>
    <d v="2022-04-26T00:00:00"/>
    <d v="2022-04-25T00:00:00"/>
    <n v="374.66724682212299"/>
    <n v="-1"/>
    <x v="23"/>
    <s v="India"/>
    <s v="Central"/>
    <x v="1"/>
    <n v="0"/>
    <s v="No"/>
    <n v="1"/>
    <s v="On Time"/>
    <x v="3"/>
    <x v="8"/>
  </r>
  <r>
    <s v="PO001904"/>
    <s v="SUP00088"/>
    <s v="PROD00058"/>
    <d v="2024-03-14T00:00:00"/>
    <n v="11"/>
    <n v="74.947069436736896"/>
    <d v="2024-03-31T00:00:00"/>
    <d v="2024-04-05T00:00:00"/>
    <n v="824.41776380410602"/>
    <n v="5"/>
    <x v="41"/>
    <s v="Brazil"/>
    <s v="East"/>
    <x v="3"/>
    <n v="0"/>
    <s v="No"/>
    <n v="0"/>
    <s v="Late"/>
    <x v="0"/>
    <x v="0"/>
  </r>
  <r>
    <s v="PO001905"/>
    <s v="SUP00012"/>
    <s v="PROD00026"/>
    <d v="2021-04-08T00:00:00"/>
    <n v="11"/>
    <n v="63.6537194701122"/>
    <d v="2021-04-24T00:00:00"/>
    <d v="2021-04-28T00:00:00"/>
    <n v="700.19091417123502"/>
    <n v="4"/>
    <x v="88"/>
    <s v="China"/>
    <s v="East"/>
    <x v="3"/>
    <n v="0"/>
    <s v="No"/>
    <n v="0"/>
    <s v="Late"/>
    <x v="1"/>
    <x v="8"/>
  </r>
  <r>
    <s v="PO001906"/>
    <s v="SUP00031"/>
    <s v="PROD00069"/>
    <d v="2021-04-26T00:00:00"/>
    <n v="10"/>
    <n v="19.414335104364302"/>
    <d v="2021-05-07T00:00:00"/>
    <d v="2021-05-10T00:00:00"/>
    <n v="194.14335104364301"/>
    <n v="3"/>
    <x v="33"/>
    <s v="USA"/>
    <s v="West"/>
    <x v="3"/>
    <n v="0"/>
    <s v="No"/>
    <n v="0"/>
    <s v="Late"/>
    <x v="1"/>
    <x v="8"/>
  </r>
  <r>
    <s v="PO001907"/>
    <s v="SUP00072"/>
    <s v="PROD00119"/>
    <d v="2022-01-18T00:00:00"/>
    <n v="6"/>
    <n v="57.171518258443101"/>
    <d v="2022-02-02T00:00:00"/>
    <d v="2022-02-07T00:00:00"/>
    <n v="343.02910955065897"/>
    <n v="5"/>
    <x v="83"/>
    <s v="India"/>
    <s v="Central"/>
    <x v="1"/>
    <n v="0"/>
    <s v="No"/>
    <n v="0"/>
    <s v="Late"/>
    <x v="3"/>
    <x v="10"/>
  </r>
  <r>
    <s v="PO001908"/>
    <s v="SUP00068"/>
    <s v="PROD00151"/>
    <d v="2021-06-01T00:00:00"/>
    <n v="12"/>
    <n v="64.138399920717703"/>
    <d v="2021-06-22T00:00:00"/>
    <d v="2021-06-24T00:00:00"/>
    <n v="769.66079904861294"/>
    <n v="2"/>
    <x v="12"/>
    <s v="UK"/>
    <s v="South"/>
    <x v="3"/>
    <n v="1"/>
    <s v="Yes"/>
    <n v="0"/>
    <s v="Late"/>
    <x v="1"/>
    <x v="1"/>
  </r>
  <r>
    <s v="PO001909"/>
    <s v="SUP00073"/>
    <s v="PROD00055"/>
    <d v="2022-12-05T00:00:00"/>
    <n v="12"/>
    <n v="61.266247903113701"/>
    <d v="2022-12-22T00:00:00"/>
    <d v="2022-12-21T00:00:00"/>
    <n v="735.19497483736404"/>
    <n v="-1"/>
    <x v="42"/>
    <s v="China"/>
    <s v="East"/>
    <x v="2"/>
    <n v="1"/>
    <s v="Yes"/>
    <n v="1"/>
    <s v="On Time"/>
    <x v="3"/>
    <x v="7"/>
  </r>
  <r>
    <s v="PO001910"/>
    <s v="SUP00082"/>
    <s v="PROD00035"/>
    <d v="2021-08-19T00:00:00"/>
    <n v="7"/>
    <n v="4.58997460344278"/>
    <d v="2021-09-05T00:00:00"/>
    <d v="2021-09-06T00:00:00"/>
    <n v="32.129822224099499"/>
    <n v="1"/>
    <x v="76"/>
    <s v="India"/>
    <s v="North"/>
    <x v="1"/>
    <n v="1"/>
    <s v="Yes"/>
    <n v="0"/>
    <s v="Late"/>
    <x v="1"/>
    <x v="2"/>
  </r>
  <r>
    <s v="PO001911"/>
    <s v="SUP00035"/>
    <s v="PROD00195"/>
    <d v="2022-08-29T00:00:00"/>
    <n v="8"/>
    <n v="28.989410095178101"/>
    <d v="2022-09-11T00:00:00"/>
    <d v="2022-09-17T00:00:00"/>
    <n v="231.91528076142501"/>
    <n v="6"/>
    <x v="25"/>
    <s v="Denmark"/>
    <s v="Central"/>
    <x v="1"/>
    <n v="1"/>
    <s v="Yes"/>
    <n v="0"/>
    <s v="Late"/>
    <x v="3"/>
    <x v="2"/>
  </r>
  <r>
    <s v="PO001912"/>
    <s v="SUP00099"/>
    <s v="PROD00143"/>
    <d v="2021-04-05T00:00:00"/>
    <n v="16"/>
    <n v="30.462495538796201"/>
    <d v="2021-04-28T00:00:00"/>
    <d v="2021-05-04T00:00:00"/>
    <n v="487.39992862073899"/>
    <n v="6"/>
    <x v="19"/>
    <s v="Denmark"/>
    <s v="South"/>
    <x v="0"/>
    <n v="0"/>
    <s v="No"/>
    <n v="0"/>
    <s v="Late"/>
    <x v="1"/>
    <x v="8"/>
  </r>
  <r>
    <s v="PO001913"/>
    <s v="SUP00099"/>
    <s v="PROD00186"/>
    <d v="2023-06-18T00:00:00"/>
    <n v="10"/>
    <n v="52.984373067057099"/>
    <d v="2023-07-07T00:00:00"/>
    <d v="2023-07-10T00:00:00"/>
    <n v="529.84373067057095"/>
    <n v="3"/>
    <x v="19"/>
    <s v="Denmark"/>
    <s v="South"/>
    <x v="0"/>
    <n v="0"/>
    <s v="No"/>
    <n v="0"/>
    <s v="Late"/>
    <x v="2"/>
    <x v="1"/>
  </r>
  <r>
    <s v="PO001914"/>
    <s v="SUP00096"/>
    <s v="PROD00146"/>
    <d v="2023-05-16T00:00:00"/>
    <n v="10"/>
    <n v="31.499265453104599"/>
    <d v="2023-05-28T00:00:00"/>
    <d v="2023-05-28T00:00:00"/>
    <n v="314.99265453104601"/>
    <n v="0"/>
    <x v="26"/>
    <s v="India"/>
    <s v="South"/>
    <x v="1"/>
    <n v="0"/>
    <s v="No"/>
    <n v="1"/>
    <s v="On Time"/>
    <x v="2"/>
    <x v="3"/>
  </r>
  <r>
    <s v="PO001915"/>
    <s v="SUP00021"/>
    <s v="PROD00198"/>
    <d v="2023-04-28T00:00:00"/>
    <n v="21"/>
    <n v="28.9326206512719"/>
    <d v="2023-05-13T00:00:00"/>
    <d v="2023-05-15T00:00:00"/>
    <n v="607.58503367671096"/>
    <n v="2"/>
    <x v="19"/>
    <s v="Germany"/>
    <s v="Central"/>
    <x v="1"/>
    <n v="1"/>
    <s v="Yes"/>
    <n v="0"/>
    <s v="Late"/>
    <x v="2"/>
    <x v="8"/>
  </r>
  <r>
    <s v="PO001916"/>
    <s v="SUP00021"/>
    <s v="PROD00122"/>
    <d v="2022-04-14T00:00:00"/>
    <n v="14"/>
    <n v="66.972743470716495"/>
    <d v="2022-05-01T00:00:00"/>
    <d v="2022-05-07T00:00:00"/>
    <n v="937.61840859003098"/>
    <n v="6"/>
    <x v="19"/>
    <s v="Germany"/>
    <s v="Central"/>
    <x v="1"/>
    <n v="1"/>
    <s v="Yes"/>
    <n v="0"/>
    <s v="Late"/>
    <x v="3"/>
    <x v="8"/>
  </r>
  <r>
    <s v="PO001917"/>
    <s v="SUP00055"/>
    <s v="PROD00171"/>
    <d v="2021-08-13T00:00:00"/>
    <n v="15"/>
    <n v="49.747615096422599"/>
    <d v="2021-09-03T00:00:00"/>
    <d v="2021-09-02T00:00:00"/>
    <n v="746.21422644634004"/>
    <n v="-1"/>
    <x v="49"/>
    <s v="China"/>
    <s v="East"/>
    <x v="0"/>
    <n v="1"/>
    <s v="Yes"/>
    <n v="1"/>
    <s v="On Time"/>
    <x v="1"/>
    <x v="2"/>
  </r>
  <r>
    <s v="PO001918"/>
    <s v="SUP00012"/>
    <s v="PROD00131"/>
    <d v="2023-07-09T00:00:00"/>
    <n v="11"/>
    <n v="19.274238213256201"/>
    <d v="2023-07-31T00:00:00"/>
    <d v="2023-08-06T00:00:00"/>
    <n v="212.01662034581801"/>
    <n v="6"/>
    <x v="88"/>
    <s v="China"/>
    <s v="East"/>
    <x v="3"/>
    <n v="0"/>
    <s v="No"/>
    <n v="0"/>
    <s v="Late"/>
    <x v="2"/>
    <x v="5"/>
  </r>
  <r>
    <s v="PO001919"/>
    <s v="SUP00057"/>
    <s v="PROD00051"/>
    <d v="2023-03-08T00:00:00"/>
    <n v="18"/>
    <n v="13.9668181287624"/>
    <d v="2023-03-29T00:00:00"/>
    <d v="2023-03-26T00:00:00"/>
    <n v="251.40272631772399"/>
    <n v="-3"/>
    <x v="68"/>
    <s v="UK"/>
    <s v="South"/>
    <x v="3"/>
    <n v="1"/>
    <s v="Yes"/>
    <n v="1"/>
    <s v="On Time"/>
    <x v="2"/>
    <x v="0"/>
  </r>
  <r>
    <s v="PO001920"/>
    <s v="SUP00063"/>
    <s v="PROD00076"/>
    <d v="2022-12-02T00:00:00"/>
    <n v="18"/>
    <n v="13.6947896243925"/>
    <d v="2022-12-25T00:00:00"/>
    <d v="2022-12-28T00:00:00"/>
    <n v="246.506213239066"/>
    <n v="3"/>
    <x v="30"/>
    <s v="Denmark"/>
    <s v="North"/>
    <x v="1"/>
    <n v="0"/>
    <s v="No"/>
    <n v="0"/>
    <s v="Late"/>
    <x v="3"/>
    <x v="7"/>
  </r>
  <r>
    <s v="PO001921"/>
    <s v="SUP00060"/>
    <s v="PROD00043"/>
    <d v="2021-01-18T00:00:00"/>
    <n v="9"/>
    <n v="7.0034556222690201"/>
    <d v="2021-02-09T00:00:00"/>
    <d v="2021-02-15T00:00:00"/>
    <n v="63.031100600421098"/>
    <n v="6"/>
    <x v="85"/>
    <s v="UK"/>
    <s v="North"/>
    <x v="3"/>
    <n v="1"/>
    <s v="Yes"/>
    <n v="0"/>
    <s v="Late"/>
    <x v="1"/>
    <x v="10"/>
  </r>
  <r>
    <s v="PO001922"/>
    <s v="SUP00062"/>
    <s v="PROD00037"/>
    <d v="2021-06-11T00:00:00"/>
    <n v="11"/>
    <n v="58.685398936432897"/>
    <d v="2021-06-30T00:00:00"/>
    <d v="2021-06-30T00:00:00"/>
    <n v="645.53938830076197"/>
    <n v="0"/>
    <x v="81"/>
    <s v="Brazil"/>
    <s v="Central"/>
    <x v="0"/>
    <n v="0"/>
    <s v="No"/>
    <n v="1"/>
    <s v="On Time"/>
    <x v="1"/>
    <x v="1"/>
  </r>
  <r>
    <s v="PO001923"/>
    <s v="SUP00030"/>
    <s v="PROD00186"/>
    <d v="2021-07-18T00:00:00"/>
    <n v="8"/>
    <n v="14.235764629426001"/>
    <d v="2021-08-09T00:00:00"/>
    <d v="2021-08-10T00:00:00"/>
    <n v="113.88611703540801"/>
    <n v="1"/>
    <x v="29"/>
    <s v="India"/>
    <s v="Central"/>
    <x v="0"/>
    <n v="0"/>
    <s v="No"/>
    <n v="0"/>
    <s v="Late"/>
    <x v="1"/>
    <x v="5"/>
  </r>
  <r>
    <s v="PO001924"/>
    <s v="SUP00054"/>
    <s v="PROD00133"/>
    <d v="2022-06-01T00:00:00"/>
    <n v="10"/>
    <n v="75.993201422971197"/>
    <d v="2022-06-14T00:00:00"/>
    <d v="2022-06-17T00:00:00"/>
    <n v="759.93201422971197"/>
    <n v="3"/>
    <x v="73"/>
    <s v="Canada"/>
    <s v="South"/>
    <x v="3"/>
    <n v="1"/>
    <s v="Yes"/>
    <n v="0"/>
    <s v="Late"/>
    <x v="3"/>
    <x v="1"/>
  </r>
  <r>
    <s v="PO001925"/>
    <s v="SUP00032"/>
    <s v="PROD00024"/>
    <d v="2022-03-17T00:00:00"/>
    <n v="10"/>
    <n v="79.9337941027445"/>
    <d v="2022-04-09T00:00:00"/>
    <d v="2022-04-07T00:00:00"/>
    <n v="799.33794102744503"/>
    <n v="-2"/>
    <x v="15"/>
    <s v="Germany"/>
    <s v="South"/>
    <x v="0"/>
    <n v="0"/>
    <s v="No"/>
    <n v="1"/>
    <s v="On Time"/>
    <x v="3"/>
    <x v="0"/>
  </r>
  <r>
    <s v="PO001926"/>
    <s v="SUP00021"/>
    <s v="PROD00065"/>
    <d v="2022-03-24T00:00:00"/>
    <n v="12"/>
    <n v="60.482758443593802"/>
    <d v="2022-04-17T00:00:00"/>
    <d v="2022-04-22T00:00:00"/>
    <n v="725.79310132312605"/>
    <n v="5"/>
    <x v="19"/>
    <s v="Germany"/>
    <s v="Central"/>
    <x v="1"/>
    <n v="1"/>
    <s v="Yes"/>
    <n v="0"/>
    <s v="Late"/>
    <x v="3"/>
    <x v="0"/>
  </r>
  <r>
    <s v="PO001927"/>
    <s v="SUP00060"/>
    <s v="PROD00067"/>
    <d v="2021-05-27T00:00:00"/>
    <n v="9"/>
    <n v="16.407034820724501"/>
    <d v="2021-06-13T00:00:00"/>
    <d v="2021-06-11T00:00:00"/>
    <n v="147.66331338652"/>
    <n v="-2"/>
    <x v="85"/>
    <s v="UK"/>
    <s v="North"/>
    <x v="3"/>
    <n v="1"/>
    <s v="Yes"/>
    <n v="1"/>
    <s v="On Time"/>
    <x v="1"/>
    <x v="3"/>
  </r>
  <r>
    <s v="PO001928"/>
    <s v="SUP00034"/>
    <s v="PROD00112"/>
    <d v="2023-03-29T00:00:00"/>
    <n v="7"/>
    <n v="72.972958700207101"/>
    <d v="2023-04-18T00:00:00"/>
    <d v="2023-04-22T00:00:00"/>
    <n v="510.810710901449"/>
    <n v="4"/>
    <x v="67"/>
    <s v="Brazil"/>
    <s v="North"/>
    <x v="1"/>
    <n v="1"/>
    <s v="Yes"/>
    <n v="0"/>
    <s v="Late"/>
    <x v="2"/>
    <x v="0"/>
  </r>
  <r>
    <s v="PO001929"/>
    <s v="SUP00049"/>
    <s v="PROD00095"/>
    <d v="2021-08-05T00:00:00"/>
    <n v="10"/>
    <n v="77.022068724485493"/>
    <d v="2021-08-26T00:00:00"/>
    <d v="2021-08-28T00:00:00"/>
    <n v="770.22068724485496"/>
    <n v="2"/>
    <x v="71"/>
    <s v="Canada"/>
    <s v="East"/>
    <x v="0"/>
    <n v="1"/>
    <s v="Yes"/>
    <n v="0"/>
    <s v="Late"/>
    <x v="1"/>
    <x v="2"/>
  </r>
  <r>
    <s v="PO001930"/>
    <s v="SUP00066"/>
    <s v="PROD00170"/>
    <d v="2023-09-01T00:00:00"/>
    <n v="9"/>
    <n v="21.922428090694599"/>
    <d v="2023-09-25T00:00:00"/>
    <d v="2023-09-22T00:00:00"/>
    <n v="197.301852816251"/>
    <n v="-3"/>
    <x v="65"/>
    <s v="India"/>
    <s v="West"/>
    <x v="2"/>
    <n v="0"/>
    <s v="No"/>
    <n v="1"/>
    <s v="On Time"/>
    <x v="2"/>
    <x v="11"/>
  </r>
  <r>
    <s v="PO001931"/>
    <s v="SUP00040"/>
    <s v="PROD00031"/>
    <d v="2021-07-07T00:00:00"/>
    <n v="16"/>
    <n v="60.732811758860699"/>
    <d v="2021-07-25T00:00:00"/>
    <d v="2021-07-26T00:00:00"/>
    <n v="971.72498814177197"/>
    <n v="1"/>
    <x v="58"/>
    <s v="Denmark"/>
    <s v="East"/>
    <x v="2"/>
    <n v="0"/>
    <s v="No"/>
    <n v="0"/>
    <s v="Late"/>
    <x v="1"/>
    <x v="5"/>
  </r>
  <r>
    <s v="PO001932"/>
    <s v="SUP00005"/>
    <s v="PROD00070"/>
    <d v="2021-06-11T00:00:00"/>
    <n v="10"/>
    <n v="75.997525133280504"/>
    <d v="2021-07-01T00:00:00"/>
    <d v="2021-07-01T00:00:00"/>
    <n v="759.97525133280499"/>
    <n v="0"/>
    <x v="17"/>
    <s v="Canada"/>
    <s v="North"/>
    <x v="1"/>
    <n v="1"/>
    <s v="Yes"/>
    <n v="1"/>
    <s v="On Time"/>
    <x v="1"/>
    <x v="1"/>
  </r>
  <r>
    <s v="PO001933"/>
    <s v="SUP00059"/>
    <s v="PROD00169"/>
    <d v="2022-11-15T00:00:00"/>
    <n v="9"/>
    <n v="36.810590120527003"/>
    <d v="2022-11-25T00:00:00"/>
    <d v="2022-11-23T00:00:00"/>
    <n v="331.29531108474299"/>
    <n v="-2"/>
    <x v="0"/>
    <s v="India"/>
    <s v="North"/>
    <x v="0"/>
    <n v="0"/>
    <s v="No"/>
    <n v="1"/>
    <s v="On Time"/>
    <x v="3"/>
    <x v="6"/>
  </r>
  <r>
    <s v="PO001934"/>
    <s v="SUP00044"/>
    <s v="PROD00166"/>
    <d v="2023-10-17T00:00:00"/>
    <n v="10"/>
    <n v="37.187974157187497"/>
    <d v="2023-11-09T00:00:00"/>
    <d v="2023-11-07T00:00:00"/>
    <n v="371.879741571875"/>
    <n v="-2"/>
    <x v="21"/>
    <s v="Germany"/>
    <s v="Central"/>
    <x v="1"/>
    <n v="1"/>
    <s v="Yes"/>
    <n v="1"/>
    <s v="On Time"/>
    <x v="2"/>
    <x v="4"/>
  </r>
  <r>
    <s v="PO001935"/>
    <s v="SUP00009"/>
    <s v="PROD00016"/>
    <d v="2023-09-05T00:00:00"/>
    <n v="12"/>
    <n v="18.343800056915502"/>
    <d v="2023-09-29T00:00:00"/>
    <d v="2023-09-29T00:00:00"/>
    <n v="220.125600682986"/>
    <n v="0"/>
    <x v="95"/>
    <s v="China"/>
    <s v="North"/>
    <x v="1"/>
    <n v="1"/>
    <s v="Yes"/>
    <n v="1"/>
    <s v="On Time"/>
    <x v="2"/>
    <x v="11"/>
  </r>
  <r>
    <s v="PO001936"/>
    <s v="SUP00038"/>
    <s v="PROD00193"/>
    <d v="2022-03-21T00:00:00"/>
    <n v="10"/>
    <n v="75.339717152572703"/>
    <d v="2022-04-01T00:00:00"/>
    <d v="2022-04-02T00:00:00"/>
    <n v="753.397171525727"/>
    <n v="1"/>
    <x v="34"/>
    <s v="Germany"/>
    <s v="South"/>
    <x v="1"/>
    <n v="0"/>
    <s v="No"/>
    <n v="0"/>
    <s v="Late"/>
    <x v="3"/>
    <x v="0"/>
  </r>
  <r>
    <s v="PO001937"/>
    <s v="SUP00093"/>
    <s v="PROD00148"/>
    <d v="2021-04-25T00:00:00"/>
    <n v="11"/>
    <n v="7.5752329371789298"/>
    <d v="2021-05-19T00:00:00"/>
    <d v="2021-05-16T00:00:00"/>
    <n v="83.327562308968297"/>
    <n v="-3"/>
    <x v="20"/>
    <s v="USA"/>
    <s v="Central"/>
    <x v="2"/>
    <n v="0"/>
    <s v="No"/>
    <n v="1"/>
    <s v="On Time"/>
    <x v="1"/>
    <x v="8"/>
  </r>
  <r>
    <s v="PO001938"/>
    <s v="SUP00044"/>
    <s v="PROD00142"/>
    <d v="2022-07-24T00:00:00"/>
    <n v="9"/>
    <n v="55.696421552012403"/>
    <d v="2022-08-04T00:00:00"/>
    <d v="2022-08-07T00:00:00"/>
    <n v="501.26779396811202"/>
    <n v="3"/>
    <x v="21"/>
    <s v="Germany"/>
    <s v="Central"/>
    <x v="1"/>
    <n v="1"/>
    <s v="Yes"/>
    <n v="0"/>
    <s v="Late"/>
    <x v="3"/>
    <x v="5"/>
  </r>
  <r>
    <s v="PO001939"/>
    <s v="SUP00088"/>
    <s v="PROD00119"/>
    <d v="2021-07-11T00:00:00"/>
    <n v="9"/>
    <n v="66.310883689413899"/>
    <d v="2021-07-30T00:00:00"/>
    <d v="2021-08-04T00:00:00"/>
    <n v="596.79795320472499"/>
    <n v="5"/>
    <x v="41"/>
    <s v="Brazil"/>
    <s v="East"/>
    <x v="3"/>
    <n v="0"/>
    <s v="No"/>
    <n v="0"/>
    <s v="Late"/>
    <x v="1"/>
    <x v="5"/>
  </r>
  <r>
    <s v="PO001940"/>
    <s v="SUP00013"/>
    <s v="PROD00182"/>
    <d v="2022-05-13T00:00:00"/>
    <n v="10"/>
    <n v="58.040705964916"/>
    <d v="2022-06-01T00:00:00"/>
    <d v="2022-06-03T00:00:00"/>
    <n v="580.40705964916003"/>
    <n v="2"/>
    <x v="31"/>
    <s v="China"/>
    <s v="North"/>
    <x v="2"/>
    <n v="1"/>
    <s v="Yes"/>
    <n v="0"/>
    <s v="Late"/>
    <x v="3"/>
    <x v="3"/>
  </r>
  <r>
    <s v="PO001941"/>
    <s v="SUP00077"/>
    <s v="PROD00180"/>
    <d v="2021-01-28T00:00:00"/>
    <n v="14"/>
    <n v="13.6723129724651"/>
    <d v="2021-02-10T00:00:00"/>
    <d v="2021-02-15T00:00:00"/>
    <n v="191.41238161451099"/>
    <n v="5"/>
    <x v="10"/>
    <s v="India"/>
    <s v="West"/>
    <x v="1"/>
    <n v="0"/>
    <s v="No"/>
    <n v="0"/>
    <s v="Late"/>
    <x v="1"/>
    <x v="10"/>
  </r>
  <r>
    <s v="PO001942"/>
    <s v="SUP00058"/>
    <s v="PROD00152"/>
    <d v="2024-01-06T00:00:00"/>
    <n v="10"/>
    <n v="29.7662602907772"/>
    <d v="2024-01-27T00:00:00"/>
    <d v="2024-01-27T00:00:00"/>
    <n v="297.662602907772"/>
    <n v="0"/>
    <x v="86"/>
    <s v="China"/>
    <s v="East"/>
    <x v="2"/>
    <n v="1"/>
    <s v="Yes"/>
    <n v="1"/>
    <s v="On Time"/>
    <x v="0"/>
    <x v="10"/>
  </r>
  <r>
    <s v="PO001943"/>
    <s v="SUP00099"/>
    <s v="PROD00058"/>
    <d v="2022-03-20T00:00:00"/>
    <n v="12"/>
    <n v="33.488113779643598"/>
    <d v="2022-04-01T00:00:00"/>
    <d v="2022-04-01T00:00:00"/>
    <n v="401.857365355723"/>
    <n v="0"/>
    <x v="19"/>
    <s v="Denmark"/>
    <s v="South"/>
    <x v="0"/>
    <n v="0"/>
    <s v="No"/>
    <n v="1"/>
    <s v="On Time"/>
    <x v="3"/>
    <x v="0"/>
  </r>
  <r>
    <s v="PO001944"/>
    <s v="SUP00075"/>
    <s v="PROD00165"/>
    <d v="2023-10-28T00:00:00"/>
    <n v="12"/>
    <n v="43.680697946894099"/>
    <d v="2023-11-15T00:00:00"/>
    <d v="2023-11-16T00:00:00"/>
    <n v="524.16837536272897"/>
    <n v="1"/>
    <x v="11"/>
    <s v="USA"/>
    <s v="Central"/>
    <x v="1"/>
    <n v="1"/>
    <s v="Yes"/>
    <n v="0"/>
    <s v="Late"/>
    <x v="2"/>
    <x v="4"/>
  </r>
  <r>
    <s v="PO001945"/>
    <s v="SUP00051"/>
    <s v="PROD00188"/>
    <d v="2023-05-10T00:00:00"/>
    <n v="7"/>
    <n v="48.232686245217202"/>
    <d v="2023-05-21T00:00:00"/>
    <d v="2023-05-24T00:00:00"/>
    <n v="337.62880371652"/>
    <n v="3"/>
    <x v="57"/>
    <s v="UK"/>
    <s v="South"/>
    <x v="1"/>
    <n v="0"/>
    <s v="No"/>
    <n v="0"/>
    <s v="Late"/>
    <x v="2"/>
    <x v="3"/>
  </r>
  <r>
    <s v="PO001946"/>
    <s v="SUP00046"/>
    <s v="PROD00108"/>
    <d v="2023-02-16T00:00:00"/>
    <n v="6"/>
    <n v="42.6512206710375"/>
    <d v="2023-03-08T00:00:00"/>
    <d v="2023-03-12T00:00:00"/>
    <n v="255.90732402622501"/>
    <n v="4"/>
    <x v="61"/>
    <s v="Brazil"/>
    <s v="South"/>
    <x v="3"/>
    <n v="1"/>
    <s v="Yes"/>
    <n v="0"/>
    <s v="Late"/>
    <x v="2"/>
    <x v="9"/>
  </r>
  <r>
    <s v="PO001947"/>
    <s v="SUP00028"/>
    <s v="PROD00123"/>
    <d v="2023-02-22T00:00:00"/>
    <n v="7"/>
    <n v="32.981092979312002"/>
    <d v="2023-03-07T00:00:00"/>
    <d v="2023-03-09T00:00:00"/>
    <n v="230.867650855184"/>
    <n v="2"/>
    <x v="92"/>
    <s v="Canada"/>
    <s v="East"/>
    <x v="3"/>
    <n v="0"/>
    <s v="No"/>
    <n v="0"/>
    <s v="Late"/>
    <x v="2"/>
    <x v="9"/>
  </r>
  <r>
    <s v="PO001948"/>
    <s v="SUP00064"/>
    <s v="PROD00059"/>
    <d v="2023-07-30T00:00:00"/>
    <n v="8"/>
    <n v="4.71158006413199"/>
    <d v="2023-08-22T00:00:00"/>
    <d v="2023-08-24T00:00:00"/>
    <n v="37.692640513055899"/>
    <n v="2"/>
    <x v="28"/>
    <s v="Brazil"/>
    <s v="North"/>
    <x v="0"/>
    <n v="1"/>
    <s v="Yes"/>
    <n v="0"/>
    <s v="Late"/>
    <x v="2"/>
    <x v="5"/>
  </r>
  <r>
    <s v="PO001949"/>
    <s v="SUP00080"/>
    <s v="PROD00067"/>
    <d v="2024-02-19T00:00:00"/>
    <n v="15"/>
    <n v="44.622205832214597"/>
    <d v="2024-03-11T00:00:00"/>
    <d v="2024-03-10T00:00:00"/>
    <n v="669.33308748321997"/>
    <n v="-1"/>
    <x v="70"/>
    <s v="USA"/>
    <s v="North"/>
    <x v="2"/>
    <n v="0"/>
    <s v="No"/>
    <n v="1"/>
    <s v="On Time"/>
    <x v="0"/>
    <x v="9"/>
  </r>
  <r>
    <s v="PO001950"/>
    <s v="SUP00024"/>
    <s v="PROD00034"/>
    <d v="2022-08-05T00:00:00"/>
    <n v="8"/>
    <n v="7.0840635205386002"/>
    <d v="2022-08-26T00:00:00"/>
    <d v="2022-08-31T00:00:00"/>
    <n v="56.672508164308802"/>
    <n v="5"/>
    <x v="5"/>
    <s v="UK"/>
    <s v="North"/>
    <x v="1"/>
    <n v="0"/>
    <s v="No"/>
    <n v="0"/>
    <s v="Late"/>
    <x v="3"/>
    <x v="2"/>
  </r>
  <r>
    <s v="PO001951"/>
    <s v="SUP00082"/>
    <s v="PROD00084"/>
    <d v="2024-02-14T00:00:00"/>
    <n v="7"/>
    <n v="30.1164695765919"/>
    <d v="2024-03-08T00:00:00"/>
    <d v="2024-03-10T00:00:00"/>
    <n v="210.81528703614299"/>
    <n v="2"/>
    <x v="76"/>
    <s v="India"/>
    <s v="North"/>
    <x v="1"/>
    <n v="1"/>
    <s v="Yes"/>
    <n v="0"/>
    <s v="Late"/>
    <x v="0"/>
    <x v="9"/>
  </r>
  <r>
    <s v="PO001952"/>
    <s v="SUP00062"/>
    <s v="PROD00152"/>
    <d v="2023-11-26T00:00:00"/>
    <n v="5"/>
    <n v="56.642778705780799"/>
    <d v="2023-12-19T00:00:00"/>
    <d v="2023-12-20T00:00:00"/>
    <n v="283.21389352890401"/>
    <n v="1"/>
    <x v="81"/>
    <s v="Brazil"/>
    <s v="Central"/>
    <x v="0"/>
    <n v="0"/>
    <s v="No"/>
    <n v="0"/>
    <s v="Late"/>
    <x v="2"/>
    <x v="6"/>
  </r>
  <r>
    <s v="PO001953"/>
    <s v="SUP00006"/>
    <s v="PROD00091"/>
    <d v="2021-01-06T00:00:00"/>
    <n v="10"/>
    <n v="16.395707261128099"/>
    <d v="2021-01-16T00:00:00"/>
    <d v="2021-01-22T00:00:00"/>
    <n v="163.95707261128101"/>
    <n v="6"/>
    <x v="78"/>
    <s v="USA"/>
    <s v="East"/>
    <x v="0"/>
    <n v="1"/>
    <s v="Yes"/>
    <n v="0"/>
    <s v="Late"/>
    <x v="1"/>
    <x v="10"/>
  </r>
  <r>
    <s v="PO001954"/>
    <s v="SUP00065"/>
    <s v="PROD00030"/>
    <d v="2022-10-19T00:00:00"/>
    <n v="13"/>
    <n v="32.788294416819902"/>
    <d v="2022-11-12T00:00:00"/>
    <d v="2022-11-18T00:00:00"/>
    <n v="426.24782741865903"/>
    <n v="6"/>
    <x v="16"/>
    <s v="Brazil"/>
    <s v="East"/>
    <x v="1"/>
    <n v="1"/>
    <s v="Yes"/>
    <n v="0"/>
    <s v="Late"/>
    <x v="3"/>
    <x v="4"/>
  </r>
  <r>
    <s v="PO001955"/>
    <s v="SUP00090"/>
    <s v="PROD00080"/>
    <d v="2022-07-19T00:00:00"/>
    <n v="12"/>
    <n v="12.0204539328968"/>
    <d v="2022-08-11T00:00:00"/>
    <d v="2022-08-10T00:00:00"/>
    <n v="144.245447194761"/>
    <n v="-1"/>
    <x v="9"/>
    <s v="Canada"/>
    <s v="East"/>
    <x v="1"/>
    <n v="1"/>
    <s v="Yes"/>
    <n v="1"/>
    <s v="On Time"/>
    <x v="3"/>
    <x v="5"/>
  </r>
  <r>
    <s v="PO001956"/>
    <s v="SUP00092"/>
    <s v="PROD00149"/>
    <d v="2021-11-22T00:00:00"/>
    <n v="9"/>
    <n v="63.727853735531497"/>
    <d v="2021-12-09T00:00:00"/>
    <d v="2021-12-13T00:00:00"/>
    <n v="573.55068361978294"/>
    <n v="4"/>
    <x v="27"/>
    <s v="UK"/>
    <s v="West"/>
    <x v="0"/>
    <n v="0"/>
    <s v="No"/>
    <n v="0"/>
    <s v="Late"/>
    <x v="1"/>
    <x v="6"/>
  </r>
  <r>
    <s v="PO001957"/>
    <s v="SUP00030"/>
    <s v="PROD00078"/>
    <d v="2023-02-17T00:00:00"/>
    <n v="11"/>
    <n v="29.669039025058101"/>
    <d v="2023-03-10T00:00:00"/>
    <d v="2023-03-15T00:00:00"/>
    <n v="326.359429275639"/>
    <n v="5"/>
    <x v="29"/>
    <s v="India"/>
    <s v="Central"/>
    <x v="0"/>
    <n v="0"/>
    <s v="No"/>
    <n v="0"/>
    <s v="Late"/>
    <x v="2"/>
    <x v="9"/>
  </r>
  <r>
    <s v="PO001958"/>
    <s v="SUP00059"/>
    <s v="PROD00123"/>
    <d v="2023-03-20T00:00:00"/>
    <n v="9"/>
    <n v="12.889945532642299"/>
    <d v="2023-04-04T00:00:00"/>
    <d v="2023-04-02T00:00:00"/>
    <n v="116.00950979378101"/>
    <n v="-2"/>
    <x v="0"/>
    <s v="India"/>
    <s v="North"/>
    <x v="0"/>
    <n v="0"/>
    <s v="No"/>
    <n v="1"/>
    <s v="On Time"/>
    <x v="2"/>
    <x v="0"/>
  </r>
  <r>
    <s v="PO001959"/>
    <s v="SUP00065"/>
    <s v="PROD00151"/>
    <d v="2022-07-07T00:00:00"/>
    <n v="7"/>
    <n v="76.3675526026488"/>
    <d v="2022-07-24T00:00:00"/>
    <d v="2022-07-28T00:00:00"/>
    <n v="534.57286821854098"/>
    <n v="4"/>
    <x v="16"/>
    <s v="Brazil"/>
    <s v="East"/>
    <x v="1"/>
    <n v="1"/>
    <s v="Yes"/>
    <n v="0"/>
    <s v="Late"/>
    <x v="3"/>
    <x v="5"/>
  </r>
  <r>
    <s v="PO001960"/>
    <s v="SUP00037"/>
    <s v="PROD00054"/>
    <d v="2021-03-07T00:00:00"/>
    <n v="16"/>
    <n v="13.040209829414501"/>
    <d v="2021-03-30T00:00:00"/>
    <d v="2021-03-31T00:00:00"/>
    <n v="208.643357270633"/>
    <n v="1"/>
    <x v="46"/>
    <s v="Denmark"/>
    <s v="East"/>
    <x v="1"/>
    <n v="0"/>
    <s v="No"/>
    <n v="0"/>
    <s v="Late"/>
    <x v="1"/>
    <x v="0"/>
  </r>
  <r>
    <s v="PO001961"/>
    <s v="SUP00094"/>
    <s v="PROD00136"/>
    <d v="2022-01-06T00:00:00"/>
    <n v="8"/>
    <n v="61.957829500161097"/>
    <d v="2022-01-19T00:00:00"/>
    <d v="2022-01-21T00:00:00"/>
    <n v="495.662636001289"/>
    <n v="2"/>
    <x v="62"/>
    <s v="USA"/>
    <s v="North"/>
    <x v="2"/>
    <n v="0"/>
    <s v="No"/>
    <n v="0"/>
    <s v="Late"/>
    <x v="3"/>
    <x v="10"/>
  </r>
  <r>
    <s v="PO001962"/>
    <s v="SUP00043"/>
    <s v="PROD00003"/>
    <d v="2023-07-24T00:00:00"/>
    <n v="6"/>
    <n v="26.350445287861"/>
    <d v="2023-08-13T00:00:00"/>
    <d v="2023-08-18T00:00:00"/>
    <n v="158.10267172716601"/>
    <n v="5"/>
    <x v="23"/>
    <s v="India"/>
    <s v="Central"/>
    <x v="1"/>
    <n v="0"/>
    <s v="No"/>
    <n v="0"/>
    <s v="Late"/>
    <x v="2"/>
    <x v="5"/>
  </r>
  <r>
    <s v="PO001963"/>
    <s v="SUP00012"/>
    <s v="PROD00060"/>
    <d v="2023-04-25T00:00:00"/>
    <n v="13"/>
    <n v="58.252143754165601"/>
    <d v="2023-05-13T00:00:00"/>
    <d v="2023-05-16T00:00:00"/>
    <n v="757.27786880415294"/>
    <n v="3"/>
    <x v="88"/>
    <s v="China"/>
    <s v="East"/>
    <x v="3"/>
    <n v="0"/>
    <s v="No"/>
    <n v="0"/>
    <s v="Late"/>
    <x v="2"/>
    <x v="8"/>
  </r>
  <r>
    <s v="PO001964"/>
    <s v="SUP00064"/>
    <s v="PROD00100"/>
    <d v="2024-03-08T00:00:00"/>
    <n v="8"/>
    <n v="15.6567752584247"/>
    <d v="2024-03-18T00:00:00"/>
    <d v="2024-03-24T00:00:00"/>
    <n v="125.254202067398"/>
    <n v="6"/>
    <x v="28"/>
    <s v="Brazil"/>
    <s v="North"/>
    <x v="0"/>
    <n v="1"/>
    <s v="Yes"/>
    <n v="0"/>
    <s v="Late"/>
    <x v="0"/>
    <x v="0"/>
  </r>
  <r>
    <s v="PO001965"/>
    <s v="SUP00002"/>
    <s v="PROD00124"/>
    <d v="2023-03-14T00:00:00"/>
    <n v="12"/>
    <n v="56.586382338056502"/>
    <d v="2023-04-04T00:00:00"/>
    <d v="2023-04-10T00:00:00"/>
    <n v="679.03658805667897"/>
    <n v="6"/>
    <x v="94"/>
    <s v="China"/>
    <s v="South"/>
    <x v="1"/>
    <n v="0"/>
    <s v="No"/>
    <n v="0"/>
    <s v="Late"/>
    <x v="2"/>
    <x v="0"/>
  </r>
  <r>
    <s v="PO001966"/>
    <s v="SUP00066"/>
    <s v="PROD00188"/>
    <d v="2023-09-02T00:00:00"/>
    <n v="11"/>
    <n v="34.721837820912299"/>
    <d v="2023-09-19T00:00:00"/>
    <d v="2023-09-19T00:00:00"/>
    <n v="381.940216030035"/>
    <n v="0"/>
    <x v="65"/>
    <s v="India"/>
    <s v="West"/>
    <x v="2"/>
    <n v="0"/>
    <s v="No"/>
    <n v="1"/>
    <s v="On Time"/>
    <x v="2"/>
    <x v="11"/>
  </r>
  <r>
    <s v="PO001967"/>
    <s v="SUP00039"/>
    <s v="PROD00064"/>
    <d v="2021-03-10T00:00:00"/>
    <n v="8"/>
    <n v="48.191350895150499"/>
    <d v="2021-04-02T00:00:00"/>
    <d v="2021-04-02T00:00:00"/>
    <n v="385.530807161204"/>
    <n v="0"/>
    <x v="7"/>
    <s v="Denmark"/>
    <s v="South"/>
    <x v="0"/>
    <n v="1"/>
    <s v="Yes"/>
    <n v="1"/>
    <s v="On Time"/>
    <x v="1"/>
    <x v="0"/>
  </r>
  <r>
    <s v="PO001968"/>
    <s v="SUP00027"/>
    <s v="PROD00062"/>
    <d v="2022-05-26T00:00:00"/>
    <n v="16"/>
    <n v="76.713229049903802"/>
    <d v="2022-06-18T00:00:00"/>
    <d v="2022-06-23T00:00:00"/>
    <n v="1227.4116647984599"/>
    <n v="5"/>
    <x v="53"/>
    <s v="Brazil"/>
    <s v="Central"/>
    <x v="0"/>
    <n v="0"/>
    <s v="No"/>
    <n v="0"/>
    <s v="Late"/>
    <x v="3"/>
    <x v="3"/>
  </r>
  <r>
    <s v="PO001969"/>
    <s v="SUP00058"/>
    <s v="PROD00103"/>
    <d v="2023-05-18T00:00:00"/>
    <n v="14"/>
    <n v="11.4767689906715"/>
    <d v="2023-06-11T00:00:00"/>
    <d v="2023-06-10T00:00:00"/>
    <n v="160.67476586940199"/>
    <n v="-1"/>
    <x v="86"/>
    <s v="China"/>
    <s v="East"/>
    <x v="2"/>
    <n v="1"/>
    <s v="Yes"/>
    <n v="1"/>
    <s v="On Time"/>
    <x v="2"/>
    <x v="3"/>
  </r>
  <r>
    <s v="PO001970"/>
    <s v="SUP00059"/>
    <s v="PROD00180"/>
    <d v="2022-07-05T00:00:00"/>
    <n v="11"/>
    <n v="35.529180339211301"/>
    <d v="2022-07-29T00:00:00"/>
    <d v="2022-08-01T00:00:00"/>
    <n v="390.82098373132402"/>
    <n v="3"/>
    <x v="0"/>
    <s v="India"/>
    <s v="North"/>
    <x v="0"/>
    <n v="0"/>
    <s v="No"/>
    <n v="0"/>
    <s v="Late"/>
    <x v="3"/>
    <x v="5"/>
  </r>
  <r>
    <s v="PO001971"/>
    <s v="SUP00020"/>
    <s v="PROD00129"/>
    <d v="2022-01-28T00:00:00"/>
    <n v="9"/>
    <n v="4.7453642067590396"/>
    <d v="2022-02-14T00:00:00"/>
    <d v="2022-02-16T00:00:00"/>
    <n v="42.708277860831402"/>
    <n v="2"/>
    <x v="21"/>
    <s v="Canada"/>
    <s v="Central"/>
    <x v="3"/>
    <n v="1"/>
    <s v="Yes"/>
    <n v="0"/>
    <s v="Late"/>
    <x v="3"/>
    <x v="10"/>
  </r>
  <r>
    <s v="PO001972"/>
    <s v="SUP00028"/>
    <s v="PROD00151"/>
    <d v="2023-03-27T00:00:00"/>
    <n v="9"/>
    <n v="3.0702788725445598"/>
    <d v="2023-04-10T00:00:00"/>
    <d v="2023-04-10T00:00:00"/>
    <n v="27.632509852900998"/>
    <n v="0"/>
    <x v="92"/>
    <s v="Canada"/>
    <s v="East"/>
    <x v="3"/>
    <n v="0"/>
    <s v="No"/>
    <n v="1"/>
    <s v="On Time"/>
    <x v="2"/>
    <x v="0"/>
  </r>
  <r>
    <s v="PO001973"/>
    <s v="SUP00053"/>
    <s v="PROD00051"/>
    <d v="2021-04-03T00:00:00"/>
    <n v="16"/>
    <n v="37.1989097969971"/>
    <d v="2021-04-21T00:00:00"/>
    <d v="2021-04-27T00:00:00"/>
    <n v="595.18255675195405"/>
    <n v="6"/>
    <x v="18"/>
    <s v="India"/>
    <s v="North"/>
    <x v="2"/>
    <n v="1"/>
    <s v="Yes"/>
    <n v="0"/>
    <s v="Late"/>
    <x v="1"/>
    <x v="8"/>
  </r>
  <r>
    <s v="PO001974"/>
    <s v="SUP00049"/>
    <s v="PROD00017"/>
    <d v="2023-09-12T00:00:00"/>
    <n v="5"/>
    <n v="64.935528906757199"/>
    <d v="2023-09-22T00:00:00"/>
    <d v="2023-09-21T00:00:00"/>
    <n v="324.67764453378601"/>
    <n v="-1"/>
    <x v="71"/>
    <s v="Canada"/>
    <s v="East"/>
    <x v="0"/>
    <n v="1"/>
    <s v="Yes"/>
    <n v="1"/>
    <s v="On Time"/>
    <x v="2"/>
    <x v="11"/>
  </r>
  <r>
    <s v="PO001975"/>
    <s v="SUP00011"/>
    <s v="PROD00054"/>
    <d v="2022-06-25T00:00:00"/>
    <n v="7"/>
    <n v="66.899697779050896"/>
    <d v="2022-07-09T00:00:00"/>
    <d v="2022-07-13T00:00:00"/>
    <n v="468.297884453356"/>
    <n v="4"/>
    <x v="37"/>
    <s v="UK"/>
    <s v="East"/>
    <x v="3"/>
    <n v="1"/>
    <s v="Yes"/>
    <n v="0"/>
    <s v="Late"/>
    <x v="3"/>
    <x v="1"/>
  </r>
  <r>
    <s v="PO001976"/>
    <s v="SUP00058"/>
    <s v="PROD00158"/>
    <d v="2022-09-15T00:00:00"/>
    <n v="13"/>
    <n v="5.2759423360945501"/>
    <d v="2022-10-08T00:00:00"/>
    <d v="2022-10-07T00:00:00"/>
    <n v="68.587250369229096"/>
    <n v="-1"/>
    <x v="86"/>
    <s v="China"/>
    <s v="East"/>
    <x v="2"/>
    <n v="1"/>
    <s v="Yes"/>
    <n v="1"/>
    <s v="On Time"/>
    <x v="3"/>
    <x v="11"/>
  </r>
  <r>
    <s v="PO001977"/>
    <s v="SUP00060"/>
    <s v="PROD00147"/>
    <d v="2023-02-04T00:00:00"/>
    <n v="6"/>
    <n v="62.587475470144803"/>
    <d v="2023-02-24T00:00:00"/>
    <d v="2023-02-22T00:00:00"/>
    <n v="375.52485282086798"/>
    <n v="-2"/>
    <x v="85"/>
    <s v="UK"/>
    <s v="North"/>
    <x v="3"/>
    <n v="1"/>
    <s v="Yes"/>
    <n v="1"/>
    <s v="On Time"/>
    <x v="2"/>
    <x v="9"/>
  </r>
  <r>
    <s v="PO001978"/>
    <s v="SUP00071"/>
    <s v="PROD00020"/>
    <d v="2022-09-01T00:00:00"/>
    <n v="9"/>
    <n v="24.5196179164626"/>
    <d v="2022-09-25T00:00:00"/>
    <d v="2022-09-29T00:00:00"/>
    <n v="220.67656124816301"/>
    <n v="4"/>
    <x v="50"/>
    <s v="Denmark"/>
    <s v="South"/>
    <x v="3"/>
    <n v="1"/>
    <s v="Yes"/>
    <n v="0"/>
    <s v="Late"/>
    <x v="3"/>
    <x v="11"/>
  </r>
  <r>
    <s v="PO001979"/>
    <s v="SUP00052"/>
    <s v="PROD00068"/>
    <d v="2021-11-28T00:00:00"/>
    <n v="6"/>
    <n v="25.821389830684598"/>
    <d v="2021-12-10T00:00:00"/>
    <d v="2021-12-14T00:00:00"/>
    <n v="154.928338984107"/>
    <n v="4"/>
    <x v="80"/>
    <s v="Brazil"/>
    <s v="West"/>
    <x v="1"/>
    <n v="1"/>
    <s v="Yes"/>
    <n v="0"/>
    <s v="Late"/>
    <x v="1"/>
    <x v="6"/>
  </r>
  <r>
    <s v="PO001980"/>
    <s v="SUP00038"/>
    <s v="PROD00134"/>
    <d v="2021-03-04T00:00:00"/>
    <n v="11"/>
    <n v="51.437526129411097"/>
    <d v="2021-03-20T00:00:00"/>
    <d v="2021-03-25T00:00:00"/>
    <n v="565.81278742352197"/>
    <n v="5"/>
    <x v="34"/>
    <s v="Germany"/>
    <s v="South"/>
    <x v="1"/>
    <n v="0"/>
    <s v="No"/>
    <n v="0"/>
    <s v="Late"/>
    <x v="1"/>
    <x v="0"/>
  </r>
  <r>
    <s v="PO001981"/>
    <s v="SUP00061"/>
    <s v="PROD00056"/>
    <d v="2021-02-02T00:00:00"/>
    <n v="11"/>
    <n v="30.4569180825563"/>
    <d v="2021-02-23T00:00:00"/>
    <d v="2021-02-28T00:00:00"/>
    <n v="335.02609890811902"/>
    <n v="5"/>
    <x v="71"/>
    <s v="India"/>
    <s v="South"/>
    <x v="2"/>
    <n v="0"/>
    <s v="No"/>
    <n v="0"/>
    <s v="Late"/>
    <x v="1"/>
    <x v="9"/>
  </r>
  <r>
    <s v="PO001982"/>
    <s v="SUP00039"/>
    <s v="PROD00188"/>
    <d v="2021-08-19T00:00:00"/>
    <n v="13"/>
    <n v="29.078764969667802"/>
    <d v="2021-09-09T00:00:00"/>
    <d v="2021-09-08T00:00:00"/>
    <n v="378.023944605682"/>
    <n v="-1"/>
    <x v="7"/>
    <s v="Denmark"/>
    <s v="South"/>
    <x v="0"/>
    <n v="1"/>
    <s v="Yes"/>
    <n v="1"/>
    <s v="On Time"/>
    <x v="1"/>
    <x v="2"/>
  </r>
  <r>
    <s v="PO001983"/>
    <s v="SUP00012"/>
    <s v="PROD00026"/>
    <d v="2022-05-26T00:00:00"/>
    <n v="9"/>
    <n v="30.199398071440299"/>
    <d v="2022-06-18T00:00:00"/>
    <d v="2022-06-15T00:00:00"/>
    <n v="271.79458264296301"/>
    <n v="-3"/>
    <x v="88"/>
    <s v="China"/>
    <s v="East"/>
    <x v="3"/>
    <n v="0"/>
    <s v="No"/>
    <n v="1"/>
    <s v="On Time"/>
    <x v="3"/>
    <x v="3"/>
  </r>
  <r>
    <s v="PO001984"/>
    <s v="SUP00040"/>
    <s v="PROD00156"/>
    <d v="2022-01-12T00:00:00"/>
    <n v="12"/>
    <n v="65.729946415553798"/>
    <d v="2022-01-30T00:00:00"/>
    <d v="2022-02-01T00:00:00"/>
    <n v="788.759356986645"/>
    <n v="2"/>
    <x v="58"/>
    <s v="Denmark"/>
    <s v="East"/>
    <x v="2"/>
    <n v="0"/>
    <s v="No"/>
    <n v="0"/>
    <s v="Late"/>
    <x v="3"/>
    <x v="10"/>
  </r>
  <r>
    <s v="PO001985"/>
    <s v="SUP00046"/>
    <s v="PROD00133"/>
    <d v="2021-08-18T00:00:00"/>
    <n v="15"/>
    <n v="11.451465306307099"/>
    <d v="2021-08-29T00:00:00"/>
    <d v="2021-08-30T00:00:00"/>
    <n v="171.77197959460699"/>
    <n v="1"/>
    <x v="61"/>
    <s v="Brazil"/>
    <s v="South"/>
    <x v="3"/>
    <n v="1"/>
    <s v="Yes"/>
    <n v="0"/>
    <s v="Late"/>
    <x v="1"/>
    <x v="2"/>
  </r>
  <r>
    <s v="PO001986"/>
    <s v="SUP00040"/>
    <s v="PROD00114"/>
    <d v="2021-02-08T00:00:00"/>
    <n v="14"/>
    <n v="35.578379585833403"/>
    <d v="2021-02-28T00:00:00"/>
    <d v="2021-03-06T00:00:00"/>
    <n v="498.09731420166798"/>
    <n v="6"/>
    <x v="58"/>
    <s v="Denmark"/>
    <s v="East"/>
    <x v="2"/>
    <n v="0"/>
    <s v="No"/>
    <n v="0"/>
    <s v="Late"/>
    <x v="1"/>
    <x v="9"/>
  </r>
  <r>
    <s v="PO001987"/>
    <s v="SUP00074"/>
    <s v="PROD00135"/>
    <d v="2023-06-08T00:00:00"/>
    <n v="11"/>
    <n v="30.033821701816802"/>
    <d v="2023-06-30T00:00:00"/>
    <d v="2023-07-03T00:00:00"/>
    <n v="330.37203871998503"/>
    <n v="3"/>
    <x v="48"/>
    <s v="Canada"/>
    <s v="South"/>
    <x v="0"/>
    <n v="1"/>
    <s v="Yes"/>
    <n v="0"/>
    <s v="Late"/>
    <x v="2"/>
    <x v="1"/>
  </r>
  <r>
    <s v="PO001988"/>
    <s v="SUP00029"/>
    <s v="PROD00150"/>
    <d v="2023-10-17T00:00:00"/>
    <n v="12"/>
    <n v="54.181602891685202"/>
    <d v="2023-11-08T00:00:00"/>
    <d v="2023-11-09T00:00:00"/>
    <n v="650.17923470022197"/>
    <n v="1"/>
    <x v="47"/>
    <s v="China"/>
    <s v="West"/>
    <x v="0"/>
    <n v="1"/>
    <s v="Yes"/>
    <n v="0"/>
    <s v="Late"/>
    <x v="2"/>
    <x v="4"/>
  </r>
  <r>
    <s v="PO001989"/>
    <s v="SUP00049"/>
    <s v="PROD00162"/>
    <d v="2022-10-16T00:00:00"/>
    <n v="5"/>
    <n v="24.3619163956077"/>
    <d v="2022-11-07T00:00:00"/>
    <d v="2022-11-06T00:00:00"/>
    <n v="121.809581978038"/>
    <n v="-1"/>
    <x v="71"/>
    <s v="Canada"/>
    <s v="East"/>
    <x v="0"/>
    <n v="1"/>
    <s v="Yes"/>
    <n v="1"/>
    <s v="On Time"/>
    <x v="3"/>
    <x v="4"/>
  </r>
  <r>
    <s v="PO001990"/>
    <s v="SUP00017"/>
    <s v="PROD00097"/>
    <d v="2022-05-04T00:00:00"/>
    <n v="10"/>
    <n v="55.170824487145197"/>
    <d v="2022-05-14T00:00:00"/>
    <d v="2022-05-18T00:00:00"/>
    <n v="551.70824487145205"/>
    <n v="4"/>
    <x v="52"/>
    <s v="India"/>
    <s v="East"/>
    <x v="1"/>
    <n v="0"/>
    <s v="No"/>
    <n v="0"/>
    <s v="Late"/>
    <x v="3"/>
    <x v="3"/>
  </r>
  <r>
    <s v="PO001991"/>
    <s v="SUP00048"/>
    <s v="PROD00160"/>
    <d v="2023-04-19T00:00:00"/>
    <n v="9"/>
    <n v="54.030984113619503"/>
    <d v="2023-04-29T00:00:00"/>
    <d v="2023-04-30T00:00:00"/>
    <n v="486.27885702257601"/>
    <n v="1"/>
    <x v="4"/>
    <s v="Denmark"/>
    <s v="West"/>
    <x v="2"/>
    <n v="1"/>
    <s v="Yes"/>
    <n v="0"/>
    <s v="Late"/>
    <x v="2"/>
    <x v="8"/>
  </r>
  <r>
    <s v="PO001992"/>
    <s v="SUP00025"/>
    <s v="PROD00166"/>
    <d v="2023-10-27T00:00:00"/>
    <n v="16"/>
    <n v="63.262215910549401"/>
    <d v="2023-11-14T00:00:00"/>
    <d v="2023-11-11T00:00:00"/>
    <n v="1012.19545456879"/>
    <n v="-3"/>
    <x v="6"/>
    <s v="Denmark"/>
    <s v="Central"/>
    <x v="2"/>
    <n v="0"/>
    <s v="No"/>
    <n v="1"/>
    <s v="On Time"/>
    <x v="2"/>
    <x v="4"/>
  </r>
  <r>
    <s v="PO001993"/>
    <s v="SUP00002"/>
    <s v="PROD00175"/>
    <d v="2021-11-13T00:00:00"/>
    <n v="13"/>
    <n v="39.292226001902598"/>
    <d v="2021-12-03T00:00:00"/>
    <d v="2021-12-03T00:00:00"/>
    <n v="510.79893802473401"/>
    <n v="0"/>
    <x v="94"/>
    <s v="China"/>
    <s v="South"/>
    <x v="1"/>
    <n v="0"/>
    <s v="No"/>
    <n v="1"/>
    <s v="On Time"/>
    <x v="1"/>
    <x v="6"/>
  </r>
  <r>
    <s v="PO001994"/>
    <s v="SUP00041"/>
    <s v="PROD00132"/>
    <d v="2022-11-07T00:00:00"/>
    <n v="15"/>
    <n v="22.651896626508901"/>
    <d v="2022-11-19T00:00:00"/>
    <d v="2022-11-21T00:00:00"/>
    <n v="339.77844939763401"/>
    <n v="2"/>
    <x v="72"/>
    <s v="Germany"/>
    <s v="West"/>
    <x v="1"/>
    <n v="0"/>
    <s v="No"/>
    <n v="0"/>
    <s v="Late"/>
    <x v="3"/>
    <x v="6"/>
  </r>
  <r>
    <s v="PO001995"/>
    <s v="SUP00036"/>
    <s v="PROD00041"/>
    <d v="2021-08-26T00:00:00"/>
    <n v="17"/>
    <n v="57.937884192137801"/>
    <d v="2021-09-15T00:00:00"/>
    <d v="2021-09-16T00:00:00"/>
    <n v="984.94403126634199"/>
    <n v="1"/>
    <x v="40"/>
    <s v="Canada"/>
    <s v="West"/>
    <x v="3"/>
    <n v="1"/>
    <s v="Yes"/>
    <n v="0"/>
    <s v="Late"/>
    <x v="1"/>
    <x v="2"/>
  </r>
  <r>
    <s v="PO001996"/>
    <s v="SUP00018"/>
    <s v="PROD00037"/>
    <d v="2021-01-11T00:00:00"/>
    <n v="12"/>
    <n v="15.1381321802612"/>
    <d v="2021-01-22T00:00:00"/>
    <d v="2021-01-22T00:00:00"/>
    <n v="181.657586163134"/>
    <n v="0"/>
    <x v="8"/>
    <s v="UK"/>
    <s v="West"/>
    <x v="2"/>
    <n v="0"/>
    <s v="No"/>
    <n v="1"/>
    <s v="On Time"/>
    <x v="1"/>
    <x v="10"/>
  </r>
  <r>
    <s v="PO001997"/>
    <s v="SUP00003"/>
    <s v="PROD00028"/>
    <d v="2022-03-04T00:00:00"/>
    <n v="11"/>
    <n v="74.858864923681693"/>
    <d v="2022-03-19T00:00:00"/>
    <d v="2022-03-21T00:00:00"/>
    <n v="823.44751416049803"/>
    <n v="2"/>
    <x v="91"/>
    <s v="India"/>
    <s v="Central"/>
    <x v="0"/>
    <n v="1"/>
    <s v="Yes"/>
    <n v="0"/>
    <s v="Late"/>
    <x v="3"/>
    <x v="0"/>
  </r>
  <r>
    <s v="PO001998"/>
    <s v="SUP00045"/>
    <s v="PROD00169"/>
    <d v="2023-03-01T00:00:00"/>
    <n v="7"/>
    <n v="35.946680457516997"/>
    <d v="2023-03-20T00:00:00"/>
    <d v="2023-03-24T00:00:00"/>
    <n v="251.626763202619"/>
    <n v="4"/>
    <x v="84"/>
    <s v="Canada"/>
    <s v="North"/>
    <x v="3"/>
    <n v="1"/>
    <s v="Yes"/>
    <n v="0"/>
    <s v="Late"/>
    <x v="2"/>
    <x v="0"/>
  </r>
  <r>
    <s v="PO001999"/>
    <s v="SUP00002"/>
    <s v="PROD00056"/>
    <d v="2023-04-04T00:00:00"/>
    <n v="12"/>
    <n v="41.442689086575697"/>
    <d v="2023-04-17T00:00:00"/>
    <d v="2023-04-20T00:00:00"/>
    <n v="497.31226903890899"/>
    <n v="3"/>
    <x v="94"/>
    <s v="China"/>
    <s v="South"/>
    <x v="1"/>
    <n v="0"/>
    <s v="No"/>
    <n v="0"/>
    <s v="Late"/>
    <x v="2"/>
    <x v="8"/>
  </r>
  <r>
    <s v="PO002000"/>
    <s v="SUP00098"/>
    <s v="PROD00077"/>
    <d v="2022-12-16T00:00:00"/>
    <n v="5"/>
    <n v="44.087850681643502"/>
    <d v="2023-01-04T00:00:00"/>
    <d v="2023-01-07T00:00:00"/>
    <n v="220.43925340821701"/>
    <n v="3"/>
    <x v="38"/>
    <s v="Germany"/>
    <s v="North"/>
    <x v="3"/>
    <n v="1"/>
    <s v="Yes"/>
    <n v="0"/>
    <s v="Late"/>
    <x v="3"/>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L3:M8" firstHeaderRow="1" firstDataRow="1" firstDataCol="1"/>
  <pivotFields count="20">
    <pivotField showAll="0"/>
    <pivotField showAll="0"/>
    <pivotField showAll="0"/>
    <pivotField numFmtId="14" showAll="0"/>
    <pivotField showAll="0"/>
    <pivotField showAll="0"/>
    <pivotField numFmtId="14" showAll="0"/>
    <pivotField numFmtId="14" showAll="0"/>
    <pivotField showAll="0"/>
    <pivotField showAll="0"/>
    <pivotField showAll="0"/>
    <pivotField showAll="0"/>
    <pivotField showAll="0"/>
    <pivotField axis="axisRow" showAll="0">
      <items count="5">
        <item x="0"/>
        <item x="2"/>
        <item x="1"/>
        <item x="3"/>
        <item t="default"/>
      </items>
    </pivotField>
    <pivotField showAll="0"/>
    <pivotField showAll="0"/>
    <pivotField dataField="1" showAll="0"/>
    <pivotField showAll="0"/>
    <pivotField showAll="0">
      <items count="5">
        <item x="1"/>
        <item x="3"/>
        <item x="2"/>
        <item x="0"/>
        <item t="default"/>
      </items>
    </pivotField>
    <pivotField showAll="0"/>
  </pivotFields>
  <rowFields count="1">
    <field x="13"/>
  </rowFields>
  <rowItems count="5">
    <i>
      <x/>
    </i>
    <i>
      <x v="1"/>
    </i>
    <i>
      <x v="2"/>
    </i>
    <i>
      <x v="3"/>
    </i>
    <i t="grand">
      <x/>
    </i>
  </rowItems>
  <colItems count="1">
    <i/>
  </colItems>
  <dataFields count="1">
    <dataField name="Average of on_time_flag" fld="16"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G3:H48" firstHeaderRow="1" firstDataRow="1" firstDataCol="1"/>
  <pivotFields count="20">
    <pivotField showAll="0"/>
    <pivotField showAll="0"/>
    <pivotField showAll="0"/>
    <pivotField numFmtId="14"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dataField="1" showAll="0"/>
    <pivotField showAll="0"/>
    <pivotField axis="axisRow" showAll="0">
      <items count="5">
        <item x="1"/>
        <item x="3"/>
        <item x="2"/>
        <item x="0"/>
        <item t="default"/>
      </items>
    </pivotField>
    <pivotField axis="axisRow" showAll="0">
      <items count="13">
        <item x="10"/>
        <item x="9"/>
        <item x="0"/>
        <item x="8"/>
        <item x="3"/>
        <item x="1"/>
        <item x="5"/>
        <item x="2"/>
        <item x="11"/>
        <item x="4"/>
        <item x="6"/>
        <item x="7"/>
        <item t="default"/>
      </items>
    </pivotField>
  </pivotFields>
  <rowFields count="2">
    <field x="18"/>
    <field x="19"/>
  </rowFields>
  <rowItems count="45">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t="grand">
      <x/>
    </i>
  </rowItems>
  <colItems count="1">
    <i/>
  </colItems>
  <dataFields count="1">
    <dataField name="Average of on_time_flag" fld="16" subtotal="average" baseField="18" baseItem="0" numFmtId="1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D100" firstHeaderRow="0" firstDataRow="1" firstDataCol="1"/>
  <pivotFields count="20">
    <pivotField dataField="1" showAll="0"/>
    <pivotField showAll="0"/>
    <pivotField showAll="0"/>
    <pivotField numFmtId="14" showAll="0"/>
    <pivotField showAll="0"/>
    <pivotField showAll="0"/>
    <pivotField numFmtId="14" showAll="0"/>
    <pivotField numFmtId="14" showAll="0"/>
    <pivotField dataField="1" showAll="0"/>
    <pivotField showAll="0"/>
    <pivotField axis="axisRow" showAll="0" sortType="ascending">
      <items count="97">
        <item x="76"/>
        <item x="65"/>
        <item x="22"/>
        <item x="27"/>
        <item x="37"/>
        <item x="11"/>
        <item x="9"/>
        <item x="62"/>
        <item x="78"/>
        <item x="57"/>
        <item x="48"/>
        <item x="26"/>
        <item x="18"/>
        <item x="40"/>
        <item x="83"/>
        <item x="1"/>
        <item x="69"/>
        <item x="92"/>
        <item x="77"/>
        <item x="36"/>
        <item x="14"/>
        <item x="2"/>
        <item x="63"/>
        <item x="4"/>
        <item x="55"/>
        <item x="67"/>
        <item x="88"/>
        <item x="56"/>
        <item x="89"/>
        <item x="94"/>
        <item x="35"/>
        <item x="25"/>
        <item x="49"/>
        <item x="86"/>
        <item x="93"/>
        <item x="66"/>
        <item x="53"/>
        <item x="60"/>
        <item x="31"/>
        <item x="24"/>
        <item x="6"/>
        <item x="72"/>
        <item x="28"/>
        <item x="70"/>
        <item x="38"/>
        <item x="21"/>
        <item x="50"/>
        <item x="30"/>
        <item x="45"/>
        <item x="95"/>
        <item x="82"/>
        <item x="68"/>
        <item x="52"/>
        <item x="3"/>
        <item x="19"/>
        <item x="46"/>
        <item x="7"/>
        <item x="8"/>
        <item x="42"/>
        <item x="79"/>
        <item x="81"/>
        <item x="64"/>
        <item x="58"/>
        <item x="47"/>
        <item x="84"/>
        <item x="32"/>
        <item x="41"/>
        <item x="74"/>
        <item x="75"/>
        <item x="39"/>
        <item x="20"/>
        <item x="29"/>
        <item x="13"/>
        <item x="12"/>
        <item x="15"/>
        <item x="44"/>
        <item x="5"/>
        <item x="16"/>
        <item x="54"/>
        <item x="10"/>
        <item x="59"/>
        <item x="85"/>
        <item x="90"/>
        <item x="51"/>
        <item x="73"/>
        <item x="17"/>
        <item x="80"/>
        <item x="87"/>
        <item x="91"/>
        <item x="61"/>
        <item x="0"/>
        <item x="43"/>
        <item x="34"/>
        <item x="71"/>
        <item x="23"/>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items count="5">
        <item x="1"/>
        <item x="3"/>
        <item x="2"/>
        <item x="0"/>
        <item t="default"/>
      </items>
    </pivotField>
    <pivotField showAll="0"/>
  </pivotFields>
  <rowFields count="1">
    <field x="10"/>
  </rowFields>
  <rowItems count="97">
    <i>
      <x v="66"/>
    </i>
    <i>
      <x v="42"/>
    </i>
    <i>
      <x v="88"/>
    </i>
    <i>
      <x v="35"/>
    </i>
    <i>
      <x v="7"/>
    </i>
    <i>
      <x v="78"/>
    </i>
    <i>
      <x v="26"/>
    </i>
    <i>
      <x v="79"/>
    </i>
    <i>
      <x v="75"/>
    </i>
    <i>
      <x v="39"/>
    </i>
    <i>
      <x v="9"/>
    </i>
    <i>
      <x v="62"/>
    </i>
    <i>
      <x v="48"/>
    </i>
    <i>
      <x v="46"/>
    </i>
    <i>
      <x v="77"/>
    </i>
    <i>
      <x v="64"/>
    </i>
    <i>
      <x v="52"/>
    </i>
    <i>
      <x v="61"/>
    </i>
    <i>
      <x v="65"/>
    </i>
    <i>
      <x v="83"/>
    </i>
    <i>
      <x v="60"/>
    </i>
    <i>
      <x v="23"/>
    </i>
    <i>
      <x v="95"/>
    </i>
    <i>
      <x v="27"/>
    </i>
    <i>
      <x v="68"/>
    </i>
    <i>
      <x v="94"/>
    </i>
    <i>
      <x v="32"/>
    </i>
    <i>
      <x v="86"/>
    </i>
    <i>
      <x v="80"/>
    </i>
    <i>
      <x/>
    </i>
    <i>
      <x v="21"/>
    </i>
    <i>
      <x v="6"/>
    </i>
    <i>
      <x v="69"/>
    </i>
    <i>
      <x v="45"/>
    </i>
    <i>
      <x v="67"/>
    </i>
    <i>
      <x v="57"/>
    </i>
    <i>
      <x v="70"/>
    </i>
    <i>
      <x v="13"/>
    </i>
    <i>
      <x v="36"/>
    </i>
    <i>
      <x v="31"/>
    </i>
    <i>
      <x v="84"/>
    </i>
    <i>
      <x v="50"/>
    </i>
    <i>
      <x v="16"/>
    </i>
    <i>
      <x v="93"/>
    </i>
    <i>
      <x v="49"/>
    </i>
    <i>
      <x v="58"/>
    </i>
    <i>
      <x v="5"/>
    </i>
    <i>
      <x v="15"/>
    </i>
    <i>
      <x v="38"/>
    </i>
    <i>
      <x v="55"/>
    </i>
    <i>
      <x v="51"/>
    </i>
    <i>
      <x v="92"/>
    </i>
    <i>
      <x v="85"/>
    </i>
    <i>
      <x v="41"/>
    </i>
    <i>
      <x v="8"/>
    </i>
    <i>
      <x v="28"/>
    </i>
    <i>
      <x v="19"/>
    </i>
    <i>
      <x v="56"/>
    </i>
    <i>
      <x v="12"/>
    </i>
    <i>
      <x v="3"/>
    </i>
    <i>
      <x v="54"/>
    </i>
    <i>
      <x v="43"/>
    </i>
    <i>
      <x v="10"/>
    </i>
    <i>
      <x v="25"/>
    </i>
    <i>
      <x v="20"/>
    </i>
    <i>
      <x v="4"/>
    </i>
    <i>
      <x v="34"/>
    </i>
    <i>
      <x v="37"/>
    </i>
    <i>
      <x v="18"/>
    </i>
    <i>
      <x v="14"/>
    </i>
    <i>
      <x v="63"/>
    </i>
    <i>
      <x v="17"/>
    </i>
    <i>
      <x v="71"/>
    </i>
    <i>
      <x v="76"/>
    </i>
    <i>
      <x v="2"/>
    </i>
    <i>
      <x v="73"/>
    </i>
    <i>
      <x v="81"/>
    </i>
    <i>
      <x v="44"/>
    </i>
    <i>
      <x v="33"/>
    </i>
    <i>
      <x v="90"/>
    </i>
    <i>
      <x v="87"/>
    </i>
    <i>
      <x v="59"/>
    </i>
    <i>
      <x v="89"/>
    </i>
    <i>
      <x v="82"/>
    </i>
    <i>
      <x v="29"/>
    </i>
    <i>
      <x v="40"/>
    </i>
    <i>
      <x v="47"/>
    </i>
    <i>
      <x v="22"/>
    </i>
    <i>
      <x v="30"/>
    </i>
    <i>
      <x v="74"/>
    </i>
    <i>
      <x v="91"/>
    </i>
    <i>
      <x v="24"/>
    </i>
    <i>
      <x v="53"/>
    </i>
    <i>
      <x v="72"/>
    </i>
    <i>
      <x v="11"/>
    </i>
    <i>
      <x v="1"/>
    </i>
    <i t="grand">
      <x/>
    </i>
  </rowItems>
  <colFields count="1">
    <field x="-2"/>
  </colFields>
  <colItems count="3">
    <i>
      <x/>
    </i>
    <i i="1">
      <x v="1"/>
    </i>
    <i i="2">
      <x v="2"/>
    </i>
  </colItems>
  <dataFields count="3">
    <dataField name="Average of on_time_flag" fld="16" subtotal="average" baseField="10" baseItem="0" numFmtId="10"/>
    <dataField name="Count of PO_ID" fld="0" subtotal="count" baseField="0" baseItem="0"/>
    <dataField name="Sum of Total_Cos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year" sourceName="order_year">
  <pivotTables>
    <pivotTable tabId="5" name="PivotTable5"/>
    <pivotTable tabId="5" name="PivotTable3"/>
    <pivotTable tabId="5" name="PivotTable4"/>
  </pivotTables>
  <data>
    <tabular pivotCacheId="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_year" cache="Slicer_order_year" caption="order_year" rowHeight="241300"/>
</slicers>
</file>

<file path=xl/tables/table1.xml><?xml version="1.0" encoding="utf-8"?>
<table xmlns="http://schemas.openxmlformats.org/spreadsheetml/2006/main" id="1" name="Table1" displayName="Table1" ref="A1:D10" totalsRowShown="0">
  <autoFilter ref="A1:D10"/>
  <tableColumns count="4">
    <tableColumn id="1" name="File"/>
    <tableColumn id="2" name="What I checked"/>
    <tableColumn id="3" name="Result"/>
    <tableColumn id="4" name="Fix Planned"/>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1"/>
  <sheetViews>
    <sheetView workbookViewId="0">
      <selection activeCell="E19" sqref="E19"/>
    </sheetView>
  </sheetViews>
  <sheetFormatPr defaultRowHeight="15" x14ac:dyDescent="0.25"/>
  <cols>
    <col min="1" max="1" width="9.5703125" bestFit="1" customWidth="1"/>
    <col min="2" max="2" width="11.28515625" bestFit="1" customWidth="1"/>
    <col min="3" max="3" width="16.140625" bestFit="1" customWidth="1"/>
    <col min="4" max="4" width="11.28515625" bestFit="1" customWidth="1"/>
    <col min="5" max="5" width="15" bestFit="1" customWidth="1"/>
    <col min="6" max="6" width="12" bestFit="1" customWidth="1"/>
    <col min="7" max="7" width="22.28515625" bestFit="1" customWidth="1"/>
    <col min="8" max="8" width="20.42578125" bestFit="1" customWidth="1"/>
    <col min="9" max="9" width="12" bestFit="1" customWidth="1"/>
    <col min="10" max="10" width="9.42578125" bestFit="1" customWidth="1"/>
  </cols>
  <sheetData>
    <row r="1" spans="1:10" x14ac:dyDescent="0.25">
      <c r="A1" t="s">
        <v>0</v>
      </c>
      <c r="B1" t="s">
        <v>1</v>
      </c>
      <c r="C1" t="s">
        <v>2</v>
      </c>
      <c r="D1" t="s">
        <v>3</v>
      </c>
      <c r="E1" t="s">
        <v>4</v>
      </c>
      <c r="F1" t="s">
        <v>5</v>
      </c>
      <c r="G1" t="s">
        <v>6</v>
      </c>
      <c r="H1" t="s">
        <v>7</v>
      </c>
      <c r="I1" t="s">
        <v>8</v>
      </c>
      <c r="J1" t="s">
        <v>2309</v>
      </c>
    </row>
    <row r="2" spans="1:10" x14ac:dyDescent="0.25">
      <c r="A2" t="s">
        <v>9</v>
      </c>
      <c r="B2" t="s">
        <v>10</v>
      </c>
      <c r="C2" t="s">
        <v>11</v>
      </c>
      <c r="D2" s="1">
        <v>45370</v>
      </c>
      <c r="E2">
        <v>10</v>
      </c>
      <c r="F2">
        <v>42.3450228118054</v>
      </c>
      <c r="G2" s="1">
        <v>45384</v>
      </c>
      <c r="H2" s="1">
        <v>45385</v>
      </c>
      <c r="I2">
        <v>423.45022811805399</v>
      </c>
      <c r="J2">
        <f>H2-G2</f>
        <v>1</v>
      </c>
    </row>
    <row r="3" spans="1:10" x14ac:dyDescent="0.25">
      <c r="A3" t="s">
        <v>12</v>
      </c>
      <c r="B3" t="s">
        <v>13</v>
      </c>
      <c r="C3" t="s">
        <v>14</v>
      </c>
      <c r="D3" s="1">
        <v>44371</v>
      </c>
      <c r="E3">
        <v>5</v>
      </c>
      <c r="F3">
        <v>74.805687380734199</v>
      </c>
      <c r="G3" s="1">
        <v>44381</v>
      </c>
      <c r="H3" s="1">
        <v>44384</v>
      </c>
      <c r="I3">
        <v>374.02843690367098</v>
      </c>
      <c r="J3">
        <f t="shared" ref="J3:J66" si="0">H3-G3</f>
        <v>3</v>
      </c>
    </row>
    <row r="4" spans="1:10" x14ac:dyDescent="0.25">
      <c r="A4" t="s">
        <v>15</v>
      </c>
      <c r="B4" t="s">
        <v>16</v>
      </c>
      <c r="C4" t="s">
        <v>17</v>
      </c>
      <c r="D4" s="1">
        <v>45154</v>
      </c>
      <c r="E4">
        <v>11</v>
      </c>
      <c r="F4">
        <v>76.080119074640507</v>
      </c>
      <c r="G4" s="1">
        <v>45171</v>
      </c>
      <c r="H4" s="1">
        <v>45175</v>
      </c>
      <c r="I4">
        <v>836.88130982104599</v>
      </c>
      <c r="J4">
        <f t="shared" si="0"/>
        <v>4</v>
      </c>
    </row>
    <row r="5" spans="1:10" x14ac:dyDescent="0.25">
      <c r="A5" t="s">
        <v>18</v>
      </c>
      <c r="B5" t="s">
        <v>19</v>
      </c>
      <c r="C5" t="s">
        <v>20</v>
      </c>
      <c r="D5" s="1">
        <v>45047</v>
      </c>
      <c r="E5">
        <v>7</v>
      </c>
      <c r="F5">
        <v>64.157843851116596</v>
      </c>
      <c r="G5" s="1">
        <v>45063</v>
      </c>
      <c r="H5" s="1">
        <v>45060</v>
      </c>
      <c r="I5">
        <v>449.10490695781601</v>
      </c>
      <c r="J5">
        <f t="shared" si="0"/>
        <v>-3</v>
      </c>
    </row>
    <row r="6" spans="1:10" x14ac:dyDescent="0.25">
      <c r="A6" t="s">
        <v>21</v>
      </c>
      <c r="B6" t="s">
        <v>22</v>
      </c>
      <c r="C6" t="s">
        <v>23</v>
      </c>
      <c r="D6" s="1">
        <v>44865</v>
      </c>
      <c r="E6">
        <v>10</v>
      </c>
      <c r="F6">
        <v>53.179120934017803</v>
      </c>
      <c r="G6" s="1">
        <v>44889</v>
      </c>
      <c r="H6" s="1">
        <v>44889</v>
      </c>
      <c r="I6">
        <v>531.79120934017806</v>
      </c>
      <c r="J6">
        <f t="shared" si="0"/>
        <v>0</v>
      </c>
    </row>
    <row r="7" spans="1:10" x14ac:dyDescent="0.25">
      <c r="A7" t="s">
        <v>24</v>
      </c>
      <c r="B7" t="s">
        <v>25</v>
      </c>
      <c r="C7" t="s">
        <v>26</v>
      </c>
      <c r="D7" s="1">
        <v>44754</v>
      </c>
      <c r="E7">
        <v>8</v>
      </c>
      <c r="F7">
        <v>73.194289391294205</v>
      </c>
      <c r="G7" s="1">
        <v>44771</v>
      </c>
      <c r="H7" s="1">
        <v>44774</v>
      </c>
      <c r="I7">
        <v>585.55431513035398</v>
      </c>
      <c r="J7">
        <f t="shared" si="0"/>
        <v>3</v>
      </c>
    </row>
    <row r="8" spans="1:10" x14ac:dyDescent="0.25">
      <c r="A8" t="s">
        <v>27</v>
      </c>
      <c r="B8" t="s">
        <v>28</v>
      </c>
      <c r="C8" t="s">
        <v>29</v>
      </c>
      <c r="D8" s="1">
        <v>44509</v>
      </c>
      <c r="E8">
        <v>9</v>
      </c>
      <c r="F8">
        <v>72.039598730382394</v>
      </c>
      <c r="G8" s="1">
        <v>44529</v>
      </c>
      <c r="H8" s="1">
        <v>44530</v>
      </c>
      <c r="I8">
        <v>648.35638857344202</v>
      </c>
      <c r="J8">
        <f t="shared" si="0"/>
        <v>1</v>
      </c>
    </row>
    <row r="9" spans="1:10" x14ac:dyDescent="0.25">
      <c r="A9" t="s">
        <v>30</v>
      </c>
      <c r="B9" t="s">
        <v>31</v>
      </c>
      <c r="C9" t="s">
        <v>32</v>
      </c>
      <c r="D9" s="1">
        <v>45268</v>
      </c>
      <c r="E9">
        <v>11</v>
      </c>
      <c r="F9">
        <v>55.477081984225997</v>
      </c>
      <c r="G9" s="1">
        <v>45278</v>
      </c>
      <c r="H9" s="1">
        <v>45284</v>
      </c>
      <c r="I9">
        <v>610.24790182648599</v>
      </c>
      <c r="J9">
        <f t="shared" si="0"/>
        <v>6</v>
      </c>
    </row>
    <row r="10" spans="1:10" x14ac:dyDescent="0.25">
      <c r="A10" t="s">
        <v>33</v>
      </c>
      <c r="B10" t="s">
        <v>34</v>
      </c>
      <c r="C10" t="s">
        <v>35</v>
      </c>
      <c r="D10" s="1">
        <v>44674</v>
      </c>
      <c r="E10">
        <v>10</v>
      </c>
      <c r="F10">
        <v>38.263269866724002</v>
      </c>
      <c r="G10" s="1">
        <v>44691</v>
      </c>
      <c r="H10" s="1">
        <v>44689</v>
      </c>
      <c r="I10">
        <v>382.63269866723999</v>
      </c>
      <c r="J10">
        <f t="shared" si="0"/>
        <v>-2</v>
      </c>
    </row>
    <row r="11" spans="1:10" x14ac:dyDescent="0.25">
      <c r="A11" t="s">
        <v>36</v>
      </c>
      <c r="B11" t="s">
        <v>37</v>
      </c>
      <c r="C11" t="s">
        <v>38</v>
      </c>
      <c r="D11" s="1">
        <v>44253</v>
      </c>
      <c r="E11">
        <v>8</v>
      </c>
      <c r="F11">
        <v>72.629360538852495</v>
      </c>
      <c r="G11" s="1">
        <v>44264</v>
      </c>
      <c r="H11" s="1">
        <v>44268</v>
      </c>
      <c r="I11">
        <v>581.03488431081996</v>
      </c>
      <c r="J11">
        <f t="shared" si="0"/>
        <v>4</v>
      </c>
    </row>
    <row r="12" spans="1:10" x14ac:dyDescent="0.25">
      <c r="A12" t="s">
        <v>39</v>
      </c>
      <c r="B12" t="s">
        <v>40</v>
      </c>
      <c r="C12" t="s">
        <v>41</v>
      </c>
      <c r="D12" s="1">
        <v>44393</v>
      </c>
      <c r="E12">
        <v>16</v>
      </c>
      <c r="F12">
        <v>74.910725029472601</v>
      </c>
      <c r="G12" s="1">
        <v>44408</v>
      </c>
      <c r="H12" s="1">
        <v>44414</v>
      </c>
      <c r="I12">
        <v>1198.57160047156</v>
      </c>
      <c r="J12">
        <f t="shared" si="0"/>
        <v>6</v>
      </c>
    </row>
    <row r="13" spans="1:10" x14ac:dyDescent="0.25">
      <c r="A13" t="s">
        <v>42</v>
      </c>
      <c r="B13" t="s">
        <v>43</v>
      </c>
      <c r="C13" t="s">
        <v>44</v>
      </c>
      <c r="D13" s="1">
        <v>44976</v>
      </c>
      <c r="E13">
        <v>13</v>
      </c>
      <c r="F13">
        <v>47.362314027756199</v>
      </c>
      <c r="G13" s="1">
        <v>44999</v>
      </c>
      <c r="H13" s="1">
        <v>45000</v>
      </c>
      <c r="I13">
        <v>615.71008236083105</v>
      </c>
      <c r="J13">
        <f t="shared" si="0"/>
        <v>1</v>
      </c>
    </row>
    <row r="14" spans="1:10" x14ac:dyDescent="0.25">
      <c r="A14" t="s">
        <v>45</v>
      </c>
      <c r="B14" t="s">
        <v>46</v>
      </c>
      <c r="C14" t="s">
        <v>47</v>
      </c>
      <c r="D14" s="1">
        <v>44549</v>
      </c>
      <c r="E14">
        <v>11</v>
      </c>
      <c r="F14">
        <v>65.642856365693703</v>
      </c>
      <c r="G14" s="1">
        <v>44560</v>
      </c>
      <c r="H14" s="1">
        <v>44562</v>
      </c>
      <c r="I14">
        <v>722.07142002263095</v>
      </c>
      <c r="J14">
        <f t="shared" si="0"/>
        <v>2</v>
      </c>
    </row>
    <row r="15" spans="1:10" x14ac:dyDescent="0.25">
      <c r="A15" t="s">
        <v>48</v>
      </c>
      <c r="B15" t="s">
        <v>49</v>
      </c>
      <c r="C15" t="s">
        <v>50</v>
      </c>
      <c r="D15" s="1">
        <v>44570</v>
      </c>
      <c r="E15">
        <v>9</v>
      </c>
      <c r="F15">
        <v>78.904389918313697</v>
      </c>
      <c r="G15" s="1">
        <v>44590</v>
      </c>
      <c r="H15" s="1">
        <v>44594</v>
      </c>
      <c r="I15">
        <v>710.139509264823</v>
      </c>
      <c r="J15">
        <f t="shared" si="0"/>
        <v>4</v>
      </c>
    </row>
    <row r="16" spans="1:10" x14ac:dyDescent="0.25">
      <c r="A16" t="s">
        <v>51</v>
      </c>
      <c r="B16" t="s">
        <v>52</v>
      </c>
      <c r="C16" t="s">
        <v>53</v>
      </c>
      <c r="D16" s="1">
        <v>44859</v>
      </c>
      <c r="E16">
        <v>9</v>
      </c>
      <c r="F16">
        <v>49.990514468280999</v>
      </c>
      <c r="G16" s="1">
        <v>44883</v>
      </c>
      <c r="H16" s="1">
        <v>44888</v>
      </c>
      <c r="I16">
        <v>449.91463021452898</v>
      </c>
      <c r="J16">
        <f t="shared" si="0"/>
        <v>5</v>
      </c>
    </row>
    <row r="17" spans="1:10" x14ac:dyDescent="0.25">
      <c r="A17" t="s">
        <v>54</v>
      </c>
      <c r="B17" t="s">
        <v>55</v>
      </c>
      <c r="C17" t="s">
        <v>56</v>
      </c>
      <c r="D17" s="1">
        <v>45062</v>
      </c>
      <c r="E17">
        <v>16</v>
      </c>
      <c r="F17">
        <v>53.415423056426597</v>
      </c>
      <c r="G17" s="1">
        <v>45073</v>
      </c>
      <c r="H17" s="1">
        <v>45071</v>
      </c>
      <c r="I17">
        <v>854.64676890282499</v>
      </c>
      <c r="J17">
        <f t="shared" si="0"/>
        <v>-2</v>
      </c>
    </row>
    <row r="18" spans="1:10" x14ac:dyDescent="0.25">
      <c r="A18" t="s">
        <v>57</v>
      </c>
      <c r="B18" t="s">
        <v>58</v>
      </c>
      <c r="C18" t="s">
        <v>59</v>
      </c>
      <c r="D18" s="1">
        <v>44471</v>
      </c>
      <c r="E18">
        <v>11</v>
      </c>
      <c r="F18">
        <v>69.114569575480303</v>
      </c>
      <c r="G18" s="1">
        <v>44482</v>
      </c>
      <c r="H18" s="1">
        <v>44483</v>
      </c>
      <c r="I18">
        <v>760.260265330283</v>
      </c>
      <c r="J18">
        <f t="shared" si="0"/>
        <v>1</v>
      </c>
    </row>
    <row r="19" spans="1:10" x14ac:dyDescent="0.25">
      <c r="A19" t="s">
        <v>60</v>
      </c>
      <c r="B19" t="s">
        <v>61</v>
      </c>
      <c r="C19" t="s">
        <v>62</v>
      </c>
      <c r="D19" s="1">
        <v>44699</v>
      </c>
      <c r="E19">
        <v>11</v>
      </c>
      <c r="F19">
        <v>61.201835120752797</v>
      </c>
      <c r="G19" s="1">
        <v>44721</v>
      </c>
      <c r="H19" s="1">
        <v>44720</v>
      </c>
      <c r="I19">
        <v>673.22018632828099</v>
      </c>
      <c r="J19">
        <f t="shared" si="0"/>
        <v>-1</v>
      </c>
    </row>
    <row r="20" spans="1:10" x14ac:dyDescent="0.25">
      <c r="A20" t="s">
        <v>63</v>
      </c>
      <c r="B20" t="s">
        <v>64</v>
      </c>
      <c r="C20" t="s">
        <v>65</v>
      </c>
      <c r="D20" s="1">
        <v>45095</v>
      </c>
      <c r="E20">
        <v>9</v>
      </c>
      <c r="F20">
        <v>68.567830203443705</v>
      </c>
      <c r="G20" s="1">
        <v>45107</v>
      </c>
      <c r="H20" s="1">
        <v>45109</v>
      </c>
      <c r="I20">
        <v>617.11047183099299</v>
      </c>
      <c r="J20">
        <f t="shared" si="0"/>
        <v>2</v>
      </c>
    </row>
    <row r="21" spans="1:10" x14ac:dyDescent="0.25">
      <c r="A21" t="s">
        <v>66</v>
      </c>
      <c r="B21" t="s">
        <v>67</v>
      </c>
      <c r="C21" t="s">
        <v>68</v>
      </c>
      <c r="D21" s="1">
        <v>44610</v>
      </c>
      <c r="E21">
        <v>13</v>
      </c>
      <c r="F21">
        <v>63.632294555442499</v>
      </c>
      <c r="G21" s="1">
        <v>44623</v>
      </c>
      <c r="H21" s="1">
        <v>44622</v>
      </c>
      <c r="I21">
        <v>827.21982922075301</v>
      </c>
      <c r="J21">
        <f t="shared" si="0"/>
        <v>-1</v>
      </c>
    </row>
    <row r="22" spans="1:10" x14ac:dyDescent="0.25">
      <c r="A22" t="s">
        <v>69</v>
      </c>
      <c r="B22" t="s">
        <v>70</v>
      </c>
      <c r="C22" t="s">
        <v>71</v>
      </c>
      <c r="D22" s="1">
        <v>45341</v>
      </c>
      <c r="E22">
        <v>9</v>
      </c>
      <c r="F22">
        <v>63.442912422671199</v>
      </c>
      <c r="G22" s="1">
        <v>45365</v>
      </c>
      <c r="H22" s="1">
        <v>45367</v>
      </c>
      <c r="I22">
        <v>570.98621180404098</v>
      </c>
      <c r="J22">
        <f t="shared" si="0"/>
        <v>2</v>
      </c>
    </row>
    <row r="23" spans="1:10" x14ac:dyDescent="0.25">
      <c r="A23" t="s">
        <v>72</v>
      </c>
      <c r="B23" t="s">
        <v>73</v>
      </c>
      <c r="C23" t="s">
        <v>74</v>
      </c>
      <c r="D23" s="1">
        <v>45179</v>
      </c>
      <c r="E23">
        <v>12</v>
      </c>
      <c r="F23">
        <v>69.584274851607404</v>
      </c>
      <c r="G23" s="1">
        <v>45201</v>
      </c>
      <c r="H23" s="1">
        <v>45201</v>
      </c>
      <c r="I23">
        <v>835.01129821928896</v>
      </c>
      <c r="J23">
        <f t="shared" si="0"/>
        <v>0</v>
      </c>
    </row>
    <row r="24" spans="1:10" x14ac:dyDescent="0.25">
      <c r="A24" t="s">
        <v>75</v>
      </c>
      <c r="B24" t="s">
        <v>76</v>
      </c>
      <c r="C24" t="s">
        <v>77</v>
      </c>
      <c r="D24" s="1">
        <v>45264</v>
      </c>
      <c r="E24">
        <v>15</v>
      </c>
      <c r="F24">
        <v>76.462493466167402</v>
      </c>
      <c r="G24" s="1">
        <v>45283</v>
      </c>
      <c r="H24" s="1">
        <v>45281</v>
      </c>
      <c r="I24">
        <v>1146.9374019925101</v>
      </c>
      <c r="J24">
        <f t="shared" si="0"/>
        <v>-2</v>
      </c>
    </row>
    <row r="25" spans="1:10" x14ac:dyDescent="0.25">
      <c r="A25" t="s">
        <v>78</v>
      </c>
      <c r="B25" t="s">
        <v>79</v>
      </c>
      <c r="C25" t="s">
        <v>80</v>
      </c>
      <c r="D25" s="1">
        <v>44652</v>
      </c>
      <c r="E25">
        <v>8</v>
      </c>
      <c r="F25">
        <v>49.064760522916899</v>
      </c>
      <c r="G25" s="1">
        <v>44674</v>
      </c>
      <c r="H25" s="1">
        <v>44678</v>
      </c>
      <c r="I25">
        <v>392.51808418333502</v>
      </c>
      <c r="J25">
        <f t="shared" si="0"/>
        <v>4</v>
      </c>
    </row>
    <row r="26" spans="1:10" x14ac:dyDescent="0.25">
      <c r="A26" t="s">
        <v>81</v>
      </c>
      <c r="B26" t="s">
        <v>82</v>
      </c>
      <c r="C26" t="s">
        <v>83</v>
      </c>
      <c r="D26" s="1">
        <v>45368</v>
      </c>
      <c r="E26">
        <v>13</v>
      </c>
      <c r="F26">
        <v>15.439558053438899</v>
      </c>
      <c r="G26" s="1">
        <v>45381</v>
      </c>
      <c r="H26" s="1">
        <v>45383</v>
      </c>
      <c r="I26">
        <v>200.714254694706</v>
      </c>
      <c r="J26">
        <f t="shared" si="0"/>
        <v>2</v>
      </c>
    </row>
    <row r="27" spans="1:10" x14ac:dyDescent="0.25">
      <c r="A27" t="s">
        <v>84</v>
      </c>
      <c r="B27" t="s">
        <v>85</v>
      </c>
      <c r="C27" t="s">
        <v>86</v>
      </c>
      <c r="D27" s="1">
        <v>45277</v>
      </c>
      <c r="E27">
        <v>11</v>
      </c>
      <c r="F27">
        <v>68.513472466800295</v>
      </c>
      <c r="G27" s="1">
        <v>45301</v>
      </c>
      <c r="H27" s="1">
        <v>45307</v>
      </c>
      <c r="I27">
        <v>753.64819713480301</v>
      </c>
      <c r="J27">
        <f t="shared" si="0"/>
        <v>6</v>
      </c>
    </row>
    <row r="28" spans="1:10" x14ac:dyDescent="0.25">
      <c r="A28" t="s">
        <v>87</v>
      </c>
      <c r="B28" t="s">
        <v>88</v>
      </c>
      <c r="C28" t="s">
        <v>89</v>
      </c>
      <c r="D28" s="1">
        <v>45220</v>
      </c>
      <c r="E28">
        <v>12</v>
      </c>
      <c r="F28">
        <v>70.944673279855905</v>
      </c>
      <c r="G28" s="1">
        <v>45232</v>
      </c>
      <c r="H28" s="1">
        <v>45237</v>
      </c>
      <c r="I28">
        <v>851.33607935827001</v>
      </c>
      <c r="J28">
        <f t="shared" si="0"/>
        <v>5</v>
      </c>
    </row>
    <row r="29" spans="1:10" x14ac:dyDescent="0.25">
      <c r="A29" t="s">
        <v>90</v>
      </c>
      <c r="B29" t="s">
        <v>91</v>
      </c>
      <c r="C29" t="s">
        <v>92</v>
      </c>
      <c r="D29" s="1">
        <v>45383</v>
      </c>
      <c r="E29">
        <v>9</v>
      </c>
      <c r="F29">
        <v>32.2580868801356</v>
      </c>
      <c r="G29" s="1">
        <v>45394</v>
      </c>
      <c r="H29" s="1">
        <v>45397</v>
      </c>
      <c r="I29">
        <v>290.32278192122101</v>
      </c>
      <c r="J29">
        <f t="shared" si="0"/>
        <v>3</v>
      </c>
    </row>
    <row r="30" spans="1:10" x14ac:dyDescent="0.25">
      <c r="A30" t="s">
        <v>93</v>
      </c>
      <c r="B30" t="s">
        <v>37</v>
      </c>
      <c r="C30" t="s">
        <v>94</v>
      </c>
      <c r="D30" s="1">
        <v>44837</v>
      </c>
      <c r="E30">
        <v>7</v>
      </c>
      <c r="F30">
        <v>8.32315558115023</v>
      </c>
      <c r="G30" s="1">
        <v>44857</v>
      </c>
      <c r="H30" s="1">
        <v>44860</v>
      </c>
      <c r="I30">
        <v>58.262089068051601</v>
      </c>
      <c r="J30">
        <f t="shared" si="0"/>
        <v>3</v>
      </c>
    </row>
    <row r="31" spans="1:10" x14ac:dyDescent="0.25">
      <c r="A31" t="s">
        <v>95</v>
      </c>
      <c r="B31" t="s">
        <v>96</v>
      </c>
      <c r="C31" t="s">
        <v>97</v>
      </c>
      <c r="D31" s="1">
        <v>45169</v>
      </c>
      <c r="E31">
        <v>13</v>
      </c>
      <c r="F31">
        <v>27.203427496926199</v>
      </c>
      <c r="G31" s="1">
        <v>45185</v>
      </c>
      <c r="H31" s="1">
        <v>45189</v>
      </c>
      <c r="I31">
        <v>353.64455746004001</v>
      </c>
      <c r="J31">
        <f t="shared" si="0"/>
        <v>4</v>
      </c>
    </row>
    <row r="32" spans="1:10" x14ac:dyDescent="0.25">
      <c r="A32" t="s">
        <v>98</v>
      </c>
      <c r="B32" t="s">
        <v>99</v>
      </c>
      <c r="C32" t="s">
        <v>100</v>
      </c>
      <c r="D32" s="1">
        <v>45331</v>
      </c>
      <c r="E32">
        <v>12</v>
      </c>
      <c r="F32">
        <v>17.686680271788699</v>
      </c>
      <c r="G32" s="1">
        <v>45351</v>
      </c>
      <c r="H32" s="1">
        <v>45352</v>
      </c>
      <c r="I32">
        <v>212.240163261465</v>
      </c>
      <c r="J32">
        <f t="shared" si="0"/>
        <v>1</v>
      </c>
    </row>
    <row r="33" spans="1:10" x14ac:dyDescent="0.25">
      <c r="A33" t="s">
        <v>101</v>
      </c>
      <c r="B33" t="s">
        <v>67</v>
      </c>
      <c r="C33" t="s">
        <v>102</v>
      </c>
      <c r="D33" s="1">
        <v>44429</v>
      </c>
      <c r="E33">
        <v>11</v>
      </c>
      <c r="F33">
        <v>17.681582408842502</v>
      </c>
      <c r="G33" s="1">
        <v>44450</v>
      </c>
      <c r="H33" s="1">
        <v>44450</v>
      </c>
      <c r="I33">
        <v>194.497406497268</v>
      </c>
      <c r="J33">
        <f t="shared" si="0"/>
        <v>0</v>
      </c>
    </row>
    <row r="34" spans="1:10" x14ac:dyDescent="0.25">
      <c r="A34" t="s">
        <v>103</v>
      </c>
      <c r="B34" t="s">
        <v>104</v>
      </c>
      <c r="C34" t="s">
        <v>105</v>
      </c>
      <c r="D34" s="1">
        <v>44363</v>
      </c>
      <c r="E34">
        <v>19</v>
      </c>
      <c r="F34">
        <v>32.601286572435001</v>
      </c>
      <c r="G34" s="1">
        <v>44384</v>
      </c>
      <c r="H34" s="1">
        <v>44387</v>
      </c>
      <c r="I34">
        <v>619.42444487626597</v>
      </c>
      <c r="J34">
        <f t="shared" si="0"/>
        <v>3</v>
      </c>
    </row>
    <row r="35" spans="1:10" x14ac:dyDescent="0.25">
      <c r="A35" t="s">
        <v>106</v>
      </c>
      <c r="B35" t="s">
        <v>25</v>
      </c>
      <c r="C35" t="s">
        <v>107</v>
      </c>
      <c r="D35" s="1">
        <v>45121</v>
      </c>
      <c r="E35">
        <v>8</v>
      </c>
      <c r="F35">
        <v>32.856348955913298</v>
      </c>
      <c r="G35" s="1">
        <v>45133</v>
      </c>
      <c r="H35" s="1">
        <v>45131</v>
      </c>
      <c r="I35">
        <v>262.85079164730598</v>
      </c>
      <c r="J35">
        <f t="shared" si="0"/>
        <v>-2</v>
      </c>
    </row>
    <row r="36" spans="1:10" x14ac:dyDescent="0.25">
      <c r="A36" t="s">
        <v>108</v>
      </c>
      <c r="B36" t="s">
        <v>109</v>
      </c>
      <c r="C36" t="s">
        <v>110</v>
      </c>
      <c r="D36" s="1">
        <v>44582</v>
      </c>
      <c r="E36">
        <v>11</v>
      </c>
      <c r="F36">
        <v>18.562488202935</v>
      </c>
      <c r="G36" s="1">
        <v>44605</v>
      </c>
      <c r="H36" s="1">
        <v>44611</v>
      </c>
      <c r="I36">
        <v>204.18737023228499</v>
      </c>
      <c r="J36">
        <f t="shared" si="0"/>
        <v>6</v>
      </c>
    </row>
    <row r="37" spans="1:10" x14ac:dyDescent="0.25">
      <c r="A37" t="s">
        <v>111</v>
      </c>
      <c r="B37" t="s">
        <v>25</v>
      </c>
      <c r="C37" t="s">
        <v>112</v>
      </c>
      <c r="D37" s="1">
        <v>44823</v>
      </c>
      <c r="E37">
        <v>15</v>
      </c>
      <c r="F37">
        <v>25.232411333629599</v>
      </c>
      <c r="G37" s="1">
        <v>44839</v>
      </c>
      <c r="H37" s="1">
        <v>44837</v>
      </c>
      <c r="I37">
        <v>378.48617000444398</v>
      </c>
      <c r="J37">
        <f t="shared" si="0"/>
        <v>-2</v>
      </c>
    </row>
    <row r="38" spans="1:10" x14ac:dyDescent="0.25">
      <c r="A38" t="s">
        <v>113</v>
      </c>
      <c r="B38" t="s">
        <v>114</v>
      </c>
      <c r="C38" t="s">
        <v>115</v>
      </c>
      <c r="D38" s="1">
        <v>44509</v>
      </c>
      <c r="E38">
        <v>19</v>
      </c>
      <c r="F38">
        <v>70.138520918066604</v>
      </c>
      <c r="G38" s="1">
        <v>44528</v>
      </c>
      <c r="H38" s="1">
        <v>44527</v>
      </c>
      <c r="I38">
        <v>1332.63189744326</v>
      </c>
      <c r="J38">
        <f t="shared" si="0"/>
        <v>-1</v>
      </c>
    </row>
    <row r="39" spans="1:10" x14ac:dyDescent="0.25">
      <c r="A39" t="s">
        <v>116</v>
      </c>
      <c r="B39" t="s">
        <v>67</v>
      </c>
      <c r="C39" t="s">
        <v>117</v>
      </c>
      <c r="D39" s="1">
        <v>45354</v>
      </c>
      <c r="E39">
        <v>16</v>
      </c>
      <c r="F39">
        <v>78.099985631443403</v>
      </c>
      <c r="G39" s="1">
        <v>45374</v>
      </c>
      <c r="H39" s="1">
        <v>45374</v>
      </c>
      <c r="I39">
        <v>1249.5997701030899</v>
      </c>
      <c r="J39">
        <f t="shared" si="0"/>
        <v>0</v>
      </c>
    </row>
    <row r="40" spans="1:10" x14ac:dyDescent="0.25">
      <c r="A40" t="s">
        <v>118</v>
      </c>
      <c r="B40" t="s">
        <v>119</v>
      </c>
      <c r="C40" t="s">
        <v>115</v>
      </c>
      <c r="D40" s="1">
        <v>44712</v>
      </c>
      <c r="E40">
        <v>11</v>
      </c>
      <c r="F40">
        <v>46.250429069184797</v>
      </c>
      <c r="G40" s="1">
        <v>44727</v>
      </c>
      <c r="H40" s="1">
        <v>44729</v>
      </c>
      <c r="I40">
        <v>508.75471976103199</v>
      </c>
      <c r="J40">
        <f t="shared" si="0"/>
        <v>2</v>
      </c>
    </row>
    <row r="41" spans="1:10" x14ac:dyDescent="0.25">
      <c r="A41" t="s">
        <v>120</v>
      </c>
      <c r="B41" t="s">
        <v>121</v>
      </c>
      <c r="C41" t="s">
        <v>122</v>
      </c>
      <c r="D41" s="1">
        <v>45250</v>
      </c>
      <c r="E41">
        <v>10</v>
      </c>
      <c r="F41">
        <v>68.631449531045504</v>
      </c>
      <c r="G41" s="1">
        <v>45274</v>
      </c>
      <c r="H41" s="1">
        <v>45275</v>
      </c>
      <c r="I41">
        <v>686.31449531045496</v>
      </c>
      <c r="J41">
        <f t="shared" si="0"/>
        <v>1</v>
      </c>
    </row>
    <row r="42" spans="1:10" x14ac:dyDescent="0.25">
      <c r="A42" t="s">
        <v>123</v>
      </c>
      <c r="B42" t="s">
        <v>124</v>
      </c>
      <c r="C42" t="s">
        <v>125</v>
      </c>
      <c r="D42" s="1">
        <v>44879</v>
      </c>
      <c r="E42">
        <v>12</v>
      </c>
      <c r="F42">
        <v>33.133835670211901</v>
      </c>
      <c r="G42" s="1">
        <v>44901</v>
      </c>
      <c r="H42" s="1">
        <v>44904</v>
      </c>
      <c r="I42">
        <v>397.60602804254302</v>
      </c>
      <c r="J42">
        <f t="shared" si="0"/>
        <v>3</v>
      </c>
    </row>
    <row r="43" spans="1:10" x14ac:dyDescent="0.25">
      <c r="A43" t="s">
        <v>126</v>
      </c>
      <c r="B43" t="s">
        <v>127</v>
      </c>
      <c r="C43" t="s">
        <v>128</v>
      </c>
      <c r="D43" s="1">
        <v>44355</v>
      </c>
      <c r="E43">
        <v>10</v>
      </c>
      <c r="F43">
        <v>22.468785943647301</v>
      </c>
      <c r="G43" s="1">
        <v>44368</v>
      </c>
      <c r="H43" s="1">
        <v>44372</v>
      </c>
      <c r="I43">
        <v>224.68785943647299</v>
      </c>
      <c r="J43">
        <f t="shared" si="0"/>
        <v>4</v>
      </c>
    </row>
    <row r="44" spans="1:10" x14ac:dyDescent="0.25">
      <c r="A44" t="s">
        <v>129</v>
      </c>
      <c r="B44" t="s">
        <v>130</v>
      </c>
      <c r="C44" t="s">
        <v>131</v>
      </c>
      <c r="D44" s="1">
        <v>44222</v>
      </c>
      <c r="E44">
        <v>13</v>
      </c>
      <c r="F44">
        <v>20.479569020345298</v>
      </c>
      <c r="G44" s="1">
        <v>44232</v>
      </c>
      <c r="H44" s="1">
        <v>44231</v>
      </c>
      <c r="I44">
        <v>266.234397264488</v>
      </c>
      <c r="J44">
        <f t="shared" si="0"/>
        <v>-1</v>
      </c>
    </row>
    <row r="45" spans="1:10" x14ac:dyDescent="0.25">
      <c r="A45" t="s">
        <v>132</v>
      </c>
      <c r="B45" t="s">
        <v>124</v>
      </c>
      <c r="C45" t="s">
        <v>133</v>
      </c>
      <c r="D45" s="1">
        <v>44418</v>
      </c>
      <c r="E45">
        <v>11</v>
      </c>
      <c r="F45">
        <v>63.039713691771802</v>
      </c>
      <c r="G45" s="1">
        <v>44436</v>
      </c>
      <c r="H45" s="1">
        <v>44441</v>
      </c>
      <c r="I45">
        <v>693.43685060948997</v>
      </c>
      <c r="J45">
        <f t="shared" si="0"/>
        <v>5</v>
      </c>
    </row>
    <row r="46" spans="1:10" x14ac:dyDescent="0.25">
      <c r="A46" t="s">
        <v>134</v>
      </c>
      <c r="B46" t="s">
        <v>135</v>
      </c>
      <c r="C46" t="s">
        <v>136</v>
      </c>
      <c r="D46" s="1">
        <v>44388</v>
      </c>
      <c r="E46">
        <v>8</v>
      </c>
      <c r="F46">
        <v>25.4189593515414</v>
      </c>
      <c r="G46" s="1">
        <v>44408</v>
      </c>
      <c r="H46" s="1">
        <v>44406</v>
      </c>
      <c r="I46">
        <v>203.351674812331</v>
      </c>
      <c r="J46">
        <f t="shared" si="0"/>
        <v>-2</v>
      </c>
    </row>
    <row r="47" spans="1:10" x14ac:dyDescent="0.25">
      <c r="A47" t="s">
        <v>137</v>
      </c>
      <c r="B47" t="s">
        <v>135</v>
      </c>
      <c r="C47" t="s">
        <v>138</v>
      </c>
      <c r="D47" s="1">
        <v>45137</v>
      </c>
      <c r="E47">
        <v>8</v>
      </c>
      <c r="F47">
        <v>43.056329316659898</v>
      </c>
      <c r="G47" s="1">
        <v>45158</v>
      </c>
      <c r="H47" s="1">
        <v>45162</v>
      </c>
      <c r="I47">
        <v>344.45063453327901</v>
      </c>
      <c r="J47">
        <f t="shared" si="0"/>
        <v>4</v>
      </c>
    </row>
    <row r="48" spans="1:10" x14ac:dyDescent="0.25">
      <c r="A48" t="s">
        <v>139</v>
      </c>
      <c r="B48" t="s">
        <v>140</v>
      </c>
      <c r="C48" t="s">
        <v>141</v>
      </c>
      <c r="D48" s="1">
        <v>44575</v>
      </c>
      <c r="E48">
        <v>15</v>
      </c>
      <c r="F48">
        <v>23.319825192023799</v>
      </c>
      <c r="G48" s="1">
        <v>44595</v>
      </c>
      <c r="H48" s="1">
        <v>44594</v>
      </c>
      <c r="I48">
        <v>349.79737788035698</v>
      </c>
      <c r="J48">
        <f t="shared" si="0"/>
        <v>-1</v>
      </c>
    </row>
    <row r="49" spans="1:10" x14ac:dyDescent="0.25">
      <c r="A49" t="s">
        <v>142</v>
      </c>
      <c r="B49" t="s">
        <v>143</v>
      </c>
      <c r="C49" t="s">
        <v>144</v>
      </c>
      <c r="D49" s="1">
        <v>45059</v>
      </c>
      <c r="E49">
        <v>13</v>
      </c>
      <c r="F49">
        <v>44.617250749553499</v>
      </c>
      <c r="G49" s="1">
        <v>45076</v>
      </c>
      <c r="H49" s="1">
        <v>45082</v>
      </c>
      <c r="I49">
        <v>580.024259744196</v>
      </c>
      <c r="J49">
        <f t="shared" si="0"/>
        <v>6</v>
      </c>
    </row>
    <row r="50" spans="1:10" x14ac:dyDescent="0.25">
      <c r="A50" t="s">
        <v>145</v>
      </c>
      <c r="B50" t="s">
        <v>58</v>
      </c>
      <c r="C50" t="s">
        <v>146</v>
      </c>
      <c r="D50" s="1">
        <v>44562</v>
      </c>
      <c r="E50">
        <v>17</v>
      </c>
      <c r="F50">
        <v>7.0942582747983298</v>
      </c>
      <c r="G50" s="1">
        <v>44578</v>
      </c>
      <c r="H50" s="1">
        <v>44583</v>
      </c>
      <c r="I50">
        <v>120.602390671571</v>
      </c>
      <c r="J50">
        <f t="shared" si="0"/>
        <v>5</v>
      </c>
    </row>
    <row r="51" spans="1:10" x14ac:dyDescent="0.25">
      <c r="A51" t="s">
        <v>147</v>
      </c>
      <c r="B51" t="s">
        <v>70</v>
      </c>
      <c r="C51" t="s">
        <v>100</v>
      </c>
      <c r="D51" s="1">
        <v>45157</v>
      </c>
      <c r="E51">
        <v>6</v>
      </c>
      <c r="F51">
        <v>53.156621331245397</v>
      </c>
      <c r="G51" s="1">
        <v>45175</v>
      </c>
      <c r="H51" s="1">
        <v>45179</v>
      </c>
      <c r="I51">
        <v>318.939727987472</v>
      </c>
      <c r="J51">
        <f t="shared" si="0"/>
        <v>4</v>
      </c>
    </row>
    <row r="52" spans="1:10" x14ac:dyDescent="0.25">
      <c r="A52" t="s">
        <v>148</v>
      </c>
      <c r="B52" t="s">
        <v>19</v>
      </c>
      <c r="C52" t="s">
        <v>128</v>
      </c>
      <c r="D52" s="1">
        <v>45307</v>
      </c>
      <c r="E52">
        <v>13</v>
      </c>
      <c r="F52">
        <v>45.288783242616702</v>
      </c>
      <c r="G52" s="1">
        <v>45330</v>
      </c>
      <c r="H52" s="1">
        <v>45336</v>
      </c>
      <c r="I52">
        <v>588.75418215401703</v>
      </c>
      <c r="J52">
        <f t="shared" si="0"/>
        <v>6</v>
      </c>
    </row>
    <row r="53" spans="1:10" x14ac:dyDescent="0.25">
      <c r="A53" t="s">
        <v>149</v>
      </c>
      <c r="B53" t="s">
        <v>104</v>
      </c>
      <c r="C53" t="s">
        <v>150</v>
      </c>
      <c r="D53" s="1">
        <v>45353</v>
      </c>
      <c r="E53">
        <v>20</v>
      </c>
      <c r="F53">
        <v>9.1748363153580499</v>
      </c>
      <c r="G53" s="1">
        <v>45373</v>
      </c>
      <c r="H53" s="1">
        <v>45372</v>
      </c>
      <c r="I53">
        <v>183.496726307161</v>
      </c>
      <c r="J53">
        <f t="shared" si="0"/>
        <v>-1</v>
      </c>
    </row>
    <row r="54" spans="1:10" x14ac:dyDescent="0.25">
      <c r="A54" t="s">
        <v>151</v>
      </c>
      <c r="B54" t="s">
        <v>49</v>
      </c>
      <c r="C54" t="s">
        <v>152</v>
      </c>
      <c r="D54" s="1">
        <v>44377</v>
      </c>
      <c r="E54">
        <v>8</v>
      </c>
      <c r="F54">
        <v>4.9976941918426396</v>
      </c>
      <c r="G54" s="1">
        <v>44396</v>
      </c>
      <c r="H54" s="1">
        <v>44393</v>
      </c>
      <c r="I54">
        <v>39.981553534741103</v>
      </c>
      <c r="J54">
        <f t="shared" si="0"/>
        <v>-3</v>
      </c>
    </row>
    <row r="55" spans="1:10" x14ac:dyDescent="0.25">
      <c r="A55" t="s">
        <v>153</v>
      </c>
      <c r="B55" t="s">
        <v>154</v>
      </c>
      <c r="C55" t="s">
        <v>155</v>
      </c>
      <c r="D55" s="1">
        <v>44491</v>
      </c>
      <c r="E55">
        <v>10</v>
      </c>
      <c r="F55">
        <v>26.0575281180828</v>
      </c>
      <c r="G55" s="1">
        <v>44502</v>
      </c>
      <c r="H55" s="1">
        <v>44506</v>
      </c>
      <c r="I55">
        <v>260.57528118082797</v>
      </c>
      <c r="J55">
        <f t="shared" si="0"/>
        <v>4</v>
      </c>
    </row>
    <row r="56" spans="1:10" x14ac:dyDescent="0.25">
      <c r="A56" t="s">
        <v>156</v>
      </c>
      <c r="B56" t="s">
        <v>157</v>
      </c>
      <c r="C56" t="s">
        <v>158</v>
      </c>
      <c r="D56" s="1">
        <v>44436</v>
      </c>
      <c r="E56">
        <v>10</v>
      </c>
      <c r="F56">
        <v>26.2505489148853</v>
      </c>
      <c r="G56" s="1">
        <v>44454</v>
      </c>
      <c r="H56" s="1">
        <v>44458</v>
      </c>
      <c r="I56">
        <v>262.50548914885297</v>
      </c>
      <c r="J56">
        <f t="shared" si="0"/>
        <v>4</v>
      </c>
    </row>
    <row r="57" spans="1:10" x14ac:dyDescent="0.25">
      <c r="A57" t="s">
        <v>159</v>
      </c>
      <c r="B57" t="s">
        <v>160</v>
      </c>
      <c r="C57" t="s">
        <v>161</v>
      </c>
      <c r="D57" s="1">
        <v>44326</v>
      </c>
      <c r="E57">
        <v>17</v>
      </c>
      <c r="F57">
        <v>24.339096252842602</v>
      </c>
      <c r="G57" s="1">
        <v>44345</v>
      </c>
      <c r="H57" s="1">
        <v>44347</v>
      </c>
      <c r="I57">
        <v>413.76463629832398</v>
      </c>
      <c r="J57">
        <f t="shared" si="0"/>
        <v>2</v>
      </c>
    </row>
    <row r="58" spans="1:10" x14ac:dyDescent="0.25">
      <c r="A58" t="s">
        <v>162</v>
      </c>
      <c r="B58" t="s">
        <v>25</v>
      </c>
      <c r="C58" t="s">
        <v>163</v>
      </c>
      <c r="D58" s="1">
        <v>44991</v>
      </c>
      <c r="E58">
        <v>18</v>
      </c>
      <c r="F58">
        <v>71.034218465793501</v>
      </c>
      <c r="G58" s="1">
        <v>45012</v>
      </c>
      <c r="H58" s="1">
        <v>45013</v>
      </c>
      <c r="I58">
        <v>1278.6159323842801</v>
      </c>
      <c r="J58">
        <f t="shared" si="0"/>
        <v>1</v>
      </c>
    </row>
    <row r="59" spans="1:10" x14ac:dyDescent="0.25">
      <c r="A59" t="s">
        <v>164</v>
      </c>
      <c r="B59" t="s">
        <v>85</v>
      </c>
      <c r="C59" t="s">
        <v>165</v>
      </c>
      <c r="D59" s="1">
        <v>44657</v>
      </c>
      <c r="E59">
        <v>15</v>
      </c>
      <c r="F59">
        <v>60.100097294462103</v>
      </c>
      <c r="G59" s="1">
        <v>44671</v>
      </c>
      <c r="H59" s="1">
        <v>44673</v>
      </c>
      <c r="I59">
        <v>901.50145941693199</v>
      </c>
      <c r="J59">
        <f t="shared" si="0"/>
        <v>2</v>
      </c>
    </row>
    <row r="60" spans="1:10" x14ac:dyDescent="0.25">
      <c r="A60" t="s">
        <v>166</v>
      </c>
      <c r="B60" t="s">
        <v>96</v>
      </c>
      <c r="C60" t="s">
        <v>167</v>
      </c>
      <c r="D60" s="1">
        <v>44254</v>
      </c>
      <c r="E60">
        <v>13</v>
      </c>
      <c r="F60">
        <v>37.311239872485601</v>
      </c>
      <c r="G60" s="1">
        <v>44277</v>
      </c>
      <c r="H60" s="1">
        <v>44274</v>
      </c>
      <c r="I60">
        <v>485.04611834231201</v>
      </c>
      <c r="J60">
        <f t="shared" si="0"/>
        <v>-3</v>
      </c>
    </row>
    <row r="61" spans="1:10" x14ac:dyDescent="0.25">
      <c r="A61" t="s">
        <v>168</v>
      </c>
      <c r="B61" t="s">
        <v>169</v>
      </c>
      <c r="C61" t="s">
        <v>170</v>
      </c>
      <c r="D61" s="1">
        <v>45286</v>
      </c>
      <c r="E61">
        <v>12</v>
      </c>
      <c r="F61">
        <v>19.8419335908467</v>
      </c>
      <c r="G61" s="1">
        <v>45309</v>
      </c>
      <c r="H61" s="1">
        <v>45307</v>
      </c>
      <c r="I61">
        <v>238.10320309016001</v>
      </c>
      <c r="J61">
        <f t="shared" si="0"/>
        <v>-2</v>
      </c>
    </row>
    <row r="62" spans="1:10" x14ac:dyDescent="0.25">
      <c r="A62" t="s">
        <v>171</v>
      </c>
      <c r="B62" t="s">
        <v>160</v>
      </c>
      <c r="C62" t="s">
        <v>172</v>
      </c>
      <c r="D62" s="1">
        <v>44994</v>
      </c>
      <c r="E62">
        <v>16</v>
      </c>
      <c r="F62">
        <v>40.255346353670802</v>
      </c>
      <c r="G62" s="1">
        <v>45009</v>
      </c>
      <c r="H62" s="1">
        <v>45006</v>
      </c>
      <c r="I62">
        <v>644.08554165873295</v>
      </c>
      <c r="J62">
        <f t="shared" si="0"/>
        <v>-3</v>
      </c>
    </row>
    <row r="63" spans="1:10" x14ac:dyDescent="0.25">
      <c r="A63" t="s">
        <v>173</v>
      </c>
      <c r="B63" t="s">
        <v>174</v>
      </c>
      <c r="C63" t="s">
        <v>122</v>
      </c>
      <c r="D63" s="1">
        <v>44451</v>
      </c>
      <c r="E63">
        <v>9</v>
      </c>
      <c r="F63">
        <v>54.887526130979097</v>
      </c>
      <c r="G63" s="1">
        <v>44462</v>
      </c>
      <c r="H63" s="1">
        <v>44467</v>
      </c>
      <c r="I63">
        <v>493.98773517881199</v>
      </c>
      <c r="J63">
        <f t="shared" si="0"/>
        <v>5</v>
      </c>
    </row>
    <row r="64" spans="1:10" x14ac:dyDescent="0.25">
      <c r="A64" t="s">
        <v>175</v>
      </c>
      <c r="B64" t="s">
        <v>176</v>
      </c>
      <c r="C64" t="s">
        <v>177</v>
      </c>
      <c r="D64" s="1">
        <v>45124</v>
      </c>
      <c r="E64">
        <v>11</v>
      </c>
      <c r="F64">
        <v>35.121807422929201</v>
      </c>
      <c r="G64" s="1">
        <v>45137</v>
      </c>
      <c r="H64" s="1">
        <v>45141</v>
      </c>
      <c r="I64">
        <v>386.33988165222098</v>
      </c>
      <c r="J64">
        <f t="shared" si="0"/>
        <v>4</v>
      </c>
    </row>
    <row r="65" spans="1:10" x14ac:dyDescent="0.25">
      <c r="A65" t="s">
        <v>178</v>
      </c>
      <c r="B65" t="s">
        <v>179</v>
      </c>
      <c r="C65" t="s">
        <v>180</v>
      </c>
      <c r="D65" s="1">
        <v>44788</v>
      </c>
      <c r="E65">
        <v>10</v>
      </c>
      <c r="F65">
        <v>74.938832400096004</v>
      </c>
      <c r="G65" s="1">
        <v>44802</v>
      </c>
      <c r="H65" s="1">
        <v>44800</v>
      </c>
      <c r="I65">
        <v>749.38832400095998</v>
      </c>
      <c r="J65">
        <f t="shared" si="0"/>
        <v>-2</v>
      </c>
    </row>
    <row r="66" spans="1:10" x14ac:dyDescent="0.25">
      <c r="A66" t="s">
        <v>181</v>
      </c>
      <c r="B66" t="s">
        <v>61</v>
      </c>
      <c r="C66" t="s">
        <v>182</v>
      </c>
      <c r="D66" s="1">
        <v>44660</v>
      </c>
      <c r="E66">
        <v>15</v>
      </c>
      <c r="F66">
        <v>27.4250907139524</v>
      </c>
      <c r="G66" s="1">
        <v>44684</v>
      </c>
      <c r="H66" s="1">
        <v>44689</v>
      </c>
      <c r="I66">
        <v>411.37636070928602</v>
      </c>
      <c r="J66">
        <f t="shared" si="0"/>
        <v>5</v>
      </c>
    </row>
    <row r="67" spans="1:10" x14ac:dyDescent="0.25">
      <c r="A67" t="s">
        <v>183</v>
      </c>
      <c r="B67" t="s">
        <v>88</v>
      </c>
      <c r="C67" t="s">
        <v>184</v>
      </c>
      <c r="D67" s="1">
        <v>44341</v>
      </c>
      <c r="E67">
        <v>20</v>
      </c>
      <c r="F67">
        <v>17.905812008867098</v>
      </c>
      <c r="G67" s="1">
        <v>44362</v>
      </c>
      <c r="H67" s="1">
        <v>44366</v>
      </c>
      <c r="I67">
        <v>358.11624017734198</v>
      </c>
      <c r="J67">
        <f t="shared" ref="J67:J130" si="1">H67-G67</f>
        <v>4</v>
      </c>
    </row>
    <row r="68" spans="1:10" x14ac:dyDescent="0.25">
      <c r="A68" t="s">
        <v>185</v>
      </c>
      <c r="B68" t="s">
        <v>186</v>
      </c>
      <c r="C68" t="s">
        <v>187</v>
      </c>
      <c r="D68" s="1">
        <v>44253</v>
      </c>
      <c r="E68">
        <v>10</v>
      </c>
      <c r="F68">
        <v>54.933721898361902</v>
      </c>
      <c r="G68" s="1">
        <v>44271</v>
      </c>
      <c r="H68" s="1">
        <v>44272</v>
      </c>
      <c r="I68">
        <v>549.33721898361898</v>
      </c>
      <c r="J68">
        <f t="shared" si="1"/>
        <v>1</v>
      </c>
    </row>
    <row r="69" spans="1:10" x14ac:dyDescent="0.25">
      <c r="A69" t="s">
        <v>188</v>
      </c>
      <c r="B69" t="s">
        <v>189</v>
      </c>
      <c r="C69" t="s">
        <v>190</v>
      </c>
      <c r="D69" s="1">
        <v>44697</v>
      </c>
      <c r="E69">
        <v>8</v>
      </c>
      <c r="F69">
        <v>32.209555444085296</v>
      </c>
      <c r="G69" s="1">
        <v>44714</v>
      </c>
      <c r="H69" s="1">
        <v>44719</v>
      </c>
      <c r="I69">
        <v>257.67644355268197</v>
      </c>
      <c r="J69">
        <f t="shared" si="1"/>
        <v>5</v>
      </c>
    </row>
    <row r="70" spans="1:10" x14ac:dyDescent="0.25">
      <c r="A70" t="s">
        <v>191</v>
      </c>
      <c r="B70" t="s">
        <v>73</v>
      </c>
      <c r="C70" t="s">
        <v>192</v>
      </c>
      <c r="D70" s="1">
        <v>45241</v>
      </c>
      <c r="E70">
        <v>11</v>
      </c>
      <c r="F70">
        <v>6.4570094852955204</v>
      </c>
      <c r="G70" s="1">
        <v>45253</v>
      </c>
      <c r="H70" s="1">
        <v>45250</v>
      </c>
      <c r="I70">
        <v>71.027104338250695</v>
      </c>
      <c r="J70">
        <f t="shared" si="1"/>
        <v>-3</v>
      </c>
    </row>
    <row r="71" spans="1:10" x14ac:dyDescent="0.25">
      <c r="A71" t="s">
        <v>193</v>
      </c>
      <c r="B71" t="s">
        <v>194</v>
      </c>
      <c r="C71" t="s">
        <v>195</v>
      </c>
      <c r="D71" s="1">
        <v>44464</v>
      </c>
      <c r="E71">
        <v>9</v>
      </c>
      <c r="F71">
        <v>26.040393574162</v>
      </c>
      <c r="G71" s="1">
        <v>44478</v>
      </c>
      <c r="H71" s="1">
        <v>44475</v>
      </c>
      <c r="I71">
        <v>234.36354216745801</v>
      </c>
      <c r="J71">
        <f t="shared" si="1"/>
        <v>-3</v>
      </c>
    </row>
    <row r="72" spans="1:10" x14ac:dyDescent="0.25">
      <c r="A72" t="s">
        <v>196</v>
      </c>
      <c r="B72" t="s">
        <v>160</v>
      </c>
      <c r="C72" t="s">
        <v>125</v>
      </c>
      <c r="D72" s="1">
        <v>45224</v>
      </c>
      <c r="E72">
        <v>8</v>
      </c>
      <c r="F72">
        <v>75.799893827958599</v>
      </c>
      <c r="G72" s="1">
        <v>45235</v>
      </c>
      <c r="H72" s="1">
        <v>45241</v>
      </c>
      <c r="I72">
        <v>606.39915062366799</v>
      </c>
      <c r="J72">
        <f t="shared" si="1"/>
        <v>6</v>
      </c>
    </row>
    <row r="73" spans="1:10" x14ac:dyDescent="0.25">
      <c r="A73" t="s">
        <v>197</v>
      </c>
      <c r="B73" t="s">
        <v>198</v>
      </c>
      <c r="C73" t="s">
        <v>199</v>
      </c>
      <c r="D73" s="1">
        <v>44396</v>
      </c>
      <c r="E73">
        <v>11</v>
      </c>
      <c r="F73">
        <v>18.1608221162377</v>
      </c>
      <c r="G73" s="1">
        <v>44417</v>
      </c>
      <c r="H73" s="1">
        <v>44420</v>
      </c>
      <c r="I73">
        <v>199.76904327861499</v>
      </c>
      <c r="J73">
        <f t="shared" si="1"/>
        <v>3</v>
      </c>
    </row>
    <row r="74" spans="1:10" x14ac:dyDescent="0.25">
      <c r="A74" t="s">
        <v>200</v>
      </c>
      <c r="B74" t="s">
        <v>119</v>
      </c>
      <c r="C74" t="s">
        <v>201</v>
      </c>
      <c r="D74" s="1">
        <v>45193</v>
      </c>
      <c r="E74">
        <v>13</v>
      </c>
      <c r="F74">
        <v>49.232652626469203</v>
      </c>
      <c r="G74" s="1">
        <v>45204</v>
      </c>
      <c r="H74" s="1">
        <v>45208</v>
      </c>
      <c r="I74">
        <v>640.02448414410003</v>
      </c>
      <c r="J74">
        <f t="shared" si="1"/>
        <v>4</v>
      </c>
    </row>
    <row r="75" spans="1:10" x14ac:dyDescent="0.25">
      <c r="A75" t="s">
        <v>202</v>
      </c>
      <c r="B75" t="s">
        <v>203</v>
      </c>
      <c r="C75" t="s">
        <v>170</v>
      </c>
      <c r="D75" s="1">
        <v>44627</v>
      </c>
      <c r="E75">
        <v>3</v>
      </c>
      <c r="F75">
        <v>29.1416936652126</v>
      </c>
      <c r="G75" s="1">
        <v>44640</v>
      </c>
      <c r="H75" s="1">
        <v>44639</v>
      </c>
      <c r="I75">
        <v>87.425080995637899</v>
      </c>
      <c r="J75">
        <f t="shared" si="1"/>
        <v>-1</v>
      </c>
    </row>
    <row r="76" spans="1:10" x14ac:dyDescent="0.25">
      <c r="A76" t="s">
        <v>204</v>
      </c>
      <c r="B76" t="s">
        <v>205</v>
      </c>
      <c r="C76" t="s">
        <v>100</v>
      </c>
      <c r="D76" s="1">
        <v>44403</v>
      </c>
      <c r="E76">
        <v>12</v>
      </c>
      <c r="F76">
        <v>52.342986247763399</v>
      </c>
      <c r="G76" s="1">
        <v>44414</v>
      </c>
      <c r="H76" s="1">
        <v>44417</v>
      </c>
      <c r="I76">
        <v>628.11583497316099</v>
      </c>
      <c r="J76">
        <f t="shared" si="1"/>
        <v>3</v>
      </c>
    </row>
    <row r="77" spans="1:10" x14ac:dyDescent="0.25">
      <c r="A77" t="s">
        <v>206</v>
      </c>
      <c r="B77" t="s">
        <v>207</v>
      </c>
      <c r="C77" t="s">
        <v>208</v>
      </c>
      <c r="D77" s="1">
        <v>45114</v>
      </c>
      <c r="E77">
        <v>11</v>
      </c>
      <c r="F77">
        <v>66.526076913742799</v>
      </c>
      <c r="G77" s="1">
        <v>45130</v>
      </c>
      <c r="H77" s="1">
        <v>45129</v>
      </c>
      <c r="I77">
        <v>731.78684605117098</v>
      </c>
      <c r="J77">
        <f t="shared" si="1"/>
        <v>-1</v>
      </c>
    </row>
    <row r="78" spans="1:10" x14ac:dyDescent="0.25">
      <c r="A78" t="s">
        <v>209</v>
      </c>
      <c r="B78" t="s">
        <v>203</v>
      </c>
      <c r="C78" t="s">
        <v>210</v>
      </c>
      <c r="D78" s="1">
        <v>45286</v>
      </c>
      <c r="E78">
        <v>11</v>
      </c>
      <c r="F78">
        <v>36.004037055706902</v>
      </c>
      <c r="G78" s="1">
        <v>45302</v>
      </c>
      <c r="H78" s="1">
        <v>45300</v>
      </c>
      <c r="I78">
        <v>396.04440761277601</v>
      </c>
      <c r="J78">
        <f t="shared" si="1"/>
        <v>-2</v>
      </c>
    </row>
    <row r="79" spans="1:10" x14ac:dyDescent="0.25">
      <c r="A79" t="s">
        <v>211</v>
      </c>
      <c r="B79" t="s">
        <v>28</v>
      </c>
      <c r="C79" t="s">
        <v>212</v>
      </c>
      <c r="D79" s="1">
        <v>45287</v>
      </c>
      <c r="E79">
        <v>7</v>
      </c>
      <c r="F79">
        <v>38.560018844862697</v>
      </c>
      <c r="G79" s="1">
        <v>45309</v>
      </c>
      <c r="H79" s="1">
        <v>45311</v>
      </c>
      <c r="I79">
        <v>269.92013191403902</v>
      </c>
      <c r="J79">
        <f t="shared" si="1"/>
        <v>2</v>
      </c>
    </row>
    <row r="80" spans="1:10" x14ac:dyDescent="0.25">
      <c r="A80" t="s">
        <v>213</v>
      </c>
      <c r="B80" t="s">
        <v>25</v>
      </c>
      <c r="C80" t="s">
        <v>214</v>
      </c>
      <c r="D80" s="1">
        <v>44730</v>
      </c>
      <c r="E80">
        <v>7</v>
      </c>
      <c r="F80">
        <v>44.565917882768296</v>
      </c>
      <c r="G80" s="1">
        <v>44745</v>
      </c>
      <c r="H80" s="1">
        <v>44749</v>
      </c>
      <c r="I80">
        <v>311.96142517937801</v>
      </c>
      <c r="J80">
        <f t="shared" si="1"/>
        <v>4</v>
      </c>
    </row>
    <row r="81" spans="1:10" x14ac:dyDescent="0.25">
      <c r="A81" t="s">
        <v>215</v>
      </c>
      <c r="B81" t="s">
        <v>216</v>
      </c>
      <c r="C81" t="s">
        <v>217</v>
      </c>
      <c r="D81" s="1">
        <v>44969</v>
      </c>
      <c r="E81">
        <v>12</v>
      </c>
      <c r="F81">
        <v>18.788863339445999</v>
      </c>
      <c r="G81" s="1">
        <v>44984</v>
      </c>
      <c r="H81" s="1">
        <v>44985</v>
      </c>
      <c r="I81">
        <v>225.46636007335201</v>
      </c>
      <c r="J81">
        <f t="shared" si="1"/>
        <v>1</v>
      </c>
    </row>
    <row r="82" spans="1:10" x14ac:dyDescent="0.25">
      <c r="A82" t="s">
        <v>218</v>
      </c>
      <c r="B82" t="s">
        <v>219</v>
      </c>
      <c r="C82" t="s">
        <v>220</v>
      </c>
      <c r="D82" s="1">
        <v>44483</v>
      </c>
      <c r="E82">
        <v>12</v>
      </c>
      <c r="F82">
        <v>73.116428720631106</v>
      </c>
      <c r="G82" s="1">
        <v>44501</v>
      </c>
      <c r="H82" s="1">
        <v>44506</v>
      </c>
      <c r="I82">
        <v>877.39714464757401</v>
      </c>
      <c r="J82">
        <f t="shared" si="1"/>
        <v>5</v>
      </c>
    </row>
    <row r="83" spans="1:10" x14ac:dyDescent="0.25">
      <c r="A83" t="s">
        <v>221</v>
      </c>
      <c r="B83" t="s">
        <v>67</v>
      </c>
      <c r="C83" t="s">
        <v>222</v>
      </c>
      <c r="D83" s="1">
        <v>44804</v>
      </c>
      <c r="E83">
        <v>12</v>
      </c>
      <c r="F83">
        <v>45.982751390479002</v>
      </c>
      <c r="G83" s="1">
        <v>44825</v>
      </c>
      <c r="H83" s="1">
        <v>44822</v>
      </c>
      <c r="I83">
        <v>551.79301668574794</v>
      </c>
      <c r="J83">
        <f t="shared" si="1"/>
        <v>-3</v>
      </c>
    </row>
    <row r="84" spans="1:10" x14ac:dyDescent="0.25">
      <c r="A84" t="s">
        <v>223</v>
      </c>
      <c r="B84" t="s">
        <v>143</v>
      </c>
      <c r="C84" t="s">
        <v>224</v>
      </c>
      <c r="D84" s="1">
        <v>45006</v>
      </c>
      <c r="E84">
        <v>10</v>
      </c>
      <c r="F84">
        <v>31.953227687396399</v>
      </c>
      <c r="G84" s="1">
        <v>45030</v>
      </c>
      <c r="H84" s="1">
        <v>45032</v>
      </c>
      <c r="I84">
        <v>319.53227687396401</v>
      </c>
      <c r="J84">
        <f t="shared" si="1"/>
        <v>2</v>
      </c>
    </row>
    <row r="85" spans="1:10" x14ac:dyDescent="0.25">
      <c r="A85" t="s">
        <v>225</v>
      </c>
      <c r="B85" t="s">
        <v>216</v>
      </c>
      <c r="C85" t="s">
        <v>125</v>
      </c>
      <c r="D85" s="1">
        <v>45328</v>
      </c>
      <c r="E85">
        <v>10</v>
      </c>
      <c r="F85">
        <v>46.812741421208401</v>
      </c>
      <c r="G85" s="1">
        <v>45339</v>
      </c>
      <c r="H85" s="1">
        <v>45341</v>
      </c>
      <c r="I85">
        <v>468.12741421208398</v>
      </c>
      <c r="J85">
        <f t="shared" si="1"/>
        <v>2</v>
      </c>
    </row>
    <row r="86" spans="1:10" x14ac:dyDescent="0.25">
      <c r="A86" t="s">
        <v>226</v>
      </c>
      <c r="B86" t="s">
        <v>227</v>
      </c>
      <c r="C86" t="s">
        <v>228</v>
      </c>
      <c r="D86" s="1">
        <v>44667</v>
      </c>
      <c r="E86">
        <v>16</v>
      </c>
      <c r="F86">
        <v>71.103499984905795</v>
      </c>
      <c r="G86" s="1">
        <v>44677</v>
      </c>
      <c r="H86" s="1">
        <v>44677</v>
      </c>
      <c r="I86">
        <v>1137.65599975849</v>
      </c>
      <c r="J86">
        <f t="shared" si="1"/>
        <v>0</v>
      </c>
    </row>
    <row r="87" spans="1:10" x14ac:dyDescent="0.25">
      <c r="A87" t="s">
        <v>229</v>
      </c>
      <c r="B87" t="s">
        <v>99</v>
      </c>
      <c r="C87" t="s">
        <v>230</v>
      </c>
      <c r="D87" s="1">
        <v>45265</v>
      </c>
      <c r="E87">
        <v>15</v>
      </c>
      <c r="F87">
        <v>39.617637272387199</v>
      </c>
      <c r="G87" s="1">
        <v>45287</v>
      </c>
      <c r="H87" s="1">
        <v>45284</v>
      </c>
      <c r="I87">
        <v>594.26455908580795</v>
      </c>
      <c r="J87">
        <f t="shared" si="1"/>
        <v>-3</v>
      </c>
    </row>
    <row r="88" spans="1:10" x14ac:dyDescent="0.25">
      <c r="A88" t="s">
        <v>231</v>
      </c>
      <c r="B88" t="s">
        <v>43</v>
      </c>
      <c r="C88" t="s">
        <v>94</v>
      </c>
      <c r="D88" s="1">
        <v>44618</v>
      </c>
      <c r="E88">
        <v>9</v>
      </c>
      <c r="F88">
        <v>19.449254837386299</v>
      </c>
      <c r="G88" s="1">
        <v>44637</v>
      </c>
      <c r="H88" s="1">
        <v>44636</v>
      </c>
      <c r="I88">
        <v>175.04329353647699</v>
      </c>
      <c r="J88">
        <f t="shared" si="1"/>
        <v>-1</v>
      </c>
    </row>
    <row r="89" spans="1:10" x14ac:dyDescent="0.25">
      <c r="A89" t="s">
        <v>232</v>
      </c>
      <c r="B89" t="s">
        <v>205</v>
      </c>
      <c r="C89" t="s">
        <v>233</v>
      </c>
      <c r="D89" s="1">
        <v>44982</v>
      </c>
      <c r="E89">
        <v>8</v>
      </c>
      <c r="F89">
        <v>75.334705625846695</v>
      </c>
      <c r="G89" s="1">
        <v>44996</v>
      </c>
      <c r="H89" s="1">
        <v>44996</v>
      </c>
      <c r="I89">
        <v>602.67764500677299</v>
      </c>
      <c r="J89">
        <f t="shared" si="1"/>
        <v>0</v>
      </c>
    </row>
    <row r="90" spans="1:10" x14ac:dyDescent="0.25">
      <c r="A90" t="s">
        <v>234</v>
      </c>
      <c r="B90" t="s">
        <v>52</v>
      </c>
      <c r="C90" t="s">
        <v>235</v>
      </c>
      <c r="D90" s="1">
        <v>45002</v>
      </c>
      <c r="E90">
        <v>13</v>
      </c>
      <c r="F90">
        <v>79.133585694662699</v>
      </c>
      <c r="G90" s="1">
        <v>45022</v>
      </c>
      <c r="H90" s="1">
        <v>45022</v>
      </c>
      <c r="I90">
        <v>1028.7366140306101</v>
      </c>
      <c r="J90">
        <f t="shared" si="1"/>
        <v>0</v>
      </c>
    </row>
    <row r="91" spans="1:10" x14ac:dyDescent="0.25">
      <c r="A91" t="s">
        <v>236</v>
      </c>
      <c r="B91" t="s">
        <v>237</v>
      </c>
      <c r="C91" t="s">
        <v>238</v>
      </c>
      <c r="D91" s="1">
        <v>45191</v>
      </c>
      <c r="E91">
        <v>13</v>
      </c>
      <c r="F91">
        <v>67.895754189368105</v>
      </c>
      <c r="G91" s="1">
        <v>45205</v>
      </c>
      <c r="H91" s="1">
        <v>45205</v>
      </c>
      <c r="I91">
        <v>882.64480446178595</v>
      </c>
      <c r="J91">
        <f t="shared" si="1"/>
        <v>0</v>
      </c>
    </row>
    <row r="92" spans="1:10" x14ac:dyDescent="0.25">
      <c r="A92" t="s">
        <v>239</v>
      </c>
      <c r="B92" t="s">
        <v>240</v>
      </c>
      <c r="C92" t="s">
        <v>74</v>
      </c>
      <c r="D92" s="1">
        <v>44749</v>
      </c>
      <c r="E92">
        <v>13</v>
      </c>
      <c r="F92">
        <v>46.646231971667298</v>
      </c>
      <c r="G92" s="1">
        <v>44772</v>
      </c>
      <c r="H92" s="1">
        <v>44774</v>
      </c>
      <c r="I92">
        <v>606.40101563167502</v>
      </c>
      <c r="J92">
        <f t="shared" si="1"/>
        <v>2</v>
      </c>
    </row>
    <row r="93" spans="1:10" x14ac:dyDescent="0.25">
      <c r="A93" t="s">
        <v>241</v>
      </c>
      <c r="B93" t="s">
        <v>242</v>
      </c>
      <c r="C93" t="s">
        <v>243</v>
      </c>
      <c r="D93" s="1">
        <v>45386</v>
      </c>
      <c r="E93">
        <v>9</v>
      </c>
      <c r="F93">
        <v>41.161397781506103</v>
      </c>
      <c r="G93" s="1">
        <v>45409</v>
      </c>
      <c r="H93" s="1">
        <v>45413</v>
      </c>
      <c r="I93">
        <v>370.45258003355502</v>
      </c>
      <c r="J93">
        <f t="shared" si="1"/>
        <v>4</v>
      </c>
    </row>
    <row r="94" spans="1:10" x14ac:dyDescent="0.25">
      <c r="A94" t="s">
        <v>244</v>
      </c>
      <c r="B94" t="s">
        <v>207</v>
      </c>
      <c r="C94" t="s">
        <v>245</v>
      </c>
      <c r="D94" s="1">
        <v>44273</v>
      </c>
      <c r="E94">
        <v>10</v>
      </c>
      <c r="F94">
        <v>37.949678856455797</v>
      </c>
      <c r="G94" s="1">
        <v>44295</v>
      </c>
      <c r="H94" s="1">
        <v>44301</v>
      </c>
      <c r="I94">
        <v>379.49678856455802</v>
      </c>
      <c r="J94">
        <f t="shared" si="1"/>
        <v>6</v>
      </c>
    </row>
    <row r="95" spans="1:10" x14ac:dyDescent="0.25">
      <c r="A95" t="s">
        <v>246</v>
      </c>
      <c r="B95" t="s">
        <v>247</v>
      </c>
      <c r="C95" t="s">
        <v>222</v>
      </c>
      <c r="D95" s="1">
        <v>44934</v>
      </c>
      <c r="E95">
        <v>13</v>
      </c>
      <c r="F95">
        <v>23.473933298333002</v>
      </c>
      <c r="G95" s="1">
        <v>44946</v>
      </c>
      <c r="H95" s="1">
        <v>44947</v>
      </c>
      <c r="I95">
        <v>305.161132878329</v>
      </c>
      <c r="J95">
        <f t="shared" si="1"/>
        <v>1</v>
      </c>
    </row>
    <row r="96" spans="1:10" x14ac:dyDescent="0.25">
      <c r="A96" t="s">
        <v>248</v>
      </c>
      <c r="B96" t="s">
        <v>127</v>
      </c>
      <c r="C96" t="s">
        <v>136</v>
      </c>
      <c r="D96" s="1">
        <v>45153</v>
      </c>
      <c r="E96">
        <v>5</v>
      </c>
      <c r="F96">
        <v>54.933383324469702</v>
      </c>
      <c r="G96" s="1">
        <v>45173</v>
      </c>
      <c r="H96" s="1">
        <v>45178</v>
      </c>
      <c r="I96">
        <v>274.66691662234803</v>
      </c>
      <c r="J96">
        <f t="shared" si="1"/>
        <v>5</v>
      </c>
    </row>
    <row r="97" spans="1:10" x14ac:dyDescent="0.25">
      <c r="A97" t="s">
        <v>249</v>
      </c>
      <c r="B97" t="s">
        <v>250</v>
      </c>
      <c r="C97" t="s">
        <v>251</v>
      </c>
      <c r="D97" s="1">
        <v>44836</v>
      </c>
      <c r="E97">
        <v>11</v>
      </c>
      <c r="F97">
        <v>69.916030437220002</v>
      </c>
      <c r="G97" s="1">
        <v>44854</v>
      </c>
      <c r="H97" s="1">
        <v>44851</v>
      </c>
      <c r="I97">
        <v>769.07633480942002</v>
      </c>
      <c r="J97">
        <f t="shared" si="1"/>
        <v>-3</v>
      </c>
    </row>
    <row r="98" spans="1:10" x14ac:dyDescent="0.25">
      <c r="A98" t="s">
        <v>252</v>
      </c>
      <c r="B98" t="s">
        <v>253</v>
      </c>
      <c r="C98" t="s">
        <v>254</v>
      </c>
      <c r="D98" s="1">
        <v>44532</v>
      </c>
      <c r="E98">
        <v>15</v>
      </c>
      <c r="F98">
        <v>9.0338681482347205</v>
      </c>
      <c r="G98" s="1">
        <v>44555</v>
      </c>
      <c r="H98" s="1">
        <v>44552</v>
      </c>
      <c r="I98">
        <v>135.50802222351999</v>
      </c>
      <c r="J98">
        <f t="shared" si="1"/>
        <v>-3</v>
      </c>
    </row>
    <row r="99" spans="1:10" x14ac:dyDescent="0.25">
      <c r="A99" t="s">
        <v>255</v>
      </c>
      <c r="B99" t="s">
        <v>256</v>
      </c>
      <c r="C99" t="s">
        <v>257</v>
      </c>
      <c r="D99" s="1">
        <v>44411</v>
      </c>
      <c r="E99">
        <v>7</v>
      </c>
      <c r="F99">
        <v>26.0202472167853</v>
      </c>
      <c r="G99" s="1">
        <v>44426</v>
      </c>
      <c r="H99" s="1">
        <v>44432</v>
      </c>
      <c r="I99">
        <v>182.141730517497</v>
      </c>
      <c r="J99">
        <f t="shared" si="1"/>
        <v>6</v>
      </c>
    </row>
    <row r="100" spans="1:10" x14ac:dyDescent="0.25">
      <c r="A100" t="s">
        <v>258</v>
      </c>
      <c r="B100" t="s">
        <v>55</v>
      </c>
      <c r="C100" t="s">
        <v>259</v>
      </c>
      <c r="D100" s="1">
        <v>44375</v>
      </c>
      <c r="E100">
        <v>12</v>
      </c>
      <c r="F100">
        <v>40.5625854437559</v>
      </c>
      <c r="G100" s="1">
        <v>44391</v>
      </c>
      <c r="H100" s="1">
        <v>44393</v>
      </c>
      <c r="I100">
        <v>486.751025325071</v>
      </c>
      <c r="J100">
        <f t="shared" si="1"/>
        <v>2</v>
      </c>
    </row>
    <row r="101" spans="1:10" x14ac:dyDescent="0.25">
      <c r="A101" t="s">
        <v>260</v>
      </c>
      <c r="B101" t="s">
        <v>261</v>
      </c>
      <c r="C101" t="s">
        <v>262</v>
      </c>
      <c r="D101" s="1">
        <v>45051</v>
      </c>
      <c r="E101">
        <v>13</v>
      </c>
      <c r="F101">
        <v>20.361791464841598</v>
      </c>
      <c r="G101" s="1">
        <v>45072</v>
      </c>
      <c r="H101" s="1">
        <v>45069</v>
      </c>
      <c r="I101">
        <v>264.70328904294098</v>
      </c>
      <c r="J101">
        <f t="shared" si="1"/>
        <v>-3</v>
      </c>
    </row>
    <row r="102" spans="1:10" x14ac:dyDescent="0.25">
      <c r="A102" t="s">
        <v>263</v>
      </c>
      <c r="B102" t="s">
        <v>58</v>
      </c>
      <c r="C102" t="s">
        <v>158</v>
      </c>
      <c r="D102" s="1">
        <v>44778</v>
      </c>
      <c r="E102">
        <v>9</v>
      </c>
      <c r="F102">
        <v>17.315159371744201</v>
      </c>
      <c r="G102" s="1">
        <v>44798</v>
      </c>
      <c r="H102" s="1">
        <v>44804</v>
      </c>
      <c r="I102">
        <v>155.836434345698</v>
      </c>
      <c r="J102">
        <f t="shared" si="1"/>
        <v>6</v>
      </c>
    </row>
    <row r="103" spans="1:10" x14ac:dyDescent="0.25">
      <c r="A103" t="s">
        <v>264</v>
      </c>
      <c r="B103" t="s">
        <v>19</v>
      </c>
      <c r="C103" t="s">
        <v>131</v>
      </c>
      <c r="D103" s="1">
        <v>44286</v>
      </c>
      <c r="E103">
        <v>18</v>
      </c>
      <c r="F103">
        <v>65.441869780791194</v>
      </c>
      <c r="G103" s="1">
        <v>44309</v>
      </c>
      <c r="H103" s="1">
        <v>44314</v>
      </c>
      <c r="I103">
        <v>1177.9536560542399</v>
      </c>
      <c r="J103">
        <f t="shared" si="1"/>
        <v>5</v>
      </c>
    </row>
    <row r="104" spans="1:10" x14ac:dyDescent="0.25">
      <c r="A104" t="s">
        <v>265</v>
      </c>
      <c r="B104" t="s">
        <v>13</v>
      </c>
      <c r="C104" t="s">
        <v>102</v>
      </c>
      <c r="D104" s="1">
        <v>44716</v>
      </c>
      <c r="E104">
        <v>12</v>
      </c>
      <c r="F104">
        <v>45.508374942609997</v>
      </c>
      <c r="G104" s="1">
        <v>44736</v>
      </c>
      <c r="H104" s="1">
        <v>44734</v>
      </c>
      <c r="I104">
        <v>546.10049931132005</v>
      </c>
      <c r="J104">
        <f t="shared" si="1"/>
        <v>-2</v>
      </c>
    </row>
    <row r="105" spans="1:10" x14ac:dyDescent="0.25">
      <c r="A105" t="s">
        <v>266</v>
      </c>
      <c r="B105" t="s">
        <v>267</v>
      </c>
      <c r="C105" t="s">
        <v>268</v>
      </c>
      <c r="D105" s="1">
        <v>45381</v>
      </c>
      <c r="E105">
        <v>14</v>
      </c>
      <c r="F105">
        <v>78.501627196440296</v>
      </c>
      <c r="G105" s="1">
        <v>45391</v>
      </c>
      <c r="H105" s="1">
        <v>45395</v>
      </c>
      <c r="I105">
        <v>1099.0227807501601</v>
      </c>
      <c r="J105">
        <f t="shared" si="1"/>
        <v>4</v>
      </c>
    </row>
    <row r="106" spans="1:10" x14ac:dyDescent="0.25">
      <c r="A106" t="s">
        <v>269</v>
      </c>
      <c r="B106" t="s">
        <v>124</v>
      </c>
      <c r="C106" t="s">
        <v>270</v>
      </c>
      <c r="D106" s="1">
        <v>45266</v>
      </c>
      <c r="E106">
        <v>9</v>
      </c>
      <c r="F106">
        <v>5.08304515821394</v>
      </c>
      <c r="G106" s="1">
        <v>45278</v>
      </c>
      <c r="H106" s="1">
        <v>45278</v>
      </c>
      <c r="I106">
        <v>45.747406423925398</v>
      </c>
      <c r="J106">
        <f t="shared" si="1"/>
        <v>0</v>
      </c>
    </row>
    <row r="107" spans="1:10" x14ac:dyDescent="0.25">
      <c r="A107" t="s">
        <v>271</v>
      </c>
      <c r="B107" t="s">
        <v>121</v>
      </c>
      <c r="C107" t="s">
        <v>272</v>
      </c>
      <c r="D107" s="1">
        <v>44440</v>
      </c>
      <c r="E107">
        <v>10</v>
      </c>
      <c r="F107">
        <v>73.543535091207502</v>
      </c>
      <c r="G107" s="1">
        <v>44463</v>
      </c>
      <c r="H107" s="1">
        <v>44460</v>
      </c>
      <c r="I107">
        <v>735.43535091207502</v>
      </c>
      <c r="J107">
        <f t="shared" si="1"/>
        <v>-3</v>
      </c>
    </row>
    <row r="108" spans="1:10" x14ac:dyDescent="0.25">
      <c r="A108" t="s">
        <v>273</v>
      </c>
      <c r="B108" t="s">
        <v>216</v>
      </c>
      <c r="C108" t="s">
        <v>274</v>
      </c>
      <c r="D108" s="1">
        <v>44303</v>
      </c>
      <c r="E108">
        <v>10</v>
      </c>
      <c r="F108">
        <v>65.159655638704805</v>
      </c>
      <c r="G108" s="1">
        <v>44320</v>
      </c>
      <c r="H108" s="1">
        <v>44326</v>
      </c>
      <c r="I108">
        <v>651.59655638704805</v>
      </c>
      <c r="J108">
        <f t="shared" si="1"/>
        <v>6</v>
      </c>
    </row>
    <row r="109" spans="1:10" x14ac:dyDescent="0.25">
      <c r="A109" t="s">
        <v>275</v>
      </c>
      <c r="B109" t="s">
        <v>174</v>
      </c>
      <c r="C109" t="s">
        <v>276</v>
      </c>
      <c r="D109" s="1">
        <v>45355</v>
      </c>
      <c r="E109">
        <v>12</v>
      </c>
      <c r="F109">
        <v>73.396739510924803</v>
      </c>
      <c r="G109" s="1">
        <v>45379</v>
      </c>
      <c r="H109" s="1">
        <v>45379</v>
      </c>
      <c r="I109">
        <v>880.76087413109701</v>
      </c>
      <c r="J109">
        <f t="shared" si="1"/>
        <v>0</v>
      </c>
    </row>
    <row r="110" spans="1:10" x14ac:dyDescent="0.25">
      <c r="A110" t="s">
        <v>277</v>
      </c>
      <c r="B110" t="s">
        <v>205</v>
      </c>
      <c r="C110" t="s">
        <v>47</v>
      </c>
      <c r="D110" s="1">
        <v>45175</v>
      </c>
      <c r="E110">
        <v>13</v>
      </c>
      <c r="F110">
        <v>6.5698577967349197</v>
      </c>
      <c r="G110" s="1">
        <v>45198</v>
      </c>
      <c r="H110" s="1">
        <v>45201</v>
      </c>
      <c r="I110">
        <v>85.408151357553905</v>
      </c>
      <c r="J110">
        <f t="shared" si="1"/>
        <v>3</v>
      </c>
    </row>
    <row r="111" spans="1:10" x14ac:dyDescent="0.25">
      <c r="A111" t="s">
        <v>278</v>
      </c>
      <c r="B111" t="s">
        <v>34</v>
      </c>
      <c r="C111" t="s">
        <v>279</v>
      </c>
      <c r="D111" s="1">
        <v>44699</v>
      </c>
      <c r="E111">
        <v>7</v>
      </c>
      <c r="F111">
        <v>65.943469203655098</v>
      </c>
      <c r="G111" s="1">
        <v>44723</v>
      </c>
      <c r="H111" s="1">
        <v>44720</v>
      </c>
      <c r="I111">
        <v>461.60428442558498</v>
      </c>
      <c r="J111">
        <f t="shared" si="1"/>
        <v>-3</v>
      </c>
    </row>
    <row r="112" spans="1:10" x14ac:dyDescent="0.25">
      <c r="A112" t="s">
        <v>280</v>
      </c>
      <c r="B112" t="s">
        <v>37</v>
      </c>
      <c r="C112" t="s">
        <v>281</v>
      </c>
      <c r="D112" s="1">
        <v>44766</v>
      </c>
      <c r="E112">
        <v>15</v>
      </c>
      <c r="F112">
        <v>26.399777908226898</v>
      </c>
      <c r="G112" s="1">
        <v>44780</v>
      </c>
      <c r="H112" s="1">
        <v>44783</v>
      </c>
      <c r="I112">
        <v>395.99666862340302</v>
      </c>
      <c r="J112">
        <f t="shared" si="1"/>
        <v>3</v>
      </c>
    </row>
    <row r="113" spans="1:10" x14ac:dyDescent="0.25">
      <c r="A113" t="s">
        <v>282</v>
      </c>
      <c r="B113" t="s">
        <v>109</v>
      </c>
      <c r="C113" t="s">
        <v>283</v>
      </c>
      <c r="D113" s="1">
        <v>44373</v>
      </c>
      <c r="E113">
        <v>17</v>
      </c>
      <c r="F113">
        <v>51.537475405087498</v>
      </c>
      <c r="G113" s="1">
        <v>44383</v>
      </c>
      <c r="H113" s="1">
        <v>44380</v>
      </c>
      <c r="I113">
        <v>876.13708188648695</v>
      </c>
      <c r="J113">
        <f t="shared" si="1"/>
        <v>-3</v>
      </c>
    </row>
    <row r="114" spans="1:10" x14ac:dyDescent="0.25">
      <c r="A114" t="s">
        <v>284</v>
      </c>
      <c r="B114" t="s">
        <v>28</v>
      </c>
      <c r="C114" t="s">
        <v>117</v>
      </c>
      <c r="D114" s="1">
        <v>45324</v>
      </c>
      <c r="E114">
        <v>9</v>
      </c>
      <c r="F114">
        <v>36.551375621021897</v>
      </c>
      <c r="G114" s="1">
        <v>45344</v>
      </c>
      <c r="H114" s="1">
        <v>45347</v>
      </c>
      <c r="I114">
        <v>328.96238058919698</v>
      </c>
      <c r="J114">
        <f t="shared" si="1"/>
        <v>3</v>
      </c>
    </row>
    <row r="115" spans="1:10" x14ac:dyDescent="0.25">
      <c r="A115" t="s">
        <v>285</v>
      </c>
      <c r="B115" t="s">
        <v>237</v>
      </c>
      <c r="C115" t="s">
        <v>172</v>
      </c>
      <c r="D115" s="1">
        <v>44288</v>
      </c>
      <c r="E115">
        <v>10</v>
      </c>
      <c r="F115">
        <v>75.868877780141403</v>
      </c>
      <c r="G115" s="1">
        <v>44309</v>
      </c>
      <c r="H115" s="1">
        <v>44313</v>
      </c>
      <c r="I115">
        <v>758.68877780141395</v>
      </c>
      <c r="J115">
        <f t="shared" si="1"/>
        <v>4</v>
      </c>
    </row>
    <row r="116" spans="1:10" x14ac:dyDescent="0.25">
      <c r="A116" t="s">
        <v>286</v>
      </c>
      <c r="B116" t="s">
        <v>61</v>
      </c>
      <c r="C116" t="s">
        <v>14</v>
      </c>
      <c r="D116" s="1">
        <v>44877</v>
      </c>
      <c r="E116">
        <v>18</v>
      </c>
      <c r="F116">
        <v>12.653372532484999</v>
      </c>
      <c r="G116" s="1">
        <v>44887</v>
      </c>
      <c r="H116" s="1">
        <v>44892</v>
      </c>
      <c r="I116">
        <v>227.76070558473</v>
      </c>
      <c r="J116">
        <f t="shared" si="1"/>
        <v>5</v>
      </c>
    </row>
    <row r="117" spans="1:10" x14ac:dyDescent="0.25">
      <c r="A117" t="s">
        <v>287</v>
      </c>
      <c r="B117" t="s">
        <v>288</v>
      </c>
      <c r="C117" t="s">
        <v>243</v>
      </c>
      <c r="D117" s="1">
        <v>44365</v>
      </c>
      <c r="E117">
        <v>10</v>
      </c>
      <c r="F117">
        <v>32.6735301654968</v>
      </c>
      <c r="G117" s="1">
        <v>44380</v>
      </c>
      <c r="H117" s="1">
        <v>44386</v>
      </c>
      <c r="I117">
        <v>326.735301654968</v>
      </c>
      <c r="J117">
        <f t="shared" si="1"/>
        <v>6</v>
      </c>
    </row>
    <row r="118" spans="1:10" x14ac:dyDescent="0.25">
      <c r="A118" t="s">
        <v>289</v>
      </c>
      <c r="B118" t="s">
        <v>237</v>
      </c>
      <c r="C118" t="s">
        <v>290</v>
      </c>
      <c r="D118" s="1">
        <v>45286</v>
      </c>
      <c r="E118">
        <v>8</v>
      </c>
      <c r="F118">
        <v>5.0876208582025999</v>
      </c>
      <c r="G118" s="1">
        <v>45298</v>
      </c>
      <c r="H118" s="1">
        <v>45297</v>
      </c>
      <c r="I118">
        <v>40.700966865620799</v>
      </c>
      <c r="J118">
        <f t="shared" si="1"/>
        <v>-1</v>
      </c>
    </row>
    <row r="119" spans="1:10" x14ac:dyDescent="0.25">
      <c r="A119" t="s">
        <v>291</v>
      </c>
      <c r="B119" t="s">
        <v>88</v>
      </c>
      <c r="C119" t="s">
        <v>214</v>
      </c>
      <c r="D119" s="1">
        <v>44315</v>
      </c>
      <c r="E119">
        <v>7</v>
      </c>
      <c r="F119">
        <v>58.599790489647503</v>
      </c>
      <c r="G119" s="1">
        <v>44336</v>
      </c>
      <c r="H119" s="1">
        <v>44336</v>
      </c>
      <c r="I119">
        <v>410.19853342753203</v>
      </c>
      <c r="J119">
        <f t="shared" si="1"/>
        <v>0</v>
      </c>
    </row>
    <row r="120" spans="1:10" x14ac:dyDescent="0.25">
      <c r="A120" t="s">
        <v>292</v>
      </c>
      <c r="B120" t="s">
        <v>293</v>
      </c>
      <c r="C120" t="s">
        <v>155</v>
      </c>
      <c r="D120" s="1">
        <v>44713</v>
      </c>
      <c r="E120">
        <v>11</v>
      </c>
      <c r="F120">
        <v>69.283319977685693</v>
      </c>
      <c r="G120" s="1">
        <v>44727</v>
      </c>
      <c r="H120" s="1">
        <v>44732</v>
      </c>
      <c r="I120">
        <v>762.11651975454299</v>
      </c>
      <c r="J120">
        <f t="shared" si="1"/>
        <v>5</v>
      </c>
    </row>
    <row r="121" spans="1:10" x14ac:dyDescent="0.25">
      <c r="A121" t="s">
        <v>294</v>
      </c>
      <c r="B121" t="s">
        <v>295</v>
      </c>
      <c r="C121" t="s">
        <v>220</v>
      </c>
      <c r="D121" s="1">
        <v>44680</v>
      </c>
      <c r="E121">
        <v>9</v>
      </c>
      <c r="F121">
        <v>15.7960853461518</v>
      </c>
      <c r="G121" s="1">
        <v>44702</v>
      </c>
      <c r="H121" s="1">
        <v>44702</v>
      </c>
      <c r="I121">
        <v>142.164768115366</v>
      </c>
      <c r="J121">
        <f t="shared" si="1"/>
        <v>0</v>
      </c>
    </row>
    <row r="122" spans="1:10" x14ac:dyDescent="0.25">
      <c r="A122" t="s">
        <v>296</v>
      </c>
      <c r="B122" t="s">
        <v>76</v>
      </c>
      <c r="C122" t="s">
        <v>297</v>
      </c>
      <c r="D122" s="1">
        <v>44901</v>
      </c>
      <c r="E122">
        <v>10</v>
      </c>
      <c r="F122">
        <v>49.689895957138098</v>
      </c>
      <c r="G122" s="1">
        <v>44921</v>
      </c>
      <c r="H122" s="1">
        <v>44926</v>
      </c>
      <c r="I122">
        <v>496.898959571381</v>
      </c>
      <c r="J122">
        <f t="shared" si="1"/>
        <v>5</v>
      </c>
    </row>
    <row r="123" spans="1:10" x14ac:dyDescent="0.25">
      <c r="A123" t="s">
        <v>298</v>
      </c>
      <c r="B123" t="s">
        <v>299</v>
      </c>
      <c r="C123" t="s">
        <v>155</v>
      </c>
      <c r="D123" s="1">
        <v>44711</v>
      </c>
      <c r="E123">
        <v>14</v>
      </c>
      <c r="F123">
        <v>19.815473449609399</v>
      </c>
      <c r="G123" s="1">
        <v>44729</v>
      </c>
      <c r="H123" s="1">
        <v>44731</v>
      </c>
      <c r="I123">
        <v>277.41662829453202</v>
      </c>
      <c r="J123">
        <f t="shared" si="1"/>
        <v>2</v>
      </c>
    </row>
    <row r="124" spans="1:10" x14ac:dyDescent="0.25">
      <c r="A124" t="s">
        <v>300</v>
      </c>
      <c r="B124" t="s">
        <v>301</v>
      </c>
      <c r="C124" t="s">
        <v>302</v>
      </c>
      <c r="D124" s="1">
        <v>45108</v>
      </c>
      <c r="E124">
        <v>5</v>
      </c>
      <c r="F124">
        <v>13.3592082285743</v>
      </c>
      <c r="G124" s="1">
        <v>45125</v>
      </c>
      <c r="H124" s="1">
        <v>45129</v>
      </c>
      <c r="I124">
        <v>66.7960411428719</v>
      </c>
      <c r="J124">
        <f t="shared" si="1"/>
        <v>4</v>
      </c>
    </row>
    <row r="125" spans="1:10" x14ac:dyDescent="0.25">
      <c r="A125" t="s">
        <v>303</v>
      </c>
      <c r="B125" t="s">
        <v>37</v>
      </c>
      <c r="C125" t="s">
        <v>304</v>
      </c>
      <c r="D125" s="1">
        <v>45265</v>
      </c>
      <c r="E125">
        <v>5</v>
      </c>
      <c r="F125">
        <v>49.238352650029498</v>
      </c>
      <c r="G125" s="1">
        <v>45282</v>
      </c>
      <c r="H125" s="1">
        <v>45285</v>
      </c>
      <c r="I125">
        <v>246.19176325014701</v>
      </c>
      <c r="J125">
        <f t="shared" si="1"/>
        <v>3</v>
      </c>
    </row>
    <row r="126" spans="1:10" x14ac:dyDescent="0.25">
      <c r="A126" t="s">
        <v>305</v>
      </c>
      <c r="B126" t="s">
        <v>16</v>
      </c>
      <c r="C126" t="s">
        <v>38</v>
      </c>
      <c r="D126" s="1">
        <v>44760</v>
      </c>
      <c r="E126">
        <v>7</v>
      </c>
      <c r="F126">
        <v>18.783316836702401</v>
      </c>
      <c r="G126" s="1">
        <v>44781</v>
      </c>
      <c r="H126" s="1">
        <v>44785</v>
      </c>
      <c r="I126">
        <v>131.48321785691601</v>
      </c>
      <c r="J126">
        <f t="shared" si="1"/>
        <v>4</v>
      </c>
    </row>
    <row r="127" spans="1:10" x14ac:dyDescent="0.25">
      <c r="A127" t="s">
        <v>306</v>
      </c>
      <c r="B127" t="s">
        <v>49</v>
      </c>
      <c r="C127" t="s">
        <v>235</v>
      </c>
      <c r="D127" s="1">
        <v>45370</v>
      </c>
      <c r="E127">
        <v>17</v>
      </c>
      <c r="F127">
        <v>35.692929575899598</v>
      </c>
      <c r="G127" s="1">
        <v>45383</v>
      </c>
      <c r="H127" s="1">
        <v>45387</v>
      </c>
      <c r="I127">
        <v>606.77980279029396</v>
      </c>
      <c r="J127">
        <f t="shared" si="1"/>
        <v>4</v>
      </c>
    </row>
    <row r="128" spans="1:10" x14ac:dyDescent="0.25">
      <c r="A128" t="s">
        <v>307</v>
      </c>
      <c r="B128" t="s">
        <v>247</v>
      </c>
      <c r="C128" t="s">
        <v>308</v>
      </c>
      <c r="D128" s="1">
        <v>44592</v>
      </c>
      <c r="E128">
        <v>7</v>
      </c>
      <c r="F128">
        <v>43.473545214901499</v>
      </c>
      <c r="G128" s="1">
        <v>44610</v>
      </c>
      <c r="H128" s="1">
        <v>44616</v>
      </c>
      <c r="I128">
        <v>304.31481650431101</v>
      </c>
      <c r="J128">
        <f t="shared" si="1"/>
        <v>6</v>
      </c>
    </row>
    <row r="129" spans="1:10" x14ac:dyDescent="0.25">
      <c r="A129" t="s">
        <v>309</v>
      </c>
      <c r="B129" t="s">
        <v>140</v>
      </c>
      <c r="C129" t="s">
        <v>310</v>
      </c>
      <c r="D129" s="1">
        <v>44477</v>
      </c>
      <c r="E129">
        <v>9</v>
      </c>
      <c r="F129">
        <v>10.554327408904101</v>
      </c>
      <c r="G129" s="1">
        <v>44492</v>
      </c>
      <c r="H129" s="1">
        <v>44497</v>
      </c>
      <c r="I129">
        <v>94.988946680137502</v>
      </c>
      <c r="J129">
        <f t="shared" si="1"/>
        <v>5</v>
      </c>
    </row>
    <row r="130" spans="1:10" x14ac:dyDescent="0.25">
      <c r="A130" t="s">
        <v>311</v>
      </c>
      <c r="B130" t="s">
        <v>261</v>
      </c>
      <c r="C130" t="s">
        <v>312</v>
      </c>
      <c r="D130" s="1">
        <v>45385</v>
      </c>
      <c r="E130">
        <v>11</v>
      </c>
      <c r="F130">
        <v>48.124027527779603</v>
      </c>
      <c r="G130" s="1">
        <v>45405</v>
      </c>
      <c r="H130" s="1">
        <v>45402</v>
      </c>
      <c r="I130">
        <v>529.36430280557602</v>
      </c>
      <c r="J130">
        <f t="shared" si="1"/>
        <v>-3</v>
      </c>
    </row>
    <row r="131" spans="1:10" x14ac:dyDescent="0.25">
      <c r="A131" t="s">
        <v>313</v>
      </c>
      <c r="B131" t="s">
        <v>314</v>
      </c>
      <c r="C131" t="s">
        <v>281</v>
      </c>
      <c r="D131" s="1">
        <v>45289</v>
      </c>
      <c r="E131">
        <v>8</v>
      </c>
      <c r="F131">
        <v>46.078050505753602</v>
      </c>
      <c r="G131" s="1">
        <v>45299</v>
      </c>
      <c r="H131" s="1">
        <v>45299</v>
      </c>
      <c r="I131">
        <v>368.62440404602899</v>
      </c>
      <c r="J131">
        <f t="shared" ref="J131:J194" si="2">H131-G131</f>
        <v>0</v>
      </c>
    </row>
    <row r="132" spans="1:10" x14ac:dyDescent="0.25">
      <c r="A132" t="s">
        <v>315</v>
      </c>
      <c r="B132" t="s">
        <v>88</v>
      </c>
      <c r="C132" t="s">
        <v>131</v>
      </c>
      <c r="D132" s="1">
        <v>45005</v>
      </c>
      <c r="E132">
        <v>11</v>
      </c>
      <c r="F132">
        <v>59.780950518175601</v>
      </c>
      <c r="G132" s="1">
        <v>45019</v>
      </c>
      <c r="H132" s="1">
        <v>45018</v>
      </c>
      <c r="I132">
        <v>657.59045569993202</v>
      </c>
      <c r="J132">
        <f t="shared" si="2"/>
        <v>-1</v>
      </c>
    </row>
    <row r="133" spans="1:10" x14ac:dyDescent="0.25">
      <c r="A133" t="s">
        <v>316</v>
      </c>
      <c r="B133" t="s">
        <v>37</v>
      </c>
      <c r="C133" t="s">
        <v>317</v>
      </c>
      <c r="D133" s="1">
        <v>45186</v>
      </c>
      <c r="E133">
        <v>15</v>
      </c>
      <c r="F133">
        <v>36.457850238253599</v>
      </c>
      <c r="G133" s="1">
        <v>45207</v>
      </c>
      <c r="H133" s="1">
        <v>45211</v>
      </c>
      <c r="I133">
        <v>546.86775357380395</v>
      </c>
      <c r="J133">
        <f t="shared" si="2"/>
        <v>4</v>
      </c>
    </row>
    <row r="134" spans="1:10" x14ac:dyDescent="0.25">
      <c r="A134" t="s">
        <v>318</v>
      </c>
      <c r="B134" t="s">
        <v>46</v>
      </c>
      <c r="C134" t="s">
        <v>133</v>
      </c>
      <c r="D134" s="1">
        <v>45186</v>
      </c>
      <c r="E134">
        <v>11</v>
      </c>
      <c r="F134">
        <v>42.275857428671998</v>
      </c>
      <c r="G134" s="1">
        <v>45204</v>
      </c>
      <c r="H134" s="1">
        <v>45201</v>
      </c>
      <c r="I134">
        <v>465.03443171539197</v>
      </c>
      <c r="J134">
        <f t="shared" si="2"/>
        <v>-3</v>
      </c>
    </row>
    <row r="135" spans="1:10" x14ac:dyDescent="0.25">
      <c r="A135" t="s">
        <v>319</v>
      </c>
      <c r="B135" t="s">
        <v>28</v>
      </c>
      <c r="C135" t="s">
        <v>259</v>
      </c>
      <c r="D135" s="1">
        <v>44740</v>
      </c>
      <c r="E135">
        <v>12</v>
      </c>
      <c r="F135">
        <v>27.850782436200799</v>
      </c>
      <c r="G135" s="1">
        <v>44762</v>
      </c>
      <c r="H135" s="1">
        <v>44766</v>
      </c>
      <c r="I135">
        <v>334.20938923441003</v>
      </c>
      <c r="J135">
        <f t="shared" si="2"/>
        <v>4</v>
      </c>
    </row>
    <row r="136" spans="1:10" x14ac:dyDescent="0.25">
      <c r="A136" t="s">
        <v>320</v>
      </c>
      <c r="B136" t="s">
        <v>321</v>
      </c>
      <c r="C136" t="s">
        <v>133</v>
      </c>
      <c r="D136" s="1">
        <v>45324</v>
      </c>
      <c r="E136">
        <v>10</v>
      </c>
      <c r="F136">
        <v>25.292413786323898</v>
      </c>
      <c r="G136" s="1">
        <v>45340</v>
      </c>
      <c r="H136" s="1">
        <v>45341</v>
      </c>
      <c r="I136">
        <v>252.924137863239</v>
      </c>
      <c r="J136">
        <f t="shared" si="2"/>
        <v>1</v>
      </c>
    </row>
    <row r="137" spans="1:10" x14ac:dyDescent="0.25">
      <c r="A137" t="s">
        <v>322</v>
      </c>
      <c r="B137" t="s">
        <v>119</v>
      </c>
      <c r="C137" t="s">
        <v>238</v>
      </c>
      <c r="D137" s="1">
        <v>45070</v>
      </c>
      <c r="E137">
        <v>12</v>
      </c>
      <c r="F137">
        <v>12.512330918187301</v>
      </c>
      <c r="G137" s="1">
        <v>45087</v>
      </c>
      <c r="H137" s="1">
        <v>45088</v>
      </c>
      <c r="I137">
        <v>150.14797101824701</v>
      </c>
      <c r="J137">
        <f t="shared" si="2"/>
        <v>1</v>
      </c>
    </row>
    <row r="138" spans="1:10" x14ac:dyDescent="0.25">
      <c r="A138" t="s">
        <v>323</v>
      </c>
      <c r="B138" t="s">
        <v>324</v>
      </c>
      <c r="C138" t="s">
        <v>105</v>
      </c>
      <c r="D138" s="1">
        <v>44494</v>
      </c>
      <c r="E138">
        <v>13</v>
      </c>
      <c r="F138">
        <v>53.888898767440899</v>
      </c>
      <c r="G138" s="1">
        <v>44516</v>
      </c>
      <c r="H138" s="1">
        <v>44515</v>
      </c>
      <c r="I138">
        <v>700.55568397673198</v>
      </c>
      <c r="J138">
        <f t="shared" si="2"/>
        <v>-1</v>
      </c>
    </row>
    <row r="139" spans="1:10" x14ac:dyDescent="0.25">
      <c r="A139" t="s">
        <v>325</v>
      </c>
      <c r="B139" t="s">
        <v>326</v>
      </c>
      <c r="C139" t="s">
        <v>117</v>
      </c>
      <c r="D139" s="1">
        <v>44590</v>
      </c>
      <c r="E139">
        <v>12</v>
      </c>
      <c r="F139">
        <v>6.7827651956306303</v>
      </c>
      <c r="G139" s="1">
        <v>44602</v>
      </c>
      <c r="H139" s="1">
        <v>44599</v>
      </c>
      <c r="I139">
        <v>81.393182347567603</v>
      </c>
      <c r="J139">
        <f t="shared" si="2"/>
        <v>-3</v>
      </c>
    </row>
    <row r="140" spans="1:10" x14ac:dyDescent="0.25">
      <c r="A140" t="s">
        <v>327</v>
      </c>
      <c r="B140" t="s">
        <v>109</v>
      </c>
      <c r="C140" t="s">
        <v>328</v>
      </c>
      <c r="D140" s="1">
        <v>44608</v>
      </c>
      <c r="E140">
        <v>14</v>
      </c>
      <c r="F140">
        <v>50.651614456048002</v>
      </c>
      <c r="G140" s="1">
        <v>44632</v>
      </c>
      <c r="H140" s="1">
        <v>44638</v>
      </c>
      <c r="I140">
        <v>709.12260238467195</v>
      </c>
      <c r="J140">
        <f t="shared" si="2"/>
        <v>6</v>
      </c>
    </row>
    <row r="141" spans="1:10" x14ac:dyDescent="0.25">
      <c r="A141" t="s">
        <v>329</v>
      </c>
      <c r="B141" t="s">
        <v>70</v>
      </c>
      <c r="C141" t="s">
        <v>44</v>
      </c>
      <c r="D141" s="1">
        <v>44627</v>
      </c>
      <c r="E141">
        <v>11</v>
      </c>
      <c r="F141">
        <v>11.402181504704499</v>
      </c>
      <c r="G141" s="1">
        <v>44647</v>
      </c>
      <c r="H141" s="1">
        <v>44652</v>
      </c>
      <c r="I141">
        <v>125.423996551749</v>
      </c>
      <c r="J141">
        <f t="shared" si="2"/>
        <v>5</v>
      </c>
    </row>
    <row r="142" spans="1:10" x14ac:dyDescent="0.25">
      <c r="A142" t="s">
        <v>330</v>
      </c>
      <c r="B142" t="s">
        <v>31</v>
      </c>
      <c r="C142" t="s">
        <v>331</v>
      </c>
      <c r="D142" s="1">
        <v>45211</v>
      </c>
      <c r="E142">
        <v>10</v>
      </c>
      <c r="F142">
        <v>4.0331991677761998</v>
      </c>
      <c r="G142" s="1">
        <v>45224</v>
      </c>
      <c r="H142" s="1">
        <v>45224</v>
      </c>
      <c r="I142">
        <v>40.331991677761998</v>
      </c>
      <c r="J142">
        <f t="shared" si="2"/>
        <v>0</v>
      </c>
    </row>
    <row r="143" spans="1:10" x14ac:dyDescent="0.25">
      <c r="A143" t="s">
        <v>332</v>
      </c>
      <c r="B143" t="s">
        <v>293</v>
      </c>
      <c r="C143" t="s">
        <v>20</v>
      </c>
      <c r="D143" s="1">
        <v>44271</v>
      </c>
      <c r="E143">
        <v>10</v>
      </c>
      <c r="F143">
        <v>42.076542859214698</v>
      </c>
      <c r="G143" s="1">
        <v>44295</v>
      </c>
      <c r="H143" s="1">
        <v>44292</v>
      </c>
      <c r="I143">
        <v>420.76542859214698</v>
      </c>
      <c r="J143">
        <f t="shared" si="2"/>
        <v>-3</v>
      </c>
    </row>
    <row r="144" spans="1:10" x14ac:dyDescent="0.25">
      <c r="A144" t="s">
        <v>333</v>
      </c>
      <c r="B144" t="s">
        <v>52</v>
      </c>
      <c r="C144" t="s">
        <v>334</v>
      </c>
      <c r="D144" s="1">
        <v>44233</v>
      </c>
      <c r="E144">
        <v>14</v>
      </c>
      <c r="F144">
        <v>26.857518562174</v>
      </c>
      <c r="G144" s="1">
        <v>44251</v>
      </c>
      <c r="H144" s="1">
        <v>44253</v>
      </c>
      <c r="I144">
        <v>376.00525987043602</v>
      </c>
      <c r="J144">
        <f t="shared" si="2"/>
        <v>2</v>
      </c>
    </row>
    <row r="145" spans="1:10" x14ac:dyDescent="0.25">
      <c r="A145" t="s">
        <v>335</v>
      </c>
      <c r="B145" t="s">
        <v>189</v>
      </c>
      <c r="C145" t="s">
        <v>336</v>
      </c>
      <c r="D145" s="1">
        <v>45363</v>
      </c>
      <c r="E145">
        <v>8</v>
      </c>
      <c r="F145">
        <v>25.344073491689699</v>
      </c>
      <c r="G145" s="1">
        <v>45379</v>
      </c>
      <c r="H145" s="1">
        <v>45379</v>
      </c>
      <c r="I145">
        <v>202.75258793351699</v>
      </c>
      <c r="J145">
        <f t="shared" si="2"/>
        <v>0</v>
      </c>
    </row>
    <row r="146" spans="1:10" x14ac:dyDescent="0.25">
      <c r="A146" t="s">
        <v>337</v>
      </c>
      <c r="B146" t="s">
        <v>176</v>
      </c>
      <c r="C146" t="s">
        <v>338</v>
      </c>
      <c r="D146" s="1">
        <v>44975</v>
      </c>
      <c r="E146">
        <v>9</v>
      </c>
      <c r="F146">
        <v>24.570572844703499</v>
      </c>
      <c r="G146" s="1">
        <v>44985</v>
      </c>
      <c r="H146" s="1">
        <v>44987</v>
      </c>
      <c r="I146">
        <v>221.135155602331</v>
      </c>
      <c r="J146">
        <f t="shared" si="2"/>
        <v>2</v>
      </c>
    </row>
    <row r="147" spans="1:10" x14ac:dyDescent="0.25">
      <c r="A147" t="s">
        <v>339</v>
      </c>
      <c r="B147" t="s">
        <v>340</v>
      </c>
      <c r="C147" t="s">
        <v>341</v>
      </c>
      <c r="D147" s="1">
        <v>45211</v>
      </c>
      <c r="E147">
        <v>8</v>
      </c>
      <c r="F147">
        <v>39.978393041893597</v>
      </c>
      <c r="G147" s="1">
        <v>45231</v>
      </c>
      <c r="H147" s="1">
        <v>45233</v>
      </c>
      <c r="I147">
        <v>319.82714433514798</v>
      </c>
      <c r="J147">
        <f t="shared" si="2"/>
        <v>2</v>
      </c>
    </row>
    <row r="148" spans="1:10" x14ac:dyDescent="0.25">
      <c r="A148" t="s">
        <v>342</v>
      </c>
      <c r="B148" t="s">
        <v>321</v>
      </c>
      <c r="C148" t="s">
        <v>26</v>
      </c>
      <c r="D148" s="1">
        <v>44633</v>
      </c>
      <c r="E148">
        <v>8</v>
      </c>
      <c r="F148">
        <v>21.251036846425901</v>
      </c>
      <c r="G148" s="1">
        <v>44645</v>
      </c>
      <c r="H148" s="1">
        <v>44650</v>
      </c>
      <c r="I148">
        <v>170.00829477140701</v>
      </c>
      <c r="J148">
        <f t="shared" si="2"/>
        <v>5</v>
      </c>
    </row>
    <row r="149" spans="1:10" x14ac:dyDescent="0.25">
      <c r="A149" t="s">
        <v>343</v>
      </c>
      <c r="B149" t="s">
        <v>61</v>
      </c>
      <c r="C149" t="s">
        <v>344</v>
      </c>
      <c r="D149" s="1">
        <v>44943</v>
      </c>
      <c r="E149">
        <v>13</v>
      </c>
      <c r="F149">
        <v>79.068555524821306</v>
      </c>
      <c r="G149" s="1">
        <v>44953</v>
      </c>
      <c r="H149" s="1">
        <v>44955</v>
      </c>
      <c r="I149">
        <v>1027.8912218226701</v>
      </c>
      <c r="J149">
        <f t="shared" si="2"/>
        <v>2</v>
      </c>
    </row>
    <row r="150" spans="1:10" x14ac:dyDescent="0.25">
      <c r="A150" t="s">
        <v>345</v>
      </c>
      <c r="B150" t="s">
        <v>227</v>
      </c>
      <c r="C150" t="s">
        <v>346</v>
      </c>
      <c r="D150" s="1">
        <v>44937</v>
      </c>
      <c r="E150">
        <v>14</v>
      </c>
      <c r="F150">
        <v>59.902305245070899</v>
      </c>
      <c r="G150" s="1">
        <v>44952</v>
      </c>
      <c r="H150" s="1">
        <v>44958</v>
      </c>
      <c r="I150">
        <v>838.632273430993</v>
      </c>
      <c r="J150">
        <f t="shared" si="2"/>
        <v>6</v>
      </c>
    </row>
    <row r="151" spans="1:10" x14ac:dyDescent="0.25">
      <c r="A151" t="s">
        <v>347</v>
      </c>
      <c r="B151" t="s">
        <v>321</v>
      </c>
      <c r="C151" t="s">
        <v>180</v>
      </c>
      <c r="D151" s="1">
        <v>44382</v>
      </c>
      <c r="E151">
        <v>13</v>
      </c>
      <c r="F151">
        <v>54.397913471026001</v>
      </c>
      <c r="G151" s="1">
        <v>44400</v>
      </c>
      <c r="H151" s="1">
        <v>44398</v>
      </c>
      <c r="I151">
        <v>707.17287512333803</v>
      </c>
      <c r="J151">
        <f t="shared" si="2"/>
        <v>-2</v>
      </c>
    </row>
    <row r="152" spans="1:10" x14ac:dyDescent="0.25">
      <c r="A152" t="s">
        <v>348</v>
      </c>
      <c r="B152" t="s">
        <v>216</v>
      </c>
      <c r="C152" t="s">
        <v>336</v>
      </c>
      <c r="D152" s="1">
        <v>45330</v>
      </c>
      <c r="E152">
        <v>12</v>
      </c>
      <c r="F152">
        <v>28.456517276557399</v>
      </c>
      <c r="G152" s="1">
        <v>45343</v>
      </c>
      <c r="H152" s="1">
        <v>45343</v>
      </c>
      <c r="I152">
        <v>341.47820731868899</v>
      </c>
      <c r="J152">
        <f t="shared" si="2"/>
        <v>0</v>
      </c>
    </row>
    <row r="153" spans="1:10" x14ac:dyDescent="0.25">
      <c r="A153" t="s">
        <v>349</v>
      </c>
      <c r="B153" t="s">
        <v>350</v>
      </c>
      <c r="C153" t="s">
        <v>158</v>
      </c>
      <c r="D153" s="1">
        <v>44719</v>
      </c>
      <c r="E153">
        <v>8</v>
      </c>
      <c r="F153">
        <v>75.086877382308899</v>
      </c>
      <c r="G153" s="1">
        <v>44735</v>
      </c>
      <c r="H153" s="1">
        <v>44737</v>
      </c>
      <c r="I153">
        <v>600.69501905847096</v>
      </c>
      <c r="J153">
        <f t="shared" si="2"/>
        <v>2</v>
      </c>
    </row>
    <row r="154" spans="1:10" x14ac:dyDescent="0.25">
      <c r="A154" t="s">
        <v>351</v>
      </c>
      <c r="B154" t="s">
        <v>321</v>
      </c>
      <c r="C154" t="s">
        <v>274</v>
      </c>
      <c r="D154" s="1">
        <v>44432</v>
      </c>
      <c r="E154">
        <v>12</v>
      </c>
      <c r="F154">
        <v>71.215900409226904</v>
      </c>
      <c r="G154" s="1">
        <v>44447</v>
      </c>
      <c r="H154" s="1">
        <v>44451</v>
      </c>
      <c r="I154">
        <v>854.59080491072302</v>
      </c>
      <c r="J154">
        <f t="shared" si="2"/>
        <v>4</v>
      </c>
    </row>
    <row r="155" spans="1:10" x14ac:dyDescent="0.25">
      <c r="A155" t="s">
        <v>352</v>
      </c>
      <c r="B155" t="s">
        <v>25</v>
      </c>
      <c r="C155" t="s">
        <v>353</v>
      </c>
      <c r="D155" s="1">
        <v>45366</v>
      </c>
      <c r="E155">
        <v>6</v>
      </c>
      <c r="F155">
        <v>31.6864013368969</v>
      </c>
      <c r="G155" s="1">
        <v>45389</v>
      </c>
      <c r="H155" s="1">
        <v>45391</v>
      </c>
      <c r="I155">
        <v>190.11840802138099</v>
      </c>
      <c r="J155">
        <f t="shared" si="2"/>
        <v>2</v>
      </c>
    </row>
    <row r="156" spans="1:10" x14ac:dyDescent="0.25">
      <c r="A156" t="s">
        <v>354</v>
      </c>
      <c r="B156" t="s">
        <v>154</v>
      </c>
      <c r="C156" t="s">
        <v>182</v>
      </c>
      <c r="D156" s="1">
        <v>44224</v>
      </c>
      <c r="E156">
        <v>9</v>
      </c>
      <c r="F156">
        <v>5.4271613118450404</v>
      </c>
      <c r="G156" s="1">
        <v>44234</v>
      </c>
      <c r="H156" s="1">
        <v>44234</v>
      </c>
      <c r="I156">
        <v>48.844451806605399</v>
      </c>
      <c r="J156">
        <f t="shared" si="2"/>
        <v>0</v>
      </c>
    </row>
    <row r="157" spans="1:10" x14ac:dyDescent="0.25">
      <c r="A157" t="s">
        <v>355</v>
      </c>
      <c r="B157" t="s">
        <v>350</v>
      </c>
      <c r="C157" t="s">
        <v>356</v>
      </c>
      <c r="D157" s="1">
        <v>45169</v>
      </c>
      <c r="E157">
        <v>9</v>
      </c>
      <c r="F157">
        <v>47.215328809881598</v>
      </c>
      <c r="G157" s="1">
        <v>45191</v>
      </c>
      <c r="H157" s="1">
        <v>45197</v>
      </c>
      <c r="I157">
        <v>424.937959288934</v>
      </c>
      <c r="J157">
        <f t="shared" si="2"/>
        <v>6</v>
      </c>
    </row>
    <row r="158" spans="1:10" x14ac:dyDescent="0.25">
      <c r="A158" t="s">
        <v>357</v>
      </c>
      <c r="B158" t="s">
        <v>67</v>
      </c>
      <c r="C158" t="s">
        <v>228</v>
      </c>
      <c r="D158" s="1">
        <v>45365</v>
      </c>
      <c r="E158">
        <v>14</v>
      </c>
      <c r="F158">
        <v>30.043404107047401</v>
      </c>
      <c r="G158" s="1">
        <v>45377</v>
      </c>
      <c r="H158" s="1">
        <v>45377</v>
      </c>
      <c r="I158">
        <v>420.60765749866403</v>
      </c>
      <c r="J158">
        <f t="shared" si="2"/>
        <v>0</v>
      </c>
    </row>
    <row r="159" spans="1:10" x14ac:dyDescent="0.25">
      <c r="A159" t="s">
        <v>358</v>
      </c>
      <c r="B159" t="s">
        <v>359</v>
      </c>
      <c r="C159" t="s">
        <v>80</v>
      </c>
      <c r="D159" s="1">
        <v>44222</v>
      </c>
      <c r="E159">
        <v>11</v>
      </c>
      <c r="F159">
        <v>52.861279343795601</v>
      </c>
      <c r="G159" s="1">
        <v>44234</v>
      </c>
      <c r="H159" s="1">
        <v>44234</v>
      </c>
      <c r="I159">
        <v>581.47407278175103</v>
      </c>
      <c r="J159">
        <f t="shared" si="2"/>
        <v>0</v>
      </c>
    </row>
    <row r="160" spans="1:10" x14ac:dyDescent="0.25">
      <c r="A160" t="s">
        <v>360</v>
      </c>
      <c r="B160" t="s">
        <v>64</v>
      </c>
      <c r="C160" t="s">
        <v>361</v>
      </c>
      <c r="D160" s="1">
        <v>45312</v>
      </c>
      <c r="E160">
        <v>10</v>
      </c>
      <c r="F160">
        <v>57.724041010399603</v>
      </c>
      <c r="G160" s="1">
        <v>45333</v>
      </c>
      <c r="H160" s="1">
        <v>45337</v>
      </c>
      <c r="I160">
        <v>577.24041010399606</v>
      </c>
      <c r="J160">
        <f t="shared" si="2"/>
        <v>4</v>
      </c>
    </row>
    <row r="161" spans="1:10" x14ac:dyDescent="0.25">
      <c r="A161" t="s">
        <v>362</v>
      </c>
      <c r="B161" t="s">
        <v>76</v>
      </c>
      <c r="C161" t="s">
        <v>363</v>
      </c>
      <c r="D161" s="1">
        <v>45320</v>
      </c>
      <c r="E161">
        <v>17</v>
      </c>
      <c r="F161">
        <v>76.788977503347496</v>
      </c>
      <c r="G161" s="1">
        <v>45333</v>
      </c>
      <c r="H161" s="1">
        <v>45331</v>
      </c>
      <c r="I161">
        <v>1305.4126175568999</v>
      </c>
      <c r="J161">
        <f t="shared" si="2"/>
        <v>-2</v>
      </c>
    </row>
    <row r="162" spans="1:10" x14ac:dyDescent="0.25">
      <c r="A162" t="s">
        <v>364</v>
      </c>
      <c r="B162" t="s">
        <v>119</v>
      </c>
      <c r="C162" t="s">
        <v>346</v>
      </c>
      <c r="D162" s="1">
        <v>44930</v>
      </c>
      <c r="E162">
        <v>14</v>
      </c>
      <c r="F162">
        <v>53.134238372277302</v>
      </c>
      <c r="G162" s="1">
        <v>44954</v>
      </c>
      <c r="H162" s="1">
        <v>44956</v>
      </c>
      <c r="I162">
        <v>743.87933721188301</v>
      </c>
      <c r="J162">
        <f t="shared" si="2"/>
        <v>2</v>
      </c>
    </row>
    <row r="163" spans="1:10" x14ac:dyDescent="0.25">
      <c r="A163" t="s">
        <v>365</v>
      </c>
      <c r="B163" t="s">
        <v>31</v>
      </c>
      <c r="C163" t="s">
        <v>112</v>
      </c>
      <c r="D163" s="1">
        <v>44573</v>
      </c>
      <c r="E163">
        <v>15</v>
      </c>
      <c r="F163">
        <v>6.50861244971518</v>
      </c>
      <c r="G163" s="1">
        <v>44589</v>
      </c>
      <c r="H163" s="1">
        <v>44590</v>
      </c>
      <c r="I163">
        <v>97.629186745727694</v>
      </c>
      <c r="J163">
        <f t="shared" si="2"/>
        <v>1</v>
      </c>
    </row>
    <row r="164" spans="1:10" x14ac:dyDescent="0.25">
      <c r="A164" t="s">
        <v>366</v>
      </c>
      <c r="B164" t="s">
        <v>43</v>
      </c>
      <c r="C164" t="s">
        <v>141</v>
      </c>
      <c r="D164" s="1">
        <v>44424</v>
      </c>
      <c r="E164">
        <v>7</v>
      </c>
      <c r="F164">
        <v>14.7381269177768</v>
      </c>
      <c r="G164" s="1">
        <v>44446</v>
      </c>
      <c r="H164" s="1">
        <v>44445</v>
      </c>
      <c r="I164">
        <v>103.166888424438</v>
      </c>
      <c r="J164">
        <f t="shared" si="2"/>
        <v>-1</v>
      </c>
    </row>
    <row r="165" spans="1:10" x14ac:dyDescent="0.25">
      <c r="A165" t="s">
        <v>367</v>
      </c>
      <c r="B165" t="s">
        <v>207</v>
      </c>
      <c r="C165" t="s">
        <v>228</v>
      </c>
      <c r="D165" s="1">
        <v>45301</v>
      </c>
      <c r="E165">
        <v>8</v>
      </c>
      <c r="F165">
        <v>48.4458753765295</v>
      </c>
      <c r="G165" s="1">
        <v>45323</v>
      </c>
      <c r="H165" s="1">
        <v>45324</v>
      </c>
      <c r="I165">
        <v>387.567003012236</v>
      </c>
      <c r="J165">
        <f t="shared" si="2"/>
        <v>1</v>
      </c>
    </row>
    <row r="166" spans="1:10" x14ac:dyDescent="0.25">
      <c r="A166" t="s">
        <v>368</v>
      </c>
      <c r="B166" t="s">
        <v>369</v>
      </c>
      <c r="C166" t="s">
        <v>370</v>
      </c>
      <c r="D166" s="1">
        <v>44634</v>
      </c>
      <c r="E166">
        <v>6</v>
      </c>
      <c r="F166">
        <v>34.675182619136002</v>
      </c>
      <c r="G166" s="1">
        <v>44648</v>
      </c>
      <c r="H166" s="1">
        <v>44647</v>
      </c>
      <c r="I166">
        <v>208.051095714816</v>
      </c>
      <c r="J166">
        <f t="shared" si="2"/>
        <v>-1</v>
      </c>
    </row>
    <row r="167" spans="1:10" x14ac:dyDescent="0.25">
      <c r="A167" t="s">
        <v>371</v>
      </c>
      <c r="B167" t="s">
        <v>253</v>
      </c>
      <c r="C167" t="s">
        <v>290</v>
      </c>
      <c r="D167" s="1">
        <v>44577</v>
      </c>
      <c r="E167">
        <v>17</v>
      </c>
      <c r="F167">
        <v>43.703642658516102</v>
      </c>
      <c r="G167" s="1">
        <v>44590</v>
      </c>
      <c r="H167" s="1">
        <v>44589</v>
      </c>
      <c r="I167">
        <v>742.96192519477495</v>
      </c>
      <c r="J167">
        <f t="shared" si="2"/>
        <v>-1</v>
      </c>
    </row>
    <row r="168" spans="1:10" x14ac:dyDescent="0.25">
      <c r="A168" t="s">
        <v>372</v>
      </c>
      <c r="B168" t="s">
        <v>205</v>
      </c>
      <c r="C168" t="s">
        <v>133</v>
      </c>
      <c r="D168" s="1">
        <v>44856</v>
      </c>
      <c r="E168">
        <v>13</v>
      </c>
      <c r="F168">
        <v>41.102281377725099</v>
      </c>
      <c r="G168" s="1">
        <v>44873</v>
      </c>
      <c r="H168" s="1">
        <v>44877</v>
      </c>
      <c r="I168">
        <v>534.32965791042704</v>
      </c>
      <c r="J168">
        <f t="shared" si="2"/>
        <v>4</v>
      </c>
    </row>
    <row r="169" spans="1:10" x14ac:dyDescent="0.25">
      <c r="A169" t="s">
        <v>373</v>
      </c>
      <c r="B169" t="s">
        <v>34</v>
      </c>
      <c r="C169" t="s">
        <v>155</v>
      </c>
      <c r="D169" s="1">
        <v>44867</v>
      </c>
      <c r="E169">
        <v>15</v>
      </c>
      <c r="F169">
        <v>50.536937532724302</v>
      </c>
      <c r="G169" s="1">
        <v>44883</v>
      </c>
      <c r="H169" s="1">
        <v>44887</v>
      </c>
      <c r="I169">
        <v>758.05406299086496</v>
      </c>
      <c r="J169">
        <f t="shared" si="2"/>
        <v>4</v>
      </c>
    </row>
    <row r="170" spans="1:10" x14ac:dyDescent="0.25">
      <c r="A170" t="s">
        <v>374</v>
      </c>
      <c r="B170" t="s">
        <v>55</v>
      </c>
      <c r="C170" t="s">
        <v>97</v>
      </c>
      <c r="D170" s="1">
        <v>44457</v>
      </c>
      <c r="E170">
        <v>11</v>
      </c>
      <c r="F170">
        <v>67.228871110197801</v>
      </c>
      <c r="G170" s="1">
        <v>44476</v>
      </c>
      <c r="H170" s="1">
        <v>44474</v>
      </c>
      <c r="I170">
        <v>739.51758221217494</v>
      </c>
      <c r="J170">
        <f t="shared" si="2"/>
        <v>-2</v>
      </c>
    </row>
    <row r="171" spans="1:10" x14ac:dyDescent="0.25">
      <c r="A171" t="s">
        <v>375</v>
      </c>
      <c r="B171" t="s">
        <v>31</v>
      </c>
      <c r="C171" t="s">
        <v>122</v>
      </c>
      <c r="D171" s="1">
        <v>45302</v>
      </c>
      <c r="E171">
        <v>11</v>
      </c>
      <c r="F171">
        <v>63.8143981191946</v>
      </c>
      <c r="G171" s="1">
        <v>45316</v>
      </c>
      <c r="H171" s="1">
        <v>45313</v>
      </c>
      <c r="I171">
        <v>701.95837931113999</v>
      </c>
      <c r="J171">
        <f t="shared" si="2"/>
        <v>-3</v>
      </c>
    </row>
    <row r="172" spans="1:10" x14ac:dyDescent="0.25">
      <c r="A172" t="s">
        <v>376</v>
      </c>
      <c r="B172" t="s">
        <v>130</v>
      </c>
      <c r="C172" t="s">
        <v>238</v>
      </c>
      <c r="D172" s="1">
        <v>44855</v>
      </c>
      <c r="E172">
        <v>13</v>
      </c>
      <c r="F172">
        <v>70.117298904078893</v>
      </c>
      <c r="G172" s="1">
        <v>44878</v>
      </c>
      <c r="H172" s="1">
        <v>44880</v>
      </c>
      <c r="I172">
        <v>911.52488575302505</v>
      </c>
      <c r="J172">
        <f t="shared" si="2"/>
        <v>2</v>
      </c>
    </row>
    <row r="173" spans="1:10" x14ac:dyDescent="0.25">
      <c r="A173" t="s">
        <v>377</v>
      </c>
      <c r="B173" t="s">
        <v>189</v>
      </c>
      <c r="C173" t="s">
        <v>23</v>
      </c>
      <c r="D173" s="1">
        <v>44450</v>
      </c>
      <c r="E173">
        <v>11</v>
      </c>
      <c r="F173">
        <v>48.819483468943602</v>
      </c>
      <c r="G173" s="1">
        <v>44460</v>
      </c>
      <c r="H173" s="1">
        <v>44466</v>
      </c>
      <c r="I173">
        <v>537.01431815837998</v>
      </c>
      <c r="J173">
        <f t="shared" si="2"/>
        <v>6</v>
      </c>
    </row>
    <row r="174" spans="1:10" x14ac:dyDescent="0.25">
      <c r="A174" t="s">
        <v>378</v>
      </c>
      <c r="B174" t="s">
        <v>379</v>
      </c>
      <c r="C174" t="s">
        <v>380</v>
      </c>
      <c r="D174" s="1">
        <v>45007</v>
      </c>
      <c r="E174">
        <v>16</v>
      </c>
      <c r="F174">
        <v>14.495859713456801</v>
      </c>
      <c r="G174" s="1">
        <v>45026</v>
      </c>
      <c r="H174" s="1">
        <v>45026</v>
      </c>
      <c r="I174">
        <v>231.93375541530801</v>
      </c>
      <c r="J174">
        <f t="shared" si="2"/>
        <v>0</v>
      </c>
    </row>
    <row r="175" spans="1:10" x14ac:dyDescent="0.25">
      <c r="A175" t="s">
        <v>381</v>
      </c>
      <c r="B175" t="s">
        <v>382</v>
      </c>
      <c r="C175" t="s">
        <v>383</v>
      </c>
      <c r="D175" s="1">
        <v>44897</v>
      </c>
      <c r="E175">
        <v>7</v>
      </c>
      <c r="F175">
        <v>27.077180287142699</v>
      </c>
      <c r="G175" s="1">
        <v>44913</v>
      </c>
      <c r="H175" s="1">
        <v>44912</v>
      </c>
      <c r="I175">
        <v>189.540262009999</v>
      </c>
      <c r="J175">
        <f t="shared" si="2"/>
        <v>-1</v>
      </c>
    </row>
    <row r="176" spans="1:10" x14ac:dyDescent="0.25">
      <c r="A176" t="s">
        <v>384</v>
      </c>
      <c r="B176" t="s">
        <v>34</v>
      </c>
      <c r="C176" t="s">
        <v>385</v>
      </c>
      <c r="D176" s="1">
        <v>44775</v>
      </c>
      <c r="E176">
        <v>7</v>
      </c>
      <c r="F176">
        <v>11.066622934667199</v>
      </c>
      <c r="G176" s="1">
        <v>44789</v>
      </c>
      <c r="H176" s="1">
        <v>44788</v>
      </c>
      <c r="I176">
        <v>77.466360542670699</v>
      </c>
      <c r="J176">
        <f t="shared" si="2"/>
        <v>-1</v>
      </c>
    </row>
    <row r="177" spans="1:10" x14ac:dyDescent="0.25">
      <c r="A177" t="s">
        <v>386</v>
      </c>
      <c r="B177" t="s">
        <v>70</v>
      </c>
      <c r="C177" t="s">
        <v>53</v>
      </c>
      <c r="D177" s="1">
        <v>44879</v>
      </c>
      <c r="E177">
        <v>9</v>
      </c>
      <c r="F177">
        <v>16.589292096598701</v>
      </c>
      <c r="G177" s="1">
        <v>44900</v>
      </c>
      <c r="H177" s="1">
        <v>44901</v>
      </c>
      <c r="I177">
        <v>149.303628869389</v>
      </c>
      <c r="J177">
        <f t="shared" si="2"/>
        <v>1</v>
      </c>
    </row>
    <row r="178" spans="1:10" x14ac:dyDescent="0.25">
      <c r="A178" t="s">
        <v>387</v>
      </c>
      <c r="B178" t="s">
        <v>109</v>
      </c>
      <c r="C178" t="s">
        <v>356</v>
      </c>
      <c r="D178" s="1">
        <v>44805</v>
      </c>
      <c r="E178">
        <v>9</v>
      </c>
      <c r="F178">
        <v>32.408639151119999</v>
      </c>
      <c r="G178" s="1">
        <v>44829</v>
      </c>
      <c r="H178" s="1">
        <v>44835</v>
      </c>
      <c r="I178">
        <v>291.67775236007998</v>
      </c>
      <c r="J178">
        <f t="shared" si="2"/>
        <v>6</v>
      </c>
    </row>
    <row r="179" spans="1:10" x14ac:dyDescent="0.25">
      <c r="A179" t="s">
        <v>388</v>
      </c>
      <c r="B179" t="s">
        <v>28</v>
      </c>
      <c r="C179" t="s">
        <v>144</v>
      </c>
      <c r="D179" s="1">
        <v>44798</v>
      </c>
      <c r="E179">
        <v>14</v>
      </c>
      <c r="F179">
        <v>3.7887073851331001</v>
      </c>
      <c r="G179" s="1">
        <v>44812</v>
      </c>
      <c r="H179" s="1">
        <v>44810</v>
      </c>
      <c r="I179">
        <v>53.041903391863499</v>
      </c>
      <c r="J179">
        <f t="shared" si="2"/>
        <v>-2</v>
      </c>
    </row>
    <row r="180" spans="1:10" x14ac:dyDescent="0.25">
      <c r="A180" t="s">
        <v>389</v>
      </c>
      <c r="B180" t="s">
        <v>169</v>
      </c>
      <c r="C180" t="s">
        <v>125</v>
      </c>
      <c r="D180" s="1">
        <v>44613</v>
      </c>
      <c r="E180">
        <v>10</v>
      </c>
      <c r="F180">
        <v>17.309328475460799</v>
      </c>
      <c r="G180" s="1">
        <v>44631</v>
      </c>
      <c r="H180" s="1">
        <v>44634</v>
      </c>
      <c r="I180">
        <v>173.09328475460899</v>
      </c>
      <c r="J180">
        <f t="shared" si="2"/>
        <v>3</v>
      </c>
    </row>
    <row r="181" spans="1:10" x14ac:dyDescent="0.25">
      <c r="A181" t="s">
        <v>390</v>
      </c>
      <c r="B181" t="s">
        <v>205</v>
      </c>
      <c r="C181" t="s">
        <v>391</v>
      </c>
      <c r="D181" s="1">
        <v>44617</v>
      </c>
      <c r="E181">
        <v>12</v>
      </c>
      <c r="F181">
        <v>33.026294012227197</v>
      </c>
      <c r="G181" s="1">
        <v>44628</v>
      </c>
      <c r="H181" s="1">
        <v>44632</v>
      </c>
      <c r="I181">
        <v>396.31552814672602</v>
      </c>
      <c r="J181">
        <f t="shared" si="2"/>
        <v>4</v>
      </c>
    </row>
    <row r="182" spans="1:10" x14ac:dyDescent="0.25">
      <c r="A182" t="s">
        <v>392</v>
      </c>
      <c r="B182" t="s">
        <v>96</v>
      </c>
      <c r="C182" t="s">
        <v>297</v>
      </c>
      <c r="D182" s="1">
        <v>44342</v>
      </c>
      <c r="E182">
        <v>14</v>
      </c>
      <c r="F182">
        <v>41.792235215139101</v>
      </c>
      <c r="G182" s="1">
        <v>44360</v>
      </c>
      <c r="H182" s="1">
        <v>44357</v>
      </c>
      <c r="I182">
        <v>585.09129301194798</v>
      </c>
      <c r="J182">
        <f t="shared" si="2"/>
        <v>-3</v>
      </c>
    </row>
    <row r="183" spans="1:10" x14ac:dyDescent="0.25">
      <c r="A183" t="s">
        <v>393</v>
      </c>
      <c r="B183" t="s">
        <v>394</v>
      </c>
      <c r="C183" t="s">
        <v>97</v>
      </c>
      <c r="D183" s="1">
        <v>44720</v>
      </c>
      <c r="E183">
        <v>10</v>
      </c>
      <c r="F183">
        <v>52.826505972564</v>
      </c>
      <c r="G183" s="1">
        <v>44742</v>
      </c>
      <c r="H183" s="1">
        <v>44744</v>
      </c>
      <c r="I183">
        <v>528.26505972563996</v>
      </c>
      <c r="J183">
        <f t="shared" si="2"/>
        <v>2</v>
      </c>
    </row>
    <row r="184" spans="1:10" x14ac:dyDescent="0.25">
      <c r="A184" t="s">
        <v>395</v>
      </c>
      <c r="B184" t="s">
        <v>179</v>
      </c>
      <c r="C184" t="s">
        <v>396</v>
      </c>
      <c r="D184" s="1">
        <v>45094</v>
      </c>
      <c r="E184">
        <v>16</v>
      </c>
      <c r="F184">
        <v>45.601261999225599</v>
      </c>
      <c r="G184" s="1">
        <v>45115</v>
      </c>
      <c r="H184" s="1">
        <v>45116</v>
      </c>
      <c r="I184">
        <v>729.62019198761004</v>
      </c>
      <c r="J184">
        <f t="shared" si="2"/>
        <v>1</v>
      </c>
    </row>
    <row r="185" spans="1:10" x14ac:dyDescent="0.25">
      <c r="A185" t="s">
        <v>397</v>
      </c>
      <c r="B185" t="s">
        <v>186</v>
      </c>
      <c r="C185" t="s">
        <v>20</v>
      </c>
      <c r="D185" s="1">
        <v>45189</v>
      </c>
      <c r="E185">
        <v>12</v>
      </c>
      <c r="F185">
        <v>77.289739205282302</v>
      </c>
      <c r="G185" s="1">
        <v>45202</v>
      </c>
      <c r="H185" s="1">
        <v>45206</v>
      </c>
      <c r="I185">
        <v>927.47687046338694</v>
      </c>
      <c r="J185">
        <f t="shared" si="2"/>
        <v>4</v>
      </c>
    </row>
    <row r="186" spans="1:10" x14ac:dyDescent="0.25">
      <c r="A186" t="s">
        <v>398</v>
      </c>
      <c r="B186" t="s">
        <v>399</v>
      </c>
      <c r="C186" t="s">
        <v>400</v>
      </c>
      <c r="D186" s="1">
        <v>44808</v>
      </c>
      <c r="E186">
        <v>9</v>
      </c>
      <c r="F186">
        <v>31.769971857536198</v>
      </c>
      <c r="G186" s="1">
        <v>44822</v>
      </c>
      <c r="H186" s="1">
        <v>44824</v>
      </c>
      <c r="I186">
        <v>285.92974671782503</v>
      </c>
      <c r="J186">
        <f t="shared" si="2"/>
        <v>2</v>
      </c>
    </row>
    <row r="187" spans="1:10" x14ac:dyDescent="0.25">
      <c r="A187" t="s">
        <v>401</v>
      </c>
      <c r="B187" t="s">
        <v>52</v>
      </c>
      <c r="C187" t="s">
        <v>402</v>
      </c>
      <c r="D187" s="1">
        <v>44928</v>
      </c>
      <c r="E187">
        <v>8</v>
      </c>
      <c r="F187">
        <v>65.874561942966196</v>
      </c>
      <c r="G187" s="1">
        <v>44947</v>
      </c>
      <c r="H187" s="1">
        <v>44946</v>
      </c>
      <c r="I187">
        <v>526.99649554373002</v>
      </c>
      <c r="J187">
        <f t="shared" si="2"/>
        <v>-1</v>
      </c>
    </row>
    <row r="188" spans="1:10" x14ac:dyDescent="0.25">
      <c r="A188" t="s">
        <v>403</v>
      </c>
      <c r="B188" t="s">
        <v>19</v>
      </c>
      <c r="C188" t="s">
        <v>112</v>
      </c>
      <c r="D188" s="1">
        <v>45343</v>
      </c>
      <c r="E188">
        <v>14</v>
      </c>
      <c r="F188">
        <v>29.971612972115899</v>
      </c>
      <c r="G188" s="1">
        <v>45365</v>
      </c>
      <c r="H188" s="1">
        <v>45362</v>
      </c>
      <c r="I188">
        <v>419.60258160962201</v>
      </c>
      <c r="J188">
        <f t="shared" si="2"/>
        <v>-3</v>
      </c>
    </row>
    <row r="189" spans="1:10" x14ac:dyDescent="0.25">
      <c r="A189" t="s">
        <v>404</v>
      </c>
      <c r="B189" t="s">
        <v>219</v>
      </c>
      <c r="C189" t="s">
        <v>254</v>
      </c>
      <c r="D189" s="1">
        <v>44366</v>
      </c>
      <c r="E189">
        <v>8</v>
      </c>
      <c r="F189">
        <v>38.070077385744497</v>
      </c>
      <c r="G189" s="1">
        <v>44382</v>
      </c>
      <c r="H189" s="1">
        <v>44381</v>
      </c>
      <c r="I189">
        <v>304.56061908595598</v>
      </c>
      <c r="J189">
        <f t="shared" si="2"/>
        <v>-1</v>
      </c>
    </row>
    <row r="190" spans="1:10" x14ac:dyDescent="0.25">
      <c r="A190" t="s">
        <v>405</v>
      </c>
      <c r="B190" t="s">
        <v>205</v>
      </c>
      <c r="C190" t="s">
        <v>187</v>
      </c>
      <c r="D190" s="1">
        <v>44418</v>
      </c>
      <c r="E190">
        <v>15</v>
      </c>
      <c r="F190">
        <v>39.390142597548703</v>
      </c>
      <c r="G190" s="1">
        <v>44437</v>
      </c>
      <c r="H190" s="1">
        <v>44436</v>
      </c>
      <c r="I190">
        <v>590.85213896323103</v>
      </c>
      <c r="J190">
        <f t="shared" si="2"/>
        <v>-1</v>
      </c>
    </row>
    <row r="191" spans="1:10" x14ac:dyDescent="0.25">
      <c r="A191" t="s">
        <v>406</v>
      </c>
      <c r="B191" t="s">
        <v>324</v>
      </c>
      <c r="C191" t="s">
        <v>65</v>
      </c>
      <c r="D191" s="1">
        <v>44218</v>
      </c>
      <c r="E191">
        <v>14</v>
      </c>
      <c r="F191">
        <v>50.315470850313702</v>
      </c>
      <c r="G191" s="1">
        <v>44236</v>
      </c>
      <c r="H191" s="1">
        <v>44233</v>
      </c>
      <c r="I191">
        <v>704.41659190439202</v>
      </c>
      <c r="J191">
        <f t="shared" si="2"/>
        <v>-3</v>
      </c>
    </row>
    <row r="192" spans="1:10" x14ac:dyDescent="0.25">
      <c r="A192" t="s">
        <v>407</v>
      </c>
      <c r="B192" t="s">
        <v>10</v>
      </c>
      <c r="C192" t="s">
        <v>408</v>
      </c>
      <c r="D192" s="1">
        <v>44789</v>
      </c>
      <c r="E192">
        <v>16</v>
      </c>
      <c r="F192">
        <v>77.195450147392506</v>
      </c>
      <c r="G192" s="1">
        <v>44801</v>
      </c>
      <c r="H192" s="1">
        <v>44801</v>
      </c>
      <c r="I192">
        <v>1235.1272023582801</v>
      </c>
      <c r="J192">
        <f t="shared" si="2"/>
        <v>0</v>
      </c>
    </row>
    <row r="193" spans="1:10" x14ac:dyDescent="0.25">
      <c r="A193" t="s">
        <v>409</v>
      </c>
      <c r="B193" t="s">
        <v>28</v>
      </c>
      <c r="C193" t="s">
        <v>62</v>
      </c>
      <c r="D193" s="1">
        <v>44771</v>
      </c>
      <c r="E193">
        <v>12</v>
      </c>
      <c r="F193">
        <v>14.7382098616036</v>
      </c>
      <c r="G193" s="1">
        <v>44789</v>
      </c>
      <c r="H193" s="1">
        <v>44786</v>
      </c>
      <c r="I193">
        <v>176.85851833924301</v>
      </c>
      <c r="J193">
        <f t="shared" si="2"/>
        <v>-3</v>
      </c>
    </row>
    <row r="194" spans="1:10" x14ac:dyDescent="0.25">
      <c r="A194" t="s">
        <v>410</v>
      </c>
      <c r="B194" t="s">
        <v>411</v>
      </c>
      <c r="C194" t="s">
        <v>259</v>
      </c>
      <c r="D194" s="1">
        <v>44476</v>
      </c>
      <c r="E194">
        <v>12</v>
      </c>
      <c r="F194">
        <v>78.085507760598603</v>
      </c>
      <c r="G194" s="1">
        <v>44499</v>
      </c>
      <c r="H194" s="1">
        <v>44504</v>
      </c>
      <c r="I194">
        <v>937.026093127183</v>
      </c>
      <c r="J194">
        <f t="shared" si="2"/>
        <v>5</v>
      </c>
    </row>
    <row r="195" spans="1:10" x14ac:dyDescent="0.25">
      <c r="A195" t="s">
        <v>412</v>
      </c>
      <c r="B195" t="s">
        <v>88</v>
      </c>
      <c r="C195" t="s">
        <v>413</v>
      </c>
      <c r="D195" s="1">
        <v>44633</v>
      </c>
      <c r="E195">
        <v>16</v>
      </c>
      <c r="F195">
        <v>12.585993675620101</v>
      </c>
      <c r="G195" s="1">
        <v>44650</v>
      </c>
      <c r="H195" s="1">
        <v>44653</v>
      </c>
      <c r="I195">
        <v>201.37589880992201</v>
      </c>
      <c r="J195">
        <f t="shared" ref="J195:J258" si="3">H195-G195</f>
        <v>3</v>
      </c>
    </row>
    <row r="196" spans="1:10" x14ac:dyDescent="0.25">
      <c r="A196" t="s">
        <v>414</v>
      </c>
      <c r="B196" t="s">
        <v>130</v>
      </c>
      <c r="C196" t="s">
        <v>415</v>
      </c>
      <c r="D196" s="1">
        <v>45021</v>
      </c>
      <c r="E196">
        <v>14</v>
      </c>
      <c r="F196">
        <v>18.802838040088599</v>
      </c>
      <c r="G196" s="1">
        <v>45037</v>
      </c>
      <c r="H196" s="1">
        <v>45043</v>
      </c>
      <c r="I196">
        <v>263.239732561241</v>
      </c>
      <c r="J196">
        <f t="shared" si="3"/>
        <v>6</v>
      </c>
    </row>
    <row r="197" spans="1:10" x14ac:dyDescent="0.25">
      <c r="A197" t="s">
        <v>416</v>
      </c>
      <c r="B197" t="s">
        <v>174</v>
      </c>
      <c r="C197" t="s">
        <v>26</v>
      </c>
      <c r="D197" s="1">
        <v>44948</v>
      </c>
      <c r="E197">
        <v>9</v>
      </c>
      <c r="F197">
        <v>66.149728384119797</v>
      </c>
      <c r="G197" s="1">
        <v>44971</v>
      </c>
      <c r="H197" s="1">
        <v>44973</v>
      </c>
      <c r="I197">
        <v>595.34755545707799</v>
      </c>
      <c r="J197">
        <f t="shared" si="3"/>
        <v>2</v>
      </c>
    </row>
    <row r="198" spans="1:10" x14ac:dyDescent="0.25">
      <c r="A198" t="s">
        <v>417</v>
      </c>
      <c r="B198" t="s">
        <v>28</v>
      </c>
      <c r="C198" t="s">
        <v>418</v>
      </c>
      <c r="D198" s="1">
        <v>45137</v>
      </c>
      <c r="E198">
        <v>8</v>
      </c>
      <c r="F198">
        <v>47.518660310161799</v>
      </c>
      <c r="G198" s="1">
        <v>45159</v>
      </c>
      <c r="H198" s="1">
        <v>45159</v>
      </c>
      <c r="I198">
        <v>380.14928248129399</v>
      </c>
      <c r="J198">
        <f t="shared" si="3"/>
        <v>0</v>
      </c>
    </row>
    <row r="199" spans="1:10" x14ac:dyDescent="0.25">
      <c r="A199" t="s">
        <v>419</v>
      </c>
      <c r="B199" t="s">
        <v>61</v>
      </c>
      <c r="C199" t="s">
        <v>77</v>
      </c>
      <c r="D199" s="1">
        <v>44823</v>
      </c>
      <c r="E199">
        <v>10</v>
      </c>
      <c r="F199">
        <v>54.918716620008603</v>
      </c>
      <c r="G199" s="1">
        <v>44838</v>
      </c>
      <c r="H199" s="1">
        <v>44835</v>
      </c>
      <c r="I199">
        <v>549.18716620008604</v>
      </c>
      <c r="J199">
        <f t="shared" si="3"/>
        <v>-3</v>
      </c>
    </row>
    <row r="200" spans="1:10" x14ac:dyDescent="0.25">
      <c r="A200" t="s">
        <v>420</v>
      </c>
      <c r="B200" t="s">
        <v>70</v>
      </c>
      <c r="C200" t="s">
        <v>421</v>
      </c>
      <c r="D200" s="1">
        <v>45127</v>
      </c>
      <c r="E200">
        <v>11</v>
      </c>
      <c r="F200">
        <v>42.339841424274901</v>
      </c>
      <c r="G200" s="1">
        <v>45139</v>
      </c>
      <c r="H200" s="1">
        <v>45137</v>
      </c>
      <c r="I200">
        <v>465.73825566702402</v>
      </c>
      <c r="J200">
        <f t="shared" si="3"/>
        <v>-2</v>
      </c>
    </row>
    <row r="201" spans="1:10" x14ac:dyDescent="0.25">
      <c r="A201" t="s">
        <v>422</v>
      </c>
      <c r="B201" t="s">
        <v>61</v>
      </c>
      <c r="C201" t="s">
        <v>136</v>
      </c>
      <c r="D201" s="1">
        <v>45267</v>
      </c>
      <c r="E201">
        <v>11</v>
      </c>
      <c r="F201">
        <v>58.114799571113601</v>
      </c>
      <c r="G201" s="1">
        <v>45290</v>
      </c>
      <c r="H201" s="1">
        <v>45287</v>
      </c>
      <c r="I201">
        <v>639.26279528224995</v>
      </c>
      <c r="J201">
        <f t="shared" si="3"/>
        <v>-3</v>
      </c>
    </row>
    <row r="202" spans="1:10" x14ac:dyDescent="0.25">
      <c r="A202" t="s">
        <v>423</v>
      </c>
      <c r="B202" t="s">
        <v>194</v>
      </c>
      <c r="C202" t="s">
        <v>302</v>
      </c>
      <c r="D202" s="1">
        <v>44776</v>
      </c>
      <c r="E202">
        <v>13</v>
      </c>
      <c r="F202">
        <v>40.013936114012601</v>
      </c>
      <c r="G202" s="1">
        <v>44793</v>
      </c>
      <c r="H202" s="1">
        <v>44795</v>
      </c>
      <c r="I202">
        <v>520.181169482163</v>
      </c>
      <c r="J202">
        <f t="shared" si="3"/>
        <v>2</v>
      </c>
    </row>
    <row r="203" spans="1:10" x14ac:dyDescent="0.25">
      <c r="A203" t="s">
        <v>424</v>
      </c>
      <c r="B203" t="s">
        <v>321</v>
      </c>
      <c r="C203" t="s">
        <v>425</v>
      </c>
      <c r="D203" s="1">
        <v>44403</v>
      </c>
      <c r="E203">
        <v>16</v>
      </c>
      <c r="F203">
        <v>69.901405882081093</v>
      </c>
      <c r="G203" s="1">
        <v>44425</v>
      </c>
      <c r="H203" s="1">
        <v>44431</v>
      </c>
      <c r="I203">
        <v>1118.42249411329</v>
      </c>
      <c r="J203">
        <f t="shared" si="3"/>
        <v>6</v>
      </c>
    </row>
    <row r="204" spans="1:10" x14ac:dyDescent="0.25">
      <c r="A204" t="s">
        <v>426</v>
      </c>
      <c r="B204" t="s">
        <v>427</v>
      </c>
      <c r="C204" t="s">
        <v>428</v>
      </c>
      <c r="D204" s="1">
        <v>45190</v>
      </c>
      <c r="E204">
        <v>13</v>
      </c>
      <c r="F204">
        <v>56.6807387262647</v>
      </c>
      <c r="G204" s="1">
        <v>45210</v>
      </c>
      <c r="H204" s="1">
        <v>45207</v>
      </c>
      <c r="I204">
        <v>736.84960344144099</v>
      </c>
      <c r="J204">
        <f t="shared" si="3"/>
        <v>-3</v>
      </c>
    </row>
    <row r="205" spans="1:10" x14ac:dyDescent="0.25">
      <c r="A205" t="s">
        <v>429</v>
      </c>
      <c r="B205" t="s">
        <v>240</v>
      </c>
      <c r="C205" t="s">
        <v>430</v>
      </c>
      <c r="D205" s="1">
        <v>45366</v>
      </c>
      <c r="E205">
        <v>14</v>
      </c>
      <c r="F205">
        <v>51.676431950130201</v>
      </c>
      <c r="G205" s="1">
        <v>45382</v>
      </c>
      <c r="H205" s="1">
        <v>45379</v>
      </c>
      <c r="I205">
        <v>723.470047301823</v>
      </c>
      <c r="J205">
        <f t="shared" si="3"/>
        <v>-3</v>
      </c>
    </row>
    <row r="206" spans="1:10" x14ac:dyDescent="0.25">
      <c r="A206" t="s">
        <v>431</v>
      </c>
      <c r="B206" t="s">
        <v>203</v>
      </c>
      <c r="C206" t="s">
        <v>432</v>
      </c>
      <c r="D206" s="1">
        <v>45320</v>
      </c>
      <c r="E206">
        <v>4</v>
      </c>
      <c r="F206">
        <v>79.468743755321597</v>
      </c>
      <c r="G206" s="1">
        <v>45332</v>
      </c>
      <c r="H206" s="1">
        <v>45336</v>
      </c>
      <c r="I206">
        <v>317.87497502128599</v>
      </c>
      <c r="J206">
        <f t="shared" si="3"/>
        <v>4</v>
      </c>
    </row>
    <row r="207" spans="1:10" x14ac:dyDescent="0.25">
      <c r="A207" t="s">
        <v>433</v>
      </c>
      <c r="B207" t="s">
        <v>379</v>
      </c>
      <c r="C207" t="s">
        <v>434</v>
      </c>
      <c r="D207" s="1">
        <v>45228</v>
      </c>
      <c r="E207">
        <v>10</v>
      </c>
      <c r="F207">
        <v>40.883506299131099</v>
      </c>
      <c r="G207" s="1">
        <v>45249</v>
      </c>
      <c r="H207" s="1">
        <v>45249</v>
      </c>
      <c r="I207">
        <v>408.83506299131102</v>
      </c>
      <c r="J207">
        <f t="shared" si="3"/>
        <v>0</v>
      </c>
    </row>
    <row r="208" spans="1:10" x14ac:dyDescent="0.25">
      <c r="A208" t="s">
        <v>435</v>
      </c>
      <c r="B208" t="s">
        <v>10</v>
      </c>
      <c r="C208" t="s">
        <v>217</v>
      </c>
      <c r="D208" s="1">
        <v>44236</v>
      </c>
      <c r="E208">
        <v>13</v>
      </c>
      <c r="F208">
        <v>7.4139567874671002</v>
      </c>
      <c r="G208" s="1">
        <v>44258</v>
      </c>
      <c r="H208" s="1">
        <v>44256</v>
      </c>
      <c r="I208">
        <v>96.381438237072302</v>
      </c>
      <c r="J208">
        <f t="shared" si="3"/>
        <v>-2</v>
      </c>
    </row>
    <row r="209" spans="1:10" x14ac:dyDescent="0.25">
      <c r="A209" t="s">
        <v>436</v>
      </c>
      <c r="B209" t="s">
        <v>253</v>
      </c>
      <c r="C209" t="s">
        <v>437</v>
      </c>
      <c r="D209" s="1">
        <v>45012</v>
      </c>
      <c r="E209">
        <v>10</v>
      </c>
      <c r="F209">
        <v>10.486540991330401</v>
      </c>
      <c r="G209" s="1">
        <v>45022</v>
      </c>
      <c r="H209" s="1">
        <v>45022</v>
      </c>
      <c r="I209">
        <v>104.86540991330401</v>
      </c>
      <c r="J209">
        <f t="shared" si="3"/>
        <v>0</v>
      </c>
    </row>
    <row r="210" spans="1:10" x14ac:dyDescent="0.25">
      <c r="A210" t="s">
        <v>438</v>
      </c>
      <c r="B210" t="s">
        <v>194</v>
      </c>
      <c r="C210" t="s">
        <v>274</v>
      </c>
      <c r="D210" s="1">
        <v>44925</v>
      </c>
      <c r="E210">
        <v>8</v>
      </c>
      <c r="F210">
        <v>58.466127720452</v>
      </c>
      <c r="G210" s="1">
        <v>44940</v>
      </c>
      <c r="H210" s="1">
        <v>44938</v>
      </c>
      <c r="I210">
        <v>467.729021763616</v>
      </c>
      <c r="J210">
        <f t="shared" si="3"/>
        <v>-2</v>
      </c>
    </row>
    <row r="211" spans="1:10" x14ac:dyDescent="0.25">
      <c r="A211" t="s">
        <v>439</v>
      </c>
      <c r="B211" t="s">
        <v>207</v>
      </c>
      <c r="C211" t="s">
        <v>50</v>
      </c>
      <c r="D211" s="1">
        <v>44416</v>
      </c>
      <c r="E211">
        <v>6</v>
      </c>
      <c r="F211">
        <v>6.7526584253754596</v>
      </c>
      <c r="G211" s="1">
        <v>44433</v>
      </c>
      <c r="H211" s="1">
        <v>44436</v>
      </c>
      <c r="I211">
        <v>40.515950552252797</v>
      </c>
      <c r="J211">
        <f t="shared" si="3"/>
        <v>3</v>
      </c>
    </row>
    <row r="212" spans="1:10" x14ac:dyDescent="0.25">
      <c r="A212" t="s">
        <v>440</v>
      </c>
      <c r="B212" t="s">
        <v>216</v>
      </c>
      <c r="C212" t="s">
        <v>182</v>
      </c>
      <c r="D212" s="1">
        <v>45022</v>
      </c>
      <c r="E212">
        <v>18</v>
      </c>
      <c r="F212">
        <v>59.665750097340499</v>
      </c>
      <c r="G212" s="1">
        <v>45037</v>
      </c>
      <c r="H212" s="1">
        <v>45039</v>
      </c>
      <c r="I212">
        <v>1073.98350175212</v>
      </c>
      <c r="J212">
        <f t="shared" si="3"/>
        <v>2</v>
      </c>
    </row>
    <row r="213" spans="1:10" x14ac:dyDescent="0.25">
      <c r="A213" t="s">
        <v>441</v>
      </c>
      <c r="B213" t="s">
        <v>442</v>
      </c>
      <c r="C213" t="s">
        <v>68</v>
      </c>
      <c r="D213" s="1">
        <v>45004</v>
      </c>
      <c r="E213">
        <v>15</v>
      </c>
      <c r="F213">
        <v>15.490176966638399</v>
      </c>
      <c r="G213" s="1">
        <v>45024</v>
      </c>
      <c r="H213" s="1">
        <v>45029</v>
      </c>
      <c r="I213">
        <v>232.352654499576</v>
      </c>
      <c r="J213">
        <f t="shared" si="3"/>
        <v>5</v>
      </c>
    </row>
    <row r="214" spans="1:10" x14ac:dyDescent="0.25">
      <c r="A214" t="s">
        <v>443</v>
      </c>
      <c r="B214" t="s">
        <v>28</v>
      </c>
      <c r="C214" t="s">
        <v>444</v>
      </c>
      <c r="D214" s="1">
        <v>45254</v>
      </c>
      <c r="E214">
        <v>8</v>
      </c>
      <c r="F214">
        <v>3.1006453743756701</v>
      </c>
      <c r="G214" s="1">
        <v>45267</v>
      </c>
      <c r="H214" s="1">
        <v>45264</v>
      </c>
      <c r="I214">
        <v>24.805162995005301</v>
      </c>
      <c r="J214">
        <f t="shared" si="3"/>
        <v>-3</v>
      </c>
    </row>
    <row r="215" spans="1:10" x14ac:dyDescent="0.25">
      <c r="A215" t="s">
        <v>445</v>
      </c>
      <c r="B215" t="s">
        <v>70</v>
      </c>
      <c r="C215" t="s">
        <v>446</v>
      </c>
      <c r="D215" s="1">
        <v>44711</v>
      </c>
      <c r="E215">
        <v>8</v>
      </c>
      <c r="F215">
        <v>13.274904997916201</v>
      </c>
      <c r="G215" s="1">
        <v>44721</v>
      </c>
      <c r="H215" s="1">
        <v>44724</v>
      </c>
      <c r="I215">
        <v>106.19923998332899</v>
      </c>
      <c r="J215">
        <f t="shared" si="3"/>
        <v>3</v>
      </c>
    </row>
    <row r="216" spans="1:10" x14ac:dyDescent="0.25">
      <c r="A216" t="s">
        <v>447</v>
      </c>
      <c r="B216" t="s">
        <v>135</v>
      </c>
      <c r="C216" t="s">
        <v>257</v>
      </c>
      <c r="D216" s="1">
        <v>44409</v>
      </c>
      <c r="E216">
        <v>13</v>
      </c>
      <c r="F216">
        <v>28.413350876486501</v>
      </c>
      <c r="G216" s="1">
        <v>44419</v>
      </c>
      <c r="H216" s="1">
        <v>44423</v>
      </c>
      <c r="I216">
        <v>369.37356139432399</v>
      </c>
      <c r="J216">
        <f t="shared" si="3"/>
        <v>4</v>
      </c>
    </row>
    <row r="217" spans="1:10" x14ac:dyDescent="0.25">
      <c r="A217" t="s">
        <v>448</v>
      </c>
      <c r="B217" t="s">
        <v>37</v>
      </c>
      <c r="C217" t="s">
        <v>310</v>
      </c>
      <c r="D217" s="1">
        <v>44213</v>
      </c>
      <c r="E217">
        <v>12</v>
      </c>
      <c r="F217">
        <v>45.796911271827703</v>
      </c>
      <c r="G217" s="1">
        <v>44233</v>
      </c>
      <c r="H217" s="1">
        <v>44239</v>
      </c>
      <c r="I217">
        <v>549.56293526193201</v>
      </c>
      <c r="J217">
        <f t="shared" si="3"/>
        <v>6</v>
      </c>
    </row>
    <row r="218" spans="1:10" x14ac:dyDescent="0.25">
      <c r="A218" t="s">
        <v>449</v>
      </c>
      <c r="B218" t="s">
        <v>350</v>
      </c>
      <c r="C218" t="s">
        <v>41</v>
      </c>
      <c r="D218" s="1">
        <v>45228</v>
      </c>
      <c r="E218">
        <v>14</v>
      </c>
      <c r="F218">
        <v>62.007797204232197</v>
      </c>
      <c r="G218" s="1">
        <v>45241</v>
      </c>
      <c r="H218" s="1">
        <v>45244</v>
      </c>
      <c r="I218">
        <v>868.10916085925101</v>
      </c>
      <c r="J218">
        <f t="shared" si="3"/>
        <v>3</v>
      </c>
    </row>
    <row r="219" spans="1:10" x14ac:dyDescent="0.25">
      <c r="A219" t="s">
        <v>450</v>
      </c>
      <c r="B219" t="s">
        <v>451</v>
      </c>
      <c r="C219" t="s">
        <v>243</v>
      </c>
      <c r="D219" s="1">
        <v>44855</v>
      </c>
      <c r="E219">
        <v>16</v>
      </c>
      <c r="F219">
        <v>54.5676062196017</v>
      </c>
      <c r="G219" s="1">
        <v>44870</v>
      </c>
      <c r="H219" s="1">
        <v>44868</v>
      </c>
      <c r="I219">
        <v>873.08169951362697</v>
      </c>
      <c r="J219">
        <f t="shared" si="3"/>
        <v>-2</v>
      </c>
    </row>
    <row r="220" spans="1:10" x14ac:dyDescent="0.25">
      <c r="A220" t="s">
        <v>452</v>
      </c>
      <c r="B220" t="s">
        <v>186</v>
      </c>
      <c r="C220" t="s">
        <v>453</v>
      </c>
      <c r="D220" s="1">
        <v>44239</v>
      </c>
      <c r="E220">
        <v>9</v>
      </c>
      <c r="F220">
        <v>18.335071763589202</v>
      </c>
      <c r="G220" s="1">
        <v>44255</v>
      </c>
      <c r="H220" s="1">
        <v>44260</v>
      </c>
      <c r="I220">
        <v>165.015645872303</v>
      </c>
      <c r="J220">
        <f t="shared" si="3"/>
        <v>5</v>
      </c>
    </row>
    <row r="221" spans="1:10" x14ac:dyDescent="0.25">
      <c r="A221" t="s">
        <v>454</v>
      </c>
      <c r="B221" t="s">
        <v>34</v>
      </c>
      <c r="C221" t="s">
        <v>152</v>
      </c>
      <c r="D221" s="1">
        <v>44726</v>
      </c>
      <c r="E221">
        <v>9</v>
      </c>
      <c r="F221">
        <v>79.2843615776967</v>
      </c>
      <c r="G221" s="1">
        <v>44742</v>
      </c>
      <c r="H221" s="1">
        <v>44747</v>
      </c>
      <c r="I221">
        <v>713.55925419926996</v>
      </c>
      <c r="J221">
        <f t="shared" si="3"/>
        <v>5</v>
      </c>
    </row>
    <row r="222" spans="1:10" x14ac:dyDescent="0.25">
      <c r="A222" t="s">
        <v>455</v>
      </c>
      <c r="B222" t="s">
        <v>314</v>
      </c>
      <c r="C222" t="s">
        <v>430</v>
      </c>
      <c r="D222" s="1">
        <v>45235</v>
      </c>
      <c r="E222">
        <v>5</v>
      </c>
      <c r="F222">
        <v>42.930627967548602</v>
      </c>
      <c r="G222" s="1">
        <v>45250</v>
      </c>
      <c r="H222" s="1">
        <v>45249</v>
      </c>
      <c r="I222">
        <v>214.653139837743</v>
      </c>
      <c r="J222">
        <f t="shared" si="3"/>
        <v>-1</v>
      </c>
    </row>
    <row r="223" spans="1:10" x14ac:dyDescent="0.25">
      <c r="A223" t="s">
        <v>456</v>
      </c>
      <c r="B223" t="s">
        <v>160</v>
      </c>
      <c r="C223" t="s">
        <v>457</v>
      </c>
      <c r="D223" s="1">
        <v>44639</v>
      </c>
      <c r="E223">
        <v>9</v>
      </c>
      <c r="F223">
        <v>40.441281418788002</v>
      </c>
      <c r="G223" s="1">
        <v>44650</v>
      </c>
      <c r="H223" s="1">
        <v>44652</v>
      </c>
      <c r="I223">
        <v>363.97153276909199</v>
      </c>
      <c r="J223">
        <f t="shared" si="3"/>
        <v>2</v>
      </c>
    </row>
    <row r="224" spans="1:10" x14ac:dyDescent="0.25">
      <c r="A224" t="s">
        <v>458</v>
      </c>
      <c r="B224" t="s">
        <v>288</v>
      </c>
      <c r="C224" t="s">
        <v>341</v>
      </c>
      <c r="D224" s="1">
        <v>44950</v>
      </c>
      <c r="E224">
        <v>8</v>
      </c>
      <c r="F224">
        <v>24.5000992382977</v>
      </c>
      <c r="G224" s="1">
        <v>44971</v>
      </c>
      <c r="H224" s="1">
        <v>44973</v>
      </c>
      <c r="I224">
        <v>196.000793906382</v>
      </c>
      <c r="J224">
        <f t="shared" si="3"/>
        <v>2</v>
      </c>
    </row>
    <row r="225" spans="1:10" x14ac:dyDescent="0.25">
      <c r="A225" t="s">
        <v>459</v>
      </c>
      <c r="B225" t="s">
        <v>10</v>
      </c>
      <c r="C225" t="s">
        <v>32</v>
      </c>
      <c r="D225" s="1">
        <v>44697</v>
      </c>
      <c r="E225">
        <v>12</v>
      </c>
      <c r="F225">
        <v>15.4106319368172</v>
      </c>
      <c r="G225" s="1">
        <v>44717</v>
      </c>
      <c r="H225" s="1">
        <v>44718</v>
      </c>
      <c r="I225">
        <v>184.92758324180599</v>
      </c>
      <c r="J225">
        <f t="shared" si="3"/>
        <v>1</v>
      </c>
    </row>
    <row r="226" spans="1:10" x14ac:dyDescent="0.25">
      <c r="A226" t="s">
        <v>460</v>
      </c>
      <c r="B226" t="s">
        <v>16</v>
      </c>
      <c r="C226" t="s">
        <v>383</v>
      </c>
      <c r="D226" s="1">
        <v>44674</v>
      </c>
      <c r="E226">
        <v>15</v>
      </c>
      <c r="F226">
        <v>70.376306790458699</v>
      </c>
      <c r="G226" s="1">
        <v>44697</v>
      </c>
      <c r="H226" s="1">
        <v>44698</v>
      </c>
      <c r="I226">
        <v>1055.6446018568799</v>
      </c>
      <c r="J226">
        <f t="shared" si="3"/>
        <v>1</v>
      </c>
    </row>
    <row r="227" spans="1:10" x14ac:dyDescent="0.25">
      <c r="A227" t="s">
        <v>461</v>
      </c>
      <c r="B227" t="s">
        <v>369</v>
      </c>
      <c r="C227" t="s">
        <v>462</v>
      </c>
      <c r="D227" s="1">
        <v>44350</v>
      </c>
      <c r="E227">
        <v>9</v>
      </c>
      <c r="F227">
        <v>3.7641489462887798</v>
      </c>
      <c r="G227" s="1">
        <v>44370</v>
      </c>
      <c r="H227" s="1">
        <v>44368</v>
      </c>
      <c r="I227">
        <v>33.877340516598998</v>
      </c>
      <c r="J227">
        <f t="shared" si="3"/>
        <v>-2</v>
      </c>
    </row>
    <row r="228" spans="1:10" x14ac:dyDescent="0.25">
      <c r="A228" t="s">
        <v>463</v>
      </c>
      <c r="B228" t="s">
        <v>205</v>
      </c>
      <c r="C228" t="s">
        <v>20</v>
      </c>
      <c r="D228" s="1">
        <v>45253</v>
      </c>
      <c r="E228">
        <v>18</v>
      </c>
      <c r="F228">
        <v>35.874447734499299</v>
      </c>
      <c r="G228" s="1">
        <v>45274</v>
      </c>
      <c r="H228" s="1">
        <v>45275</v>
      </c>
      <c r="I228">
        <v>645.74005922098797</v>
      </c>
      <c r="J228">
        <f t="shared" si="3"/>
        <v>1</v>
      </c>
    </row>
    <row r="229" spans="1:10" x14ac:dyDescent="0.25">
      <c r="A229" t="s">
        <v>464</v>
      </c>
      <c r="B229" t="s">
        <v>227</v>
      </c>
      <c r="C229" t="s">
        <v>170</v>
      </c>
      <c r="D229" s="1">
        <v>44862</v>
      </c>
      <c r="E229">
        <v>8</v>
      </c>
      <c r="F229">
        <v>44.928217988180698</v>
      </c>
      <c r="G229" s="1">
        <v>44879</v>
      </c>
      <c r="H229" s="1">
        <v>44879</v>
      </c>
      <c r="I229">
        <v>359.42574390544598</v>
      </c>
      <c r="J229">
        <f t="shared" si="3"/>
        <v>0</v>
      </c>
    </row>
    <row r="230" spans="1:10" x14ac:dyDescent="0.25">
      <c r="A230" t="s">
        <v>465</v>
      </c>
      <c r="B230" t="s">
        <v>37</v>
      </c>
      <c r="C230" t="s">
        <v>466</v>
      </c>
      <c r="D230" s="1">
        <v>44592</v>
      </c>
      <c r="E230">
        <v>14</v>
      </c>
      <c r="F230">
        <v>6.1297057151461498</v>
      </c>
      <c r="G230" s="1">
        <v>44609</v>
      </c>
      <c r="H230" s="1">
        <v>44610</v>
      </c>
      <c r="I230">
        <v>85.815880012046094</v>
      </c>
      <c r="J230">
        <f t="shared" si="3"/>
        <v>1</v>
      </c>
    </row>
    <row r="231" spans="1:10" x14ac:dyDescent="0.25">
      <c r="A231" t="s">
        <v>467</v>
      </c>
      <c r="B231" t="s">
        <v>135</v>
      </c>
      <c r="C231" t="s">
        <v>115</v>
      </c>
      <c r="D231" s="1">
        <v>44268</v>
      </c>
      <c r="E231">
        <v>17</v>
      </c>
      <c r="F231">
        <v>17.703870518930799</v>
      </c>
      <c r="G231" s="1">
        <v>44286</v>
      </c>
      <c r="H231" s="1">
        <v>44291</v>
      </c>
      <c r="I231">
        <v>300.96579882182402</v>
      </c>
      <c r="J231">
        <f t="shared" si="3"/>
        <v>5</v>
      </c>
    </row>
    <row r="232" spans="1:10" x14ac:dyDescent="0.25">
      <c r="A232" t="s">
        <v>468</v>
      </c>
      <c r="B232" t="s">
        <v>176</v>
      </c>
      <c r="C232" t="s">
        <v>331</v>
      </c>
      <c r="D232" s="1">
        <v>44387</v>
      </c>
      <c r="E232">
        <v>11</v>
      </c>
      <c r="F232">
        <v>7.4214887223685899</v>
      </c>
      <c r="G232" s="1">
        <v>44403</v>
      </c>
      <c r="H232" s="1">
        <v>44406</v>
      </c>
      <c r="I232">
        <v>81.6363759460545</v>
      </c>
      <c r="J232">
        <f t="shared" si="3"/>
        <v>3</v>
      </c>
    </row>
    <row r="233" spans="1:10" x14ac:dyDescent="0.25">
      <c r="A233" t="s">
        <v>469</v>
      </c>
      <c r="B233" t="s">
        <v>140</v>
      </c>
      <c r="C233" t="s">
        <v>470</v>
      </c>
      <c r="D233" s="1">
        <v>44679</v>
      </c>
      <c r="E233">
        <v>13</v>
      </c>
      <c r="F233">
        <v>79.004608350252894</v>
      </c>
      <c r="G233" s="1">
        <v>44703</v>
      </c>
      <c r="H233" s="1">
        <v>44707</v>
      </c>
      <c r="I233">
        <v>1027.0599085532799</v>
      </c>
      <c r="J233">
        <f t="shared" si="3"/>
        <v>4</v>
      </c>
    </row>
    <row r="234" spans="1:10" x14ac:dyDescent="0.25">
      <c r="A234" t="s">
        <v>471</v>
      </c>
      <c r="B234" t="s">
        <v>472</v>
      </c>
      <c r="C234" t="s">
        <v>473</v>
      </c>
      <c r="D234" s="1">
        <v>44979</v>
      </c>
      <c r="E234">
        <v>15</v>
      </c>
      <c r="F234">
        <v>57.363984403978698</v>
      </c>
      <c r="G234" s="1">
        <v>44990</v>
      </c>
      <c r="H234" s="1">
        <v>44994</v>
      </c>
      <c r="I234">
        <v>860.45976605967996</v>
      </c>
      <c r="J234">
        <f t="shared" si="3"/>
        <v>4</v>
      </c>
    </row>
    <row r="235" spans="1:10" x14ac:dyDescent="0.25">
      <c r="A235" t="s">
        <v>474</v>
      </c>
      <c r="B235" t="s">
        <v>475</v>
      </c>
      <c r="C235" t="s">
        <v>133</v>
      </c>
      <c r="D235" s="1">
        <v>45290</v>
      </c>
      <c r="E235">
        <v>7</v>
      </c>
      <c r="F235">
        <v>57.390769986272801</v>
      </c>
      <c r="G235" s="1">
        <v>45309</v>
      </c>
      <c r="H235" s="1">
        <v>45312</v>
      </c>
      <c r="I235">
        <v>401.73538990390898</v>
      </c>
      <c r="J235">
        <f t="shared" si="3"/>
        <v>3</v>
      </c>
    </row>
    <row r="236" spans="1:10" x14ac:dyDescent="0.25">
      <c r="A236" t="s">
        <v>476</v>
      </c>
      <c r="B236" t="s">
        <v>58</v>
      </c>
      <c r="C236" t="s">
        <v>477</v>
      </c>
      <c r="D236" s="1">
        <v>45315</v>
      </c>
      <c r="E236">
        <v>11</v>
      </c>
      <c r="F236">
        <v>66.2739350437148</v>
      </c>
      <c r="G236" s="1">
        <v>45328</v>
      </c>
      <c r="H236" s="1">
        <v>45325</v>
      </c>
      <c r="I236">
        <v>729.01328548086201</v>
      </c>
      <c r="J236">
        <f t="shared" si="3"/>
        <v>-3</v>
      </c>
    </row>
    <row r="237" spans="1:10" x14ac:dyDescent="0.25">
      <c r="A237" t="s">
        <v>478</v>
      </c>
      <c r="B237" t="s">
        <v>394</v>
      </c>
      <c r="C237" t="s">
        <v>238</v>
      </c>
      <c r="D237" s="1">
        <v>44508</v>
      </c>
      <c r="E237">
        <v>10</v>
      </c>
      <c r="F237">
        <v>65.332537158843607</v>
      </c>
      <c r="G237" s="1">
        <v>44525</v>
      </c>
      <c r="H237" s="1">
        <v>44524</v>
      </c>
      <c r="I237">
        <v>653.32537158843604</v>
      </c>
      <c r="J237">
        <f t="shared" si="3"/>
        <v>-1</v>
      </c>
    </row>
    <row r="238" spans="1:10" x14ac:dyDescent="0.25">
      <c r="A238" t="s">
        <v>479</v>
      </c>
      <c r="B238" t="s">
        <v>58</v>
      </c>
      <c r="C238" t="s">
        <v>210</v>
      </c>
      <c r="D238" s="1">
        <v>44784</v>
      </c>
      <c r="E238">
        <v>10</v>
      </c>
      <c r="F238">
        <v>13.002941919474701</v>
      </c>
      <c r="G238" s="1">
        <v>44807</v>
      </c>
      <c r="H238" s="1">
        <v>44807</v>
      </c>
      <c r="I238">
        <v>130.02941919474699</v>
      </c>
      <c r="J238">
        <f t="shared" si="3"/>
        <v>0</v>
      </c>
    </row>
    <row r="239" spans="1:10" x14ac:dyDescent="0.25">
      <c r="A239" t="s">
        <v>480</v>
      </c>
      <c r="B239" t="s">
        <v>96</v>
      </c>
      <c r="C239" t="s">
        <v>235</v>
      </c>
      <c r="D239" s="1">
        <v>44392</v>
      </c>
      <c r="E239">
        <v>10</v>
      </c>
      <c r="F239">
        <v>72.135650986559497</v>
      </c>
      <c r="G239" s="1">
        <v>44413</v>
      </c>
      <c r="H239" s="1">
        <v>44413</v>
      </c>
      <c r="I239">
        <v>721.35650986559494</v>
      </c>
      <c r="J239">
        <f t="shared" si="3"/>
        <v>0</v>
      </c>
    </row>
    <row r="240" spans="1:10" x14ac:dyDescent="0.25">
      <c r="A240" t="s">
        <v>481</v>
      </c>
      <c r="B240" t="s">
        <v>482</v>
      </c>
      <c r="C240" t="s">
        <v>20</v>
      </c>
      <c r="D240" s="1">
        <v>44284</v>
      </c>
      <c r="E240">
        <v>12</v>
      </c>
      <c r="F240">
        <v>13.5759056428774</v>
      </c>
      <c r="G240" s="1">
        <v>44301</v>
      </c>
      <c r="H240" s="1">
        <v>44300</v>
      </c>
      <c r="I240">
        <v>162.91086771452899</v>
      </c>
      <c r="J240">
        <f t="shared" si="3"/>
        <v>-1</v>
      </c>
    </row>
    <row r="241" spans="1:10" x14ac:dyDescent="0.25">
      <c r="A241" t="s">
        <v>483</v>
      </c>
      <c r="B241" t="s">
        <v>324</v>
      </c>
      <c r="C241" t="s">
        <v>353</v>
      </c>
      <c r="D241" s="1">
        <v>44410</v>
      </c>
      <c r="E241">
        <v>9</v>
      </c>
      <c r="F241">
        <v>75.044877032064207</v>
      </c>
      <c r="G241" s="1">
        <v>44433</v>
      </c>
      <c r="H241" s="1">
        <v>44438</v>
      </c>
      <c r="I241">
        <v>675.40389328857805</v>
      </c>
      <c r="J241">
        <f t="shared" si="3"/>
        <v>5</v>
      </c>
    </row>
    <row r="242" spans="1:10" x14ac:dyDescent="0.25">
      <c r="A242" t="s">
        <v>484</v>
      </c>
      <c r="B242" t="s">
        <v>485</v>
      </c>
      <c r="C242" t="s">
        <v>317</v>
      </c>
      <c r="D242" s="1">
        <v>44463</v>
      </c>
      <c r="E242">
        <v>6</v>
      </c>
      <c r="F242">
        <v>5.6356369719246002</v>
      </c>
      <c r="G242" s="1">
        <v>44486</v>
      </c>
      <c r="H242" s="1">
        <v>44487</v>
      </c>
      <c r="I242">
        <v>33.8138218315476</v>
      </c>
      <c r="J242">
        <f t="shared" si="3"/>
        <v>1</v>
      </c>
    </row>
    <row r="243" spans="1:10" x14ac:dyDescent="0.25">
      <c r="A243" t="s">
        <v>486</v>
      </c>
      <c r="B243" t="s">
        <v>189</v>
      </c>
      <c r="C243" t="s">
        <v>473</v>
      </c>
      <c r="D243" s="1">
        <v>45140</v>
      </c>
      <c r="E243">
        <v>16</v>
      </c>
      <c r="F243">
        <v>54.2246642174632</v>
      </c>
      <c r="G243" s="1">
        <v>45163</v>
      </c>
      <c r="H243" s="1">
        <v>45160</v>
      </c>
      <c r="I243">
        <v>867.594627479412</v>
      </c>
      <c r="J243">
        <f t="shared" si="3"/>
        <v>-3</v>
      </c>
    </row>
    <row r="244" spans="1:10" x14ac:dyDescent="0.25">
      <c r="A244" t="s">
        <v>487</v>
      </c>
      <c r="B244" t="s">
        <v>140</v>
      </c>
      <c r="C244" t="s">
        <v>331</v>
      </c>
      <c r="D244" s="1">
        <v>45065</v>
      </c>
      <c r="E244">
        <v>15</v>
      </c>
      <c r="F244">
        <v>12.8278653284436</v>
      </c>
      <c r="G244" s="1">
        <v>45080</v>
      </c>
      <c r="H244" s="1">
        <v>45081</v>
      </c>
      <c r="I244">
        <v>192.417979926654</v>
      </c>
      <c r="J244">
        <f t="shared" si="3"/>
        <v>1</v>
      </c>
    </row>
    <row r="245" spans="1:10" x14ac:dyDescent="0.25">
      <c r="A245" t="s">
        <v>488</v>
      </c>
      <c r="B245" t="s">
        <v>135</v>
      </c>
      <c r="C245" t="s">
        <v>489</v>
      </c>
      <c r="D245" s="1">
        <v>44844</v>
      </c>
      <c r="E245">
        <v>11</v>
      </c>
      <c r="F245">
        <v>65.896372801617701</v>
      </c>
      <c r="G245" s="1">
        <v>44862</v>
      </c>
      <c r="H245" s="1">
        <v>44865</v>
      </c>
      <c r="I245">
        <v>724.860100817795</v>
      </c>
      <c r="J245">
        <f t="shared" si="3"/>
        <v>3</v>
      </c>
    </row>
    <row r="246" spans="1:10" x14ac:dyDescent="0.25">
      <c r="A246" t="s">
        <v>490</v>
      </c>
      <c r="B246" t="s">
        <v>96</v>
      </c>
      <c r="C246" t="s">
        <v>297</v>
      </c>
      <c r="D246" s="1">
        <v>44984</v>
      </c>
      <c r="E246">
        <v>12</v>
      </c>
      <c r="F246">
        <v>34.802646276308998</v>
      </c>
      <c r="G246" s="1">
        <v>45000</v>
      </c>
      <c r="H246" s="1">
        <v>45004</v>
      </c>
      <c r="I246">
        <v>417.63175531570801</v>
      </c>
      <c r="J246">
        <f t="shared" si="3"/>
        <v>4</v>
      </c>
    </row>
    <row r="247" spans="1:10" x14ac:dyDescent="0.25">
      <c r="A247" t="s">
        <v>491</v>
      </c>
      <c r="B247" t="s">
        <v>176</v>
      </c>
      <c r="C247" t="s">
        <v>402</v>
      </c>
      <c r="D247" s="1">
        <v>44843</v>
      </c>
      <c r="E247">
        <v>13</v>
      </c>
      <c r="F247">
        <v>37.395460892717303</v>
      </c>
      <c r="G247" s="1">
        <v>44858</v>
      </c>
      <c r="H247" s="1">
        <v>44859</v>
      </c>
      <c r="I247">
        <v>486.14099160532498</v>
      </c>
      <c r="J247">
        <f t="shared" si="3"/>
        <v>1</v>
      </c>
    </row>
    <row r="248" spans="1:10" x14ac:dyDescent="0.25">
      <c r="A248" t="s">
        <v>492</v>
      </c>
      <c r="B248" t="s">
        <v>493</v>
      </c>
      <c r="C248" t="s">
        <v>201</v>
      </c>
      <c r="D248" s="1">
        <v>44482</v>
      </c>
      <c r="E248">
        <v>9</v>
      </c>
      <c r="F248">
        <v>35.299166676683299</v>
      </c>
      <c r="G248" s="1">
        <v>44495</v>
      </c>
      <c r="H248" s="1">
        <v>44500</v>
      </c>
      <c r="I248">
        <v>317.69250009015002</v>
      </c>
      <c r="J248">
        <f t="shared" si="3"/>
        <v>5</v>
      </c>
    </row>
    <row r="249" spans="1:10" x14ac:dyDescent="0.25">
      <c r="A249" t="s">
        <v>494</v>
      </c>
      <c r="B249" t="s">
        <v>135</v>
      </c>
      <c r="C249" t="s">
        <v>495</v>
      </c>
      <c r="D249" s="1">
        <v>44278</v>
      </c>
      <c r="E249">
        <v>13</v>
      </c>
      <c r="F249">
        <v>41.1509142295752</v>
      </c>
      <c r="G249" s="1">
        <v>44296</v>
      </c>
      <c r="H249" s="1">
        <v>44302</v>
      </c>
      <c r="I249">
        <v>534.96188498447805</v>
      </c>
      <c r="J249">
        <f t="shared" si="3"/>
        <v>6</v>
      </c>
    </row>
    <row r="250" spans="1:10" x14ac:dyDescent="0.25">
      <c r="A250" t="s">
        <v>496</v>
      </c>
      <c r="B250" t="s">
        <v>227</v>
      </c>
      <c r="C250" t="s">
        <v>26</v>
      </c>
      <c r="D250" s="1">
        <v>44846</v>
      </c>
      <c r="E250">
        <v>10</v>
      </c>
      <c r="F250">
        <v>5.6261480054828503</v>
      </c>
      <c r="G250" s="1">
        <v>44865</v>
      </c>
      <c r="H250" s="1">
        <v>44868</v>
      </c>
      <c r="I250">
        <v>56.261480054828503</v>
      </c>
      <c r="J250">
        <f t="shared" si="3"/>
        <v>3</v>
      </c>
    </row>
    <row r="251" spans="1:10" x14ac:dyDescent="0.25">
      <c r="A251" t="s">
        <v>497</v>
      </c>
      <c r="B251" t="s">
        <v>85</v>
      </c>
      <c r="C251" t="s">
        <v>498</v>
      </c>
      <c r="D251" s="1">
        <v>44232</v>
      </c>
      <c r="E251">
        <v>11</v>
      </c>
      <c r="F251">
        <v>62.2011118138782</v>
      </c>
      <c r="G251" s="1">
        <v>44254</v>
      </c>
      <c r="H251" s="1">
        <v>44255</v>
      </c>
      <c r="I251">
        <v>684.21222995265998</v>
      </c>
      <c r="J251">
        <f t="shared" si="3"/>
        <v>1</v>
      </c>
    </row>
    <row r="252" spans="1:10" x14ac:dyDescent="0.25">
      <c r="A252" t="s">
        <v>499</v>
      </c>
      <c r="B252" t="s">
        <v>10</v>
      </c>
      <c r="C252" t="s">
        <v>102</v>
      </c>
      <c r="D252" s="1">
        <v>44245</v>
      </c>
      <c r="E252">
        <v>11</v>
      </c>
      <c r="F252">
        <v>75.704641706265306</v>
      </c>
      <c r="G252" s="1">
        <v>44256</v>
      </c>
      <c r="H252" s="1">
        <v>44257</v>
      </c>
      <c r="I252">
        <v>832.75105876891905</v>
      </c>
      <c r="J252">
        <f t="shared" si="3"/>
        <v>1</v>
      </c>
    </row>
    <row r="253" spans="1:10" x14ac:dyDescent="0.25">
      <c r="A253" t="s">
        <v>500</v>
      </c>
      <c r="B253" t="s">
        <v>46</v>
      </c>
      <c r="C253" t="s">
        <v>391</v>
      </c>
      <c r="D253" s="1">
        <v>44319</v>
      </c>
      <c r="E253">
        <v>14</v>
      </c>
      <c r="F253">
        <v>49.074279939953101</v>
      </c>
      <c r="G253" s="1">
        <v>44338</v>
      </c>
      <c r="H253" s="1">
        <v>44341</v>
      </c>
      <c r="I253">
        <v>687.03991915934296</v>
      </c>
      <c r="J253">
        <f t="shared" si="3"/>
        <v>3</v>
      </c>
    </row>
    <row r="254" spans="1:10" x14ac:dyDescent="0.25">
      <c r="A254" t="s">
        <v>501</v>
      </c>
      <c r="B254" t="s">
        <v>237</v>
      </c>
      <c r="C254" t="s">
        <v>131</v>
      </c>
      <c r="D254" s="1">
        <v>44664</v>
      </c>
      <c r="E254">
        <v>9</v>
      </c>
      <c r="F254">
        <v>26.3645392329583</v>
      </c>
      <c r="G254" s="1">
        <v>44674</v>
      </c>
      <c r="H254" s="1">
        <v>44675</v>
      </c>
      <c r="I254">
        <v>237.28085309662501</v>
      </c>
      <c r="J254">
        <f t="shared" si="3"/>
        <v>1</v>
      </c>
    </row>
    <row r="255" spans="1:10" x14ac:dyDescent="0.25">
      <c r="A255" t="s">
        <v>502</v>
      </c>
      <c r="B255" t="s">
        <v>140</v>
      </c>
      <c r="C255" t="s">
        <v>180</v>
      </c>
      <c r="D255" s="1">
        <v>44373</v>
      </c>
      <c r="E255">
        <v>12</v>
      </c>
      <c r="F255">
        <v>16.985465137054</v>
      </c>
      <c r="G255" s="1">
        <v>44393</v>
      </c>
      <c r="H255" s="1">
        <v>44393</v>
      </c>
      <c r="I255">
        <v>203.825581644648</v>
      </c>
      <c r="J255">
        <f t="shared" si="3"/>
        <v>0</v>
      </c>
    </row>
    <row r="256" spans="1:10" x14ac:dyDescent="0.25">
      <c r="A256" t="s">
        <v>503</v>
      </c>
      <c r="B256" t="s">
        <v>237</v>
      </c>
      <c r="C256" t="s">
        <v>504</v>
      </c>
      <c r="D256" s="1">
        <v>45231</v>
      </c>
      <c r="E256">
        <v>4</v>
      </c>
      <c r="F256">
        <v>31.4106263068761</v>
      </c>
      <c r="G256" s="1">
        <v>45249</v>
      </c>
      <c r="H256" s="1">
        <v>45250</v>
      </c>
      <c r="I256">
        <v>125.642505227504</v>
      </c>
      <c r="J256">
        <f t="shared" si="3"/>
        <v>1</v>
      </c>
    </row>
    <row r="257" spans="1:10" x14ac:dyDescent="0.25">
      <c r="A257" t="s">
        <v>505</v>
      </c>
      <c r="B257" t="s">
        <v>22</v>
      </c>
      <c r="C257" t="s">
        <v>396</v>
      </c>
      <c r="D257" s="1">
        <v>44637</v>
      </c>
      <c r="E257">
        <v>16</v>
      </c>
      <c r="F257">
        <v>52.890325720816797</v>
      </c>
      <c r="G257" s="1">
        <v>44653</v>
      </c>
      <c r="H257" s="1">
        <v>44653</v>
      </c>
      <c r="I257">
        <v>846.24521153307001</v>
      </c>
      <c r="J257">
        <f t="shared" si="3"/>
        <v>0</v>
      </c>
    </row>
    <row r="258" spans="1:10" x14ac:dyDescent="0.25">
      <c r="A258" t="s">
        <v>506</v>
      </c>
      <c r="B258" t="s">
        <v>104</v>
      </c>
      <c r="C258" t="s">
        <v>201</v>
      </c>
      <c r="D258" s="1">
        <v>44567</v>
      </c>
      <c r="E258">
        <v>16</v>
      </c>
      <c r="F258">
        <v>33.533410847842603</v>
      </c>
      <c r="G258" s="1">
        <v>44583</v>
      </c>
      <c r="H258" s="1">
        <v>44581</v>
      </c>
      <c r="I258">
        <v>536.53457356548199</v>
      </c>
      <c r="J258">
        <f t="shared" si="3"/>
        <v>-2</v>
      </c>
    </row>
    <row r="259" spans="1:10" x14ac:dyDescent="0.25">
      <c r="A259" t="s">
        <v>507</v>
      </c>
      <c r="B259" t="s">
        <v>293</v>
      </c>
      <c r="C259" t="s">
        <v>272</v>
      </c>
      <c r="D259" s="1">
        <v>44797</v>
      </c>
      <c r="E259">
        <v>11</v>
      </c>
      <c r="F259">
        <v>65.213074467945503</v>
      </c>
      <c r="G259" s="1">
        <v>44820</v>
      </c>
      <c r="H259" s="1">
        <v>44825</v>
      </c>
      <c r="I259">
        <v>717.34381914740004</v>
      </c>
      <c r="J259">
        <f t="shared" ref="J259:J322" si="4">H259-G259</f>
        <v>5</v>
      </c>
    </row>
    <row r="260" spans="1:10" x14ac:dyDescent="0.25">
      <c r="A260" t="s">
        <v>508</v>
      </c>
      <c r="B260" t="s">
        <v>31</v>
      </c>
      <c r="C260" t="s">
        <v>23</v>
      </c>
      <c r="D260" s="1">
        <v>44832</v>
      </c>
      <c r="E260">
        <v>10</v>
      </c>
      <c r="F260">
        <v>75.371756369507693</v>
      </c>
      <c r="G260" s="1">
        <v>44847</v>
      </c>
      <c r="H260" s="1">
        <v>44849</v>
      </c>
      <c r="I260">
        <v>753.71756369507705</v>
      </c>
      <c r="J260">
        <f t="shared" si="4"/>
        <v>2</v>
      </c>
    </row>
    <row r="261" spans="1:10" x14ac:dyDescent="0.25">
      <c r="A261" t="s">
        <v>509</v>
      </c>
      <c r="B261" t="s">
        <v>203</v>
      </c>
      <c r="C261" t="s">
        <v>110</v>
      </c>
      <c r="D261" s="1">
        <v>44587</v>
      </c>
      <c r="E261">
        <v>12</v>
      </c>
      <c r="F261">
        <v>21.234024595847799</v>
      </c>
      <c r="G261" s="1">
        <v>44610</v>
      </c>
      <c r="H261" s="1">
        <v>44611</v>
      </c>
      <c r="I261">
        <v>254.808295150173</v>
      </c>
      <c r="J261">
        <f t="shared" si="4"/>
        <v>1</v>
      </c>
    </row>
    <row r="262" spans="1:10" x14ac:dyDescent="0.25">
      <c r="A262" t="s">
        <v>510</v>
      </c>
      <c r="B262" t="s">
        <v>96</v>
      </c>
      <c r="C262" t="s">
        <v>182</v>
      </c>
      <c r="D262" s="1">
        <v>44486</v>
      </c>
      <c r="E262">
        <v>14</v>
      </c>
      <c r="F262">
        <v>15.9494362047151</v>
      </c>
      <c r="G262" s="1">
        <v>44509</v>
      </c>
      <c r="H262" s="1">
        <v>44507</v>
      </c>
      <c r="I262">
        <v>223.29210686601201</v>
      </c>
      <c r="J262">
        <f t="shared" si="4"/>
        <v>-2</v>
      </c>
    </row>
    <row r="263" spans="1:10" x14ac:dyDescent="0.25">
      <c r="A263" t="s">
        <v>511</v>
      </c>
      <c r="B263" t="s">
        <v>394</v>
      </c>
      <c r="C263" t="s">
        <v>20</v>
      </c>
      <c r="D263" s="1">
        <v>45015</v>
      </c>
      <c r="E263">
        <v>14</v>
      </c>
      <c r="F263">
        <v>34.845726586719103</v>
      </c>
      <c r="G263" s="1">
        <v>45034</v>
      </c>
      <c r="H263" s="1">
        <v>45035</v>
      </c>
      <c r="I263">
        <v>487.84017221406799</v>
      </c>
      <c r="J263">
        <f t="shared" si="4"/>
        <v>1</v>
      </c>
    </row>
    <row r="264" spans="1:10" x14ac:dyDescent="0.25">
      <c r="A264" t="s">
        <v>512</v>
      </c>
      <c r="B264" t="s">
        <v>143</v>
      </c>
      <c r="C264" t="s">
        <v>268</v>
      </c>
      <c r="D264" s="1">
        <v>44741</v>
      </c>
      <c r="E264">
        <v>14</v>
      </c>
      <c r="F264">
        <v>53.439130034257602</v>
      </c>
      <c r="G264" s="1">
        <v>44762</v>
      </c>
      <c r="H264" s="1">
        <v>44765</v>
      </c>
      <c r="I264">
        <v>748.14782047960705</v>
      </c>
      <c r="J264">
        <f t="shared" si="4"/>
        <v>3</v>
      </c>
    </row>
    <row r="265" spans="1:10" x14ac:dyDescent="0.25">
      <c r="A265" t="s">
        <v>513</v>
      </c>
      <c r="B265" t="s">
        <v>40</v>
      </c>
      <c r="C265" t="s">
        <v>514</v>
      </c>
      <c r="D265" s="1">
        <v>44487</v>
      </c>
      <c r="E265">
        <v>8</v>
      </c>
      <c r="F265">
        <v>59.6917904344212</v>
      </c>
      <c r="G265" s="1">
        <v>44504</v>
      </c>
      <c r="H265" s="1">
        <v>44510</v>
      </c>
      <c r="I265">
        <v>477.53432347536898</v>
      </c>
      <c r="J265">
        <f t="shared" si="4"/>
        <v>6</v>
      </c>
    </row>
    <row r="266" spans="1:10" x14ac:dyDescent="0.25">
      <c r="A266" t="s">
        <v>515</v>
      </c>
      <c r="B266" t="s">
        <v>70</v>
      </c>
      <c r="C266" t="s">
        <v>353</v>
      </c>
      <c r="D266" s="1">
        <v>45213</v>
      </c>
      <c r="E266">
        <v>17</v>
      </c>
      <c r="F266">
        <v>20.7836862185993</v>
      </c>
      <c r="G266" s="1">
        <v>45232</v>
      </c>
      <c r="H266" s="1">
        <v>45238</v>
      </c>
      <c r="I266">
        <v>353.322665716188</v>
      </c>
      <c r="J266">
        <f t="shared" si="4"/>
        <v>6</v>
      </c>
    </row>
    <row r="267" spans="1:10" x14ac:dyDescent="0.25">
      <c r="A267" t="s">
        <v>516</v>
      </c>
      <c r="B267" t="s">
        <v>324</v>
      </c>
      <c r="C267" t="s">
        <v>338</v>
      </c>
      <c r="D267" s="1">
        <v>44470</v>
      </c>
      <c r="E267">
        <v>10</v>
      </c>
      <c r="F267">
        <v>21.573534801540699</v>
      </c>
      <c r="G267" s="1">
        <v>44481</v>
      </c>
      <c r="H267" s="1">
        <v>44483</v>
      </c>
      <c r="I267">
        <v>215.735348015407</v>
      </c>
      <c r="J267">
        <f t="shared" si="4"/>
        <v>2</v>
      </c>
    </row>
    <row r="268" spans="1:10" x14ac:dyDescent="0.25">
      <c r="A268" t="s">
        <v>517</v>
      </c>
      <c r="B268" t="s">
        <v>143</v>
      </c>
      <c r="C268" t="s">
        <v>518</v>
      </c>
      <c r="D268" s="1">
        <v>44338</v>
      </c>
      <c r="E268">
        <v>12</v>
      </c>
      <c r="F268">
        <v>44.8773815416993</v>
      </c>
      <c r="G268" s="1">
        <v>44360</v>
      </c>
      <c r="H268" s="1">
        <v>44358</v>
      </c>
      <c r="I268">
        <v>538.52857850039197</v>
      </c>
      <c r="J268">
        <f t="shared" si="4"/>
        <v>-2</v>
      </c>
    </row>
    <row r="269" spans="1:10" x14ac:dyDescent="0.25">
      <c r="A269" t="s">
        <v>519</v>
      </c>
      <c r="B269" t="s">
        <v>88</v>
      </c>
      <c r="C269" t="s">
        <v>504</v>
      </c>
      <c r="D269" s="1">
        <v>45319</v>
      </c>
      <c r="E269">
        <v>13</v>
      </c>
      <c r="F269">
        <v>30.4522377654603</v>
      </c>
      <c r="G269" s="1">
        <v>45331</v>
      </c>
      <c r="H269" s="1">
        <v>45335</v>
      </c>
      <c r="I269">
        <v>395.87909095098399</v>
      </c>
      <c r="J269">
        <f t="shared" si="4"/>
        <v>4</v>
      </c>
    </row>
    <row r="270" spans="1:10" x14ac:dyDescent="0.25">
      <c r="A270" t="s">
        <v>520</v>
      </c>
      <c r="B270" t="s">
        <v>250</v>
      </c>
      <c r="C270" t="s">
        <v>521</v>
      </c>
      <c r="D270" s="1">
        <v>44966</v>
      </c>
      <c r="E270">
        <v>11</v>
      </c>
      <c r="F270">
        <v>26.036679296114599</v>
      </c>
      <c r="G270" s="1">
        <v>44985</v>
      </c>
      <c r="H270" s="1">
        <v>44990</v>
      </c>
      <c r="I270">
        <v>286.403472257261</v>
      </c>
      <c r="J270">
        <f t="shared" si="4"/>
        <v>5</v>
      </c>
    </row>
    <row r="271" spans="1:10" x14ac:dyDescent="0.25">
      <c r="A271" t="s">
        <v>522</v>
      </c>
      <c r="B271" t="s">
        <v>70</v>
      </c>
      <c r="C271" t="s">
        <v>20</v>
      </c>
      <c r="D271" s="1">
        <v>45181</v>
      </c>
      <c r="E271">
        <v>9</v>
      </c>
      <c r="F271">
        <v>43.129207550346202</v>
      </c>
      <c r="G271" s="1">
        <v>45202</v>
      </c>
      <c r="H271" s="1">
        <v>45206</v>
      </c>
      <c r="I271">
        <v>388.16286795311601</v>
      </c>
      <c r="J271">
        <f t="shared" si="4"/>
        <v>4</v>
      </c>
    </row>
    <row r="272" spans="1:10" x14ac:dyDescent="0.25">
      <c r="A272" t="s">
        <v>523</v>
      </c>
      <c r="B272" t="s">
        <v>207</v>
      </c>
      <c r="C272" t="s">
        <v>105</v>
      </c>
      <c r="D272" s="1">
        <v>44247</v>
      </c>
      <c r="E272">
        <v>12</v>
      </c>
      <c r="F272">
        <v>67.239977547098903</v>
      </c>
      <c r="G272" s="1">
        <v>44257</v>
      </c>
      <c r="H272" s="1">
        <v>44254</v>
      </c>
      <c r="I272">
        <v>806.87973056518695</v>
      </c>
      <c r="J272">
        <f t="shared" si="4"/>
        <v>-3</v>
      </c>
    </row>
    <row r="273" spans="1:10" x14ac:dyDescent="0.25">
      <c r="A273" t="s">
        <v>524</v>
      </c>
      <c r="B273" t="s">
        <v>16</v>
      </c>
      <c r="C273" t="s">
        <v>233</v>
      </c>
      <c r="D273" s="1">
        <v>45031</v>
      </c>
      <c r="E273">
        <v>17</v>
      </c>
      <c r="F273">
        <v>42.555473179387697</v>
      </c>
      <c r="G273" s="1">
        <v>45044</v>
      </c>
      <c r="H273" s="1">
        <v>45043</v>
      </c>
      <c r="I273">
        <v>723.44304404959098</v>
      </c>
      <c r="J273">
        <f t="shared" si="4"/>
        <v>-1</v>
      </c>
    </row>
    <row r="274" spans="1:10" x14ac:dyDescent="0.25">
      <c r="A274" t="s">
        <v>525</v>
      </c>
      <c r="B274" t="s">
        <v>31</v>
      </c>
      <c r="C274" t="s">
        <v>418</v>
      </c>
      <c r="D274" s="1">
        <v>44422</v>
      </c>
      <c r="E274">
        <v>9</v>
      </c>
      <c r="F274">
        <v>73.097718067492593</v>
      </c>
      <c r="G274" s="1">
        <v>44443</v>
      </c>
      <c r="H274" s="1">
        <v>44442</v>
      </c>
      <c r="I274">
        <v>657.87946260743297</v>
      </c>
      <c r="J274">
        <f t="shared" si="4"/>
        <v>-1</v>
      </c>
    </row>
    <row r="275" spans="1:10" x14ac:dyDescent="0.25">
      <c r="A275" t="s">
        <v>526</v>
      </c>
      <c r="B275" t="s">
        <v>28</v>
      </c>
      <c r="C275" t="s">
        <v>527</v>
      </c>
      <c r="D275" s="1">
        <v>44503</v>
      </c>
      <c r="E275">
        <v>13</v>
      </c>
      <c r="F275">
        <v>12.4696602173341</v>
      </c>
      <c r="G275" s="1">
        <v>44515</v>
      </c>
      <c r="H275" s="1">
        <v>44518</v>
      </c>
      <c r="I275">
        <v>162.10558282534399</v>
      </c>
      <c r="J275">
        <f t="shared" si="4"/>
        <v>3</v>
      </c>
    </row>
    <row r="276" spans="1:10" x14ac:dyDescent="0.25">
      <c r="A276" t="s">
        <v>528</v>
      </c>
      <c r="B276" t="s">
        <v>219</v>
      </c>
      <c r="C276" t="s">
        <v>20</v>
      </c>
      <c r="D276" s="1">
        <v>44287</v>
      </c>
      <c r="E276">
        <v>7</v>
      </c>
      <c r="F276">
        <v>72.151990510038104</v>
      </c>
      <c r="G276" s="1">
        <v>44303</v>
      </c>
      <c r="H276" s="1">
        <v>44309</v>
      </c>
      <c r="I276">
        <v>505.06393357026599</v>
      </c>
      <c r="J276">
        <f t="shared" si="4"/>
        <v>6</v>
      </c>
    </row>
    <row r="277" spans="1:10" x14ac:dyDescent="0.25">
      <c r="A277" t="s">
        <v>529</v>
      </c>
      <c r="B277" t="s">
        <v>451</v>
      </c>
      <c r="C277" t="s">
        <v>425</v>
      </c>
      <c r="D277" s="1">
        <v>44628</v>
      </c>
      <c r="E277">
        <v>15</v>
      </c>
      <c r="F277">
        <v>75.6642997591008</v>
      </c>
      <c r="G277" s="1">
        <v>44644</v>
      </c>
      <c r="H277" s="1">
        <v>44648</v>
      </c>
      <c r="I277">
        <v>1134.9644963865101</v>
      </c>
      <c r="J277">
        <f t="shared" si="4"/>
        <v>4</v>
      </c>
    </row>
    <row r="278" spans="1:10" x14ac:dyDescent="0.25">
      <c r="A278" t="s">
        <v>530</v>
      </c>
      <c r="B278" t="s">
        <v>127</v>
      </c>
      <c r="C278" t="s">
        <v>141</v>
      </c>
      <c r="D278" s="1">
        <v>44929</v>
      </c>
      <c r="E278">
        <v>13</v>
      </c>
      <c r="F278">
        <v>72.6022334828494</v>
      </c>
      <c r="G278" s="1">
        <v>44939</v>
      </c>
      <c r="H278" s="1">
        <v>44937</v>
      </c>
      <c r="I278">
        <v>943.82903527704298</v>
      </c>
      <c r="J278">
        <f t="shared" si="4"/>
        <v>-2</v>
      </c>
    </row>
    <row r="279" spans="1:10" x14ac:dyDescent="0.25">
      <c r="A279" t="s">
        <v>531</v>
      </c>
      <c r="B279" t="s">
        <v>124</v>
      </c>
      <c r="C279" t="s">
        <v>35</v>
      </c>
      <c r="D279" s="1">
        <v>44760</v>
      </c>
      <c r="E279">
        <v>15</v>
      </c>
      <c r="F279">
        <v>16.129516436534999</v>
      </c>
      <c r="G279" s="1">
        <v>44773</v>
      </c>
      <c r="H279" s="1">
        <v>44771</v>
      </c>
      <c r="I279">
        <v>241.94274654802601</v>
      </c>
      <c r="J279">
        <f t="shared" si="4"/>
        <v>-2</v>
      </c>
    </row>
    <row r="280" spans="1:10" x14ac:dyDescent="0.25">
      <c r="A280" t="s">
        <v>532</v>
      </c>
      <c r="B280" t="s">
        <v>207</v>
      </c>
      <c r="C280" t="s">
        <v>346</v>
      </c>
      <c r="D280" s="1">
        <v>44396</v>
      </c>
      <c r="E280">
        <v>13</v>
      </c>
      <c r="F280">
        <v>20.486450129432701</v>
      </c>
      <c r="G280" s="1">
        <v>44415</v>
      </c>
      <c r="H280" s="1">
        <v>44416</v>
      </c>
      <c r="I280">
        <v>266.32385168262499</v>
      </c>
      <c r="J280">
        <f t="shared" si="4"/>
        <v>1</v>
      </c>
    </row>
    <row r="281" spans="1:10" x14ac:dyDescent="0.25">
      <c r="A281" t="s">
        <v>533</v>
      </c>
      <c r="B281" t="s">
        <v>19</v>
      </c>
      <c r="C281" t="s">
        <v>270</v>
      </c>
      <c r="D281" s="1">
        <v>45265</v>
      </c>
      <c r="E281">
        <v>16</v>
      </c>
      <c r="F281">
        <v>50.959455184546997</v>
      </c>
      <c r="G281" s="1">
        <v>45278</v>
      </c>
      <c r="H281" s="1">
        <v>45277</v>
      </c>
      <c r="I281">
        <v>815.35128295275297</v>
      </c>
      <c r="J281">
        <f t="shared" si="4"/>
        <v>-1</v>
      </c>
    </row>
    <row r="282" spans="1:10" x14ac:dyDescent="0.25">
      <c r="A282" t="s">
        <v>534</v>
      </c>
      <c r="B282" t="s">
        <v>482</v>
      </c>
      <c r="C282" t="s">
        <v>418</v>
      </c>
      <c r="D282" s="1">
        <v>44541</v>
      </c>
      <c r="E282">
        <v>14</v>
      </c>
      <c r="F282">
        <v>71.657515950638199</v>
      </c>
      <c r="G282" s="1">
        <v>44551</v>
      </c>
      <c r="H282" s="1">
        <v>44548</v>
      </c>
      <c r="I282">
        <v>1003.20522330893</v>
      </c>
      <c r="J282">
        <f t="shared" si="4"/>
        <v>-3</v>
      </c>
    </row>
    <row r="283" spans="1:10" x14ac:dyDescent="0.25">
      <c r="A283" t="s">
        <v>535</v>
      </c>
      <c r="B283" t="s">
        <v>186</v>
      </c>
      <c r="C283" t="s">
        <v>180</v>
      </c>
      <c r="D283" s="1">
        <v>45099</v>
      </c>
      <c r="E283">
        <v>14</v>
      </c>
      <c r="F283">
        <v>3.8793239738107199</v>
      </c>
      <c r="G283" s="1">
        <v>45121</v>
      </c>
      <c r="H283" s="1">
        <v>45124</v>
      </c>
      <c r="I283">
        <v>54.310535633350099</v>
      </c>
      <c r="J283">
        <f t="shared" si="4"/>
        <v>3</v>
      </c>
    </row>
    <row r="284" spans="1:10" x14ac:dyDescent="0.25">
      <c r="A284" t="s">
        <v>536</v>
      </c>
      <c r="B284" t="s">
        <v>242</v>
      </c>
      <c r="C284" t="s">
        <v>400</v>
      </c>
      <c r="D284" s="1">
        <v>44594</v>
      </c>
      <c r="E284">
        <v>15</v>
      </c>
      <c r="F284">
        <v>64.569289267689797</v>
      </c>
      <c r="G284" s="1">
        <v>44609</v>
      </c>
      <c r="H284" s="1">
        <v>44606</v>
      </c>
      <c r="I284">
        <v>968.53933901534697</v>
      </c>
      <c r="J284">
        <f t="shared" si="4"/>
        <v>-3</v>
      </c>
    </row>
    <row r="285" spans="1:10" x14ac:dyDescent="0.25">
      <c r="A285" t="s">
        <v>537</v>
      </c>
      <c r="B285" t="s">
        <v>369</v>
      </c>
      <c r="C285" t="s">
        <v>304</v>
      </c>
      <c r="D285" s="1">
        <v>45222</v>
      </c>
      <c r="E285">
        <v>18</v>
      </c>
      <c r="F285">
        <v>47.444083915900897</v>
      </c>
      <c r="G285" s="1">
        <v>45235</v>
      </c>
      <c r="H285" s="1">
        <v>45233</v>
      </c>
      <c r="I285">
        <v>853.993510486216</v>
      </c>
      <c r="J285">
        <f t="shared" si="4"/>
        <v>-2</v>
      </c>
    </row>
    <row r="286" spans="1:10" x14ac:dyDescent="0.25">
      <c r="A286" t="s">
        <v>538</v>
      </c>
      <c r="B286" t="s">
        <v>539</v>
      </c>
      <c r="C286" t="s">
        <v>540</v>
      </c>
      <c r="D286" s="1">
        <v>44965</v>
      </c>
      <c r="E286">
        <v>7</v>
      </c>
      <c r="F286">
        <v>29.617391811356299</v>
      </c>
      <c r="G286" s="1">
        <v>44989</v>
      </c>
      <c r="H286" s="1">
        <v>44991</v>
      </c>
      <c r="I286">
        <v>207.32174267949401</v>
      </c>
      <c r="J286">
        <f t="shared" si="4"/>
        <v>2</v>
      </c>
    </row>
    <row r="287" spans="1:10" x14ac:dyDescent="0.25">
      <c r="A287" t="s">
        <v>541</v>
      </c>
      <c r="B287" t="s">
        <v>359</v>
      </c>
      <c r="C287" t="s">
        <v>356</v>
      </c>
      <c r="D287" s="1">
        <v>44604</v>
      </c>
      <c r="E287">
        <v>11</v>
      </c>
      <c r="F287">
        <v>57.785858685740401</v>
      </c>
      <c r="G287" s="1">
        <v>44623</v>
      </c>
      <c r="H287" s="1">
        <v>44626</v>
      </c>
      <c r="I287">
        <v>635.64444554314503</v>
      </c>
      <c r="J287">
        <f t="shared" si="4"/>
        <v>3</v>
      </c>
    </row>
    <row r="288" spans="1:10" x14ac:dyDescent="0.25">
      <c r="A288" t="s">
        <v>542</v>
      </c>
      <c r="B288" t="s">
        <v>49</v>
      </c>
      <c r="C288" t="s">
        <v>543</v>
      </c>
      <c r="D288" s="1">
        <v>44841</v>
      </c>
      <c r="E288">
        <v>10</v>
      </c>
      <c r="F288">
        <v>42.731129129901198</v>
      </c>
      <c r="G288" s="1">
        <v>44852</v>
      </c>
      <c r="H288" s="1">
        <v>44854</v>
      </c>
      <c r="I288">
        <v>427.311291299012</v>
      </c>
      <c r="J288">
        <f t="shared" si="4"/>
        <v>2</v>
      </c>
    </row>
    <row r="289" spans="1:10" x14ac:dyDescent="0.25">
      <c r="A289" t="s">
        <v>544</v>
      </c>
      <c r="B289" t="s">
        <v>79</v>
      </c>
      <c r="C289" t="s">
        <v>41</v>
      </c>
      <c r="D289" s="1">
        <v>44668</v>
      </c>
      <c r="E289">
        <v>10</v>
      </c>
      <c r="F289">
        <v>16.3970888628414</v>
      </c>
      <c r="G289" s="1">
        <v>44689</v>
      </c>
      <c r="H289" s="1">
        <v>44688</v>
      </c>
      <c r="I289">
        <v>163.970888628414</v>
      </c>
      <c r="J289">
        <f t="shared" si="4"/>
        <v>-1</v>
      </c>
    </row>
    <row r="290" spans="1:10" x14ac:dyDescent="0.25">
      <c r="A290" t="s">
        <v>545</v>
      </c>
      <c r="B290" t="s">
        <v>64</v>
      </c>
      <c r="C290" t="s">
        <v>245</v>
      </c>
      <c r="D290" s="1">
        <v>45363</v>
      </c>
      <c r="E290">
        <v>10</v>
      </c>
      <c r="F290">
        <v>8.0735559464733306</v>
      </c>
      <c r="G290" s="1">
        <v>45386</v>
      </c>
      <c r="H290" s="1">
        <v>45385</v>
      </c>
      <c r="I290">
        <v>80.735559464733299</v>
      </c>
      <c r="J290">
        <f t="shared" si="4"/>
        <v>-1</v>
      </c>
    </row>
    <row r="291" spans="1:10" x14ac:dyDescent="0.25">
      <c r="A291" t="s">
        <v>546</v>
      </c>
      <c r="B291" t="s">
        <v>135</v>
      </c>
      <c r="C291" t="s">
        <v>547</v>
      </c>
      <c r="D291" s="1">
        <v>45111</v>
      </c>
      <c r="E291">
        <v>11</v>
      </c>
      <c r="F291">
        <v>38.6640445128862</v>
      </c>
      <c r="G291" s="1">
        <v>45135</v>
      </c>
      <c r="H291" s="1">
        <v>45134</v>
      </c>
      <c r="I291">
        <v>425.304489641749</v>
      </c>
      <c r="J291">
        <f t="shared" si="4"/>
        <v>-1</v>
      </c>
    </row>
    <row r="292" spans="1:10" x14ac:dyDescent="0.25">
      <c r="A292" t="s">
        <v>548</v>
      </c>
      <c r="B292" t="s">
        <v>61</v>
      </c>
      <c r="C292" t="s">
        <v>380</v>
      </c>
      <c r="D292" s="1">
        <v>44489</v>
      </c>
      <c r="E292">
        <v>13</v>
      </c>
      <c r="F292">
        <v>46.937008209945802</v>
      </c>
      <c r="G292" s="1">
        <v>44507</v>
      </c>
      <c r="H292" s="1">
        <v>44507</v>
      </c>
      <c r="I292">
        <v>610.18110672929595</v>
      </c>
      <c r="J292">
        <f t="shared" si="4"/>
        <v>0</v>
      </c>
    </row>
    <row r="293" spans="1:10" x14ac:dyDescent="0.25">
      <c r="A293" t="s">
        <v>549</v>
      </c>
      <c r="B293" t="s">
        <v>64</v>
      </c>
      <c r="C293" t="s">
        <v>297</v>
      </c>
      <c r="D293" s="1">
        <v>45288</v>
      </c>
      <c r="E293">
        <v>17</v>
      </c>
      <c r="F293">
        <v>31.102527965686601</v>
      </c>
      <c r="G293" s="1">
        <v>45301</v>
      </c>
      <c r="H293" s="1">
        <v>45307</v>
      </c>
      <c r="I293">
        <v>528.74297541667204</v>
      </c>
      <c r="J293">
        <f t="shared" si="4"/>
        <v>6</v>
      </c>
    </row>
    <row r="294" spans="1:10" x14ac:dyDescent="0.25">
      <c r="A294" t="s">
        <v>550</v>
      </c>
      <c r="B294" t="s">
        <v>13</v>
      </c>
      <c r="C294" t="s">
        <v>346</v>
      </c>
      <c r="D294" s="1">
        <v>44912</v>
      </c>
      <c r="E294">
        <v>9</v>
      </c>
      <c r="F294">
        <v>26.553542990995901</v>
      </c>
      <c r="G294" s="1">
        <v>44929</v>
      </c>
      <c r="H294" s="1">
        <v>44926</v>
      </c>
      <c r="I294">
        <v>238.981886918963</v>
      </c>
      <c r="J294">
        <f t="shared" si="4"/>
        <v>-3</v>
      </c>
    </row>
    <row r="295" spans="1:10" x14ac:dyDescent="0.25">
      <c r="A295" t="s">
        <v>551</v>
      </c>
      <c r="B295" t="s">
        <v>253</v>
      </c>
      <c r="C295" t="s">
        <v>334</v>
      </c>
      <c r="D295" s="1">
        <v>44414</v>
      </c>
      <c r="E295">
        <v>15</v>
      </c>
      <c r="F295">
        <v>29.703313209106401</v>
      </c>
      <c r="G295" s="1">
        <v>44428</v>
      </c>
      <c r="H295" s="1">
        <v>44425</v>
      </c>
      <c r="I295">
        <v>445.54969813659699</v>
      </c>
      <c r="J295">
        <f t="shared" si="4"/>
        <v>-3</v>
      </c>
    </row>
    <row r="296" spans="1:10" x14ac:dyDescent="0.25">
      <c r="A296" t="s">
        <v>552</v>
      </c>
      <c r="B296" t="s">
        <v>493</v>
      </c>
      <c r="C296" t="s">
        <v>297</v>
      </c>
      <c r="D296" s="1">
        <v>44496</v>
      </c>
      <c r="E296">
        <v>7</v>
      </c>
      <c r="F296">
        <v>73.906259385469397</v>
      </c>
      <c r="G296" s="1">
        <v>44510</v>
      </c>
      <c r="H296" s="1">
        <v>44511</v>
      </c>
      <c r="I296">
        <v>517.34381569828497</v>
      </c>
      <c r="J296">
        <f t="shared" si="4"/>
        <v>1</v>
      </c>
    </row>
    <row r="297" spans="1:10" x14ac:dyDescent="0.25">
      <c r="A297" t="s">
        <v>553</v>
      </c>
      <c r="B297" t="s">
        <v>427</v>
      </c>
      <c r="C297" t="s">
        <v>434</v>
      </c>
      <c r="D297" s="1">
        <v>44307</v>
      </c>
      <c r="E297">
        <v>15</v>
      </c>
      <c r="F297">
        <v>5.0253406534500398</v>
      </c>
      <c r="G297" s="1">
        <v>44319</v>
      </c>
      <c r="H297" s="1">
        <v>44323</v>
      </c>
      <c r="I297">
        <v>75.380109801750606</v>
      </c>
      <c r="J297">
        <f t="shared" si="4"/>
        <v>4</v>
      </c>
    </row>
    <row r="298" spans="1:10" x14ac:dyDescent="0.25">
      <c r="A298" t="s">
        <v>554</v>
      </c>
      <c r="B298" t="s">
        <v>121</v>
      </c>
      <c r="C298" t="s">
        <v>14</v>
      </c>
      <c r="D298" s="1">
        <v>45384</v>
      </c>
      <c r="E298">
        <v>9</v>
      </c>
      <c r="F298">
        <v>33.3056878851758</v>
      </c>
      <c r="G298" s="1">
        <v>45405</v>
      </c>
      <c r="H298" s="1">
        <v>45410</v>
      </c>
      <c r="I298">
        <v>299.75119096658199</v>
      </c>
      <c r="J298">
        <f t="shared" si="4"/>
        <v>5</v>
      </c>
    </row>
    <row r="299" spans="1:10" x14ac:dyDescent="0.25">
      <c r="A299" t="s">
        <v>555</v>
      </c>
      <c r="B299" t="s">
        <v>556</v>
      </c>
      <c r="C299" t="s">
        <v>270</v>
      </c>
      <c r="D299" s="1">
        <v>44239</v>
      </c>
      <c r="E299">
        <v>11</v>
      </c>
      <c r="F299">
        <v>60.219709383235802</v>
      </c>
      <c r="G299" s="1">
        <v>44253</v>
      </c>
      <c r="H299" s="1">
        <v>44252</v>
      </c>
      <c r="I299">
        <v>662.41680321559397</v>
      </c>
      <c r="J299">
        <f t="shared" si="4"/>
        <v>-1</v>
      </c>
    </row>
    <row r="300" spans="1:10" x14ac:dyDescent="0.25">
      <c r="A300" t="s">
        <v>557</v>
      </c>
      <c r="B300" t="s">
        <v>104</v>
      </c>
      <c r="C300" t="s">
        <v>470</v>
      </c>
      <c r="D300" s="1">
        <v>44218</v>
      </c>
      <c r="E300">
        <v>6</v>
      </c>
      <c r="F300">
        <v>21.0255220765624</v>
      </c>
      <c r="G300" s="1">
        <v>44239</v>
      </c>
      <c r="H300" s="1">
        <v>44242</v>
      </c>
      <c r="I300">
        <v>126.15313245937401</v>
      </c>
      <c r="J300">
        <f t="shared" si="4"/>
        <v>3</v>
      </c>
    </row>
    <row r="301" spans="1:10" x14ac:dyDescent="0.25">
      <c r="A301" t="s">
        <v>558</v>
      </c>
      <c r="B301" t="s">
        <v>189</v>
      </c>
      <c r="C301" t="s">
        <v>559</v>
      </c>
      <c r="D301" s="1">
        <v>44906</v>
      </c>
      <c r="E301">
        <v>9</v>
      </c>
      <c r="F301">
        <v>32.118802331799699</v>
      </c>
      <c r="G301" s="1">
        <v>44922</v>
      </c>
      <c r="H301" s="1">
        <v>44920</v>
      </c>
      <c r="I301">
        <v>289.06922098619702</v>
      </c>
      <c r="J301">
        <f t="shared" si="4"/>
        <v>-2</v>
      </c>
    </row>
    <row r="302" spans="1:10" x14ac:dyDescent="0.25">
      <c r="A302" t="s">
        <v>560</v>
      </c>
      <c r="B302" t="s">
        <v>482</v>
      </c>
      <c r="C302" t="s">
        <v>400</v>
      </c>
      <c r="D302" s="1">
        <v>44691</v>
      </c>
      <c r="E302">
        <v>9</v>
      </c>
      <c r="F302">
        <v>43.818240399276497</v>
      </c>
      <c r="G302" s="1">
        <v>44701</v>
      </c>
      <c r="H302" s="1">
        <v>44703</v>
      </c>
      <c r="I302">
        <v>394.364163593488</v>
      </c>
      <c r="J302">
        <f t="shared" si="4"/>
        <v>2</v>
      </c>
    </row>
    <row r="303" spans="1:10" x14ac:dyDescent="0.25">
      <c r="A303" t="s">
        <v>561</v>
      </c>
      <c r="B303" t="s">
        <v>359</v>
      </c>
      <c r="C303" t="s">
        <v>562</v>
      </c>
      <c r="D303" s="1">
        <v>45367</v>
      </c>
      <c r="E303">
        <v>9</v>
      </c>
      <c r="F303">
        <v>75.894447211075502</v>
      </c>
      <c r="G303" s="1">
        <v>45391</v>
      </c>
      <c r="H303" s="1">
        <v>45394</v>
      </c>
      <c r="I303">
        <v>683.05002489967899</v>
      </c>
      <c r="J303">
        <f t="shared" si="4"/>
        <v>3</v>
      </c>
    </row>
    <row r="304" spans="1:10" x14ac:dyDescent="0.25">
      <c r="A304" t="s">
        <v>563</v>
      </c>
      <c r="B304" t="s">
        <v>564</v>
      </c>
      <c r="C304" t="s">
        <v>155</v>
      </c>
      <c r="D304" s="1">
        <v>44419</v>
      </c>
      <c r="E304">
        <v>13</v>
      </c>
      <c r="F304">
        <v>46.756341303689602</v>
      </c>
      <c r="G304" s="1">
        <v>44441</v>
      </c>
      <c r="H304" s="1">
        <v>44443</v>
      </c>
      <c r="I304">
        <v>607.83243694796499</v>
      </c>
      <c r="J304">
        <f t="shared" si="4"/>
        <v>2</v>
      </c>
    </row>
    <row r="305" spans="1:10" x14ac:dyDescent="0.25">
      <c r="A305" t="s">
        <v>565</v>
      </c>
      <c r="B305" t="s">
        <v>451</v>
      </c>
      <c r="C305" t="s">
        <v>428</v>
      </c>
      <c r="D305" s="1">
        <v>44564</v>
      </c>
      <c r="E305">
        <v>11</v>
      </c>
      <c r="F305">
        <v>64.290359185126405</v>
      </c>
      <c r="G305" s="1">
        <v>44582</v>
      </c>
      <c r="H305" s="1">
        <v>44580</v>
      </c>
      <c r="I305">
        <v>707.19395103639101</v>
      </c>
      <c r="J305">
        <f t="shared" si="4"/>
        <v>-2</v>
      </c>
    </row>
    <row r="306" spans="1:10" x14ac:dyDescent="0.25">
      <c r="A306" t="s">
        <v>566</v>
      </c>
      <c r="B306" t="s">
        <v>205</v>
      </c>
      <c r="C306" t="s">
        <v>341</v>
      </c>
      <c r="D306" s="1">
        <v>45053</v>
      </c>
      <c r="E306">
        <v>6</v>
      </c>
      <c r="F306">
        <v>21.9085338944986</v>
      </c>
      <c r="G306" s="1">
        <v>45074</v>
      </c>
      <c r="H306" s="1">
        <v>45075</v>
      </c>
      <c r="I306">
        <v>131.451203366991</v>
      </c>
      <c r="J306">
        <f t="shared" si="4"/>
        <v>1</v>
      </c>
    </row>
    <row r="307" spans="1:10" x14ac:dyDescent="0.25">
      <c r="A307" t="s">
        <v>567</v>
      </c>
      <c r="B307" t="s">
        <v>52</v>
      </c>
      <c r="C307" t="s">
        <v>504</v>
      </c>
      <c r="D307" s="1">
        <v>44639</v>
      </c>
      <c r="E307">
        <v>17</v>
      </c>
      <c r="F307">
        <v>32.2617769661572</v>
      </c>
      <c r="G307" s="1">
        <v>44649</v>
      </c>
      <c r="H307" s="1">
        <v>44646</v>
      </c>
      <c r="I307">
        <v>548.45020842467295</v>
      </c>
      <c r="J307">
        <f t="shared" si="4"/>
        <v>-3</v>
      </c>
    </row>
    <row r="308" spans="1:10" x14ac:dyDescent="0.25">
      <c r="A308" t="s">
        <v>568</v>
      </c>
      <c r="B308" t="s">
        <v>64</v>
      </c>
      <c r="C308" t="s">
        <v>14</v>
      </c>
      <c r="D308" s="1">
        <v>45360</v>
      </c>
      <c r="E308">
        <v>10</v>
      </c>
      <c r="F308">
        <v>13.5052052215314</v>
      </c>
      <c r="G308" s="1">
        <v>45380</v>
      </c>
      <c r="H308" s="1">
        <v>45380</v>
      </c>
      <c r="I308">
        <v>135.05205221531401</v>
      </c>
      <c r="J308">
        <f t="shared" si="4"/>
        <v>0</v>
      </c>
    </row>
    <row r="309" spans="1:10" x14ac:dyDescent="0.25">
      <c r="A309" t="s">
        <v>569</v>
      </c>
      <c r="B309" t="s">
        <v>451</v>
      </c>
      <c r="C309" t="s">
        <v>56</v>
      </c>
      <c r="D309" s="1">
        <v>44574</v>
      </c>
      <c r="E309">
        <v>14</v>
      </c>
      <c r="F309">
        <v>48.345469458925002</v>
      </c>
      <c r="G309" s="1">
        <v>44589</v>
      </c>
      <c r="H309" s="1">
        <v>44594</v>
      </c>
      <c r="I309">
        <v>676.83657242494996</v>
      </c>
      <c r="J309">
        <f t="shared" si="4"/>
        <v>5</v>
      </c>
    </row>
    <row r="310" spans="1:10" x14ac:dyDescent="0.25">
      <c r="A310" t="s">
        <v>570</v>
      </c>
      <c r="B310" t="s">
        <v>203</v>
      </c>
      <c r="C310" t="s">
        <v>571</v>
      </c>
      <c r="D310" s="1">
        <v>44761</v>
      </c>
      <c r="E310">
        <v>15</v>
      </c>
      <c r="F310">
        <v>62.978544645077598</v>
      </c>
      <c r="G310" s="1">
        <v>44773</v>
      </c>
      <c r="H310" s="1">
        <v>44777</v>
      </c>
      <c r="I310">
        <v>944.67816967616398</v>
      </c>
      <c r="J310">
        <f t="shared" si="4"/>
        <v>4</v>
      </c>
    </row>
    <row r="311" spans="1:10" x14ac:dyDescent="0.25">
      <c r="A311" t="s">
        <v>572</v>
      </c>
      <c r="B311" t="s">
        <v>43</v>
      </c>
      <c r="C311" t="s">
        <v>408</v>
      </c>
      <c r="D311" s="1">
        <v>44875</v>
      </c>
      <c r="E311">
        <v>7</v>
      </c>
      <c r="F311">
        <v>21.9105867178944</v>
      </c>
      <c r="G311" s="1">
        <v>44897</v>
      </c>
      <c r="H311" s="1">
        <v>44898</v>
      </c>
      <c r="I311">
        <v>153.374107025261</v>
      </c>
      <c r="J311">
        <f t="shared" si="4"/>
        <v>1</v>
      </c>
    </row>
    <row r="312" spans="1:10" x14ac:dyDescent="0.25">
      <c r="A312" t="s">
        <v>573</v>
      </c>
      <c r="B312" t="s">
        <v>539</v>
      </c>
      <c r="C312" t="s">
        <v>453</v>
      </c>
      <c r="D312" s="1">
        <v>44619</v>
      </c>
      <c r="E312">
        <v>15</v>
      </c>
      <c r="F312">
        <v>28.029583658455898</v>
      </c>
      <c r="G312" s="1">
        <v>44639</v>
      </c>
      <c r="H312" s="1">
        <v>44642</v>
      </c>
      <c r="I312">
        <v>420.443754876838</v>
      </c>
      <c r="J312">
        <f t="shared" si="4"/>
        <v>3</v>
      </c>
    </row>
    <row r="313" spans="1:10" x14ac:dyDescent="0.25">
      <c r="A313" t="s">
        <v>574</v>
      </c>
      <c r="B313" t="s">
        <v>350</v>
      </c>
      <c r="C313" t="s">
        <v>274</v>
      </c>
      <c r="D313" s="1">
        <v>44712</v>
      </c>
      <c r="E313">
        <v>13</v>
      </c>
      <c r="F313">
        <v>70.069499576472396</v>
      </c>
      <c r="G313" s="1">
        <v>44722</v>
      </c>
      <c r="H313" s="1">
        <v>44724</v>
      </c>
      <c r="I313">
        <v>910.903494494141</v>
      </c>
      <c r="J313">
        <f t="shared" si="4"/>
        <v>2</v>
      </c>
    </row>
    <row r="314" spans="1:10" x14ac:dyDescent="0.25">
      <c r="A314" t="s">
        <v>575</v>
      </c>
      <c r="B314" t="s">
        <v>82</v>
      </c>
      <c r="C314" t="s">
        <v>514</v>
      </c>
      <c r="D314" s="1">
        <v>44247</v>
      </c>
      <c r="E314">
        <v>10</v>
      </c>
      <c r="F314">
        <v>3.3485748747338802</v>
      </c>
      <c r="G314" s="1">
        <v>44263</v>
      </c>
      <c r="H314" s="1">
        <v>44261</v>
      </c>
      <c r="I314">
        <v>33.485748747338803</v>
      </c>
      <c r="J314">
        <f t="shared" si="4"/>
        <v>-2</v>
      </c>
    </row>
    <row r="315" spans="1:10" x14ac:dyDescent="0.25">
      <c r="A315" t="s">
        <v>576</v>
      </c>
      <c r="B315" t="s">
        <v>91</v>
      </c>
      <c r="C315" t="s">
        <v>11</v>
      </c>
      <c r="D315" s="1">
        <v>45349</v>
      </c>
      <c r="E315">
        <v>12</v>
      </c>
      <c r="F315">
        <v>48.530367525258796</v>
      </c>
      <c r="G315" s="1">
        <v>45373</v>
      </c>
      <c r="H315" s="1">
        <v>45374</v>
      </c>
      <c r="I315">
        <v>582.36441030310596</v>
      </c>
      <c r="J315">
        <f t="shared" si="4"/>
        <v>1</v>
      </c>
    </row>
    <row r="316" spans="1:10" x14ac:dyDescent="0.25">
      <c r="A316" t="s">
        <v>577</v>
      </c>
      <c r="B316" t="s">
        <v>578</v>
      </c>
      <c r="C316" t="s">
        <v>408</v>
      </c>
      <c r="D316" s="1">
        <v>44254</v>
      </c>
      <c r="E316">
        <v>11</v>
      </c>
      <c r="F316">
        <v>42.916515759544403</v>
      </c>
      <c r="G316" s="1">
        <v>44270</v>
      </c>
      <c r="H316" s="1">
        <v>44268</v>
      </c>
      <c r="I316">
        <v>472.08167335498899</v>
      </c>
      <c r="J316">
        <f t="shared" si="4"/>
        <v>-2</v>
      </c>
    </row>
    <row r="317" spans="1:10" x14ac:dyDescent="0.25">
      <c r="A317" t="s">
        <v>579</v>
      </c>
      <c r="B317" t="s">
        <v>216</v>
      </c>
      <c r="C317" t="s">
        <v>172</v>
      </c>
      <c r="D317" s="1">
        <v>44551</v>
      </c>
      <c r="E317">
        <v>9</v>
      </c>
      <c r="F317">
        <v>53.3462168957887</v>
      </c>
      <c r="G317" s="1">
        <v>44567</v>
      </c>
      <c r="H317" s="1">
        <v>44569</v>
      </c>
      <c r="I317">
        <v>480.11595206209802</v>
      </c>
      <c r="J317">
        <f t="shared" si="4"/>
        <v>2</v>
      </c>
    </row>
    <row r="318" spans="1:10" x14ac:dyDescent="0.25">
      <c r="A318" t="s">
        <v>580</v>
      </c>
      <c r="B318" t="s">
        <v>73</v>
      </c>
      <c r="C318" t="s">
        <v>581</v>
      </c>
      <c r="D318" s="1">
        <v>44980</v>
      </c>
      <c r="E318">
        <v>14</v>
      </c>
      <c r="F318">
        <v>37.969858508216397</v>
      </c>
      <c r="G318" s="1">
        <v>45002</v>
      </c>
      <c r="H318" s="1">
        <v>45007</v>
      </c>
      <c r="I318">
        <v>531.57801911502997</v>
      </c>
      <c r="J318">
        <f t="shared" si="4"/>
        <v>5</v>
      </c>
    </row>
    <row r="319" spans="1:10" x14ac:dyDescent="0.25">
      <c r="A319" t="s">
        <v>582</v>
      </c>
      <c r="B319" t="s">
        <v>104</v>
      </c>
      <c r="C319" t="s">
        <v>521</v>
      </c>
      <c r="D319" s="1">
        <v>45251</v>
      </c>
      <c r="E319">
        <v>11</v>
      </c>
      <c r="F319">
        <v>24.534568828989599</v>
      </c>
      <c r="G319" s="1">
        <v>45264</v>
      </c>
      <c r="H319" s="1">
        <v>45262</v>
      </c>
      <c r="I319">
        <v>269.88025711888599</v>
      </c>
      <c r="J319">
        <f t="shared" si="4"/>
        <v>-2</v>
      </c>
    </row>
    <row r="320" spans="1:10" x14ac:dyDescent="0.25">
      <c r="A320" t="s">
        <v>583</v>
      </c>
      <c r="B320" t="s">
        <v>114</v>
      </c>
      <c r="C320" t="s">
        <v>161</v>
      </c>
      <c r="D320" s="1">
        <v>45148</v>
      </c>
      <c r="E320">
        <v>10</v>
      </c>
      <c r="F320">
        <v>38.8345547860038</v>
      </c>
      <c r="G320" s="1">
        <v>45165</v>
      </c>
      <c r="H320" s="1">
        <v>45169</v>
      </c>
      <c r="I320">
        <v>388.34554786003798</v>
      </c>
      <c r="J320">
        <f t="shared" si="4"/>
        <v>4</v>
      </c>
    </row>
    <row r="321" spans="1:10" x14ac:dyDescent="0.25">
      <c r="A321" t="s">
        <v>584</v>
      </c>
      <c r="B321" t="s">
        <v>31</v>
      </c>
      <c r="C321" t="s">
        <v>297</v>
      </c>
      <c r="D321" s="1">
        <v>44734</v>
      </c>
      <c r="E321">
        <v>13</v>
      </c>
      <c r="F321">
        <v>25.3516346374523</v>
      </c>
      <c r="G321" s="1">
        <v>44753</v>
      </c>
      <c r="H321" s="1">
        <v>44750</v>
      </c>
      <c r="I321">
        <v>329.57125028688</v>
      </c>
      <c r="J321">
        <f t="shared" si="4"/>
        <v>-3</v>
      </c>
    </row>
    <row r="322" spans="1:10" x14ac:dyDescent="0.25">
      <c r="A322" t="s">
        <v>585</v>
      </c>
      <c r="B322" t="s">
        <v>49</v>
      </c>
      <c r="C322" t="s">
        <v>334</v>
      </c>
      <c r="D322" s="1">
        <v>45328</v>
      </c>
      <c r="E322">
        <v>12</v>
      </c>
      <c r="F322">
        <v>11.3082591094675</v>
      </c>
      <c r="G322" s="1">
        <v>45349</v>
      </c>
      <c r="H322" s="1">
        <v>45349</v>
      </c>
      <c r="I322">
        <v>135.69910931360999</v>
      </c>
      <c r="J322">
        <f t="shared" si="4"/>
        <v>0</v>
      </c>
    </row>
    <row r="323" spans="1:10" x14ac:dyDescent="0.25">
      <c r="A323" t="s">
        <v>586</v>
      </c>
      <c r="B323" t="s">
        <v>61</v>
      </c>
      <c r="C323" t="s">
        <v>587</v>
      </c>
      <c r="D323" s="1">
        <v>44430</v>
      </c>
      <c r="E323">
        <v>11</v>
      </c>
      <c r="F323">
        <v>17.055427179871199</v>
      </c>
      <c r="G323" s="1">
        <v>44450</v>
      </c>
      <c r="H323" s="1">
        <v>44454</v>
      </c>
      <c r="I323">
        <v>187.609698978583</v>
      </c>
      <c r="J323">
        <f t="shared" ref="J323:J386" si="5">H323-G323</f>
        <v>4</v>
      </c>
    </row>
    <row r="324" spans="1:10" x14ac:dyDescent="0.25">
      <c r="A324" t="s">
        <v>588</v>
      </c>
      <c r="B324" t="s">
        <v>482</v>
      </c>
      <c r="C324" t="s">
        <v>589</v>
      </c>
      <c r="D324" s="1">
        <v>45071</v>
      </c>
      <c r="E324">
        <v>10</v>
      </c>
      <c r="F324">
        <v>34.645212507321403</v>
      </c>
      <c r="G324" s="1">
        <v>45091</v>
      </c>
      <c r="H324" s="1">
        <v>45095</v>
      </c>
      <c r="I324">
        <v>346.45212507321401</v>
      </c>
      <c r="J324">
        <f t="shared" si="5"/>
        <v>4</v>
      </c>
    </row>
    <row r="325" spans="1:10" x14ac:dyDescent="0.25">
      <c r="A325" t="s">
        <v>590</v>
      </c>
      <c r="B325" t="s">
        <v>293</v>
      </c>
      <c r="C325" t="s">
        <v>559</v>
      </c>
      <c r="D325" s="1">
        <v>45214</v>
      </c>
      <c r="E325">
        <v>10</v>
      </c>
      <c r="F325">
        <v>40.649246306417602</v>
      </c>
      <c r="G325" s="1">
        <v>45236</v>
      </c>
      <c r="H325" s="1">
        <v>45242</v>
      </c>
      <c r="I325">
        <v>406.49246306417598</v>
      </c>
      <c r="J325">
        <f t="shared" si="5"/>
        <v>6</v>
      </c>
    </row>
    <row r="326" spans="1:10" x14ac:dyDescent="0.25">
      <c r="A326" t="s">
        <v>591</v>
      </c>
      <c r="B326" t="s">
        <v>219</v>
      </c>
      <c r="C326" t="s">
        <v>268</v>
      </c>
      <c r="D326" s="1">
        <v>44335</v>
      </c>
      <c r="E326">
        <v>11</v>
      </c>
      <c r="F326">
        <v>55.964817573600698</v>
      </c>
      <c r="G326" s="1">
        <v>44346</v>
      </c>
      <c r="H326" s="1">
        <v>44350</v>
      </c>
      <c r="I326">
        <v>615.61299330960696</v>
      </c>
      <c r="J326">
        <f t="shared" si="5"/>
        <v>4</v>
      </c>
    </row>
    <row r="327" spans="1:10" x14ac:dyDescent="0.25">
      <c r="A327" t="s">
        <v>592</v>
      </c>
      <c r="B327" t="s">
        <v>216</v>
      </c>
      <c r="C327" t="s">
        <v>589</v>
      </c>
      <c r="D327" s="1">
        <v>45195</v>
      </c>
      <c r="E327">
        <v>5</v>
      </c>
      <c r="F327">
        <v>52.966038826101901</v>
      </c>
      <c r="G327" s="1">
        <v>45219</v>
      </c>
      <c r="H327" s="1">
        <v>45219</v>
      </c>
      <c r="I327">
        <v>264.83019413050903</v>
      </c>
      <c r="J327">
        <f t="shared" si="5"/>
        <v>0</v>
      </c>
    </row>
    <row r="328" spans="1:10" x14ac:dyDescent="0.25">
      <c r="A328" t="s">
        <v>593</v>
      </c>
      <c r="B328" t="s">
        <v>253</v>
      </c>
      <c r="C328" t="s">
        <v>594</v>
      </c>
      <c r="D328" s="1">
        <v>44297</v>
      </c>
      <c r="E328">
        <v>9</v>
      </c>
      <c r="F328">
        <v>36.945626478723</v>
      </c>
      <c r="G328" s="1">
        <v>44311</v>
      </c>
      <c r="H328" s="1">
        <v>44314</v>
      </c>
      <c r="I328">
        <v>332.510638308507</v>
      </c>
      <c r="J328">
        <f t="shared" si="5"/>
        <v>3</v>
      </c>
    </row>
    <row r="329" spans="1:10" x14ac:dyDescent="0.25">
      <c r="A329" t="s">
        <v>595</v>
      </c>
      <c r="B329" t="s">
        <v>43</v>
      </c>
      <c r="C329" t="s">
        <v>274</v>
      </c>
      <c r="D329" s="1">
        <v>44491</v>
      </c>
      <c r="E329">
        <v>8</v>
      </c>
      <c r="F329">
        <v>57.812721565646399</v>
      </c>
      <c r="G329" s="1">
        <v>44503</v>
      </c>
      <c r="H329" s="1">
        <v>44501</v>
      </c>
      <c r="I329">
        <v>462.50177252517102</v>
      </c>
      <c r="J329">
        <f t="shared" si="5"/>
        <v>-2</v>
      </c>
    </row>
    <row r="330" spans="1:10" x14ac:dyDescent="0.25">
      <c r="A330" t="s">
        <v>596</v>
      </c>
      <c r="B330" t="s">
        <v>73</v>
      </c>
      <c r="C330" t="s">
        <v>281</v>
      </c>
      <c r="D330" s="1">
        <v>45001</v>
      </c>
      <c r="E330">
        <v>12</v>
      </c>
      <c r="F330">
        <v>69.747540784407903</v>
      </c>
      <c r="G330" s="1">
        <v>45020</v>
      </c>
      <c r="H330" s="1">
        <v>45025</v>
      </c>
      <c r="I330">
        <v>836.97048941289495</v>
      </c>
      <c r="J330">
        <f t="shared" si="5"/>
        <v>5</v>
      </c>
    </row>
    <row r="331" spans="1:10" x14ac:dyDescent="0.25">
      <c r="A331" t="s">
        <v>597</v>
      </c>
      <c r="B331" t="s">
        <v>485</v>
      </c>
      <c r="C331" t="s">
        <v>495</v>
      </c>
      <c r="D331" s="1">
        <v>44615</v>
      </c>
      <c r="E331">
        <v>5</v>
      </c>
      <c r="F331">
        <v>33.849874758262096</v>
      </c>
      <c r="G331" s="1">
        <v>44638</v>
      </c>
      <c r="H331" s="1">
        <v>44639</v>
      </c>
      <c r="I331">
        <v>169.24937379131001</v>
      </c>
      <c r="J331">
        <f t="shared" si="5"/>
        <v>1</v>
      </c>
    </row>
    <row r="332" spans="1:10" x14ac:dyDescent="0.25">
      <c r="A332" t="s">
        <v>598</v>
      </c>
      <c r="B332" t="s">
        <v>76</v>
      </c>
      <c r="C332" t="s">
        <v>430</v>
      </c>
      <c r="D332" s="1">
        <v>44734</v>
      </c>
      <c r="E332">
        <v>8</v>
      </c>
      <c r="F332">
        <v>31.513777904906</v>
      </c>
      <c r="G332" s="1">
        <v>44756</v>
      </c>
      <c r="H332" s="1">
        <v>44762</v>
      </c>
      <c r="I332">
        <v>252.110223239248</v>
      </c>
      <c r="J332">
        <f t="shared" si="5"/>
        <v>6</v>
      </c>
    </row>
    <row r="333" spans="1:10" x14ac:dyDescent="0.25">
      <c r="A333" t="s">
        <v>599</v>
      </c>
      <c r="B333" t="s">
        <v>55</v>
      </c>
      <c r="C333" t="s">
        <v>600</v>
      </c>
      <c r="D333" s="1">
        <v>45147</v>
      </c>
      <c r="E333">
        <v>10</v>
      </c>
      <c r="F333">
        <v>79.868512681948005</v>
      </c>
      <c r="G333" s="1">
        <v>45169</v>
      </c>
      <c r="H333" s="1">
        <v>45168</v>
      </c>
      <c r="I333">
        <v>798.68512681948005</v>
      </c>
      <c r="J333">
        <f t="shared" si="5"/>
        <v>-1</v>
      </c>
    </row>
    <row r="334" spans="1:10" x14ac:dyDescent="0.25">
      <c r="A334" t="s">
        <v>601</v>
      </c>
      <c r="B334" t="s">
        <v>295</v>
      </c>
      <c r="C334" t="s">
        <v>559</v>
      </c>
      <c r="D334" s="1">
        <v>45265</v>
      </c>
      <c r="E334">
        <v>13</v>
      </c>
      <c r="F334">
        <v>31.0039281436955</v>
      </c>
      <c r="G334" s="1">
        <v>45275</v>
      </c>
      <c r="H334" s="1">
        <v>45272</v>
      </c>
      <c r="I334">
        <v>403.05106586804101</v>
      </c>
      <c r="J334">
        <f t="shared" si="5"/>
        <v>-3</v>
      </c>
    </row>
    <row r="335" spans="1:10" x14ac:dyDescent="0.25">
      <c r="A335" t="s">
        <v>602</v>
      </c>
      <c r="B335" t="s">
        <v>556</v>
      </c>
      <c r="C335" t="s">
        <v>283</v>
      </c>
      <c r="D335" s="1">
        <v>44730</v>
      </c>
      <c r="E335">
        <v>10</v>
      </c>
      <c r="F335">
        <v>67.821317495207296</v>
      </c>
      <c r="G335" s="1">
        <v>44754</v>
      </c>
      <c r="H335" s="1">
        <v>44757</v>
      </c>
      <c r="I335">
        <v>678.21317495207302</v>
      </c>
      <c r="J335">
        <f t="shared" si="5"/>
        <v>3</v>
      </c>
    </row>
    <row r="336" spans="1:10" x14ac:dyDescent="0.25">
      <c r="A336" t="s">
        <v>603</v>
      </c>
      <c r="B336" t="s">
        <v>140</v>
      </c>
      <c r="C336" t="s">
        <v>434</v>
      </c>
      <c r="D336" s="1">
        <v>44876</v>
      </c>
      <c r="E336">
        <v>8</v>
      </c>
      <c r="F336">
        <v>53.756098712978797</v>
      </c>
      <c r="G336" s="1">
        <v>44897</v>
      </c>
      <c r="H336" s="1">
        <v>44900</v>
      </c>
      <c r="I336">
        <v>430.04878970382998</v>
      </c>
      <c r="J336">
        <f t="shared" si="5"/>
        <v>3</v>
      </c>
    </row>
    <row r="337" spans="1:10" x14ac:dyDescent="0.25">
      <c r="A337" t="s">
        <v>604</v>
      </c>
      <c r="B337" t="s">
        <v>578</v>
      </c>
      <c r="C337" t="s">
        <v>131</v>
      </c>
      <c r="D337" s="1">
        <v>44841</v>
      </c>
      <c r="E337">
        <v>16</v>
      </c>
      <c r="F337">
        <v>53.453299018083797</v>
      </c>
      <c r="G337" s="1">
        <v>44855</v>
      </c>
      <c r="H337" s="1">
        <v>44859</v>
      </c>
      <c r="I337">
        <v>855.25278428934098</v>
      </c>
      <c r="J337">
        <f t="shared" si="5"/>
        <v>4</v>
      </c>
    </row>
    <row r="338" spans="1:10" x14ac:dyDescent="0.25">
      <c r="A338" t="s">
        <v>605</v>
      </c>
      <c r="B338" t="s">
        <v>67</v>
      </c>
      <c r="C338" t="s">
        <v>587</v>
      </c>
      <c r="D338" s="1">
        <v>45126</v>
      </c>
      <c r="E338">
        <v>20</v>
      </c>
      <c r="F338">
        <v>47.668050647985503</v>
      </c>
      <c r="G338" s="1">
        <v>45147</v>
      </c>
      <c r="H338" s="1">
        <v>45148</v>
      </c>
      <c r="I338">
        <v>953.36101295971105</v>
      </c>
      <c r="J338">
        <f t="shared" si="5"/>
        <v>1</v>
      </c>
    </row>
    <row r="339" spans="1:10" x14ac:dyDescent="0.25">
      <c r="A339" t="s">
        <v>606</v>
      </c>
      <c r="B339" t="s">
        <v>124</v>
      </c>
      <c r="C339" t="s">
        <v>187</v>
      </c>
      <c r="D339" s="1">
        <v>44347</v>
      </c>
      <c r="E339">
        <v>12</v>
      </c>
      <c r="F339">
        <v>71.015488882917893</v>
      </c>
      <c r="G339" s="1">
        <v>44364</v>
      </c>
      <c r="H339" s="1">
        <v>44367</v>
      </c>
      <c r="I339">
        <v>852.185866595015</v>
      </c>
      <c r="J339">
        <f t="shared" si="5"/>
        <v>3</v>
      </c>
    </row>
    <row r="340" spans="1:10" x14ac:dyDescent="0.25">
      <c r="A340" t="s">
        <v>607</v>
      </c>
      <c r="B340" t="s">
        <v>43</v>
      </c>
      <c r="C340" t="s">
        <v>257</v>
      </c>
      <c r="D340" s="1">
        <v>45096</v>
      </c>
      <c r="E340">
        <v>8</v>
      </c>
      <c r="F340">
        <v>10.066587342421499</v>
      </c>
      <c r="G340" s="1">
        <v>45115</v>
      </c>
      <c r="H340" s="1">
        <v>45119</v>
      </c>
      <c r="I340">
        <v>80.532698739372506</v>
      </c>
      <c r="J340">
        <f t="shared" si="5"/>
        <v>4</v>
      </c>
    </row>
    <row r="341" spans="1:10" x14ac:dyDescent="0.25">
      <c r="A341" t="s">
        <v>608</v>
      </c>
      <c r="B341" t="s">
        <v>64</v>
      </c>
      <c r="C341" t="s">
        <v>71</v>
      </c>
      <c r="D341" s="1">
        <v>44215</v>
      </c>
      <c r="E341">
        <v>14</v>
      </c>
      <c r="F341">
        <v>31.518047838176798</v>
      </c>
      <c r="G341" s="1">
        <v>44234</v>
      </c>
      <c r="H341" s="1">
        <v>44236</v>
      </c>
      <c r="I341">
        <v>441.25266973447498</v>
      </c>
      <c r="J341">
        <f t="shared" si="5"/>
        <v>2</v>
      </c>
    </row>
    <row r="342" spans="1:10" x14ac:dyDescent="0.25">
      <c r="A342" t="s">
        <v>609</v>
      </c>
      <c r="B342" t="s">
        <v>556</v>
      </c>
      <c r="C342" t="s">
        <v>610</v>
      </c>
      <c r="D342" s="1">
        <v>44482</v>
      </c>
      <c r="E342">
        <v>11</v>
      </c>
      <c r="F342">
        <v>30.1562942247126</v>
      </c>
      <c r="G342" s="1">
        <v>44495</v>
      </c>
      <c r="H342" s="1">
        <v>44494</v>
      </c>
      <c r="I342">
        <v>331.719236471839</v>
      </c>
      <c r="J342">
        <f t="shared" si="5"/>
        <v>-1</v>
      </c>
    </row>
    <row r="343" spans="1:10" x14ac:dyDescent="0.25">
      <c r="A343" t="s">
        <v>611</v>
      </c>
      <c r="B343" t="s">
        <v>472</v>
      </c>
      <c r="C343" t="s">
        <v>470</v>
      </c>
      <c r="D343" s="1">
        <v>44693</v>
      </c>
      <c r="E343">
        <v>13</v>
      </c>
      <c r="F343">
        <v>5.2601333348385797</v>
      </c>
      <c r="G343" s="1">
        <v>44704</v>
      </c>
      <c r="H343" s="1">
        <v>44708</v>
      </c>
      <c r="I343">
        <v>68.381733352901605</v>
      </c>
      <c r="J343">
        <f t="shared" si="5"/>
        <v>4</v>
      </c>
    </row>
    <row r="344" spans="1:10" x14ac:dyDescent="0.25">
      <c r="A344" t="s">
        <v>612</v>
      </c>
      <c r="B344" t="s">
        <v>79</v>
      </c>
      <c r="C344" t="s">
        <v>613</v>
      </c>
      <c r="D344" s="1">
        <v>45094</v>
      </c>
      <c r="E344">
        <v>17</v>
      </c>
      <c r="F344">
        <v>24.218698954452599</v>
      </c>
      <c r="G344" s="1">
        <v>45104</v>
      </c>
      <c r="H344" s="1">
        <v>45109</v>
      </c>
      <c r="I344">
        <v>411.71788222569398</v>
      </c>
      <c r="J344">
        <f t="shared" si="5"/>
        <v>5</v>
      </c>
    </row>
    <row r="345" spans="1:10" x14ac:dyDescent="0.25">
      <c r="A345" t="s">
        <v>614</v>
      </c>
      <c r="B345" t="s">
        <v>154</v>
      </c>
      <c r="C345" t="s">
        <v>380</v>
      </c>
      <c r="D345" s="1">
        <v>45285</v>
      </c>
      <c r="E345">
        <v>10</v>
      </c>
      <c r="F345">
        <v>67.702057418375503</v>
      </c>
      <c r="G345" s="1">
        <v>45300</v>
      </c>
      <c r="H345" s="1">
        <v>45298</v>
      </c>
      <c r="I345">
        <v>677.020574183755</v>
      </c>
      <c r="J345">
        <f t="shared" si="5"/>
        <v>-2</v>
      </c>
    </row>
    <row r="346" spans="1:10" x14ac:dyDescent="0.25">
      <c r="A346" t="s">
        <v>615</v>
      </c>
      <c r="B346" t="s">
        <v>140</v>
      </c>
      <c r="C346" t="s">
        <v>195</v>
      </c>
      <c r="D346" s="1">
        <v>44374</v>
      </c>
      <c r="E346">
        <v>10</v>
      </c>
      <c r="F346">
        <v>10.108317614951901</v>
      </c>
      <c r="G346" s="1">
        <v>44385</v>
      </c>
      <c r="H346" s="1">
        <v>44383</v>
      </c>
      <c r="I346">
        <v>101.08317614951901</v>
      </c>
      <c r="J346">
        <f t="shared" si="5"/>
        <v>-2</v>
      </c>
    </row>
    <row r="347" spans="1:10" x14ac:dyDescent="0.25">
      <c r="A347" t="s">
        <v>616</v>
      </c>
      <c r="B347" t="s">
        <v>617</v>
      </c>
      <c r="C347" t="s">
        <v>413</v>
      </c>
      <c r="D347" s="1">
        <v>44646</v>
      </c>
      <c r="E347">
        <v>9</v>
      </c>
      <c r="F347">
        <v>79.739358192736105</v>
      </c>
      <c r="G347" s="1">
        <v>44659</v>
      </c>
      <c r="H347" s="1">
        <v>44664</v>
      </c>
      <c r="I347">
        <v>717.65422373462502</v>
      </c>
      <c r="J347">
        <f t="shared" si="5"/>
        <v>5</v>
      </c>
    </row>
    <row r="348" spans="1:10" x14ac:dyDescent="0.25">
      <c r="A348" t="s">
        <v>618</v>
      </c>
      <c r="B348" t="s">
        <v>104</v>
      </c>
      <c r="C348" t="s">
        <v>302</v>
      </c>
      <c r="D348" s="1">
        <v>44921</v>
      </c>
      <c r="E348">
        <v>9</v>
      </c>
      <c r="F348">
        <v>48.221386657929102</v>
      </c>
      <c r="G348" s="1">
        <v>44941</v>
      </c>
      <c r="H348" s="1">
        <v>44943</v>
      </c>
      <c r="I348">
        <v>433.992479921361</v>
      </c>
      <c r="J348">
        <f t="shared" si="5"/>
        <v>2</v>
      </c>
    </row>
    <row r="349" spans="1:10" x14ac:dyDescent="0.25">
      <c r="A349" t="s">
        <v>619</v>
      </c>
      <c r="B349" t="s">
        <v>40</v>
      </c>
      <c r="C349" t="s">
        <v>38</v>
      </c>
      <c r="D349" s="1">
        <v>45097</v>
      </c>
      <c r="E349">
        <v>10</v>
      </c>
      <c r="F349">
        <v>58.807176319403197</v>
      </c>
      <c r="G349" s="1">
        <v>45113</v>
      </c>
      <c r="H349" s="1">
        <v>45110</v>
      </c>
      <c r="I349">
        <v>588.07176319403197</v>
      </c>
      <c r="J349">
        <f t="shared" si="5"/>
        <v>-3</v>
      </c>
    </row>
    <row r="350" spans="1:10" x14ac:dyDescent="0.25">
      <c r="A350" t="s">
        <v>620</v>
      </c>
      <c r="B350" t="s">
        <v>114</v>
      </c>
      <c r="C350" t="s">
        <v>341</v>
      </c>
      <c r="D350" s="1">
        <v>45150</v>
      </c>
      <c r="E350">
        <v>22</v>
      </c>
      <c r="F350">
        <v>72.791096284076602</v>
      </c>
      <c r="G350" s="1">
        <v>45172</v>
      </c>
      <c r="H350" s="1">
        <v>45170</v>
      </c>
      <c r="I350">
        <v>1601.4041182496801</v>
      </c>
      <c r="J350">
        <f t="shared" si="5"/>
        <v>-2</v>
      </c>
    </row>
    <row r="351" spans="1:10" x14ac:dyDescent="0.25">
      <c r="A351" t="s">
        <v>621</v>
      </c>
      <c r="B351" t="s">
        <v>617</v>
      </c>
      <c r="C351" t="s">
        <v>155</v>
      </c>
      <c r="D351" s="1">
        <v>45324</v>
      </c>
      <c r="E351">
        <v>13</v>
      </c>
      <c r="F351">
        <v>26.651269024724701</v>
      </c>
      <c r="G351" s="1">
        <v>45337</v>
      </c>
      <c r="H351" s="1">
        <v>45342</v>
      </c>
      <c r="I351">
        <v>346.466497321421</v>
      </c>
      <c r="J351">
        <f t="shared" si="5"/>
        <v>5</v>
      </c>
    </row>
    <row r="352" spans="1:10" x14ac:dyDescent="0.25">
      <c r="A352" t="s">
        <v>622</v>
      </c>
      <c r="B352" t="s">
        <v>350</v>
      </c>
      <c r="C352" t="s">
        <v>623</v>
      </c>
      <c r="D352" s="1">
        <v>44218</v>
      </c>
      <c r="E352">
        <v>11</v>
      </c>
      <c r="F352">
        <v>43.156867770378597</v>
      </c>
      <c r="G352" s="1">
        <v>44236</v>
      </c>
      <c r="H352" s="1">
        <v>44237</v>
      </c>
      <c r="I352">
        <v>474.72554547416502</v>
      </c>
      <c r="J352">
        <f t="shared" si="5"/>
        <v>1</v>
      </c>
    </row>
    <row r="353" spans="1:10" x14ac:dyDescent="0.25">
      <c r="A353" t="s">
        <v>624</v>
      </c>
      <c r="B353" t="s">
        <v>207</v>
      </c>
      <c r="C353" t="s">
        <v>623</v>
      </c>
      <c r="D353" s="1">
        <v>44520</v>
      </c>
      <c r="E353">
        <v>7</v>
      </c>
      <c r="F353">
        <v>55.369876864231699</v>
      </c>
      <c r="G353" s="1">
        <v>44542</v>
      </c>
      <c r="H353" s="1">
        <v>44547</v>
      </c>
      <c r="I353">
        <v>387.589138049621</v>
      </c>
      <c r="J353">
        <f t="shared" si="5"/>
        <v>5</v>
      </c>
    </row>
    <row r="354" spans="1:10" x14ac:dyDescent="0.25">
      <c r="A354" t="s">
        <v>625</v>
      </c>
      <c r="B354" t="s">
        <v>539</v>
      </c>
      <c r="C354" t="s">
        <v>527</v>
      </c>
      <c r="D354" s="1">
        <v>44449</v>
      </c>
      <c r="E354">
        <v>5</v>
      </c>
      <c r="F354">
        <v>64.691781205039504</v>
      </c>
      <c r="G354" s="1">
        <v>44469</v>
      </c>
      <c r="H354" s="1">
        <v>44466</v>
      </c>
      <c r="I354">
        <v>323.458906025197</v>
      </c>
      <c r="J354">
        <f t="shared" si="5"/>
        <v>-3</v>
      </c>
    </row>
    <row r="355" spans="1:10" x14ac:dyDescent="0.25">
      <c r="A355" t="s">
        <v>626</v>
      </c>
      <c r="B355" t="s">
        <v>427</v>
      </c>
      <c r="C355" t="s">
        <v>627</v>
      </c>
      <c r="D355" s="1">
        <v>45196</v>
      </c>
      <c r="E355">
        <v>13</v>
      </c>
      <c r="F355">
        <v>55.6176359646497</v>
      </c>
      <c r="G355" s="1">
        <v>45217</v>
      </c>
      <c r="H355" s="1">
        <v>45217</v>
      </c>
      <c r="I355">
        <v>723.02926754044699</v>
      </c>
      <c r="J355">
        <f t="shared" si="5"/>
        <v>0</v>
      </c>
    </row>
    <row r="356" spans="1:10" x14ac:dyDescent="0.25">
      <c r="A356" t="s">
        <v>628</v>
      </c>
      <c r="B356" t="s">
        <v>379</v>
      </c>
      <c r="C356" t="s">
        <v>629</v>
      </c>
      <c r="D356" s="1">
        <v>44904</v>
      </c>
      <c r="E356">
        <v>6</v>
      </c>
      <c r="F356">
        <v>77.427361550386195</v>
      </c>
      <c r="G356" s="1">
        <v>44920</v>
      </c>
      <c r="H356" s="1">
        <v>44921</v>
      </c>
      <c r="I356">
        <v>464.564169302317</v>
      </c>
      <c r="J356">
        <f t="shared" si="5"/>
        <v>1</v>
      </c>
    </row>
    <row r="357" spans="1:10" x14ac:dyDescent="0.25">
      <c r="A357" t="s">
        <v>630</v>
      </c>
      <c r="B357" t="s">
        <v>189</v>
      </c>
      <c r="C357" t="s">
        <v>346</v>
      </c>
      <c r="D357" s="1">
        <v>44612</v>
      </c>
      <c r="E357">
        <v>7</v>
      </c>
      <c r="F357">
        <v>22.447384790188799</v>
      </c>
      <c r="G357" s="1">
        <v>44635</v>
      </c>
      <c r="H357" s="1">
        <v>44637</v>
      </c>
      <c r="I357">
        <v>157.13169353132099</v>
      </c>
      <c r="J357">
        <f t="shared" si="5"/>
        <v>2</v>
      </c>
    </row>
    <row r="358" spans="1:10" x14ac:dyDescent="0.25">
      <c r="A358" t="s">
        <v>631</v>
      </c>
      <c r="B358" t="s">
        <v>194</v>
      </c>
      <c r="C358" t="s">
        <v>20</v>
      </c>
      <c r="D358" s="1">
        <v>44845</v>
      </c>
      <c r="E358">
        <v>10</v>
      </c>
      <c r="F358">
        <v>77.814999632381202</v>
      </c>
      <c r="G358" s="1">
        <v>44865</v>
      </c>
      <c r="H358" s="1">
        <v>44865</v>
      </c>
      <c r="I358">
        <v>778.14999632381205</v>
      </c>
      <c r="J358">
        <f t="shared" si="5"/>
        <v>0</v>
      </c>
    </row>
    <row r="359" spans="1:10" x14ac:dyDescent="0.25">
      <c r="A359" t="s">
        <v>632</v>
      </c>
      <c r="B359" t="s">
        <v>324</v>
      </c>
      <c r="C359" t="s">
        <v>297</v>
      </c>
      <c r="D359" s="1">
        <v>45320</v>
      </c>
      <c r="E359">
        <v>11</v>
      </c>
      <c r="F359">
        <v>49.6130584767023</v>
      </c>
      <c r="G359" s="1">
        <v>45333</v>
      </c>
      <c r="H359" s="1">
        <v>45333</v>
      </c>
      <c r="I359">
        <v>545.74364324372505</v>
      </c>
      <c r="J359">
        <f t="shared" si="5"/>
        <v>0</v>
      </c>
    </row>
    <row r="360" spans="1:10" x14ac:dyDescent="0.25">
      <c r="A360" t="s">
        <v>633</v>
      </c>
      <c r="B360" t="s">
        <v>326</v>
      </c>
      <c r="C360" t="s">
        <v>421</v>
      </c>
      <c r="D360" s="1">
        <v>45139</v>
      </c>
      <c r="E360">
        <v>13</v>
      </c>
      <c r="F360">
        <v>72.254953044744198</v>
      </c>
      <c r="G360" s="1">
        <v>45149</v>
      </c>
      <c r="H360" s="1">
        <v>45146</v>
      </c>
      <c r="I360">
        <v>939.31438958167496</v>
      </c>
      <c r="J360">
        <f t="shared" si="5"/>
        <v>-3</v>
      </c>
    </row>
    <row r="361" spans="1:10" x14ac:dyDescent="0.25">
      <c r="A361" t="s">
        <v>634</v>
      </c>
      <c r="B361" t="s">
        <v>301</v>
      </c>
      <c r="C361" t="s">
        <v>210</v>
      </c>
      <c r="D361" s="1">
        <v>45240</v>
      </c>
      <c r="E361">
        <v>6</v>
      </c>
      <c r="F361">
        <v>15.403970799743901</v>
      </c>
      <c r="G361" s="1">
        <v>45253</v>
      </c>
      <c r="H361" s="1">
        <v>45259</v>
      </c>
      <c r="I361">
        <v>92.423824798463798</v>
      </c>
      <c r="J361">
        <f t="shared" si="5"/>
        <v>6</v>
      </c>
    </row>
    <row r="362" spans="1:10" x14ac:dyDescent="0.25">
      <c r="A362" t="s">
        <v>635</v>
      </c>
      <c r="B362" t="s">
        <v>119</v>
      </c>
      <c r="C362" t="s">
        <v>170</v>
      </c>
      <c r="D362" s="1">
        <v>44748</v>
      </c>
      <c r="E362">
        <v>15</v>
      </c>
      <c r="F362">
        <v>31.284249493155802</v>
      </c>
      <c r="G362" s="1">
        <v>44764</v>
      </c>
      <c r="H362" s="1">
        <v>44770</v>
      </c>
      <c r="I362">
        <v>469.26374239733701</v>
      </c>
      <c r="J362">
        <f t="shared" si="5"/>
        <v>6</v>
      </c>
    </row>
    <row r="363" spans="1:10" x14ac:dyDescent="0.25">
      <c r="A363" t="s">
        <v>636</v>
      </c>
      <c r="B363" t="s">
        <v>379</v>
      </c>
      <c r="C363" t="s">
        <v>41</v>
      </c>
      <c r="D363" s="1">
        <v>44248</v>
      </c>
      <c r="E363">
        <v>10</v>
      </c>
      <c r="F363">
        <v>19.768778151015699</v>
      </c>
      <c r="G363" s="1">
        <v>44259</v>
      </c>
      <c r="H363" s="1">
        <v>44263</v>
      </c>
      <c r="I363">
        <v>197.68778151015701</v>
      </c>
      <c r="J363">
        <f t="shared" si="5"/>
        <v>4</v>
      </c>
    </row>
    <row r="364" spans="1:10" x14ac:dyDescent="0.25">
      <c r="A364" t="s">
        <v>637</v>
      </c>
      <c r="B364" t="s">
        <v>242</v>
      </c>
      <c r="C364" t="s">
        <v>144</v>
      </c>
      <c r="D364" s="1">
        <v>44920</v>
      </c>
      <c r="E364">
        <v>9</v>
      </c>
      <c r="F364">
        <v>52.777093124989499</v>
      </c>
      <c r="G364" s="1">
        <v>44934</v>
      </c>
      <c r="H364" s="1">
        <v>44939</v>
      </c>
      <c r="I364">
        <v>474.99383812490601</v>
      </c>
      <c r="J364">
        <f t="shared" si="5"/>
        <v>5</v>
      </c>
    </row>
    <row r="365" spans="1:10" x14ac:dyDescent="0.25">
      <c r="A365" t="s">
        <v>638</v>
      </c>
      <c r="B365" t="s">
        <v>76</v>
      </c>
      <c r="C365" t="s">
        <v>413</v>
      </c>
      <c r="D365" s="1">
        <v>44232</v>
      </c>
      <c r="E365">
        <v>17</v>
      </c>
      <c r="F365">
        <v>4.0285093912714203</v>
      </c>
      <c r="G365" s="1">
        <v>44256</v>
      </c>
      <c r="H365" s="1">
        <v>44260</v>
      </c>
      <c r="I365">
        <v>68.484659651614194</v>
      </c>
      <c r="J365">
        <f t="shared" si="5"/>
        <v>4</v>
      </c>
    </row>
    <row r="366" spans="1:10" x14ac:dyDescent="0.25">
      <c r="A366" t="s">
        <v>639</v>
      </c>
      <c r="B366" t="s">
        <v>67</v>
      </c>
      <c r="C366" t="s">
        <v>415</v>
      </c>
      <c r="D366" s="1">
        <v>45169</v>
      </c>
      <c r="E366">
        <v>10</v>
      </c>
      <c r="F366">
        <v>14.180684894788</v>
      </c>
      <c r="G366" s="1">
        <v>45187</v>
      </c>
      <c r="H366" s="1">
        <v>45188</v>
      </c>
      <c r="I366">
        <v>141.80684894788001</v>
      </c>
      <c r="J366">
        <f t="shared" si="5"/>
        <v>1</v>
      </c>
    </row>
    <row r="367" spans="1:10" x14ac:dyDescent="0.25">
      <c r="A367" t="s">
        <v>640</v>
      </c>
      <c r="B367" t="s">
        <v>88</v>
      </c>
      <c r="C367" t="s">
        <v>187</v>
      </c>
      <c r="D367" s="1">
        <v>45390</v>
      </c>
      <c r="E367">
        <v>10</v>
      </c>
      <c r="F367">
        <v>34.739063180511401</v>
      </c>
      <c r="G367" s="1">
        <v>45407</v>
      </c>
      <c r="H367" s="1">
        <v>45404</v>
      </c>
      <c r="I367">
        <v>347.39063180511403</v>
      </c>
      <c r="J367">
        <f t="shared" si="5"/>
        <v>-3</v>
      </c>
    </row>
    <row r="368" spans="1:10" x14ac:dyDescent="0.25">
      <c r="A368" t="s">
        <v>641</v>
      </c>
      <c r="B368" t="s">
        <v>321</v>
      </c>
      <c r="C368" t="s">
        <v>279</v>
      </c>
      <c r="D368" s="1">
        <v>45246</v>
      </c>
      <c r="E368">
        <v>10</v>
      </c>
      <c r="F368">
        <v>42.523389185698598</v>
      </c>
      <c r="G368" s="1">
        <v>45260</v>
      </c>
      <c r="H368" s="1">
        <v>45258</v>
      </c>
      <c r="I368">
        <v>425.23389185698602</v>
      </c>
      <c r="J368">
        <f t="shared" si="5"/>
        <v>-2</v>
      </c>
    </row>
    <row r="369" spans="1:10" x14ac:dyDescent="0.25">
      <c r="A369" t="s">
        <v>642</v>
      </c>
      <c r="B369" t="s">
        <v>176</v>
      </c>
      <c r="C369" t="s">
        <v>167</v>
      </c>
      <c r="D369" s="1">
        <v>45230</v>
      </c>
      <c r="E369">
        <v>14</v>
      </c>
      <c r="F369">
        <v>39.067968311405302</v>
      </c>
      <c r="G369" s="1">
        <v>45243</v>
      </c>
      <c r="H369" s="1">
        <v>45241</v>
      </c>
      <c r="I369">
        <v>546.95155635967501</v>
      </c>
      <c r="J369">
        <f t="shared" si="5"/>
        <v>-2</v>
      </c>
    </row>
    <row r="370" spans="1:10" x14ac:dyDescent="0.25">
      <c r="A370" t="s">
        <v>643</v>
      </c>
      <c r="B370" t="s">
        <v>179</v>
      </c>
      <c r="C370" t="s">
        <v>146</v>
      </c>
      <c r="D370" s="1">
        <v>44468</v>
      </c>
      <c r="E370">
        <v>10</v>
      </c>
      <c r="F370">
        <v>76.990580408196905</v>
      </c>
      <c r="G370" s="1">
        <v>44485</v>
      </c>
      <c r="H370" s="1">
        <v>44486</v>
      </c>
      <c r="I370">
        <v>769.90580408196899</v>
      </c>
      <c r="J370">
        <f t="shared" si="5"/>
        <v>1</v>
      </c>
    </row>
    <row r="371" spans="1:10" x14ac:dyDescent="0.25">
      <c r="A371" t="s">
        <v>644</v>
      </c>
      <c r="B371" t="s">
        <v>114</v>
      </c>
      <c r="C371" t="s">
        <v>217</v>
      </c>
      <c r="D371" s="1">
        <v>44978</v>
      </c>
      <c r="E371">
        <v>3</v>
      </c>
      <c r="F371">
        <v>72.663596736847694</v>
      </c>
      <c r="G371" s="1">
        <v>44989</v>
      </c>
      <c r="H371" s="1">
        <v>44989</v>
      </c>
      <c r="I371">
        <v>217.990790210543</v>
      </c>
      <c r="J371">
        <f t="shared" si="5"/>
        <v>0</v>
      </c>
    </row>
    <row r="372" spans="1:10" x14ac:dyDescent="0.25">
      <c r="A372" t="s">
        <v>645</v>
      </c>
      <c r="B372" t="s">
        <v>40</v>
      </c>
      <c r="C372" t="s">
        <v>540</v>
      </c>
      <c r="D372" s="1">
        <v>44770</v>
      </c>
      <c r="E372">
        <v>11</v>
      </c>
      <c r="F372">
        <v>64.294434686751799</v>
      </c>
      <c r="G372" s="1">
        <v>44783</v>
      </c>
      <c r="H372" s="1">
        <v>44789</v>
      </c>
      <c r="I372">
        <v>707.23878155426996</v>
      </c>
      <c r="J372">
        <f t="shared" si="5"/>
        <v>6</v>
      </c>
    </row>
    <row r="373" spans="1:10" x14ac:dyDescent="0.25">
      <c r="A373" t="s">
        <v>646</v>
      </c>
      <c r="B373" t="s">
        <v>237</v>
      </c>
      <c r="C373" t="s">
        <v>102</v>
      </c>
      <c r="D373" s="1">
        <v>45004</v>
      </c>
      <c r="E373">
        <v>12</v>
      </c>
      <c r="F373">
        <v>44.209428232733501</v>
      </c>
      <c r="G373" s="1">
        <v>45028</v>
      </c>
      <c r="H373" s="1">
        <v>45027</v>
      </c>
      <c r="I373">
        <v>530.51313879280201</v>
      </c>
      <c r="J373">
        <f t="shared" si="5"/>
        <v>-1</v>
      </c>
    </row>
    <row r="374" spans="1:10" x14ac:dyDescent="0.25">
      <c r="A374" t="s">
        <v>647</v>
      </c>
      <c r="B374" t="s">
        <v>442</v>
      </c>
      <c r="C374" t="s">
        <v>138</v>
      </c>
      <c r="D374" s="1">
        <v>45280</v>
      </c>
      <c r="E374">
        <v>12</v>
      </c>
      <c r="F374">
        <v>45.4781581323832</v>
      </c>
      <c r="G374" s="1">
        <v>45296</v>
      </c>
      <c r="H374" s="1">
        <v>45299</v>
      </c>
      <c r="I374">
        <v>545.737897588598</v>
      </c>
      <c r="J374">
        <f t="shared" si="5"/>
        <v>3</v>
      </c>
    </row>
    <row r="375" spans="1:10" x14ac:dyDescent="0.25">
      <c r="A375" t="s">
        <v>648</v>
      </c>
      <c r="B375" t="s">
        <v>219</v>
      </c>
      <c r="C375" t="s">
        <v>402</v>
      </c>
      <c r="D375" s="1">
        <v>44799</v>
      </c>
      <c r="E375">
        <v>15</v>
      </c>
      <c r="F375">
        <v>23.925639151508001</v>
      </c>
      <c r="G375" s="1">
        <v>44820</v>
      </c>
      <c r="H375" s="1">
        <v>44820</v>
      </c>
      <c r="I375">
        <v>358.88458727262002</v>
      </c>
      <c r="J375">
        <f t="shared" si="5"/>
        <v>0</v>
      </c>
    </row>
    <row r="376" spans="1:10" x14ac:dyDescent="0.25">
      <c r="A376" t="s">
        <v>649</v>
      </c>
      <c r="B376" t="s">
        <v>64</v>
      </c>
      <c r="C376" t="s">
        <v>254</v>
      </c>
      <c r="D376" s="1">
        <v>44540</v>
      </c>
      <c r="E376">
        <v>13</v>
      </c>
      <c r="F376">
        <v>55.907119335583801</v>
      </c>
      <c r="G376" s="1">
        <v>44561</v>
      </c>
      <c r="H376" s="1">
        <v>44562</v>
      </c>
      <c r="I376">
        <v>726.79255136258905</v>
      </c>
      <c r="J376">
        <f t="shared" si="5"/>
        <v>1</v>
      </c>
    </row>
    <row r="377" spans="1:10" x14ac:dyDescent="0.25">
      <c r="A377" t="s">
        <v>650</v>
      </c>
      <c r="B377" t="s">
        <v>295</v>
      </c>
      <c r="C377" t="s">
        <v>208</v>
      </c>
      <c r="D377" s="1">
        <v>45121</v>
      </c>
      <c r="E377">
        <v>8</v>
      </c>
      <c r="F377">
        <v>52.1027493660646</v>
      </c>
      <c r="G377" s="1">
        <v>45136</v>
      </c>
      <c r="H377" s="1">
        <v>45134</v>
      </c>
      <c r="I377">
        <v>416.82199492851697</v>
      </c>
      <c r="J377">
        <f t="shared" si="5"/>
        <v>-2</v>
      </c>
    </row>
    <row r="378" spans="1:10" x14ac:dyDescent="0.25">
      <c r="A378" t="s">
        <v>651</v>
      </c>
      <c r="B378" t="s">
        <v>61</v>
      </c>
      <c r="C378" t="s">
        <v>224</v>
      </c>
      <c r="D378" s="1">
        <v>44311</v>
      </c>
      <c r="E378">
        <v>7</v>
      </c>
      <c r="F378">
        <v>37.569602235796701</v>
      </c>
      <c r="G378" s="1">
        <v>44321</v>
      </c>
      <c r="H378" s="1">
        <v>44326</v>
      </c>
      <c r="I378">
        <v>262.98721565057701</v>
      </c>
      <c r="J378">
        <f t="shared" si="5"/>
        <v>5</v>
      </c>
    </row>
    <row r="379" spans="1:10" x14ac:dyDescent="0.25">
      <c r="A379" t="s">
        <v>652</v>
      </c>
      <c r="B379" t="s">
        <v>240</v>
      </c>
      <c r="C379" t="s">
        <v>187</v>
      </c>
      <c r="D379" s="1">
        <v>44218</v>
      </c>
      <c r="E379">
        <v>9</v>
      </c>
      <c r="F379">
        <v>38.971387464162397</v>
      </c>
      <c r="G379" s="1">
        <v>44237</v>
      </c>
      <c r="H379" s="1">
        <v>44241</v>
      </c>
      <c r="I379">
        <v>350.74248717746201</v>
      </c>
      <c r="J379">
        <f t="shared" si="5"/>
        <v>4</v>
      </c>
    </row>
    <row r="380" spans="1:10" x14ac:dyDescent="0.25">
      <c r="A380" t="s">
        <v>653</v>
      </c>
      <c r="B380" t="s">
        <v>130</v>
      </c>
      <c r="C380" t="s">
        <v>654</v>
      </c>
      <c r="D380" s="1">
        <v>44518</v>
      </c>
      <c r="E380">
        <v>10</v>
      </c>
      <c r="F380">
        <v>63.325457481417203</v>
      </c>
      <c r="G380" s="1">
        <v>44535</v>
      </c>
      <c r="H380" s="1">
        <v>44533</v>
      </c>
      <c r="I380">
        <v>633.25457481417197</v>
      </c>
      <c r="J380">
        <f t="shared" si="5"/>
        <v>-2</v>
      </c>
    </row>
    <row r="381" spans="1:10" x14ac:dyDescent="0.25">
      <c r="A381" t="s">
        <v>655</v>
      </c>
      <c r="B381" t="s">
        <v>382</v>
      </c>
      <c r="C381" t="s">
        <v>272</v>
      </c>
      <c r="D381" s="1">
        <v>44401</v>
      </c>
      <c r="E381">
        <v>9</v>
      </c>
      <c r="F381">
        <v>55.9739774311819</v>
      </c>
      <c r="G381" s="1">
        <v>44421</v>
      </c>
      <c r="H381" s="1">
        <v>44420</v>
      </c>
      <c r="I381">
        <v>503.76579688063703</v>
      </c>
      <c r="J381">
        <f t="shared" si="5"/>
        <v>-1</v>
      </c>
    </row>
    <row r="382" spans="1:10" x14ac:dyDescent="0.25">
      <c r="A382" t="s">
        <v>656</v>
      </c>
      <c r="B382" t="s">
        <v>88</v>
      </c>
      <c r="C382" t="s">
        <v>623</v>
      </c>
      <c r="D382" s="1">
        <v>45105</v>
      </c>
      <c r="E382">
        <v>11</v>
      </c>
      <c r="F382">
        <v>7.7408786874004996</v>
      </c>
      <c r="G382" s="1">
        <v>45118</v>
      </c>
      <c r="H382" s="1">
        <v>45117</v>
      </c>
      <c r="I382">
        <v>85.149665561405499</v>
      </c>
      <c r="J382">
        <f t="shared" si="5"/>
        <v>-1</v>
      </c>
    </row>
    <row r="383" spans="1:10" x14ac:dyDescent="0.25">
      <c r="A383" t="s">
        <v>657</v>
      </c>
      <c r="B383" t="s">
        <v>295</v>
      </c>
      <c r="C383" t="s">
        <v>308</v>
      </c>
      <c r="D383" s="1">
        <v>45206</v>
      </c>
      <c r="E383">
        <v>9</v>
      </c>
      <c r="F383">
        <v>12.4079220144197</v>
      </c>
      <c r="G383" s="1">
        <v>45226</v>
      </c>
      <c r="H383" s="1">
        <v>45226</v>
      </c>
      <c r="I383">
        <v>111.671298129777</v>
      </c>
      <c r="J383">
        <f t="shared" si="5"/>
        <v>0</v>
      </c>
    </row>
    <row r="384" spans="1:10" x14ac:dyDescent="0.25">
      <c r="A384" t="s">
        <v>658</v>
      </c>
      <c r="B384" t="s">
        <v>321</v>
      </c>
      <c r="C384" t="s">
        <v>297</v>
      </c>
      <c r="D384" s="1">
        <v>44293</v>
      </c>
      <c r="E384">
        <v>13</v>
      </c>
      <c r="F384">
        <v>70.966015905410501</v>
      </c>
      <c r="G384" s="1">
        <v>44317</v>
      </c>
      <c r="H384" s="1">
        <v>44314</v>
      </c>
      <c r="I384">
        <v>922.55820677033705</v>
      </c>
      <c r="J384">
        <f t="shared" si="5"/>
        <v>-3</v>
      </c>
    </row>
    <row r="385" spans="1:10" x14ac:dyDescent="0.25">
      <c r="A385" t="s">
        <v>659</v>
      </c>
      <c r="B385" t="s">
        <v>482</v>
      </c>
      <c r="C385" t="s">
        <v>540</v>
      </c>
      <c r="D385" s="1">
        <v>44428</v>
      </c>
      <c r="E385">
        <v>11</v>
      </c>
      <c r="F385">
        <v>38.656485487796999</v>
      </c>
      <c r="G385" s="1">
        <v>44446</v>
      </c>
      <c r="H385" s="1">
        <v>44452</v>
      </c>
      <c r="I385">
        <v>425.22134036576699</v>
      </c>
      <c r="J385">
        <f t="shared" si="5"/>
        <v>6</v>
      </c>
    </row>
    <row r="386" spans="1:10" x14ac:dyDescent="0.25">
      <c r="A386" t="s">
        <v>660</v>
      </c>
      <c r="B386" t="s">
        <v>88</v>
      </c>
      <c r="C386" t="s">
        <v>661</v>
      </c>
      <c r="D386" s="1">
        <v>44730</v>
      </c>
      <c r="E386">
        <v>6</v>
      </c>
      <c r="F386">
        <v>42.755936407705299</v>
      </c>
      <c r="G386" s="1">
        <v>44753</v>
      </c>
      <c r="H386" s="1">
        <v>44755</v>
      </c>
      <c r="I386">
        <v>256.53561844623198</v>
      </c>
      <c r="J386">
        <f t="shared" si="5"/>
        <v>2</v>
      </c>
    </row>
    <row r="387" spans="1:10" x14ac:dyDescent="0.25">
      <c r="A387" t="s">
        <v>662</v>
      </c>
      <c r="B387" t="s">
        <v>157</v>
      </c>
      <c r="C387" t="s">
        <v>521</v>
      </c>
      <c r="D387" s="1">
        <v>44734</v>
      </c>
      <c r="E387">
        <v>14</v>
      </c>
      <c r="F387">
        <v>61.419143230924199</v>
      </c>
      <c r="G387" s="1">
        <v>44747</v>
      </c>
      <c r="H387" s="1">
        <v>44753</v>
      </c>
      <c r="I387">
        <v>859.86800523293903</v>
      </c>
      <c r="J387">
        <f t="shared" ref="J387:J450" si="6">H387-G387</f>
        <v>6</v>
      </c>
    </row>
    <row r="388" spans="1:10" x14ac:dyDescent="0.25">
      <c r="A388" t="s">
        <v>663</v>
      </c>
      <c r="B388" t="s">
        <v>154</v>
      </c>
      <c r="C388" t="s">
        <v>664</v>
      </c>
      <c r="D388" s="1">
        <v>44392</v>
      </c>
      <c r="E388">
        <v>8</v>
      </c>
      <c r="F388">
        <v>56.839610469102503</v>
      </c>
      <c r="G388" s="1">
        <v>44402</v>
      </c>
      <c r="H388" s="1">
        <v>44408</v>
      </c>
      <c r="I388">
        <v>454.71688375282002</v>
      </c>
      <c r="J388">
        <f t="shared" si="6"/>
        <v>6</v>
      </c>
    </row>
    <row r="389" spans="1:10" x14ac:dyDescent="0.25">
      <c r="A389" t="s">
        <v>665</v>
      </c>
      <c r="B389" t="s">
        <v>261</v>
      </c>
      <c r="C389" t="s">
        <v>540</v>
      </c>
      <c r="D389" s="1">
        <v>45148</v>
      </c>
      <c r="E389">
        <v>12</v>
      </c>
      <c r="F389">
        <v>27.799240286342599</v>
      </c>
      <c r="G389" s="1">
        <v>45162</v>
      </c>
      <c r="H389" s="1">
        <v>45163</v>
      </c>
      <c r="I389">
        <v>333.59088343611103</v>
      </c>
      <c r="J389">
        <f t="shared" si="6"/>
        <v>1</v>
      </c>
    </row>
    <row r="390" spans="1:10" x14ac:dyDescent="0.25">
      <c r="A390" t="s">
        <v>666</v>
      </c>
      <c r="B390" t="s">
        <v>247</v>
      </c>
      <c r="C390" t="s">
        <v>152</v>
      </c>
      <c r="D390" s="1">
        <v>44629</v>
      </c>
      <c r="E390">
        <v>6</v>
      </c>
      <c r="F390">
        <v>55.400776387823001</v>
      </c>
      <c r="G390" s="1">
        <v>44652</v>
      </c>
      <c r="H390" s="1">
        <v>44650</v>
      </c>
      <c r="I390">
        <v>332.40465832693798</v>
      </c>
      <c r="J390">
        <f t="shared" si="6"/>
        <v>-2</v>
      </c>
    </row>
    <row r="391" spans="1:10" x14ac:dyDescent="0.25">
      <c r="A391" t="s">
        <v>667</v>
      </c>
      <c r="B391" t="s">
        <v>267</v>
      </c>
      <c r="C391" t="s">
        <v>668</v>
      </c>
      <c r="D391" s="1">
        <v>44934</v>
      </c>
      <c r="E391">
        <v>12</v>
      </c>
      <c r="F391">
        <v>65.5746662927789</v>
      </c>
      <c r="G391" s="1">
        <v>44955</v>
      </c>
      <c r="H391" s="1">
        <v>44958</v>
      </c>
      <c r="I391">
        <v>786.89599551334697</v>
      </c>
      <c r="J391">
        <f t="shared" si="6"/>
        <v>3</v>
      </c>
    </row>
    <row r="392" spans="1:10" x14ac:dyDescent="0.25">
      <c r="A392" t="s">
        <v>669</v>
      </c>
      <c r="B392" t="s">
        <v>324</v>
      </c>
      <c r="C392" t="s">
        <v>112</v>
      </c>
      <c r="D392" s="1">
        <v>44947</v>
      </c>
      <c r="E392">
        <v>13</v>
      </c>
      <c r="F392">
        <v>75.425171438418701</v>
      </c>
      <c r="G392" s="1">
        <v>44964</v>
      </c>
      <c r="H392" s="1">
        <v>44969</v>
      </c>
      <c r="I392">
        <v>980.52722869944296</v>
      </c>
      <c r="J392">
        <f t="shared" si="6"/>
        <v>5</v>
      </c>
    </row>
    <row r="393" spans="1:10" x14ac:dyDescent="0.25">
      <c r="A393" t="s">
        <v>670</v>
      </c>
      <c r="B393" t="s">
        <v>43</v>
      </c>
      <c r="C393" t="s">
        <v>184</v>
      </c>
      <c r="D393" s="1">
        <v>45133</v>
      </c>
      <c r="E393">
        <v>12</v>
      </c>
      <c r="F393">
        <v>43.229132515747096</v>
      </c>
      <c r="G393" s="1">
        <v>45153</v>
      </c>
      <c r="H393" s="1">
        <v>45159</v>
      </c>
      <c r="I393">
        <v>518.74959018896504</v>
      </c>
      <c r="J393">
        <f t="shared" si="6"/>
        <v>6</v>
      </c>
    </row>
    <row r="394" spans="1:10" x14ac:dyDescent="0.25">
      <c r="A394" t="s">
        <v>671</v>
      </c>
      <c r="B394" t="s">
        <v>472</v>
      </c>
      <c r="C394" t="s">
        <v>165</v>
      </c>
      <c r="D394" s="1">
        <v>44623</v>
      </c>
      <c r="E394">
        <v>13</v>
      </c>
      <c r="F394">
        <v>56.082397254342297</v>
      </c>
      <c r="G394" s="1">
        <v>44634</v>
      </c>
      <c r="H394" s="1">
        <v>44639</v>
      </c>
      <c r="I394">
        <v>729.07116430644896</v>
      </c>
      <c r="J394">
        <f t="shared" si="6"/>
        <v>5</v>
      </c>
    </row>
    <row r="395" spans="1:10" x14ac:dyDescent="0.25">
      <c r="A395" t="s">
        <v>672</v>
      </c>
      <c r="B395" t="s">
        <v>119</v>
      </c>
      <c r="C395" t="s">
        <v>317</v>
      </c>
      <c r="D395" s="1">
        <v>44541</v>
      </c>
      <c r="E395">
        <v>9</v>
      </c>
      <c r="F395">
        <v>70.787545401240607</v>
      </c>
      <c r="G395" s="1">
        <v>44555</v>
      </c>
      <c r="H395" s="1">
        <v>44556</v>
      </c>
      <c r="I395">
        <v>637.08790861116495</v>
      </c>
      <c r="J395">
        <f t="shared" si="6"/>
        <v>1</v>
      </c>
    </row>
    <row r="396" spans="1:10" x14ac:dyDescent="0.25">
      <c r="A396" t="s">
        <v>673</v>
      </c>
      <c r="B396" t="s">
        <v>442</v>
      </c>
      <c r="C396" t="s">
        <v>268</v>
      </c>
      <c r="D396" s="1">
        <v>44579</v>
      </c>
      <c r="E396">
        <v>8</v>
      </c>
      <c r="F396">
        <v>48.731061104471898</v>
      </c>
      <c r="G396" s="1">
        <v>44592</v>
      </c>
      <c r="H396" s="1">
        <v>44590</v>
      </c>
      <c r="I396">
        <v>389.84848883577502</v>
      </c>
      <c r="J396">
        <f t="shared" si="6"/>
        <v>-2</v>
      </c>
    </row>
    <row r="397" spans="1:10" x14ac:dyDescent="0.25">
      <c r="A397" t="s">
        <v>674</v>
      </c>
      <c r="B397" t="s">
        <v>340</v>
      </c>
      <c r="C397" t="s">
        <v>233</v>
      </c>
      <c r="D397" s="1">
        <v>45038</v>
      </c>
      <c r="E397">
        <v>7</v>
      </c>
      <c r="F397">
        <v>67.796738370822695</v>
      </c>
      <c r="G397" s="1">
        <v>45061</v>
      </c>
      <c r="H397" s="1">
        <v>45067</v>
      </c>
      <c r="I397">
        <v>474.577168595758</v>
      </c>
      <c r="J397">
        <f t="shared" si="6"/>
        <v>6</v>
      </c>
    </row>
    <row r="398" spans="1:10" x14ac:dyDescent="0.25">
      <c r="A398" t="s">
        <v>675</v>
      </c>
      <c r="B398" t="s">
        <v>394</v>
      </c>
      <c r="C398" t="s">
        <v>92</v>
      </c>
      <c r="D398" s="1">
        <v>45204</v>
      </c>
      <c r="E398">
        <v>15</v>
      </c>
      <c r="F398">
        <v>59.867278450142798</v>
      </c>
      <c r="G398" s="1">
        <v>45222</v>
      </c>
      <c r="H398" s="1">
        <v>45220</v>
      </c>
      <c r="I398">
        <v>898.00917675214203</v>
      </c>
      <c r="J398">
        <f t="shared" si="6"/>
        <v>-2</v>
      </c>
    </row>
    <row r="399" spans="1:10" x14ac:dyDescent="0.25">
      <c r="A399" t="s">
        <v>676</v>
      </c>
      <c r="B399" t="s">
        <v>19</v>
      </c>
      <c r="C399" t="s">
        <v>453</v>
      </c>
      <c r="D399" s="1">
        <v>45245</v>
      </c>
      <c r="E399">
        <v>9</v>
      </c>
      <c r="F399">
        <v>30.307510665518901</v>
      </c>
      <c r="G399" s="1">
        <v>45257</v>
      </c>
      <c r="H399" s="1">
        <v>45261</v>
      </c>
      <c r="I399">
        <v>272.76759598966999</v>
      </c>
      <c r="J399">
        <f t="shared" si="6"/>
        <v>4</v>
      </c>
    </row>
    <row r="400" spans="1:10" x14ac:dyDescent="0.25">
      <c r="A400" t="s">
        <v>677</v>
      </c>
      <c r="B400" t="s">
        <v>19</v>
      </c>
      <c r="C400" t="s">
        <v>262</v>
      </c>
      <c r="D400" s="1">
        <v>44826</v>
      </c>
      <c r="E400">
        <v>14</v>
      </c>
      <c r="F400">
        <v>65.230673540248503</v>
      </c>
      <c r="G400" s="1">
        <v>44843</v>
      </c>
      <c r="H400" s="1">
        <v>44848</v>
      </c>
      <c r="I400">
        <v>913.22942956348004</v>
      </c>
      <c r="J400">
        <f t="shared" si="6"/>
        <v>5</v>
      </c>
    </row>
    <row r="401" spans="1:10" x14ac:dyDescent="0.25">
      <c r="A401" t="s">
        <v>678</v>
      </c>
      <c r="B401" t="s">
        <v>198</v>
      </c>
      <c r="C401" t="s">
        <v>192</v>
      </c>
      <c r="D401" s="1">
        <v>44257</v>
      </c>
      <c r="E401">
        <v>8</v>
      </c>
      <c r="F401">
        <v>32.0403734948828</v>
      </c>
      <c r="G401" s="1">
        <v>44274</v>
      </c>
      <c r="H401" s="1">
        <v>44275</v>
      </c>
      <c r="I401">
        <v>256.322987959062</v>
      </c>
      <c r="J401">
        <f t="shared" si="6"/>
        <v>1</v>
      </c>
    </row>
    <row r="402" spans="1:10" x14ac:dyDescent="0.25">
      <c r="A402" t="s">
        <v>679</v>
      </c>
      <c r="B402" t="s">
        <v>556</v>
      </c>
      <c r="C402" t="s">
        <v>297</v>
      </c>
      <c r="D402" s="1">
        <v>44238</v>
      </c>
      <c r="E402">
        <v>7</v>
      </c>
      <c r="F402">
        <v>35.416169256607702</v>
      </c>
      <c r="G402" s="1">
        <v>44257</v>
      </c>
      <c r="H402" s="1">
        <v>44254</v>
      </c>
      <c r="I402">
        <v>247.913184796254</v>
      </c>
      <c r="J402">
        <f t="shared" si="6"/>
        <v>-3</v>
      </c>
    </row>
    <row r="403" spans="1:10" x14ac:dyDescent="0.25">
      <c r="A403" t="s">
        <v>680</v>
      </c>
      <c r="B403" t="s">
        <v>43</v>
      </c>
      <c r="C403" t="s">
        <v>328</v>
      </c>
      <c r="D403" s="1">
        <v>44892</v>
      </c>
      <c r="E403">
        <v>11</v>
      </c>
      <c r="F403">
        <v>61.017263315012897</v>
      </c>
      <c r="G403" s="1">
        <v>44912</v>
      </c>
      <c r="H403" s="1">
        <v>44910</v>
      </c>
      <c r="I403">
        <v>671.18989646514206</v>
      </c>
      <c r="J403">
        <f t="shared" si="6"/>
        <v>-2</v>
      </c>
    </row>
    <row r="404" spans="1:10" x14ac:dyDescent="0.25">
      <c r="A404" t="s">
        <v>681</v>
      </c>
      <c r="B404" t="s">
        <v>61</v>
      </c>
      <c r="C404" t="s">
        <v>504</v>
      </c>
      <c r="D404" s="1">
        <v>44453</v>
      </c>
      <c r="E404">
        <v>8</v>
      </c>
      <c r="F404">
        <v>55.105789294433897</v>
      </c>
      <c r="G404" s="1">
        <v>44476</v>
      </c>
      <c r="H404" s="1">
        <v>44480</v>
      </c>
      <c r="I404">
        <v>440.84631435547101</v>
      </c>
      <c r="J404">
        <f t="shared" si="6"/>
        <v>4</v>
      </c>
    </row>
    <row r="405" spans="1:10" x14ac:dyDescent="0.25">
      <c r="A405" t="s">
        <v>682</v>
      </c>
      <c r="B405" t="s">
        <v>564</v>
      </c>
      <c r="C405" t="s">
        <v>432</v>
      </c>
      <c r="D405" s="1">
        <v>45293</v>
      </c>
      <c r="E405">
        <v>10</v>
      </c>
      <c r="F405">
        <v>27.988363504056998</v>
      </c>
      <c r="G405" s="1">
        <v>45307</v>
      </c>
      <c r="H405" s="1">
        <v>45310</v>
      </c>
      <c r="I405">
        <v>279.88363504057003</v>
      </c>
      <c r="J405">
        <f t="shared" si="6"/>
        <v>3</v>
      </c>
    </row>
    <row r="406" spans="1:10" x14ac:dyDescent="0.25">
      <c r="A406" t="s">
        <v>683</v>
      </c>
      <c r="B406" t="s">
        <v>564</v>
      </c>
      <c r="C406" t="s">
        <v>594</v>
      </c>
      <c r="D406" s="1">
        <v>44801</v>
      </c>
      <c r="E406">
        <v>14</v>
      </c>
      <c r="F406">
        <v>10.610803977676399</v>
      </c>
      <c r="G406" s="1">
        <v>44817</v>
      </c>
      <c r="H406" s="1">
        <v>44822</v>
      </c>
      <c r="I406">
        <v>148.55125568746999</v>
      </c>
      <c r="J406">
        <f t="shared" si="6"/>
        <v>5</v>
      </c>
    </row>
    <row r="407" spans="1:10" x14ac:dyDescent="0.25">
      <c r="A407" t="s">
        <v>684</v>
      </c>
      <c r="B407" t="s">
        <v>203</v>
      </c>
      <c r="C407" t="s">
        <v>363</v>
      </c>
      <c r="D407" s="1">
        <v>45149</v>
      </c>
      <c r="E407">
        <v>15</v>
      </c>
      <c r="F407">
        <v>77.352644353048703</v>
      </c>
      <c r="G407" s="1">
        <v>45172</v>
      </c>
      <c r="H407" s="1">
        <v>45170</v>
      </c>
      <c r="I407">
        <v>1160.2896652957299</v>
      </c>
      <c r="J407">
        <f t="shared" si="6"/>
        <v>-2</v>
      </c>
    </row>
    <row r="408" spans="1:10" x14ac:dyDescent="0.25">
      <c r="A408" t="s">
        <v>685</v>
      </c>
      <c r="B408" t="s">
        <v>686</v>
      </c>
      <c r="C408" t="s">
        <v>421</v>
      </c>
      <c r="D408" s="1">
        <v>45018</v>
      </c>
      <c r="E408">
        <v>6</v>
      </c>
      <c r="F408">
        <v>51.314846522385203</v>
      </c>
      <c r="G408" s="1">
        <v>45041</v>
      </c>
      <c r="H408" s="1">
        <v>45040</v>
      </c>
      <c r="I408">
        <v>307.88907913431098</v>
      </c>
      <c r="J408">
        <f t="shared" si="6"/>
        <v>-1</v>
      </c>
    </row>
    <row r="409" spans="1:10" x14ac:dyDescent="0.25">
      <c r="A409" t="s">
        <v>687</v>
      </c>
      <c r="B409" t="s">
        <v>124</v>
      </c>
      <c r="C409" t="s">
        <v>428</v>
      </c>
      <c r="D409" s="1">
        <v>44707</v>
      </c>
      <c r="E409">
        <v>11</v>
      </c>
      <c r="F409">
        <v>66.462026420324094</v>
      </c>
      <c r="G409" s="1">
        <v>44719</v>
      </c>
      <c r="H409" s="1">
        <v>44716</v>
      </c>
      <c r="I409">
        <v>731.082290623566</v>
      </c>
      <c r="J409">
        <f t="shared" si="6"/>
        <v>-3</v>
      </c>
    </row>
    <row r="410" spans="1:10" x14ac:dyDescent="0.25">
      <c r="A410" t="s">
        <v>688</v>
      </c>
      <c r="B410" t="s">
        <v>154</v>
      </c>
      <c r="C410" t="s">
        <v>689</v>
      </c>
      <c r="D410" s="1">
        <v>44850</v>
      </c>
      <c r="E410">
        <v>4</v>
      </c>
      <c r="F410">
        <v>4.0277316945545198</v>
      </c>
      <c r="G410" s="1">
        <v>44868</v>
      </c>
      <c r="H410" s="1">
        <v>44870</v>
      </c>
      <c r="I410">
        <v>16.110926778218101</v>
      </c>
      <c r="J410">
        <f t="shared" si="6"/>
        <v>2</v>
      </c>
    </row>
    <row r="411" spans="1:10" x14ac:dyDescent="0.25">
      <c r="A411" t="s">
        <v>690</v>
      </c>
      <c r="B411" t="s">
        <v>205</v>
      </c>
      <c r="C411" t="s">
        <v>691</v>
      </c>
      <c r="D411" s="1">
        <v>44232</v>
      </c>
      <c r="E411">
        <v>7</v>
      </c>
      <c r="F411">
        <v>14.622981918470201</v>
      </c>
      <c r="G411" s="1">
        <v>44244</v>
      </c>
      <c r="H411" s="1">
        <v>44250</v>
      </c>
      <c r="I411">
        <v>102.360873429292</v>
      </c>
      <c r="J411">
        <f t="shared" si="6"/>
        <v>6</v>
      </c>
    </row>
    <row r="412" spans="1:10" x14ac:dyDescent="0.25">
      <c r="A412" t="s">
        <v>692</v>
      </c>
      <c r="B412" t="s">
        <v>686</v>
      </c>
      <c r="C412" t="s">
        <v>693</v>
      </c>
      <c r="D412" s="1">
        <v>44994</v>
      </c>
      <c r="E412">
        <v>8</v>
      </c>
      <c r="F412">
        <v>32.039550811405697</v>
      </c>
      <c r="G412" s="1">
        <v>45018</v>
      </c>
      <c r="H412" s="1">
        <v>45019</v>
      </c>
      <c r="I412">
        <v>256.31640649124603</v>
      </c>
      <c r="J412">
        <f t="shared" si="6"/>
        <v>1</v>
      </c>
    </row>
    <row r="413" spans="1:10" x14ac:dyDescent="0.25">
      <c r="A413" t="s">
        <v>694</v>
      </c>
      <c r="B413" t="s">
        <v>109</v>
      </c>
      <c r="C413" t="s">
        <v>230</v>
      </c>
      <c r="D413" s="1">
        <v>45188</v>
      </c>
      <c r="E413">
        <v>4</v>
      </c>
      <c r="F413">
        <v>5.7234883675024602</v>
      </c>
      <c r="G413" s="1">
        <v>45202</v>
      </c>
      <c r="H413" s="1">
        <v>45203</v>
      </c>
      <c r="I413">
        <v>22.893953470009802</v>
      </c>
      <c r="J413">
        <f t="shared" si="6"/>
        <v>1</v>
      </c>
    </row>
    <row r="414" spans="1:10" x14ac:dyDescent="0.25">
      <c r="A414" t="s">
        <v>695</v>
      </c>
      <c r="B414" t="s">
        <v>299</v>
      </c>
      <c r="C414" t="s">
        <v>589</v>
      </c>
      <c r="D414" s="1">
        <v>45118</v>
      </c>
      <c r="E414">
        <v>11</v>
      </c>
      <c r="F414">
        <v>31.131860156182501</v>
      </c>
      <c r="G414" s="1">
        <v>45136</v>
      </c>
      <c r="H414" s="1">
        <v>45138</v>
      </c>
      <c r="I414">
        <v>342.45046171800698</v>
      </c>
      <c r="J414">
        <f t="shared" si="6"/>
        <v>2</v>
      </c>
    </row>
    <row r="415" spans="1:10" x14ac:dyDescent="0.25">
      <c r="A415" t="s">
        <v>696</v>
      </c>
      <c r="B415" t="s">
        <v>16</v>
      </c>
      <c r="C415" t="s">
        <v>245</v>
      </c>
      <c r="D415" s="1">
        <v>44460</v>
      </c>
      <c r="E415">
        <v>11</v>
      </c>
      <c r="F415">
        <v>77.253559523791097</v>
      </c>
      <c r="G415" s="1">
        <v>44476</v>
      </c>
      <c r="H415" s="1">
        <v>44478</v>
      </c>
      <c r="I415">
        <v>849.78915476170198</v>
      </c>
      <c r="J415">
        <f t="shared" si="6"/>
        <v>2</v>
      </c>
    </row>
    <row r="416" spans="1:10" x14ac:dyDescent="0.25">
      <c r="A416" t="s">
        <v>697</v>
      </c>
      <c r="B416" t="s">
        <v>104</v>
      </c>
      <c r="C416" t="s">
        <v>600</v>
      </c>
      <c r="D416" s="1">
        <v>44357</v>
      </c>
      <c r="E416">
        <v>6</v>
      </c>
      <c r="F416">
        <v>40.693032047234801</v>
      </c>
      <c r="G416" s="1">
        <v>44369</v>
      </c>
      <c r="H416" s="1">
        <v>44371</v>
      </c>
      <c r="I416">
        <v>244.15819228340899</v>
      </c>
      <c r="J416">
        <f t="shared" si="6"/>
        <v>2</v>
      </c>
    </row>
    <row r="417" spans="1:10" x14ac:dyDescent="0.25">
      <c r="A417" t="s">
        <v>698</v>
      </c>
      <c r="B417" t="s">
        <v>46</v>
      </c>
      <c r="C417" t="s">
        <v>133</v>
      </c>
      <c r="D417" s="1">
        <v>44656</v>
      </c>
      <c r="E417">
        <v>13</v>
      </c>
      <c r="F417">
        <v>13.6519436932261</v>
      </c>
      <c r="G417" s="1">
        <v>44678</v>
      </c>
      <c r="H417" s="1">
        <v>44678</v>
      </c>
      <c r="I417">
        <v>177.47526801193899</v>
      </c>
      <c r="J417">
        <f t="shared" si="6"/>
        <v>0</v>
      </c>
    </row>
    <row r="418" spans="1:10" x14ac:dyDescent="0.25">
      <c r="A418" t="s">
        <v>699</v>
      </c>
      <c r="B418" t="s">
        <v>40</v>
      </c>
      <c r="C418" t="s">
        <v>268</v>
      </c>
      <c r="D418" s="1">
        <v>44443</v>
      </c>
      <c r="E418">
        <v>14</v>
      </c>
      <c r="F418">
        <v>47.191802199832097</v>
      </c>
      <c r="G418" s="1">
        <v>44467</v>
      </c>
      <c r="H418" s="1">
        <v>44467</v>
      </c>
      <c r="I418">
        <v>660.68523079764896</v>
      </c>
      <c r="J418">
        <f t="shared" si="6"/>
        <v>0</v>
      </c>
    </row>
    <row r="419" spans="1:10" x14ac:dyDescent="0.25">
      <c r="A419" t="s">
        <v>700</v>
      </c>
      <c r="B419" t="s">
        <v>301</v>
      </c>
      <c r="C419" t="s">
        <v>701</v>
      </c>
      <c r="D419" s="1">
        <v>44681</v>
      </c>
      <c r="E419">
        <v>15</v>
      </c>
      <c r="F419">
        <v>61.049482652379297</v>
      </c>
      <c r="G419" s="1">
        <v>44695</v>
      </c>
      <c r="H419" s="1">
        <v>44699</v>
      </c>
      <c r="I419">
        <v>915.74223978568898</v>
      </c>
      <c r="J419">
        <f t="shared" si="6"/>
        <v>4</v>
      </c>
    </row>
    <row r="420" spans="1:10" x14ac:dyDescent="0.25">
      <c r="A420" t="s">
        <v>702</v>
      </c>
      <c r="B420" t="s">
        <v>179</v>
      </c>
      <c r="C420" t="s">
        <v>703</v>
      </c>
      <c r="D420" s="1">
        <v>44478</v>
      </c>
      <c r="E420">
        <v>10</v>
      </c>
      <c r="F420">
        <v>54.3455422653957</v>
      </c>
      <c r="G420" s="1">
        <v>44490</v>
      </c>
      <c r="H420" s="1">
        <v>44487</v>
      </c>
      <c r="I420">
        <v>543.45542265395704</v>
      </c>
      <c r="J420">
        <f t="shared" si="6"/>
        <v>-3</v>
      </c>
    </row>
    <row r="421" spans="1:10" x14ac:dyDescent="0.25">
      <c r="A421" t="s">
        <v>704</v>
      </c>
      <c r="B421" t="s">
        <v>28</v>
      </c>
      <c r="C421" t="s">
        <v>434</v>
      </c>
      <c r="D421" s="1">
        <v>44864</v>
      </c>
      <c r="E421">
        <v>12</v>
      </c>
      <c r="F421">
        <v>47.746025803366699</v>
      </c>
      <c r="G421" s="1">
        <v>44879</v>
      </c>
      <c r="H421" s="1">
        <v>44883</v>
      </c>
      <c r="I421">
        <v>572.95230964040002</v>
      </c>
      <c r="J421">
        <f t="shared" si="6"/>
        <v>4</v>
      </c>
    </row>
    <row r="422" spans="1:10" x14ac:dyDescent="0.25">
      <c r="A422" t="s">
        <v>705</v>
      </c>
      <c r="B422" t="s">
        <v>61</v>
      </c>
      <c r="C422" t="s">
        <v>228</v>
      </c>
      <c r="D422" s="1">
        <v>44293</v>
      </c>
      <c r="E422">
        <v>14</v>
      </c>
      <c r="F422">
        <v>40.3484069264724</v>
      </c>
      <c r="G422" s="1">
        <v>44314</v>
      </c>
      <c r="H422" s="1">
        <v>44319</v>
      </c>
      <c r="I422">
        <v>564.87769697061299</v>
      </c>
      <c r="J422">
        <f t="shared" si="6"/>
        <v>5</v>
      </c>
    </row>
    <row r="423" spans="1:10" x14ac:dyDescent="0.25">
      <c r="A423" t="s">
        <v>706</v>
      </c>
      <c r="B423" t="s">
        <v>539</v>
      </c>
      <c r="C423" t="s">
        <v>629</v>
      </c>
      <c r="D423" s="1">
        <v>44402</v>
      </c>
      <c r="E423">
        <v>14</v>
      </c>
      <c r="F423">
        <v>49.6114287246155</v>
      </c>
      <c r="G423" s="1">
        <v>44415</v>
      </c>
      <c r="H423" s="1">
        <v>44419</v>
      </c>
      <c r="I423">
        <v>694.56000214461699</v>
      </c>
      <c r="J423">
        <f t="shared" si="6"/>
        <v>4</v>
      </c>
    </row>
    <row r="424" spans="1:10" x14ac:dyDescent="0.25">
      <c r="A424" t="s">
        <v>707</v>
      </c>
      <c r="B424" t="s">
        <v>564</v>
      </c>
      <c r="C424" t="s">
        <v>14</v>
      </c>
      <c r="D424" s="1">
        <v>44610</v>
      </c>
      <c r="E424">
        <v>7</v>
      </c>
      <c r="F424">
        <v>12.269537144109099</v>
      </c>
      <c r="G424" s="1">
        <v>44625</v>
      </c>
      <c r="H424" s="1">
        <v>44626</v>
      </c>
      <c r="I424">
        <v>85.886760008764199</v>
      </c>
      <c r="J424">
        <f t="shared" si="6"/>
        <v>1</v>
      </c>
    </row>
    <row r="425" spans="1:10" x14ac:dyDescent="0.25">
      <c r="A425" t="s">
        <v>708</v>
      </c>
      <c r="B425" t="s">
        <v>326</v>
      </c>
      <c r="C425" t="s">
        <v>150</v>
      </c>
      <c r="D425" s="1">
        <v>45124</v>
      </c>
      <c r="E425">
        <v>13</v>
      </c>
      <c r="F425">
        <v>52.646075273157798</v>
      </c>
      <c r="G425" s="1">
        <v>45139</v>
      </c>
      <c r="H425" s="1">
        <v>45143</v>
      </c>
      <c r="I425">
        <v>684.39897855105198</v>
      </c>
      <c r="J425">
        <f t="shared" si="6"/>
        <v>4</v>
      </c>
    </row>
    <row r="426" spans="1:10" x14ac:dyDescent="0.25">
      <c r="A426" t="s">
        <v>709</v>
      </c>
      <c r="B426" t="s">
        <v>119</v>
      </c>
      <c r="C426" t="s">
        <v>259</v>
      </c>
      <c r="D426" s="1">
        <v>45015</v>
      </c>
      <c r="E426">
        <v>15</v>
      </c>
      <c r="F426">
        <v>9.8289098931400005</v>
      </c>
      <c r="G426" s="1">
        <v>45039</v>
      </c>
      <c r="H426" s="1">
        <v>45040</v>
      </c>
      <c r="I426">
        <v>147.4336483971</v>
      </c>
      <c r="J426">
        <f t="shared" si="6"/>
        <v>1</v>
      </c>
    </row>
    <row r="427" spans="1:10" x14ac:dyDescent="0.25">
      <c r="A427" t="s">
        <v>710</v>
      </c>
      <c r="B427" t="s">
        <v>140</v>
      </c>
      <c r="C427" t="s">
        <v>693</v>
      </c>
      <c r="D427" s="1">
        <v>44953</v>
      </c>
      <c r="E427">
        <v>15</v>
      </c>
      <c r="F427">
        <v>40.978061506173802</v>
      </c>
      <c r="G427" s="1">
        <v>44972</v>
      </c>
      <c r="H427" s="1">
        <v>44972</v>
      </c>
      <c r="I427">
        <v>614.67092259260801</v>
      </c>
      <c r="J427">
        <f t="shared" si="6"/>
        <v>0</v>
      </c>
    </row>
    <row r="428" spans="1:10" x14ac:dyDescent="0.25">
      <c r="A428" t="s">
        <v>711</v>
      </c>
      <c r="B428" t="s">
        <v>288</v>
      </c>
      <c r="C428" t="s">
        <v>661</v>
      </c>
      <c r="D428" s="1">
        <v>44299</v>
      </c>
      <c r="E428">
        <v>16</v>
      </c>
      <c r="F428">
        <v>29.982365647497399</v>
      </c>
      <c r="G428" s="1">
        <v>44309</v>
      </c>
      <c r="H428" s="1">
        <v>44309</v>
      </c>
      <c r="I428">
        <v>479.71785035995902</v>
      </c>
      <c r="J428">
        <f t="shared" si="6"/>
        <v>0</v>
      </c>
    </row>
    <row r="429" spans="1:10" x14ac:dyDescent="0.25">
      <c r="A429" t="s">
        <v>712</v>
      </c>
      <c r="B429" t="s">
        <v>288</v>
      </c>
      <c r="C429" t="s">
        <v>17</v>
      </c>
      <c r="D429" s="1">
        <v>45072</v>
      </c>
      <c r="E429">
        <v>10</v>
      </c>
      <c r="F429">
        <v>51.541561265747298</v>
      </c>
      <c r="G429" s="1">
        <v>45087</v>
      </c>
      <c r="H429" s="1">
        <v>45088</v>
      </c>
      <c r="I429">
        <v>515.41561265747305</v>
      </c>
      <c r="J429">
        <f t="shared" si="6"/>
        <v>1</v>
      </c>
    </row>
    <row r="430" spans="1:10" x14ac:dyDescent="0.25">
      <c r="A430" t="s">
        <v>713</v>
      </c>
      <c r="B430" t="s">
        <v>49</v>
      </c>
      <c r="C430" t="s">
        <v>473</v>
      </c>
      <c r="D430" s="1">
        <v>44363</v>
      </c>
      <c r="E430">
        <v>12</v>
      </c>
      <c r="F430">
        <v>6.2644019286491197</v>
      </c>
      <c r="G430" s="1">
        <v>44383</v>
      </c>
      <c r="H430" s="1">
        <v>44382</v>
      </c>
      <c r="I430">
        <v>75.172823143789401</v>
      </c>
      <c r="J430">
        <f t="shared" si="6"/>
        <v>-1</v>
      </c>
    </row>
    <row r="431" spans="1:10" x14ac:dyDescent="0.25">
      <c r="A431" t="s">
        <v>714</v>
      </c>
      <c r="B431" t="s">
        <v>359</v>
      </c>
      <c r="C431" t="s">
        <v>547</v>
      </c>
      <c r="D431" s="1">
        <v>44415</v>
      </c>
      <c r="E431">
        <v>15</v>
      </c>
      <c r="F431">
        <v>77.017404093576204</v>
      </c>
      <c r="G431" s="1">
        <v>44428</v>
      </c>
      <c r="H431" s="1">
        <v>44434</v>
      </c>
      <c r="I431">
        <v>1155.26106140364</v>
      </c>
      <c r="J431">
        <f t="shared" si="6"/>
        <v>6</v>
      </c>
    </row>
    <row r="432" spans="1:10" x14ac:dyDescent="0.25">
      <c r="A432" t="s">
        <v>715</v>
      </c>
      <c r="B432" t="s">
        <v>43</v>
      </c>
      <c r="C432" t="s">
        <v>691</v>
      </c>
      <c r="D432" s="1">
        <v>45325</v>
      </c>
      <c r="E432">
        <v>10</v>
      </c>
      <c r="F432">
        <v>33.588139177215297</v>
      </c>
      <c r="G432" s="1">
        <v>45339</v>
      </c>
      <c r="H432" s="1">
        <v>45345</v>
      </c>
      <c r="I432">
        <v>335.88139177215299</v>
      </c>
      <c r="J432">
        <f t="shared" si="6"/>
        <v>6</v>
      </c>
    </row>
    <row r="433" spans="1:10" x14ac:dyDescent="0.25">
      <c r="A433" t="s">
        <v>716</v>
      </c>
      <c r="B433" t="s">
        <v>96</v>
      </c>
      <c r="C433" t="s">
        <v>453</v>
      </c>
      <c r="D433" s="1">
        <v>44324</v>
      </c>
      <c r="E433">
        <v>10</v>
      </c>
      <c r="F433">
        <v>52.839435548963998</v>
      </c>
      <c r="G433" s="1">
        <v>44343</v>
      </c>
      <c r="H433" s="1">
        <v>44342</v>
      </c>
      <c r="I433">
        <v>528.39435548964002</v>
      </c>
      <c r="J433">
        <f t="shared" si="6"/>
        <v>-1</v>
      </c>
    </row>
    <row r="434" spans="1:10" x14ac:dyDescent="0.25">
      <c r="A434" t="s">
        <v>717</v>
      </c>
      <c r="B434" t="s">
        <v>174</v>
      </c>
      <c r="C434" t="s">
        <v>718</v>
      </c>
      <c r="D434" s="1">
        <v>44244</v>
      </c>
      <c r="E434">
        <v>13</v>
      </c>
      <c r="F434">
        <v>15.742334542468701</v>
      </c>
      <c r="G434" s="1">
        <v>44254</v>
      </c>
      <c r="H434" s="1">
        <v>44254</v>
      </c>
      <c r="I434">
        <v>204.65034905209299</v>
      </c>
      <c r="J434">
        <f t="shared" si="6"/>
        <v>0</v>
      </c>
    </row>
    <row r="435" spans="1:10" x14ac:dyDescent="0.25">
      <c r="A435" t="s">
        <v>719</v>
      </c>
      <c r="B435" t="s">
        <v>58</v>
      </c>
      <c r="C435" t="s">
        <v>720</v>
      </c>
      <c r="D435" s="1">
        <v>44777</v>
      </c>
      <c r="E435">
        <v>12</v>
      </c>
      <c r="F435">
        <v>61.781694911796997</v>
      </c>
      <c r="G435" s="1">
        <v>44794</v>
      </c>
      <c r="H435" s="1">
        <v>44795</v>
      </c>
      <c r="I435">
        <v>741.38033894156399</v>
      </c>
      <c r="J435">
        <f t="shared" si="6"/>
        <v>1</v>
      </c>
    </row>
    <row r="436" spans="1:10" x14ac:dyDescent="0.25">
      <c r="A436" t="s">
        <v>721</v>
      </c>
      <c r="B436" t="s">
        <v>194</v>
      </c>
      <c r="C436" t="s">
        <v>722</v>
      </c>
      <c r="D436" s="1">
        <v>45394</v>
      </c>
      <c r="E436">
        <v>9</v>
      </c>
      <c r="F436">
        <v>76.844112111847906</v>
      </c>
      <c r="G436" s="1">
        <v>45406</v>
      </c>
      <c r="H436" s="1">
        <v>45410</v>
      </c>
      <c r="I436">
        <v>691.59700900663097</v>
      </c>
      <c r="J436">
        <f t="shared" si="6"/>
        <v>4</v>
      </c>
    </row>
    <row r="437" spans="1:10" x14ac:dyDescent="0.25">
      <c r="A437" t="s">
        <v>723</v>
      </c>
      <c r="B437" t="s">
        <v>10</v>
      </c>
      <c r="C437" t="s">
        <v>47</v>
      </c>
      <c r="D437" s="1">
        <v>44698</v>
      </c>
      <c r="E437">
        <v>15</v>
      </c>
      <c r="F437">
        <v>41.213631374388299</v>
      </c>
      <c r="G437" s="1">
        <v>44719</v>
      </c>
      <c r="H437" s="1">
        <v>44717</v>
      </c>
      <c r="I437">
        <v>618.20447061582502</v>
      </c>
      <c r="J437">
        <f t="shared" si="6"/>
        <v>-2</v>
      </c>
    </row>
    <row r="438" spans="1:10" x14ac:dyDescent="0.25">
      <c r="A438" t="s">
        <v>724</v>
      </c>
      <c r="B438" t="s">
        <v>160</v>
      </c>
      <c r="C438" t="s">
        <v>100</v>
      </c>
      <c r="D438" s="1">
        <v>44948</v>
      </c>
      <c r="E438">
        <v>11</v>
      </c>
      <c r="F438">
        <v>34.485019012525399</v>
      </c>
      <c r="G438" s="1">
        <v>44961</v>
      </c>
      <c r="H438" s="1">
        <v>44966</v>
      </c>
      <c r="I438">
        <v>379.33520913778</v>
      </c>
      <c r="J438">
        <f t="shared" si="6"/>
        <v>5</v>
      </c>
    </row>
    <row r="439" spans="1:10" x14ac:dyDescent="0.25">
      <c r="A439" t="s">
        <v>725</v>
      </c>
      <c r="B439" t="s">
        <v>82</v>
      </c>
      <c r="C439" t="s">
        <v>701</v>
      </c>
      <c r="D439" s="1">
        <v>44649</v>
      </c>
      <c r="E439">
        <v>12</v>
      </c>
      <c r="F439">
        <v>67.721346708207093</v>
      </c>
      <c r="G439" s="1">
        <v>44661</v>
      </c>
      <c r="H439" s="1">
        <v>44662</v>
      </c>
      <c r="I439">
        <v>812.65616049848495</v>
      </c>
      <c r="J439">
        <f t="shared" si="6"/>
        <v>1</v>
      </c>
    </row>
    <row r="440" spans="1:10" x14ac:dyDescent="0.25">
      <c r="A440" t="s">
        <v>726</v>
      </c>
      <c r="B440" t="s">
        <v>324</v>
      </c>
      <c r="C440" t="s">
        <v>727</v>
      </c>
      <c r="D440" s="1">
        <v>44866</v>
      </c>
      <c r="E440">
        <v>10</v>
      </c>
      <c r="F440">
        <v>3.7418928607113502</v>
      </c>
      <c r="G440" s="1">
        <v>44883</v>
      </c>
      <c r="H440" s="1">
        <v>44884</v>
      </c>
      <c r="I440">
        <v>37.4189286071135</v>
      </c>
      <c r="J440">
        <f t="shared" si="6"/>
        <v>1</v>
      </c>
    </row>
    <row r="441" spans="1:10" x14ac:dyDescent="0.25">
      <c r="A441" t="s">
        <v>728</v>
      </c>
      <c r="B441" t="s">
        <v>28</v>
      </c>
      <c r="C441" t="s">
        <v>559</v>
      </c>
      <c r="D441" s="1">
        <v>44217</v>
      </c>
      <c r="E441">
        <v>10</v>
      </c>
      <c r="F441">
        <v>60.545231380052499</v>
      </c>
      <c r="G441" s="1">
        <v>44237</v>
      </c>
      <c r="H441" s="1">
        <v>44235</v>
      </c>
      <c r="I441">
        <v>605.45231380052496</v>
      </c>
      <c r="J441">
        <f t="shared" si="6"/>
        <v>-2</v>
      </c>
    </row>
    <row r="442" spans="1:10" x14ac:dyDescent="0.25">
      <c r="A442" t="s">
        <v>729</v>
      </c>
      <c r="B442" t="s">
        <v>314</v>
      </c>
      <c r="C442" t="s">
        <v>521</v>
      </c>
      <c r="D442" s="1">
        <v>45248</v>
      </c>
      <c r="E442">
        <v>14</v>
      </c>
      <c r="F442">
        <v>53.956255094076297</v>
      </c>
      <c r="G442" s="1">
        <v>45269</v>
      </c>
      <c r="H442" s="1">
        <v>45272</v>
      </c>
      <c r="I442">
        <v>755.38757131706802</v>
      </c>
      <c r="J442">
        <f t="shared" si="6"/>
        <v>3</v>
      </c>
    </row>
    <row r="443" spans="1:10" x14ac:dyDescent="0.25">
      <c r="A443" t="s">
        <v>730</v>
      </c>
      <c r="B443" t="s">
        <v>61</v>
      </c>
      <c r="C443" t="s">
        <v>600</v>
      </c>
      <c r="D443" s="1">
        <v>44762</v>
      </c>
      <c r="E443">
        <v>6</v>
      </c>
      <c r="F443">
        <v>12.463036630004201</v>
      </c>
      <c r="G443" s="1">
        <v>44781</v>
      </c>
      <c r="H443" s="1">
        <v>44785</v>
      </c>
      <c r="I443">
        <v>74.778219780025296</v>
      </c>
      <c r="J443">
        <f t="shared" si="6"/>
        <v>4</v>
      </c>
    </row>
    <row r="444" spans="1:10" x14ac:dyDescent="0.25">
      <c r="A444" t="s">
        <v>731</v>
      </c>
      <c r="B444" t="s">
        <v>299</v>
      </c>
      <c r="C444" t="s">
        <v>396</v>
      </c>
      <c r="D444" s="1">
        <v>44763</v>
      </c>
      <c r="E444">
        <v>13</v>
      </c>
      <c r="F444">
        <v>68.411900912335994</v>
      </c>
      <c r="G444" s="1">
        <v>44776</v>
      </c>
      <c r="H444" s="1">
        <v>44773</v>
      </c>
      <c r="I444">
        <v>889.35471186036898</v>
      </c>
      <c r="J444">
        <f t="shared" si="6"/>
        <v>-3</v>
      </c>
    </row>
    <row r="445" spans="1:10" x14ac:dyDescent="0.25">
      <c r="A445" t="s">
        <v>732</v>
      </c>
      <c r="B445" t="s">
        <v>160</v>
      </c>
      <c r="C445" t="s">
        <v>290</v>
      </c>
      <c r="D445" s="1">
        <v>45311</v>
      </c>
      <c r="E445">
        <v>6</v>
      </c>
      <c r="F445">
        <v>66.516814839441196</v>
      </c>
      <c r="G445" s="1">
        <v>45333</v>
      </c>
      <c r="H445" s="1">
        <v>45333</v>
      </c>
      <c r="I445">
        <v>399.100889036647</v>
      </c>
      <c r="J445">
        <f t="shared" si="6"/>
        <v>0</v>
      </c>
    </row>
    <row r="446" spans="1:10" x14ac:dyDescent="0.25">
      <c r="A446" t="s">
        <v>733</v>
      </c>
      <c r="B446" t="s">
        <v>321</v>
      </c>
      <c r="C446" t="s">
        <v>167</v>
      </c>
      <c r="D446" s="1">
        <v>44842</v>
      </c>
      <c r="E446">
        <v>11</v>
      </c>
      <c r="F446">
        <v>61.529619880981301</v>
      </c>
      <c r="G446" s="1">
        <v>44858</v>
      </c>
      <c r="H446" s="1">
        <v>44856</v>
      </c>
      <c r="I446">
        <v>676.82581869079399</v>
      </c>
      <c r="J446">
        <f t="shared" si="6"/>
        <v>-2</v>
      </c>
    </row>
    <row r="447" spans="1:10" x14ac:dyDescent="0.25">
      <c r="A447" t="s">
        <v>734</v>
      </c>
      <c r="B447" t="s">
        <v>31</v>
      </c>
      <c r="C447" t="s">
        <v>44</v>
      </c>
      <c r="D447" s="1">
        <v>44764</v>
      </c>
      <c r="E447">
        <v>14</v>
      </c>
      <c r="F447">
        <v>29.0789832921865</v>
      </c>
      <c r="G447" s="1">
        <v>44788</v>
      </c>
      <c r="H447" s="1">
        <v>44792</v>
      </c>
      <c r="I447">
        <v>407.10576609061098</v>
      </c>
      <c r="J447">
        <f t="shared" si="6"/>
        <v>4</v>
      </c>
    </row>
    <row r="448" spans="1:10" x14ac:dyDescent="0.25">
      <c r="A448" t="s">
        <v>735</v>
      </c>
      <c r="B448" t="s">
        <v>247</v>
      </c>
      <c r="C448" t="s">
        <v>177</v>
      </c>
      <c r="D448" s="1">
        <v>44397</v>
      </c>
      <c r="E448">
        <v>8</v>
      </c>
      <c r="F448">
        <v>39.443947018446003</v>
      </c>
      <c r="G448" s="1">
        <v>44408</v>
      </c>
      <c r="H448" s="1">
        <v>44407</v>
      </c>
      <c r="I448">
        <v>315.55157614756803</v>
      </c>
      <c r="J448">
        <f t="shared" si="6"/>
        <v>-1</v>
      </c>
    </row>
    <row r="449" spans="1:10" x14ac:dyDescent="0.25">
      <c r="A449" t="s">
        <v>736</v>
      </c>
      <c r="B449" t="s">
        <v>34</v>
      </c>
      <c r="C449" t="s">
        <v>77</v>
      </c>
      <c r="D449" s="1">
        <v>44927</v>
      </c>
      <c r="E449">
        <v>7</v>
      </c>
      <c r="F449">
        <v>29.500692003595301</v>
      </c>
      <c r="G449" s="1">
        <v>44947</v>
      </c>
      <c r="H449" s="1">
        <v>44945</v>
      </c>
      <c r="I449">
        <v>206.50484402516699</v>
      </c>
      <c r="J449">
        <f t="shared" si="6"/>
        <v>-2</v>
      </c>
    </row>
    <row r="450" spans="1:10" x14ac:dyDescent="0.25">
      <c r="A450" t="s">
        <v>737</v>
      </c>
      <c r="B450" t="s">
        <v>37</v>
      </c>
      <c r="C450" t="s">
        <v>430</v>
      </c>
      <c r="D450" s="1">
        <v>44860</v>
      </c>
      <c r="E450">
        <v>8</v>
      </c>
      <c r="F450">
        <v>11.152251778070401</v>
      </c>
      <c r="G450" s="1">
        <v>44876</v>
      </c>
      <c r="H450" s="1">
        <v>44882</v>
      </c>
      <c r="I450">
        <v>89.218014224563603</v>
      </c>
      <c r="J450">
        <f t="shared" si="6"/>
        <v>6</v>
      </c>
    </row>
    <row r="451" spans="1:10" x14ac:dyDescent="0.25">
      <c r="A451" t="s">
        <v>738</v>
      </c>
      <c r="B451" t="s">
        <v>564</v>
      </c>
      <c r="C451" t="s">
        <v>110</v>
      </c>
      <c r="D451" s="1">
        <v>44271</v>
      </c>
      <c r="E451">
        <v>16</v>
      </c>
      <c r="F451">
        <v>22.223499344846399</v>
      </c>
      <c r="G451" s="1">
        <v>44287</v>
      </c>
      <c r="H451" s="1">
        <v>44289</v>
      </c>
      <c r="I451">
        <v>355.57598951754301</v>
      </c>
      <c r="J451">
        <f t="shared" ref="J451:J514" si="7">H451-G451</f>
        <v>2</v>
      </c>
    </row>
    <row r="452" spans="1:10" x14ac:dyDescent="0.25">
      <c r="A452" t="s">
        <v>739</v>
      </c>
      <c r="B452" t="s">
        <v>58</v>
      </c>
      <c r="C452" t="s">
        <v>402</v>
      </c>
      <c r="D452" s="1">
        <v>44800</v>
      </c>
      <c r="E452">
        <v>16</v>
      </c>
      <c r="F452">
        <v>18.295405961935501</v>
      </c>
      <c r="G452" s="1">
        <v>44820</v>
      </c>
      <c r="H452" s="1">
        <v>44821</v>
      </c>
      <c r="I452">
        <v>292.72649539096801</v>
      </c>
      <c r="J452">
        <f t="shared" si="7"/>
        <v>1</v>
      </c>
    </row>
    <row r="453" spans="1:10" x14ac:dyDescent="0.25">
      <c r="A453" t="s">
        <v>740</v>
      </c>
      <c r="B453" t="s">
        <v>109</v>
      </c>
      <c r="C453" t="s">
        <v>415</v>
      </c>
      <c r="D453" s="1">
        <v>44887</v>
      </c>
      <c r="E453">
        <v>9</v>
      </c>
      <c r="F453">
        <v>13.964899395945199</v>
      </c>
      <c r="G453" s="1">
        <v>44910</v>
      </c>
      <c r="H453" s="1">
        <v>44908</v>
      </c>
      <c r="I453">
        <v>125.684094563507</v>
      </c>
      <c r="J453">
        <f t="shared" si="7"/>
        <v>-2</v>
      </c>
    </row>
    <row r="454" spans="1:10" x14ac:dyDescent="0.25">
      <c r="A454" t="s">
        <v>741</v>
      </c>
      <c r="B454" t="s">
        <v>49</v>
      </c>
      <c r="C454" t="s">
        <v>83</v>
      </c>
      <c r="D454" s="1">
        <v>44294</v>
      </c>
      <c r="E454">
        <v>9</v>
      </c>
      <c r="F454">
        <v>19.235062112451299</v>
      </c>
      <c r="G454" s="1">
        <v>44307</v>
      </c>
      <c r="H454" s="1">
        <v>44309</v>
      </c>
      <c r="I454">
        <v>173.115559012061</v>
      </c>
      <c r="J454">
        <f t="shared" si="7"/>
        <v>2</v>
      </c>
    </row>
    <row r="455" spans="1:10" x14ac:dyDescent="0.25">
      <c r="A455" t="s">
        <v>742</v>
      </c>
      <c r="B455" t="s">
        <v>76</v>
      </c>
      <c r="C455" t="s">
        <v>68</v>
      </c>
      <c r="D455" s="1">
        <v>45173</v>
      </c>
      <c r="E455">
        <v>11</v>
      </c>
      <c r="F455">
        <v>29.2868473408233</v>
      </c>
      <c r="G455" s="1">
        <v>45184</v>
      </c>
      <c r="H455" s="1">
        <v>45184</v>
      </c>
      <c r="I455">
        <v>322.15532074905599</v>
      </c>
      <c r="J455">
        <f t="shared" si="7"/>
        <v>0</v>
      </c>
    </row>
    <row r="456" spans="1:10" x14ac:dyDescent="0.25">
      <c r="A456" t="s">
        <v>743</v>
      </c>
      <c r="B456" t="s">
        <v>482</v>
      </c>
      <c r="C456" t="s">
        <v>418</v>
      </c>
      <c r="D456" s="1">
        <v>45158</v>
      </c>
      <c r="E456">
        <v>6</v>
      </c>
      <c r="F456">
        <v>41.620027607724801</v>
      </c>
      <c r="G456" s="1">
        <v>45177</v>
      </c>
      <c r="H456" s="1">
        <v>45179</v>
      </c>
      <c r="I456">
        <v>249.72016564634899</v>
      </c>
      <c r="J456">
        <f t="shared" si="7"/>
        <v>2</v>
      </c>
    </row>
    <row r="457" spans="1:10" x14ac:dyDescent="0.25">
      <c r="A457" t="s">
        <v>744</v>
      </c>
      <c r="B457" t="s">
        <v>43</v>
      </c>
      <c r="C457" t="s">
        <v>473</v>
      </c>
      <c r="D457" s="1">
        <v>45243</v>
      </c>
      <c r="E457">
        <v>9</v>
      </c>
      <c r="F457">
        <v>3.9392567615340899</v>
      </c>
      <c r="G457" s="1">
        <v>45256</v>
      </c>
      <c r="H457" s="1">
        <v>45260</v>
      </c>
      <c r="I457">
        <v>35.453310853806798</v>
      </c>
      <c r="J457">
        <f t="shared" si="7"/>
        <v>4</v>
      </c>
    </row>
    <row r="458" spans="1:10" x14ac:dyDescent="0.25">
      <c r="A458" t="s">
        <v>745</v>
      </c>
      <c r="B458" t="s">
        <v>121</v>
      </c>
      <c r="C458" t="s">
        <v>283</v>
      </c>
      <c r="D458" s="1">
        <v>44390</v>
      </c>
      <c r="E458">
        <v>8</v>
      </c>
      <c r="F458">
        <v>30.9939257580351</v>
      </c>
      <c r="G458" s="1">
        <v>44409</v>
      </c>
      <c r="H458" s="1">
        <v>44409</v>
      </c>
      <c r="I458">
        <v>247.951406064281</v>
      </c>
      <c r="J458">
        <f t="shared" si="7"/>
        <v>0</v>
      </c>
    </row>
    <row r="459" spans="1:10" x14ac:dyDescent="0.25">
      <c r="A459" t="s">
        <v>746</v>
      </c>
      <c r="B459" t="s">
        <v>135</v>
      </c>
      <c r="C459" t="s">
        <v>125</v>
      </c>
      <c r="D459" s="1">
        <v>45328</v>
      </c>
      <c r="E459">
        <v>11</v>
      </c>
      <c r="F459">
        <v>12.5085517296991</v>
      </c>
      <c r="G459" s="1">
        <v>45347</v>
      </c>
      <c r="H459" s="1">
        <v>45351</v>
      </c>
      <c r="I459">
        <v>137.59406902669099</v>
      </c>
      <c r="J459">
        <f t="shared" si="7"/>
        <v>4</v>
      </c>
    </row>
    <row r="460" spans="1:10" x14ac:dyDescent="0.25">
      <c r="A460" t="s">
        <v>747</v>
      </c>
      <c r="B460" t="s">
        <v>179</v>
      </c>
      <c r="C460" t="s">
        <v>748</v>
      </c>
      <c r="D460" s="1">
        <v>45110</v>
      </c>
      <c r="E460">
        <v>6</v>
      </c>
      <c r="F460">
        <v>34.357348654284401</v>
      </c>
      <c r="G460" s="1">
        <v>45121</v>
      </c>
      <c r="H460" s="1">
        <v>45118</v>
      </c>
      <c r="I460">
        <v>206.14409192570599</v>
      </c>
      <c r="J460">
        <f t="shared" si="7"/>
        <v>-3</v>
      </c>
    </row>
    <row r="461" spans="1:10" x14ac:dyDescent="0.25">
      <c r="A461" t="s">
        <v>749</v>
      </c>
      <c r="B461" t="s">
        <v>247</v>
      </c>
      <c r="C461" t="s">
        <v>693</v>
      </c>
      <c r="D461" s="1">
        <v>44710</v>
      </c>
      <c r="E461">
        <v>14</v>
      </c>
      <c r="F461">
        <v>58.9595326985919</v>
      </c>
      <c r="G461" s="1">
        <v>44734</v>
      </c>
      <c r="H461" s="1">
        <v>44731</v>
      </c>
      <c r="I461">
        <v>825.43345778028697</v>
      </c>
      <c r="J461">
        <f t="shared" si="7"/>
        <v>-3</v>
      </c>
    </row>
    <row r="462" spans="1:10" x14ac:dyDescent="0.25">
      <c r="A462" t="s">
        <v>750</v>
      </c>
      <c r="B462" t="s">
        <v>751</v>
      </c>
      <c r="C462" t="s">
        <v>396</v>
      </c>
      <c r="D462" s="1">
        <v>44796</v>
      </c>
      <c r="E462">
        <v>10</v>
      </c>
      <c r="F462">
        <v>64.533394148140005</v>
      </c>
      <c r="G462" s="1">
        <v>44819</v>
      </c>
      <c r="H462" s="1">
        <v>44825</v>
      </c>
      <c r="I462">
        <v>645.33394148139996</v>
      </c>
      <c r="J462">
        <f t="shared" si="7"/>
        <v>6</v>
      </c>
    </row>
    <row r="463" spans="1:10" x14ac:dyDescent="0.25">
      <c r="A463" t="s">
        <v>752</v>
      </c>
      <c r="B463" t="s">
        <v>174</v>
      </c>
      <c r="C463" t="s">
        <v>268</v>
      </c>
      <c r="D463" s="1">
        <v>44238</v>
      </c>
      <c r="E463">
        <v>16</v>
      </c>
      <c r="F463">
        <v>45.291430467186501</v>
      </c>
      <c r="G463" s="1">
        <v>44251</v>
      </c>
      <c r="H463" s="1">
        <v>44253</v>
      </c>
      <c r="I463">
        <v>724.66288747498402</v>
      </c>
      <c r="J463">
        <f t="shared" si="7"/>
        <v>2</v>
      </c>
    </row>
    <row r="464" spans="1:10" x14ac:dyDescent="0.25">
      <c r="A464" t="s">
        <v>753</v>
      </c>
      <c r="B464" t="s">
        <v>130</v>
      </c>
      <c r="C464" t="s">
        <v>281</v>
      </c>
      <c r="D464" s="1">
        <v>45274</v>
      </c>
      <c r="E464">
        <v>15</v>
      </c>
      <c r="F464">
        <v>55.316271914808503</v>
      </c>
      <c r="G464" s="1">
        <v>45292</v>
      </c>
      <c r="H464" s="1">
        <v>45291</v>
      </c>
      <c r="I464">
        <v>829.74407872212805</v>
      </c>
      <c r="J464">
        <f t="shared" si="7"/>
        <v>-1</v>
      </c>
    </row>
    <row r="465" spans="1:10" x14ac:dyDescent="0.25">
      <c r="A465" t="s">
        <v>754</v>
      </c>
      <c r="B465" t="s">
        <v>288</v>
      </c>
      <c r="C465" t="s">
        <v>131</v>
      </c>
      <c r="D465" s="1">
        <v>45124</v>
      </c>
      <c r="E465">
        <v>11</v>
      </c>
      <c r="F465">
        <v>8.5556294173401408</v>
      </c>
      <c r="G465" s="1">
        <v>45141</v>
      </c>
      <c r="H465" s="1">
        <v>45141</v>
      </c>
      <c r="I465">
        <v>94.111923590741597</v>
      </c>
      <c r="J465">
        <f t="shared" si="7"/>
        <v>0</v>
      </c>
    </row>
    <row r="466" spans="1:10" x14ac:dyDescent="0.25">
      <c r="A466" t="s">
        <v>755</v>
      </c>
      <c r="B466" t="s">
        <v>96</v>
      </c>
      <c r="C466" t="s">
        <v>495</v>
      </c>
      <c r="D466" s="1">
        <v>44984</v>
      </c>
      <c r="E466">
        <v>11</v>
      </c>
      <c r="F466">
        <v>10.419651811877101</v>
      </c>
      <c r="G466" s="1">
        <v>44999</v>
      </c>
      <c r="H466" s="1">
        <v>45005</v>
      </c>
      <c r="I466">
        <v>114.616169930648</v>
      </c>
      <c r="J466">
        <f t="shared" si="7"/>
        <v>6</v>
      </c>
    </row>
    <row r="467" spans="1:10" x14ac:dyDescent="0.25">
      <c r="A467" t="s">
        <v>756</v>
      </c>
      <c r="B467" t="s">
        <v>10</v>
      </c>
      <c r="C467" t="s">
        <v>251</v>
      </c>
      <c r="D467" s="1">
        <v>44277</v>
      </c>
      <c r="E467">
        <v>9</v>
      </c>
      <c r="F467">
        <v>56.051303579535798</v>
      </c>
      <c r="G467" s="1">
        <v>44300</v>
      </c>
      <c r="H467" s="1">
        <v>44298</v>
      </c>
      <c r="I467">
        <v>504.461732215822</v>
      </c>
      <c r="J467">
        <f t="shared" si="7"/>
        <v>-2</v>
      </c>
    </row>
    <row r="468" spans="1:10" x14ac:dyDescent="0.25">
      <c r="A468" t="s">
        <v>757</v>
      </c>
      <c r="B468" t="s">
        <v>135</v>
      </c>
      <c r="C468" t="s">
        <v>748</v>
      </c>
      <c r="D468" s="1">
        <v>44620</v>
      </c>
      <c r="E468">
        <v>10</v>
      </c>
      <c r="F468">
        <v>47.7200874253272</v>
      </c>
      <c r="G468" s="1">
        <v>44630</v>
      </c>
      <c r="H468" s="1">
        <v>44628</v>
      </c>
      <c r="I468">
        <v>477.20087425327199</v>
      </c>
      <c r="J468">
        <f t="shared" si="7"/>
        <v>-2</v>
      </c>
    </row>
    <row r="469" spans="1:10" x14ac:dyDescent="0.25">
      <c r="A469" t="s">
        <v>758</v>
      </c>
      <c r="B469" t="s">
        <v>564</v>
      </c>
      <c r="C469" t="s">
        <v>759</v>
      </c>
      <c r="D469" s="1">
        <v>44962</v>
      </c>
      <c r="E469">
        <v>10</v>
      </c>
      <c r="F469">
        <v>30.1010818390642</v>
      </c>
      <c r="G469" s="1">
        <v>44975</v>
      </c>
      <c r="H469" s="1">
        <v>44981</v>
      </c>
      <c r="I469">
        <v>301.01081839064199</v>
      </c>
      <c r="J469">
        <f t="shared" si="7"/>
        <v>6</v>
      </c>
    </row>
    <row r="470" spans="1:10" x14ac:dyDescent="0.25">
      <c r="A470" t="s">
        <v>760</v>
      </c>
      <c r="B470" t="s">
        <v>61</v>
      </c>
      <c r="C470" t="s">
        <v>281</v>
      </c>
      <c r="D470" s="1">
        <v>44406</v>
      </c>
      <c r="E470">
        <v>12</v>
      </c>
      <c r="F470">
        <v>71.428141746603302</v>
      </c>
      <c r="G470" s="1">
        <v>44418</v>
      </c>
      <c r="H470" s="1">
        <v>44420</v>
      </c>
      <c r="I470">
        <v>857.13770095923906</v>
      </c>
      <c r="J470">
        <f t="shared" si="7"/>
        <v>2</v>
      </c>
    </row>
    <row r="471" spans="1:10" x14ac:dyDescent="0.25">
      <c r="A471" t="s">
        <v>761</v>
      </c>
      <c r="B471" t="s">
        <v>324</v>
      </c>
      <c r="C471" t="s">
        <v>402</v>
      </c>
      <c r="D471" s="1">
        <v>45113</v>
      </c>
      <c r="E471">
        <v>14</v>
      </c>
      <c r="F471">
        <v>58.136761708081103</v>
      </c>
      <c r="G471" s="1">
        <v>45133</v>
      </c>
      <c r="H471" s="1">
        <v>45132</v>
      </c>
      <c r="I471">
        <v>813.914663913136</v>
      </c>
      <c r="J471">
        <f t="shared" si="7"/>
        <v>-1</v>
      </c>
    </row>
    <row r="472" spans="1:10" x14ac:dyDescent="0.25">
      <c r="A472" t="s">
        <v>762</v>
      </c>
      <c r="B472" t="s">
        <v>82</v>
      </c>
      <c r="C472" t="s">
        <v>763</v>
      </c>
      <c r="D472" s="1">
        <v>45274</v>
      </c>
      <c r="E472">
        <v>13</v>
      </c>
      <c r="F472">
        <v>28.437389326673799</v>
      </c>
      <c r="G472" s="1">
        <v>45291</v>
      </c>
      <c r="H472" s="1">
        <v>45296</v>
      </c>
      <c r="I472">
        <v>369.68606124676</v>
      </c>
      <c r="J472">
        <f t="shared" si="7"/>
        <v>5</v>
      </c>
    </row>
    <row r="473" spans="1:10" x14ac:dyDescent="0.25">
      <c r="A473" t="s">
        <v>764</v>
      </c>
      <c r="B473" t="s">
        <v>43</v>
      </c>
      <c r="C473" t="s">
        <v>765</v>
      </c>
      <c r="D473" s="1">
        <v>44906</v>
      </c>
      <c r="E473">
        <v>12</v>
      </c>
      <c r="F473">
        <v>19.7375151714438</v>
      </c>
      <c r="G473" s="1">
        <v>44925</v>
      </c>
      <c r="H473" s="1">
        <v>44922</v>
      </c>
      <c r="I473">
        <v>236.85018205732601</v>
      </c>
      <c r="J473">
        <f t="shared" si="7"/>
        <v>-3</v>
      </c>
    </row>
    <row r="474" spans="1:10" x14ac:dyDescent="0.25">
      <c r="A474" t="s">
        <v>766</v>
      </c>
      <c r="B474" t="s">
        <v>205</v>
      </c>
      <c r="C474" t="s">
        <v>370</v>
      </c>
      <c r="D474" s="1">
        <v>44931</v>
      </c>
      <c r="E474">
        <v>14</v>
      </c>
      <c r="F474">
        <v>44.082646103096998</v>
      </c>
      <c r="G474" s="1">
        <v>44942</v>
      </c>
      <c r="H474" s="1">
        <v>44942</v>
      </c>
      <c r="I474">
        <v>617.15704544335802</v>
      </c>
      <c r="J474">
        <f t="shared" si="7"/>
        <v>0</v>
      </c>
    </row>
    <row r="475" spans="1:10" x14ac:dyDescent="0.25">
      <c r="A475" t="s">
        <v>767</v>
      </c>
      <c r="B475" t="s">
        <v>475</v>
      </c>
      <c r="C475" t="s">
        <v>11</v>
      </c>
      <c r="D475" s="1">
        <v>44227</v>
      </c>
      <c r="E475">
        <v>10</v>
      </c>
      <c r="F475">
        <v>63.542529323189797</v>
      </c>
      <c r="G475" s="1">
        <v>44240</v>
      </c>
      <c r="H475" s="1">
        <v>44238</v>
      </c>
      <c r="I475">
        <v>635.42529323189797</v>
      </c>
      <c r="J475">
        <f t="shared" si="7"/>
        <v>-2</v>
      </c>
    </row>
    <row r="476" spans="1:10" x14ac:dyDescent="0.25">
      <c r="A476" t="s">
        <v>768</v>
      </c>
      <c r="B476" t="s">
        <v>154</v>
      </c>
      <c r="C476" t="s">
        <v>177</v>
      </c>
      <c r="D476" s="1">
        <v>44663</v>
      </c>
      <c r="E476">
        <v>10</v>
      </c>
      <c r="F476">
        <v>52.250128102868899</v>
      </c>
      <c r="G476" s="1">
        <v>44684</v>
      </c>
      <c r="H476" s="1">
        <v>44681</v>
      </c>
      <c r="I476">
        <v>522.50128102868905</v>
      </c>
      <c r="J476">
        <f t="shared" si="7"/>
        <v>-3</v>
      </c>
    </row>
    <row r="477" spans="1:10" x14ac:dyDescent="0.25">
      <c r="A477" t="s">
        <v>769</v>
      </c>
      <c r="B477" t="s">
        <v>293</v>
      </c>
      <c r="C477" t="s">
        <v>184</v>
      </c>
      <c r="D477" s="1">
        <v>45034</v>
      </c>
      <c r="E477">
        <v>14</v>
      </c>
      <c r="F477">
        <v>51.8332013936975</v>
      </c>
      <c r="G477" s="1">
        <v>45057</v>
      </c>
      <c r="H477" s="1">
        <v>45058</v>
      </c>
      <c r="I477">
        <v>725.66481951176502</v>
      </c>
      <c r="J477">
        <f t="shared" si="7"/>
        <v>1</v>
      </c>
    </row>
    <row r="478" spans="1:10" x14ac:dyDescent="0.25">
      <c r="A478" t="s">
        <v>770</v>
      </c>
      <c r="B478" t="s">
        <v>194</v>
      </c>
      <c r="C478" t="s">
        <v>304</v>
      </c>
      <c r="D478" s="1">
        <v>44251</v>
      </c>
      <c r="E478">
        <v>7</v>
      </c>
      <c r="F478">
        <v>31.206183673390999</v>
      </c>
      <c r="G478" s="1">
        <v>44262</v>
      </c>
      <c r="H478" s="1">
        <v>44259</v>
      </c>
      <c r="I478">
        <v>218.443285713737</v>
      </c>
      <c r="J478">
        <f t="shared" si="7"/>
        <v>-3</v>
      </c>
    </row>
    <row r="479" spans="1:10" x14ac:dyDescent="0.25">
      <c r="A479" t="s">
        <v>771</v>
      </c>
      <c r="B479" t="s">
        <v>25</v>
      </c>
      <c r="C479" t="s">
        <v>208</v>
      </c>
      <c r="D479" s="1">
        <v>44857</v>
      </c>
      <c r="E479">
        <v>6</v>
      </c>
      <c r="F479">
        <v>20.473486013183098</v>
      </c>
      <c r="G479" s="1">
        <v>44872</v>
      </c>
      <c r="H479" s="1">
        <v>44870</v>
      </c>
      <c r="I479">
        <v>122.84091607909799</v>
      </c>
      <c r="J479">
        <f t="shared" si="7"/>
        <v>-2</v>
      </c>
    </row>
    <row r="480" spans="1:10" x14ac:dyDescent="0.25">
      <c r="A480" t="s">
        <v>772</v>
      </c>
      <c r="B480" t="s">
        <v>76</v>
      </c>
      <c r="C480" t="s">
        <v>437</v>
      </c>
      <c r="D480" s="1">
        <v>44923</v>
      </c>
      <c r="E480">
        <v>11</v>
      </c>
      <c r="F480">
        <v>3.3954945593600101</v>
      </c>
      <c r="G480" s="1">
        <v>44939</v>
      </c>
      <c r="H480" s="1">
        <v>44943</v>
      </c>
      <c r="I480">
        <v>37.350440152960203</v>
      </c>
      <c r="J480">
        <f t="shared" si="7"/>
        <v>4</v>
      </c>
    </row>
    <row r="481" spans="1:10" x14ac:dyDescent="0.25">
      <c r="A481" t="s">
        <v>773</v>
      </c>
      <c r="B481" t="s">
        <v>49</v>
      </c>
      <c r="C481" t="s">
        <v>748</v>
      </c>
      <c r="D481" s="1">
        <v>45115</v>
      </c>
      <c r="E481">
        <v>10</v>
      </c>
      <c r="F481">
        <v>20.0075812714385</v>
      </c>
      <c r="G481" s="1">
        <v>45137</v>
      </c>
      <c r="H481" s="1">
        <v>45134</v>
      </c>
      <c r="I481">
        <v>200.07581271438499</v>
      </c>
      <c r="J481">
        <f t="shared" si="7"/>
        <v>-3</v>
      </c>
    </row>
    <row r="482" spans="1:10" x14ac:dyDescent="0.25">
      <c r="A482" t="s">
        <v>774</v>
      </c>
      <c r="B482" t="s">
        <v>556</v>
      </c>
      <c r="C482" t="s">
        <v>437</v>
      </c>
      <c r="D482" s="1">
        <v>45249</v>
      </c>
      <c r="E482">
        <v>11</v>
      </c>
      <c r="F482">
        <v>24.911667842685599</v>
      </c>
      <c r="G482" s="1">
        <v>45261</v>
      </c>
      <c r="H482" s="1">
        <v>45260</v>
      </c>
      <c r="I482">
        <v>274.028346269542</v>
      </c>
      <c r="J482">
        <f t="shared" si="7"/>
        <v>-1</v>
      </c>
    </row>
    <row r="483" spans="1:10" x14ac:dyDescent="0.25">
      <c r="A483" t="s">
        <v>775</v>
      </c>
      <c r="B483" t="s">
        <v>73</v>
      </c>
      <c r="C483" t="s">
        <v>41</v>
      </c>
      <c r="D483" s="1">
        <v>44551</v>
      </c>
      <c r="E483">
        <v>11</v>
      </c>
      <c r="F483">
        <v>38.998950283533098</v>
      </c>
      <c r="G483" s="1">
        <v>44573</v>
      </c>
      <c r="H483" s="1">
        <v>44574</v>
      </c>
      <c r="I483">
        <v>428.98845311886402</v>
      </c>
      <c r="J483">
        <f t="shared" si="7"/>
        <v>1</v>
      </c>
    </row>
    <row r="484" spans="1:10" x14ac:dyDescent="0.25">
      <c r="A484" t="s">
        <v>776</v>
      </c>
      <c r="B484" t="s">
        <v>160</v>
      </c>
      <c r="C484" t="s">
        <v>59</v>
      </c>
      <c r="D484" s="1">
        <v>44765</v>
      </c>
      <c r="E484">
        <v>7</v>
      </c>
      <c r="F484">
        <v>24.951529197011201</v>
      </c>
      <c r="G484" s="1">
        <v>44777</v>
      </c>
      <c r="H484" s="1">
        <v>44781</v>
      </c>
      <c r="I484">
        <v>174.660704379078</v>
      </c>
      <c r="J484">
        <f t="shared" si="7"/>
        <v>4</v>
      </c>
    </row>
    <row r="485" spans="1:10" x14ac:dyDescent="0.25">
      <c r="A485" t="s">
        <v>777</v>
      </c>
      <c r="B485" t="s">
        <v>227</v>
      </c>
      <c r="C485" t="s">
        <v>444</v>
      </c>
      <c r="D485" s="1">
        <v>44794</v>
      </c>
      <c r="E485">
        <v>8</v>
      </c>
      <c r="F485">
        <v>50.795884548037598</v>
      </c>
      <c r="G485" s="1">
        <v>44818</v>
      </c>
      <c r="H485" s="1">
        <v>44815</v>
      </c>
      <c r="I485">
        <v>406.36707638430101</v>
      </c>
      <c r="J485">
        <f t="shared" si="7"/>
        <v>-3</v>
      </c>
    </row>
    <row r="486" spans="1:10" x14ac:dyDescent="0.25">
      <c r="A486" t="s">
        <v>778</v>
      </c>
      <c r="B486" t="s">
        <v>227</v>
      </c>
      <c r="C486" t="s">
        <v>425</v>
      </c>
      <c r="D486" s="1">
        <v>44800</v>
      </c>
      <c r="E486">
        <v>9</v>
      </c>
      <c r="F486">
        <v>33.672971062004699</v>
      </c>
      <c r="G486" s="1">
        <v>44811</v>
      </c>
      <c r="H486" s="1">
        <v>44813</v>
      </c>
      <c r="I486">
        <v>303.05673955804201</v>
      </c>
      <c r="J486">
        <f t="shared" si="7"/>
        <v>2</v>
      </c>
    </row>
    <row r="487" spans="1:10" x14ac:dyDescent="0.25">
      <c r="A487" t="s">
        <v>779</v>
      </c>
      <c r="B487" t="s">
        <v>85</v>
      </c>
      <c r="C487" t="s">
        <v>540</v>
      </c>
      <c r="D487" s="1">
        <v>44863</v>
      </c>
      <c r="E487">
        <v>10</v>
      </c>
      <c r="F487">
        <v>41.170682316881397</v>
      </c>
      <c r="G487" s="1">
        <v>44876</v>
      </c>
      <c r="H487" s="1">
        <v>44879</v>
      </c>
      <c r="I487">
        <v>411.70682316881403</v>
      </c>
      <c r="J487">
        <f t="shared" si="7"/>
        <v>3</v>
      </c>
    </row>
    <row r="488" spans="1:10" x14ac:dyDescent="0.25">
      <c r="A488" t="s">
        <v>780</v>
      </c>
      <c r="B488" t="s">
        <v>127</v>
      </c>
      <c r="C488" t="s">
        <v>259</v>
      </c>
      <c r="D488" s="1">
        <v>44373</v>
      </c>
      <c r="E488">
        <v>3</v>
      </c>
      <c r="F488">
        <v>55.524191077172901</v>
      </c>
      <c r="G488" s="1">
        <v>44397</v>
      </c>
      <c r="H488" s="1">
        <v>44394</v>
      </c>
      <c r="I488">
        <v>166.57257323151799</v>
      </c>
      <c r="J488">
        <f t="shared" si="7"/>
        <v>-3</v>
      </c>
    </row>
    <row r="489" spans="1:10" x14ac:dyDescent="0.25">
      <c r="A489" t="s">
        <v>781</v>
      </c>
      <c r="B489" t="s">
        <v>253</v>
      </c>
      <c r="C489" t="s">
        <v>613</v>
      </c>
      <c r="D489" s="1">
        <v>44474</v>
      </c>
      <c r="E489">
        <v>18</v>
      </c>
      <c r="F489">
        <v>5.0244432684317903</v>
      </c>
      <c r="G489" s="1">
        <v>44492</v>
      </c>
      <c r="H489" s="1">
        <v>44496</v>
      </c>
      <c r="I489">
        <v>90.439978831772294</v>
      </c>
      <c r="J489">
        <f t="shared" si="7"/>
        <v>4</v>
      </c>
    </row>
    <row r="490" spans="1:10" x14ac:dyDescent="0.25">
      <c r="A490" t="s">
        <v>782</v>
      </c>
      <c r="B490" t="s">
        <v>79</v>
      </c>
      <c r="C490" t="s">
        <v>86</v>
      </c>
      <c r="D490" s="1">
        <v>44890</v>
      </c>
      <c r="E490">
        <v>18</v>
      </c>
      <c r="F490">
        <v>66.537065948821606</v>
      </c>
      <c r="G490" s="1">
        <v>44902</v>
      </c>
      <c r="H490" s="1">
        <v>44905</v>
      </c>
      <c r="I490">
        <v>1197.66718707879</v>
      </c>
      <c r="J490">
        <f t="shared" si="7"/>
        <v>3</v>
      </c>
    </row>
    <row r="491" spans="1:10" x14ac:dyDescent="0.25">
      <c r="A491" t="s">
        <v>783</v>
      </c>
      <c r="B491" t="s">
        <v>442</v>
      </c>
      <c r="C491" t="s">
        <v>201</v>
      </c>
      <c r="D491" s="1">
        <v>44602</v>
      </c>
      <c r="E491">
        <v>9</v>
      </c>
      <c r="F491">
        <v>50.664116973312602</v>
      </c>
      <c r="G491" s="1">
        <v>44626</v>
      </c>
      <c r="H491" s="1">
        <v>44632</v>
      </c>
      <c r="I491">
        <v>455.97705275981298</v>
      </c>
      <c r="J491">
        <f t="shared" si="7"/>
        <v>6</v>
      </c>
    </row>
    <row r="492" spans="1:10" x14ac:dyDescent="0.25">
      <c r="A492" t="s">
        <v>784</v>
      </c>
      <c r="B492" t="s">
        <v>207</v>
      </c>
      <c r="C492" t="s">
        <v>274</v>
      </c>
      <c r="D492" s="1">
        <v>44205</v>
      </c>
      <c r="E492">
        <v>12</v>
      </c>
      <c r="F492">
        <v>8.6368725003252695</v>
      </c>
      <c r="G492" s="1">
        <v>44228</v>
      </c>
      <c r="H492" s="1">
        <v>44229</v>
      </c>
      <c r="I492">
        <v>103.642470003903</v>
      </c>
      <c r="J492">
        <f t="shared" si="7"/>
        <v>1</v>
      </c>
    </row>
    <row r="493" spans="1:10" x14ac:dyDescent="0.25">
      <c r="A493" t="s">
        <v>785</v>
      </c>
      <c r="B493" t="s">
        <v>99</v>
      </c>
      <c r="C493" t="s">
        <v>217</v>
      </c>
      <c r="D493" s="1">
        <v>44266</v>
      </c>
      <c r="E493">
        <v>9</v>
      </c>
      <c r="F493">
        <v>56.459343686882399</v>
      </c>
      <c r="G493" s="1">
        <v>44288</v>
      </c>
      <c r="H493" s="1">
        <v>44289</v>
      </c>
      <c r="I493">
        <v>508.13409318194198</v>
      </c>
      <c r="J493">
        <f t="shared" si="7"/>
        <v>1</v>
      </c>
    </row>
    <row r="494" spans="1:10" x14ac:dyDescent="0.25">
      <c r="A494" t="s">
        <v>786</v>
      </c>
      <c r="B494" t="s">
        <v>321</v>
      </c>
      <c r="C494" t="s">
        <v>245</v>
      </c>
      <c r="D494" s="1">
        <v>44593</v>
      </c>
      <c r="E494">
        <v>14</v>
      </c>
      <c r="F494">
        <v>59.133407894161103</v>
      </c>
      <c r="G494" s="1">
        <v>44617</v>
      </c>
      <c r="H494" s="1">
        <v>44616</v>
      </c>
      <c r="I494">
        <v>827.86771051825599</v>
      </c>
      <c r="J494">
        <f t="shared" si="7"/>
        <v>-1</v>
      </c>
    </row>
    <row r="495" spans="1:10" x14ac:dyDescent="0.25">
      <c r="A495" t="s">
        <v>787</v>
      </c>
      <c r="B495" t="s">
        <v>19</v>
      </c>
      <c r="C495" t="s">
        <v>131</v>
      </c>
      <c r="D495" s="1">
        <v>44744</v>
      </c>
      <c r="E495">
        <v>11</v>
      </c>
      <c r="F495">
        <v>68.322111259401197</v>
      </c>
      <c r="G495" s="1">
        <v>44764</v>
      </c>
      <c r="H495" s="1">
        <v>44761</v>
      </c>
      <c r="I495">
        <v>751.543223853413</v>
      </c>
      <c r="J495">
        <f t="shared" si="7"/>
        <v>-3</v>
      </c>
    </row>
    <row r="496" spans="1:10" x14ac:dyDescent="0.25">
      <c r="A496" t="s">
        <v>788</v>
      </c>
      <c r="B496" t="s">
        <v>10</v>
      </c>
      <c r="C496" t="s">
        <v>763</v>
      </c>
      <c r="D496" s="1">
        <v>44602</v>
      </c>
      <c r="E496">
        <v>12</v>
      </c>
      <c r="F496">
        <v>61.0105986212875</v>
      </c>
      <c r="G496" s="1">
        <v>44616</v>
      </c>
      <c r="H496" s="1">
        <v>44616</v>
      </c>
      <c r="I496">
        <v>732.12718345544999</v>
      </c>
      <c r="J496">
        <f t="shared" si="7"/>
        <v>0</v>
      </c>
    </row>
    <row r="497" spans="1:10" x14ac:dyDescent="0.25">
      <c r="A497" t="s">
        <v>789</v>
      </c>
      <c r="B497" t="s">
        <v>73</v>
      </c>
      <c r="C497" t="s">
        <v>425</v>
      </c>
      <c r="D497" s="1">
        <v>44458</v>
      </c>
      <c r="E497">
        <v>15</v>
      </c>
      <c r="F497">
        <v>33.281793474363703</v>
      </c>
      <c r="G497" s="1">
        <v>44480</v>
      </c>
      <c r="H497" s="1">
        <v>44478</v>
      </c>
      <c r="I497">
        <v>499.22690211545603</v>
      </c>
      <c r="J497">
        <f t="shared" si="7"/>
        <v>-2</v>
      </c>
    </row>
    <row r="498" spans="1:10" x14ac:dyDescent="0.25">
      <c r="A498" t="s">
        <v>790</v>
      </c>
      <c r="B498" t="s">
        <v>73</v>
      </c>
      <c r="C498" t="s">
        <v>629</v>
      </c>
      <c r="D498" s="1">
        <v>44666</v>
      </c>
      <c r="E498">
        <v>10</v>
      </c>
      <c r="F498">
        <v>72.416768761401002</v>
      </c>
      <c r="G498" s="1">
        <v>44689</v>
      </c>
      <c r="H498" s="1">
        <v>44694</v>
      </c>
      <c r="I498">
        <v>724.16768761400999</v>
      </c>
      <c r="J498">
        <f t="shared" si="7"/>
        <v>5</v>
      </c>
    </row>
    <row r="499" spans="1:10" x14ac:dyDescent="0.25">
      <c r="A499" t="s">
        <v>791</v>
      </c>
      <c r="B499" t="s">
        <v>475</v>
      </c>
      <c r="C499" t="s">
        <v>792</v>
      </c>
      <c r="D499" s="1">
        <v>44913</v>
      </c>
      <c r="E499">
        <v>12</v>
      </c>
      <c r="F499">
        <v>35.8318975363973</v>
      </c>
      <c r="G499" s="1">
        <v>44928</v>
      </c>
      <c r="H499" s="1">
        <v>44931</v>
      </c>
      <c r="I499">
        <v>429.98277043676802</v>
      </c>
      <c r="J499">
        <f t="shared" si="7"/>
        <v>3</v>
      </c>
    </row>
    <row r="500" spans="1:10" x14ac:dyDescent="0.25">
      <c r="A500" t="s">
        <v>793</v>
      </c>
      <c r="B500" t="s">
        <v>70</v>
      </c>
      <c r="C500" t="s">
        <v>100</v>
      </c>
      <c r="D500" s="1">
        <v>45308</v>
      </c>
      <c r="E500">
        <v>16</v>
      </c>
      <c r="F500">
        <v>53.657623131039202</v>
      </c>
      <c r="G500" s="1">
        <v>45331</v>
      </c>
      <c r="H500" s="1">
        <v>45330</v>
      </c>
      <c r="I500">
        <v>858.521970096627</v>
      </c>
      <c r="J500">
        <f t="shared" si="7"/>
        <v>-1</v>
      </c>
    </row>
    <row r="501" spans="1:10" x14ac:dyDescent="0.25">
      <c r="A501" t="s">
        <v>794</v>
      </c>
      <c r="B501" t="s">
        <v>109</v>
      </c>
      <c r="C501" t="s">
        <v>795</v>
      </c>
      <c r="D501" s="1">
        <v>45265</v>
      </c>
      <c r="E501">
        <v>8</v>
      </c>
      <c r="F501">
        <v>75.051849618908406</v>
      </c>
      <c r="G501" s="1">
        <v>45286</v>
      </c>
      <c r="H501" s="1">
        <v>45291</v>
      </c>
      <c r="I501">
        <v>600.41479695126702</v>
      </c>
      <c r="J501">
        <f t="shared" si="7"/>
        <v>5</v>
      </c>
    </row>
    <row r="502" spans="1:10" x14ac:dyDescent="0.25">
      <c r="A502" t="s">
        <v>796</v>
      </c>
      <c r="B502" t="s">
        <v>174</v>
      </c>
      <c r="C502" t="s">
        <v>668</v>
      </c>
      <c r="D502" s="1">
        <v>45300</v>
      </c>
      <c r="E502">
        <v>14</v>
      </c>
      <c r="F502">
        <v>76.824831471027693</v>
      </c>
      <c r="G502" s="1">
        <v>45312</v>
      </c>
      <c r="H502" s="1">
        <v>45313</v>
      </c>
      <c r="I502">
        <v>1075.54764059438</v>
      </c>
      <c r="J502">
        <f t="shared" si="7"/>
        <v>1</v>
      </c>
    </row>
    <row r="503" spans="1:10" x14ac:dyDescent="0.25">
      <c r="A503" t="s">
        <v>797</v>
      </c>
      <c r="B503" t="s">
        <v>96</v>
      </c>
      <c r="C503" t="s">
        <v>385</v>
      </c>
      <c r="D503" s="1">
        <v>44422</v>
      </c>
      <c r="E503">
        <v>4</v>
      </c>
      <c r="F503">
        <v>18.675441137430798</v>
      </c>
      <c r="G503" s="1">
        <v>44442</v>
      </c>
      <c r="H503" s="1">
        <v>44444</v>
      </c>
      <c r="I503">
        <v>74.701764549723194</v>
      </c>
      <c r="J503">
        <f t="shared" si="7"/>
        <v>2</v>
      </c>
    </row>
    <row r="504" spans="1:10" x14ac:dyDescent="0.25">
      <c r="A504" t="s">
        <v>798</v>
      </c>
      <c r="B504" t="s">
        <v>301</v>
      </c>
      <c r="C504" t="s">
        <v>190</v>
      </c>
      <c r="D504" s="1">
        <v>45100</v>
      </c>
      <c r="E504">
        <v>11</v>
      </c>
      <c r="F504">
        <v>72.014843746686793</v>
      </c>
      <c r="G504" s="1">
        <v>45122</v>
      </c>
      <c r="H504" s="1">
        <v>45121</v>
      </c>
      <c r="I504">
        <v>792.16328121355502</v>
      </c>
      <c r="J504">
        <f t="shared" si="7"/>
        <v>-1</v>
      </c>
    </row>
    <row r="505" spans="1:10" x14ac:dyDescent="0.25">
      <c r="A505" t="s">
        <v>799</v>
      </c>
      <c r="B505" t="s">
        <v>179</v>
      </c>
      <c r="C505" t="s">
        <v>222</v>
      </c>
      <c r="D505" s="1">
        <v>45350</v>
      </c>
      <c r="E505">
        <v>16</v>
      </c>
      <c r="F505">
        <v>18.5969604796143</v>
      </c>
      <c r="G505" s="1">
        <v>45370</v>
      </c>
      <c r="H505" s="1">
        <v>45375</v>
      </c>
      <c r="I505">
        <v>297.55136767382999</v>
      </c>
      <c r="J505">
        <f t="shared" si="7"/>
        <v>5</v>
      </c>
    </row>
    <row r="506" spans="1:10" x14ac:dyDescent="0.25">
      <c r="A506" t="s">
        <v>800</v>
      </c>
      <c r="B506" t="s">
        <v>34</v>
      </c>
      <c r="C506" t="s">
        <v>413</v>
      </c>
      <c r="D506" s="1">
        <v>45100</v>
      </c>
      <c r="E506">
        <v>8</v>
      </c>
      <c r="F506">
        <v>56.784179482850803</v>
      </c>
      <c r="G506" s="1">
        <v>45116</v>
      </c>
      <c r="H506" s="1">
        <v>45118</v>
      </c>
      <c r="I506">
        <v>454.27343586280602</v>
      </c>
      <c r="J506">
        <f t="shared" si="7"/>
        <v>2</v>
      </c>
    </row>
    <row r="507" spans="1:10" x14ac:dyDescent="0.25">
      <c r="A507" t="s">
        <v>801</v>
      </c>
      <c r="B507" t="s">
        <v>34</v>
      </c>
      <c r="C507" t="s">
        <v>727</v>
      </c>
      <c r="D507" s="1">
        <v>44424</v>
      </c>
      <c r="E507">
        <v>11</v>
      </c>
      <c r="F507">
        <v>26.3178017025398</v>
      </c>
      <c r="G507" s="1">
        <v>44435</v>
      </c>
      <c r="H507" s="1">
        <v>44438</v>
      </c>
      <c r="I507">
        <v>289.495818727938</v>
      </c>
      <c r="J507">
        <f t="shared" si="7"/>
        <v>3</v>
      </c>
    </row>
    <row r="508" spans="1:10" x14ac:dyDescent="0.25">
      <c r="A508" t="s">
        <v>802</v>
      </c>
      <c r="B508" t="s">
        <v>109</v>
      </c>
      <c r="C508" t="s">
        <v>498</v>
      </c>
      <c r="D508" s="1">
        <v>44271</v>
      </c>
      <c r="E508">
        <v>11</v>
      </c>
      <c r="F508">
        <v>54.547841563101301</v>
      </c>
      <c r="G508" s="1">
        <v>44286</v>
      </c>
      <c r="H508" s="1">
        <v>44284</v>
      </c>
      <c r="I508">
        <v>600.02625719411503</v>
      </c>
      <c r="J508">
        <f t="shared" si="7"/>
        <v>-2</v>
      </c>
    </row>
    <row r="509" spans="1:10" x14ac:dyDescent="0.25">
      <c r="A509" t="s">
        <v>803</v>
      </c>
      <c r="B509" t="s">
        <v>207</v>
      </c>
      <c r="C509" t="s">
        <v>571</v>
      </c>
      <c r="D509" s="1">
        <v>45374</v>
      </c>
      <c r="E509">
        <v>15</v>
      </c>
      <c r="F509">
        <v>54.883859994490301</v>
      </c>
      <c r="G509" s="1">
        <v>45390</v>
      </c>
      <c r="H509" s="1">
        <v>45394</v>
      </c>
      <c r="I509">
        <v>823.25789991735496</v>
      </c>
      <c r="J509">
        <f t="shared" si="7"/>
        <v>4</v>
      </c>
    </row>
    <row r="510" spans="1:10" x14ac:dyDescent="0.25">
      <c r="A510" t="s">
        <v>804</v>
      </c>
      <c r="B510" t="s">
        <v>556</v>
      </c>
      <c r="C510" t="s">
        <v>144</v>
      </c>
      <c r="D510" s="1">
        <v>44656</v>
      </c>
      <c r="E510">
        <v>11</v>
      </c>
      <c r="F510">
        <v>16.1981356478165</v>
      </c>
      <c r="G510" s="1">
        <v>44670</v>
      </c>
      <c r="H510" s="1">
        <v>44668</v>
      </c>
      <c r="I510">
        <v>178.17949212598199</v>
      </c>
      <c r="J510">
        <f t="shared" si="7"/>
        <v>-2</v>
      </c>
    </row>
    <row r="511" spans="1:10" x14ac:dyDescent="0.25">
      <c r="A511" t="s">
        <v>805</v>
      </c>
      <c r="B511" t="s">
        <v>207</v>
      </c>
      <c r="C511" t="s">
        <v>413</v>
      </c>
      <c r="D511" s="1">
        <v>44306</v>
      </c>
      <c r="E511">
        <v>7</v>
      </c>
      <c r="F511">
        <v>61.513404688826903</v>
      </c>
      <c r="G511" s="1">
        <v>44322</v>
      </c>
      <c r="H511" s="1">
        <v>44326</v>
      </c>
      <c r="I511">
        <v>430.593832821788</v>
      </c>
      <c r="J511">
        <f t="shared" si="7"/>
        <v>4</v>
      </c>
    </row>
    <row r="512" spans="1:10" x14ac:dyDescent="0.25">
      <c r="A512" t="s">
        <v>806</v>
      </c>
      <c r="B512" t="s">
        <v>359</v>
      </c>
      <c r="C512" t="s">
        <v>383</v>
      </c>
      <c r="D512" s="1">
        <v>44212</v>
      </c>
      <c r="E512">
        <v>10</v>
      </c>
      <c r="F512">
        <v>20.815617306055199</v>
      </c>
      <c r="G512" s="1">
        <v>44225</v>
      </c>
      <c r="H512" s="1">
        <v>44223</v>
      </c>
      <c r="I512">
        <v>208.15617306055199</v>
      </c>
      <c r="J512">
        <f t="shared" si="7"/>
        <v>-2</v>
      </c>
    </row>
    <row r="513" spans="1:10" x14ac:dyDescent="0.25">
      <c r="A513" t="s">
        <v>807</v>
      </c>
      <c r="B513" t="s">
        <v>411</v>
      </c>
      <c r="C513" t="s">
        <v>141</v>
      </c>
      <c r="D513" s="1">
        <v>44829</v>
      </c>
      <c r="E513">
        <v>13</v>
      </c>
      <c r="F513">
        <v>26.000503856039099</v>
      </c>
      <c r="G513" s="1">
        <v>44843</v>
      </c>
      <c r="H513" s="1">
        <v>44847</v>
      </c>
      <c r="I513">
        <v>338.00655012850899</v>
      </c>
      <c r="J513">
        <f t="shared" si="7"/>
        <v>4</v>
      </c>
    </row>
    <row r="514" spans="1:10" x14ac:dyDescent="0.25">
      <c r="A514" t="s">
        <v>808</v>
      </c>
      <c r="B514" t="s">
        <v>19</v>
      </c>
      <c r="C514" t="s">
        <v>703</v>
      </c>
      <c r="D514" s="1">
        <v>44268</v>
      </c>
      <c r="E514">
        <v>13</v>
      </c>
      <c r="F514">
        <v>39.443253178328398</v>
      </c>
      <c r="G514" s="1">
        <v>44288</v>
      </c>
      <c r="H514" s="1">
        <v>44288</v>
      </c>
      <c r="I514">
        <v>512.76229131826994</v>
      </c>
      <c r="J514">
        <f t="shared" si="7"/>
        <v>0</v>
      </c>
    </row>
    <row r="515" spans="1:10" x14ac:dyDescent="0.25">
      <c r="A515" t="s">
        <v>809</v>
      </c>
      <c r="B515" t="s">
        <v>67</v>
      </c>
      <c r="C515" t="s">
        <v>62</v>
      </c>
      <c r="D515" s="1">
        <v>44981</v>
      </c>
      <c r="E515">
        <v>11</v>
      </c>
      <c r="F515">
        <v>32.1858212361131</v>
      </c>
      <c r="G515" s="1">
        <v>44995</v>
      </c>
      <c r="H515" s="1">
        <v>44992</v>
      </c>
      <c r="I515">
        <v>354.04403359724398</v>
      </c>
      <c r="J515">
        <f t="shared" ref="J515:J578" si="8">H515-G515</f>
        <v>-3</v>
      </c>
    </row>
    <row r="516" spans="1:10" x14ac:dyDescent="0.25">
      <c r="A516" t="s">
        <v>810</v>
      </c>
      <c r="B516" t="s">
        <v>267</v>
      </c>
      <c r="C516" t="s">
        <v>59</v>
      </c>
      <c r="D516" s="1">
        <v>45372</v>
      </c>
      <c r="E516">
        <v>14</v>
      </c>
      <c r="F516">
        <v>49.896043804473301</v>
      </c>
      <c r="G516" s="1">
        <v>45384</v>
      </c>
      <c r="H516" s="1">
        <v>45387</v>
      </c>
      <c r="I516">
        <v>698.54461326262697</v>
      </c>
      <c r="J516">
        <f t="shared" si="8"/>
        <v>3</v>
      </c>
    </row>
    <row r="517" spans="1:10" x14ac:dyDescent="0.25">
      <c r="A517" t="s">
        <v>811</v>
      </c>
      <c r="B517" t="s">
        <v>493</v>
      </c>
      <c r="C517" t="s">
        <v>50</v>
      </c>
      <c r="D517" s="1">
        <v>44309</v>
      </c>
      <c r="E517">
        <v>15</v>
      </c>
      <c r="F517">
        <v>55.458473919896903</v>
      </c>
      <c r="G517" s="1">
        <v>44327</v>
      </c>
      <c r="H517" s="1">
        <v>44330</v>
      </c>
      <c r="I517">
        <v>831.87710879845395</v>
      </c>
      <c r="J517">
        <f t="shared" si="8"/>
        <v>3</v>
      </c>
    </row>
    <row r="518" spans="1:10" x14ac:dyDescent="0.25">
      <c r="A518" t="s">
        <v>812</v>
      </c>
      <c r="B518" t="s">
        <v>340</v>
      </c>
      <c r="C518" t="s">
        <v>274</v>
      </c>
      <c r="D518" s="1">
        <v>44245</v>
      </c>
      <c r="E518">
        <v>23</v>
      </c>
      <c r="F518">
        <v>69.956223480732405</v>
      </c>
      <c r="G518" s="1">
        <v>44268</v>
      </c>
      <c r="H518" s="1">
        <v>44273</v>
      </c>
      <c r="I518">
        <v>1608.99314005684</v>
      </c>
      <c r="J518">
        <f t="shared" si="8"/>
        <v>5</v>
      </c>
    </row>
    <row r="519" spans="1:10" x14ac:dyDescent="0.25">
      <c r="A519" t="s">
        <v>813</v>
      </c>
      <c r="B519" t="s">
        <v>82</v>
      </c>
      <c r="C519" t="s">
        <v>290</v>
      </c>
      <c r="D519" s="1">
        <v>44706</v>
      </c>
      <c r="E519">
        <v>16</v>
      </c>
      <c r="F519">
        <v>37.304560794334002</v>
      </c>
      <c r="G519" s="1">
        <v>44718</v>
      </c>
      <c r="H519" s="1">
        <v>44716</v>
      </c>
      <c r="I519">
        <v>596.87297270934403</v>
      </c>
      <c r="J519">
        <f t="shared" si="8"/>
        <v>-2</v>
      </c>
    </row>
    <row r="520" spans="1:10" x14ac:dyDescent="0.25">
      <c r="A520" t="s">
        <v>814</v>
      </c>
      <c r="B520" t="s">
        <v>61</v>
      </c>
      <c r="C520" t="s">
        <v>112</v>
      </c>
      <c r="D520" s="1">
        <v>44853</v>
      </c>
      <c r="E520">
        <v>6</v>
      </c>
      <c r="F520">
        <v>66.8929697015584</v>
      </c>
      <c r="G520" s="1">
        <v>44877</v>
      </c>
      <c r="H520" s="1">
        <v>44881</v>
      </c>
      <c r="I520">
        <v>401.35781820935</v>
      </c>
      <c r="J520">
        <f t="shared" si="8"/>
        <v>4</v>
      </c>
    </row>
    <row r="521" spans="1:10" x14ac:dyDescent="0.25">
      <c r="A521" t="s">
        <v>815</v>
      </c>
      <c r="B521" t="s">
        <v>194</v>
      </c>
      <c r="C521" t="s">
        <v>268</v>
      </c>
      <c r="D521" s="1">
        <v>44978</v>
      </c>
      <c r="E521">
        <v>13</v>
      </c>
      <c r="F521">
        <v>14.788230554402499</v>
      </c>
      <c r="G521" s="1">
        <v>44996</v>
      </c>
      <c r="H521" s="1">
        <v>45000</v>
      </c>
      <c r="I521">
        <v>192.246997207232</v>
      </c>
      <c r="J521">
        <f t="shared" si="8"/>
        <v>4</v>
      </c>
    </row>
    <row r="522" spans="1:10" x14ac:dyDescent="0.25">
      <c r="A522" t="s">
        <v>816</v>
      </c>
      <c r="B522" t="s">
        <v>40</v>
      </c>
      <c r="C522" t="s">
        <v>65</v>
      </c>
      <c r="D522" s="1">
        <v>44924</v>
      </c>
      <c r="E522">
        <v>12</v>
      </c>
      <c r="F522">
        <v>75.133151705296896</v>
      </c>
      <c r="G522" s="1">
        <v>44948</v>
      </c>
      <c r="H522" s="1">
        <v>44949</v>
      </c>
      <c r="I522">
        <v>901.59782046356304</v>
      </c>
      <c r="J522">
        <f t="shared" si="8"/>
        <v>1</v>
      </c>
    </row>
    <row r="523" spans="1:10" x14ac:dyDescent="0.25">
      <c r="A523" t="s">
        <v>817</v>
      </c>
      <c r="B523" t="s">
        <v>40</v>
      </c>
      <c r="C523" t="s">
        <v>818</v>
      </c>
      <c r="D523" s="1">
        <v>44780</v>
      </c>
      <c r="E523">
        <v>10</v>
      </c>
      <c r="F523">
        <v>27.057295990249699</v>
      </c>
      <c r="G523" s="1">
        <v>44799</v>
      </c>
      <c r="H523" s="1">
        <v>44801</v>
      </c>
      <c r="I523">
        <v>270.57295990249702</v>
      </c>
      <c r="J523">
        <f t="shared" si="8"/>
        <v>2</v>
      </c>
    </row>
    <row r="524" spans="1:10" x14ac:dyDescent="0.25">
      <c r="A524" t="s">
        <v>819</v>
      </c>
      <c r="B524" t="s">
        <v>295</v>
      </c>
      <c r="C524" t="s">
        <v>158</v>
      </c>
      <c r="D524" s="1">
        <v>44223</v>
      </c>
      <c r="E524">
        <v>8</v>
      </c>
      <c r="F524">
        <v>31.485837237087001</v>
      </c>
      <c r="G524" s="1">
        <v>44241</v>
      </c>
      <c r="H524" s="1">
        <v>44239</v>
      </c>
      <c r="I524">
        <v>251.88669789669601</v>
      </c>
      <c r="J524">
        <f t="shared" si="8"/>
        <v>-2</v>
      </c>
    </row>
    <row r="525" spans="1:10" x14ac:dyDescent="0.25">
      <c r="A525" t="s">
        <v>820</v>
      </c>
      <c r="B525" t="s">
        <v>564</v>
      </c>
      <c r="C525" t="s">
        <v>228</v>
      </c>
      <c r="D525" s="1">
        <v>44785</v>
      </c>
      <c r="E525">
        <v>17</v>
      </c>
      <c r="F525">
        <v>44.674005029691401</v>
      </c>
      <c r="G525" s="1">
        <v>44805</v>
      </c>
      <c r="H525" s="1">
        <v>44809</v>
      </c>
      <c r="I525">
        <v>759.45808550475397</v>
      </c>
      <c r="J525">
        <f t="shared" si="8"/>
        <v>4</v>
      </c>
    </row>
    <row r="526" spans="1:10" x14ac:dyDescent="0.25">
      <c r="A526" t="s">
        <v>821</v>
      </c>
      <c r="B526" t="s">
        <v>203</v>
      </c>
      <c r="C526" t="s">
        <v>341</v>
      </c>
      <c r="D526" s="1">
        <v>45111</v>
      </c>
      <c r="E526">
        <v>8</v>
      </c>
      <c r="F526">
        <v>11.555228551424999</v>
      </c>
      <c r="G526" s="1">
        <v>45121</v>
      </c>
      <c r="H526" s="1">
        <v>45120</v>
      </c>
      <c r="I526">
        <v>92.441828411400294</v>
      </c>
      <c r="J526">
        <f t="shared" si="8"/>
        <v>-1</v>
      </c>
    </row>
    <row r="527" spans="1:10" x14ac:dyDescent="0.25">
      <c r="A527" t="s">
        <v>822</v>
      </c>
      <c r="B527" t="s">
        <v>157</v>
      </c>
      <c r="C527" t="s">
        <v>763</v>
      </c>
      <c r="D527" s="1">
        <v>45093</v>
      </c>
      <c r="E527">
        <v>14</v>
      </c>
      <c r="F527">
        <v>50.453160693111997</v>
      </c>
      <c r="G527" s="1">
        <v>45115</v>
      </c>
      <c r="H527" s="1">
        <v>45120</v>
      </c>
      <c r="I527">
        <v>706.34424970356804</v>
      </c>
      <c r="J527">
        <f t="shared" si="8"/>
        <v>5</v>
      </c>
    </row>
    <row r="528" spans="1:10" x14ac:dyDescent="0.25">
      <c r="A528" t="s">
        <v>823</v>
      </c>
      <c r="B528" t="s">
        <v>40</v>
      </c>
      <c r="C528" t="s">
        <v>208</v>
      </c>
      <c r="D528" s="1">
        <v>44230</v>
      </c>
      <c r="E528">
        <v>8</v>
      </c>
      <c r="F528">
        <v>14.2051917876807</v>
      </c>
      <c r="G528" s="1">
        <v>44248</v>
      </c>
      <c r="H528" s="1">
        <v>44252</v>
      </c>
      <c r="I528">
        <v>113.64153430144501</v>
      </c>
      <c r="J528">
        <f t="shared" si="8"/>
        <v>4</v>
      </c>
    </row>
    <row r="529" spans="1:10" x14ac:dyDescent="0.25">
      <c r="A529" t="s">
        <v>824</v>
      </c>
      <c r="B529" t="s">
        <v>267</v>
      </c>
      <c r="C529" t="s">
        <v>434</v>
      </c>
      <c r="D529" s="1">
        <v>44437</v>
      </c>
      <c r="E529">
        <v>7</v>
      </c>
      <c r="F529">
        <v>40.490000562049602</v>
      </c>
      <c r="G529" s="1">
        <v>44449</v>
      </c>
      <c r="H529" s="1">
        <v>44448</v>
      </c>
      <c r="I529">
        <v>283.43000393434698</v>
      </c>
      <c r="J529">
        <f t="shared" si="8"/>
        <v>-1</v>
      </c>
    </row>
    <row r="530" spans="1:10" x14ac:dyDescent="0.25">
      <c r="A530" t="s">
        <v>825</v>
      </c>
      <c r="B530" t="s">
        <v>394</v>
      </c>
      <c r="C530" t="s">
        <v>826</v>
      </c>
      <c r="D530" s="1">
        <v>44482</v>
      </c>
      <c r="E530">
        <v>8</v>
      </c>
      <c r="F530">
        <v>47.209808521034901</v>
      </c>
      <c r="G530" s="1">
        <v>44504</v>
      </c>
      <c r="H530" s="1">
        <v>44507</v>
      </c>
      <c r="I530">
        <v>377.67846816827898</v>
      </c>
      <c r="J530">
        <f t="shared" si="8"/>
        <v>3</v>
      </c>
    </row>
    <row r="531" spans="1:10" x14ac:dyDescent="0.25">
      <c r="A531" t="s">
        <v>827</v>
      </c>
      <c r="B531" t="s">
        <v>28</v>
      </c>
      <c r="C531" t="s">
        <v>629</v>
      </c>
      <c r="D531" s="1">
        <v>44723</v>
      </c>
      <c r="E531">
        <v>10</v>
      </c>
      <c r="F531">
        <v>46.9254505529453</v>
      </c>
      <c r="G531" s="1">
        <v>44739</v>
      </c>
      <c r="H531" s="1">
        <v>44737</v>
      </c>
      <c r="I531">
        <v>469.25450552945301</v>
      </c>
      <c r="J531">
        <f t="shared" si="8"/>
        <v>-2</v>
      </c>
    </row>
    <row r="532" spans="1:10" x14ac:dyDescent="0.25">
      <c r="A532" t="s">
        <v>828</v>
      </c>
      <c r="B532" t="s">
        <v>28</v>
      </c>
      <c r="C532" t="s">
        <v>233</v>
      </c>
      <c r="D532" s="1">
        <v>44530</v>
      </c>
      <c r="E532">
        <v>11</v>
      </c>
      <c r="F532">
        <v>49.9536832380956</v>
      </c>
      <c r="G532" s="1">
        <v>44547</v>
      </c>
      <c r="H532" s="1">
        <v>44552</v>
      </c>
      <c r="I532">
        <v>549.49051561905196</v>
      </c>
      <c r="J532">
        <f t="shared" si="8"/>
        <v>5</v>
      </c>
    </row>
    <row r="533" spans="1:10" x14ac:dyDescent="0.25">
      <c r="A533" t="s">
        <v>829</v>
      </c>
      <c r="B533" t="s">
        <v>475</v>
      </c>
      <c r="C533" t="s">
        <v>748</v>
      </c>
      <c r="D533" s="1">
        <v>44666</v>
      </c>
      <c r="E533">
        <v>5</v>
      </c>
      <c r="F533">
        <v>76.509659140845201</v>
      </c>
      <c r="G533" s="1">
        <v>44677</v>
      </c>
      <c r="H533" s="1">
        <v>44674</v>
      </c>
      <c r="I533">
        <v>382.54829570422601</v>
      </c>
      <c r="J533">
        <f t="shared" si="8"/>
        <v>-3</v>
      </c>
    </row>
    <row r="534" spans="1:10" x14ac:dyDescent="0.25">
      <c r="A534" t="s">
        <v>830</v>
      </c>
      <c r="B534" t="s">
        <v>64</v>
      </c>
      <c r="C534" t="s">
        <v>270</v>
      </c>
      <c r="D534" s="1">
        <v>44230</v>
      </c>
      <c r="E534">
        <v>10</v>
      </c>
      <c r="F534">
        <v>48.710446335786699</v>
      </c>
      <c r="G534" s="1">
        <v>44250</v>
      </c>
      <c r="H534" s="1">
        <v>44248</v>
      </c>
      <c r="I534">
        <v>487.104463357866</v>
      </c>
      <c r="J534">
        <f t="shared" si="8"/>
        <v>-2</v>
      </c>
    </row>
    <row r="535" spans="1:10" x14ac:dyDescent="0.25">
      <c r="A535" t="s">
        <v>831</v>
      </c>
      <c r="B535" t="s">
        <v>91</v>
      </c>
      <c r="C535" t="s">
        <v>613</v>
      </c>
      <c r="D535" s="1">
        <v>45183</v>
      </c>
      <c r="E535">
        <v>10</v>
      </c>
      <c r="F535">
        <v>54.956665736723998</v>
      </c>
      <c r="G535" s="1">
        <v>45196</v>
      </c>
      <c r="H535" s="1">
        <v>45195</v>
      </c>
      <c r="I535">
        <v>549.56665736724005</v>
      </c>
      <c r="J535">
        <f t="shared" si="8"/>
        <v>-1</v>
      </c>
    </row>
    <row r="536" spans="1:10" x14ac:dyDescent="0.25">
      <c r="A536" t="s">
        <v>832</v>
      </c>
      <c r="B536" t="s">
        <v>340</v>
      </c>
      <c r="C536" t="s">
        <v>270</v>
      </c>
      <c r="D536" s="1">
        <v>45276</v>
      </c>
      <c r="E536">
        <v>15</v>
      </c>
      <c r="F536">
        <v>70.965692243761595</v>
      </c>
      <c r="G536" s="1">
        <v>45293</v>
      </c>
      <c r="H536" s="1">
        <v>45293</v>
      </c>
      <c r="I536">
        <v>1064.48538365642</v>
      </c>
      <c r="J536">
        <f t="shared" si="8"/>
        <v>0</v>
      </c>
    </row>
    <row r="537" spans="1:10" x14ac:dyDescent="0.25">
      <c r="A537" t="s">
        <v>833</v>
      </c>
      <c r="B537" t="s">
        <v>19</v>
      </c>
      <c r="C537" t="s">
        <v>259</v>
      </c>
      <c r="D537" s="1">
        <v>45055</v>
      </c>
      <c r="E537">
        <v>10</v>
      </c>
      <c r="F537">
        <v>23.849074283696499</v>
      </c>
      <c r="G537" s="1">
        <v>45067</v>
      </c>
      <c r="H537" s="1">
        <v>45073</v>
      </c>
      <c r="I537">
        <v>238.49074283696501</v>
      </c>
      <c r="J537">
        <f t="shared" si="8"/>
        <v>6</v>
      </c>
    </row>
    <row r="538" spans="1:10" x14ac:dyDescent="0.25">
      <c r="A538" t="s">
        <v>834</v>
      </c>
      <c r="B538" t="s">
        <v>19</v>
      </c>
      <c r="C538" t="s">
        <v>23</v>
      </c>
      <c r="D538" s="1">
        <v>44597</v>
      </c>
      <c r="E538">
        <v>8</v>
      </c>
      <c r="F538">
        <v>79.956484674323505</v>
      </c>
      <c r="G538" s="1">
        <v>44607</v>
      </c>
      <c r="H538" s="1">
        <v>44604</v>
      </c>
      <c r="I538">
        <v>639.65187739458804</v>
      </c>
      <c r="J538">
        <f t="shared" si="8"/>
        <v>-3</v>
      </c>
    </row>
    <row r="539" spans="1:10" x14ac:dyDescent="0.25">
      <c r="A539" t="s">
        <v>835</v>
      </c>
      <c r="B539" t="s">
        <v>411</v>
      </c>
      <c r="C539" t="s">
        <v>80</v>
      </c>
      <c r="D539" s="1">
        <v>45048</v>
      </c>
      <c r="E539">
        <v>12</v>
      </c>
      <c r="F539">
        <v>12.3823661034943</v>
      </c>
      <c r="G539" s="1">
        <v>45063</v>
      </c>
      <c r="H539" s="1">
        <v>45066</v>
      </c>
      <c r="I539">
        <v>148.58839324193099</v>
      </c>
      <c r="J539">
        <f t="shared" si="8"/>
        <v>3</v>
      </c>
    </row>
    <row r="540" spans="1:10" x14ac:dyDescent="0.25">
      <c r="A540" t="s">
        <v>836</v>
      </c>
      <c r="B540" t="s">
        <v>169</v>
      </c>
      <c r="C540" t="s">
        <v>363</v>
      </c>
      <c r="D540" s="1">
        <v>44527</v>
      </c>
      <c r="E540">
        <v>8</v>
      </c>
      <c r="F540">
        <v>30.9909705318444</v>
      </c>
      <c r="G540" s="1">
        <v>44542</v>
      </c>
      <c r="H540" s="1">
        <v>44540</v>
      </c>
      <c r="I540">
        <v>247.927764254755</v>
      </c>
      <c r="J540">
        <f t="shared" si="8"/>
        <v>-2</v>
      </c>
    </row>
    <row r="541" spans="1:10" x14ac:dyDescent="0.25">
      <c r="A541" t="s">
        <v>837</v>
      </c>
      <c r="B541" t="s">
        <v>61</v>
      </c>
      <c r="C541" t="s">
        <v>302</v>
      </c>
      <c r="D541" s="1">
        <v>44377</v>
      </c>
      <c r="E541">
        <v>6</v>
      </c>
      <c r="F541">
        <v>16.771079136670799</v>
      </c>
      <c r="G541" s="1">
        <v>44388</v>
      </c>
      <c r="H541" s="1">
        <v>44387</v>
      </c>
      <c r="I541">
        <v>100.626474820025</v>
      </c>
      <c r="J541">
        <f t="shared" si="8"/>
        <v>-1</v>
      </c>
    </row>
    <row r="542" spans="1:10" x14ac:dyDescent="0.25">
      <c r="A542" t="s">
        <v>838</v>
      </c>
      <c r="B542" t="s">
        <v>25</v>
      </c>
      <c r="C542" t="s">
        <v>759</v>
      </c>
      <c r="D542" s="1">
        <v>44395</v>
      </c>
      <c r="E542">
        <v>11</v>
      </c>
      <c r="F542">
        <v>57.959275349880798</v>
      </c>
      <c r="G542" s="1">
        <v>44409</v>
      </c>
      <c r="H542" s="1">
        <v>44409</v>
      </c>
      <c r="I542">
        <v>637.55202884868902</v>
      </c>
      <c r="J542">
        <f t="shared" si="8"/>
        <v>0</v>
      </c>
    </row>
    <row r="543" spans="1:10" x14ac:dyDescent="0.25">
      <c r="A543" t="s">
        <v>839</v>
      </c>
      <c r="B543" t="s">
        <v>61</v>
      </c>
      <c r="C543" t="s">
        <v>470</v>
      </c>
      <c r="D543" s="1">
        <v>45335</v>
      </c>
      <c r="E543">
        <v>8</v>
      </c>
      <c r="F543">
        <v>74.689363018940199</v>
      </c>
      <c r="G543" s="1">
        <v>45350</v>
      </c>
      <c r="H543" s="1">
        <v>45349</v>
      </c>
      <c r="I543">
        <v>597.51490415152102</v>
      </c>
      <c r="J543">
        <f t="shared" si="8"/>
        <v>-1</v>
      </c>
    </row>
    <row r="544" spans="1:10" x14ac:dyDescent="0.25">
      <c r="A544" t="s">
        <v>840</v>
      </c>
      <c r="B544" t="s">
        <v>55</v>
      </c>
      <c r="C544" t="s">
        <v>11</v>
      </c>
      <c r="D544" s="1">
        <v>44493</v>
      </c>
      <c r="E544">
        <v>14</v>
      </c>
      <c r="F544">
        <v>22.318775494970101</v>
      </c>
      <c r="G544" s="1">
        <v>44513</v>
      </c>
      <c r="H544" s="1">
        <v>44513</v>
      </c>
      <c r="I544">
        <v>312.46285692958202</v>
      </c>
      <c r="J544">
        <f t="shared" si="8"/>
        <v>0</v>
      </c>
    </row>
    <row r="545" spans="1:10" x14ac:dyDescent="0.25">
      <c r="A545" t="s">
        <v>841</v>
      </c>
      <c r="B545" t="s">
        <v>261</v>
      </c>
      <c r="C545" t="s">
        <v>220</v>
      </c>
      <c r="D545" s="1">
        <v>45028</v>
      </c>
      <c r="E545">
        <v>8</v>
      </c>
      <c r="F545">
        <v>25.554403465401499</v>
      </c>
      <c r="G545" s="1">
        <v>45052</v>
      </c>
      <c r="H545" s="1">
        <v>45050</v>
      </c>
      <c r="I545">
        <v>204.43522772321199</v>
      </c>
      <c r="J545">
        <f t="shared" si="8"/>
        <v>-2</v>
      </c>
    </row>
    <row r="546" spans="1:10" x14ac:dyDescent="0.25">
      <c r="A546" t="s">
        <v>842</v>
      </c>
      <c r="B546" t="s">
        <v>359</v>
      </c>
      <c r="C546" t="s">
        <v>83</v>
      </c>
      <c r="D546" s="1">
        <v>44469</v>
      </c>
      <c r="E546">
        <v>5</v>
      </c>
      <c r="F546">
        <v>11.9593869189803</v>
      </c>
      <c r="G546" s="1">
        <v>44488</v>
      </c>
      <c r="H546" s="1">
        <v>44488</v>
      </c>
      <c r="I546">
        <v>59.7969345949017</v>
      </c>
      <c r="J546">
        <f t="shared" si="8"/>
        <v>0</v>
      </c>
    </row>
    <row r="547" spans="1:10" x14ac:dyDescent="0.25">
      <c r="A547" t="s">
        <v>843</v>
      </c>
      <c r="B547" t="s">
        <v>564</v>
      </c>
      <c r="C547" t="s">
        <v>83</v>
      </c>
      <c r="D547" s="1">
        <v>44331</v>
      </c>
      <c r="E547">
        <v>12</v>
      </c>
      <c r="F547">
        <v>30.991689008411701</v>
      </c>
      <c r="G547" s="1">
        <v>44345</v>
      </c>
      <c r="H547" s="1">
        <v>44351</v>
      </c>
      <c r="I547">
        <v>371.90026810094002</v>
      </c>
      <c r="J547">
        <f t="shared" si="8"/>
        <v>6</v>
      </c>
    </row>
    <row r="548" spans="1:10" x14ac:dyDescent="0.25">
      <c r="A548" t="s">
        <v>844</v>
      </c>
      <c r="B548" t="s">
        <v>194</v>
      </c>
      <c r="C548" t="s">
        <v>453</v>
      </c>
      <c r="D548" s="1">
        <v>44326</v>
      </c>
      <c r="E548">
        <v>11</v>
      </c>
      <c r="F548">
        <v>17.740907162855802</v>
      </c>
      <c r="G548" s="1">
        <v>44338</v>
      </c>
      <c r="H548" s="1">
        <v>44342</v>
      </c>
      <c r="I548">
        <v>195.14997879141399</v>
      </c>
      <c r="J548">
        <f t="shared" si="8"/>
        <v>4</v>
      </c>
    </row>
    <row r="549" spans="1:10" x14ac:dyDescent="0.25">
      <c r="A549" t="s">
        <v>845</v>
      </c>
      <c r="B549" t="s">
        <v>10</v>
      </c>
      <c r="C549" t="s">
        <v>363</v>
      </c>
      <c r="D549" s="1">
        <v>45065</v>
      </c>
      <c r="E549">
        <v>19</v>
      </c>
      <c r="F549">
        <v>27.868535870263798</v>
      </c>
      <c r="G549" s="1">
        <v>45086</v>
      </c>
      <c r="H549" s="1">
        <v>45084</v>
      </c>
      <c r="I549">
        <v>529.50218153501305</v>
      </c>
      <c r="J549">
        <f t="shared" si="8"/>
        <v>-2</v>
      </c>
    </row>
    <row r="550" spans="1:10" x14ac:dyDescent="0.25">
      <c r="A550" t="s">
        <v>846</v>
      </c>
      <c r="B550" t="s">
        <v>76</v>
      </c>
      <c r="C550" t="s">
        <v>402</v>
      </c>
      <c r="D550" s="1">
        <v>45038</v>
      </c>
      <c r="E550">
        <v>6</v>
      </c>
      <c r="F550">
        <v>50.712710492731198</v>
      </c>
      <c r="G550" s="1">
        <v>45060</v>
      </c>
      <c r="H550" s="1">
        <v>45059</v>
      </c>
      <c r="I550">
        <v>304.27626295638697</v>
      </c>
      <c r="J550">
        <f t="shared" si="8"/>
        <v>-1</v>
      </c>
    </row>
    <row r="551" spans="1:10" x14ac:dyDescent="0.25">
      <c r="A551" t="s">
        <v>847</v>
      </c>
      <c r="B551" t="s">
        <v>256</v>
      </c>
      <c r="C551" t="s">
        <v>152</v>
      </c>
      <c r="D551" s="1">
        <v>44215</v>
      </c>
      <c r="E551">
        <v>13</v>
      </c>
      <c r="F551">
        <v>32.976419447767299</v>
      </c>
      <c r="G551" s="1">
        <v>44226</v>
      </c>
      <c r="H551" s="1">
        <v>44226</v>
      </c>
      <c r="I551">
        <v>428.69345282097601</v>
      </c>
      <c r="J551">
        <f t="shared" si="8"/>
        <v>0</v>
      </c>
    </row>
    <row r="552" spans="1:10" x14ac:dyDescent="0.25">
      <c r="A552" t="s">
        <v>848</v>
      </c>
      <c r="B552" t="s">
        <v>82</v>
      </c>
      <c r="C552" t="s">
        <v>341</v>
      </c>
      <c r="D552" s="1">
        <v>44596</v>
      </c>
      <c r="E552">
        <v>11</v>
      </c>
      <c r="F552">
        <v>10.057012495192399</v>
      </c>
      <c r="G552" s="1">
        <v>44616</v>
      </c>
      <c r="H552" s="1">
        <v>44617</v>
      </c>
      <c r="I552">
        <v>110.627137447116</v>
      </c>
      <c r="J552">
        <f t="shared" si="8"/>
        <v>1</v>
      </c>
    </row>
    <row r="553" spans="1:10" x14ac:dyDescent="0.25">
      <c r="A553" t="s">
        <v>849</v>
      </c>
      <c r="B553" t="s">
        <v>169</v>
      </c>
      <c r="C553" t="s">
        <v>20</v>
      </c>
      <c r="D553" s="1">
        <v>44502</v>
      </c>
      <c r="E553">
        <v>4</v>
      </c>
      <c r="F553">
        <v>16.633463059489699</v>
      </c>
      <c r="G553" s="1">
        <v>44519</v>
      </c>
      <c r="H553" s="1">
        <v>44517</v>
      </c>
      <c r="I553">
        <v>66.533852237958996</v>
      </c>
      <c r="J553">
        <f t="shared" si="8"/>
        <v>-2</v>
      </c>
    </row>
    <row r="554" spans="1:10" x14ac:dyDescent="0.25">
      <c r="A554" t="s">
        <v>850</v>
      </c>
      <c r="B554" t="s">
        <v>37</v>
      </c>
      <c r="C554" t="s">
        <v>428</v>
      </c>
      <c r="D554" s="1">
        <v>45098</v>
      </c>
      <c r="E554">
        <v>6</v>
      </c>
      <c r="F554">
        <v>39.521925721653901</v>
      </c>
      <c r="G554" s="1">
        <v>45112</v>
      </c>
      <c r="H554" s="1">
        <v>45110</v>
      </c>
      <c r="I554">
        <v>237.13155432992301</v>
      </c>
      <c r="J554">
        <f t="shared" si="8"/>
        <v>-2</v>
      </c>
    </row>
    <row r="555" spans="1:10" x14ac:dyDescent="0.25">
      <c r="A555" t="s">
        <v>851</v>
      </c>
      <c r="B555" t="s">
        <v>76</v>
      </c>
      <c r="C555" t="s">
        <v>201</v>
      </c>
      <c r="D555" s="1">
        <v>44753</v>
      </c>
      <c r="E555">
        <v>8</v>
      </c>
      <c r="F555">
        <v>51.798144478342202</v>
      </c>
      <c r="G555" s="1">
        <v>44767</v>
      </c>
      <c r="H555" s="1">
        <v>44768</v>
      </c>
      <c r="I555">
        <v>414.38515582673801</v>
      </c>
      <c r="J555">
        <f t="shared" si="8"/>
        <v>1</v>
      </c>
    </row>
    <row r="556" spans="1:10" x14ac:dyDescent="0.25">
      <c r="A556" t="s">
        <v>852</v>
      </c>
      <c r="B556" t="s">
        <v>324</v>
      </c>
      <c r="C556" t="s">
        <v>279</v>
      </c>
      <c r="D556" s="1">
        <v>45229</v>
      </c>
      <c r="E556">
        <v>8</v>
      </c>
      <c r="F556">
        <v>12.1121960862999</v>
      </c>
      <c r="G556" s="1">
        <v>45243</v>
      </c>
      <c r="H556" s="1">
        <v>45249</v>
      </c>
      <c r="I556">
        <v>96.897568690399595</v>
      </c>
      <c r="J556">
        <f t="shared" si="8"/>
        <v>6</v>
      </c>
    </row>
    <row r="557" spans="1:10" x14ac:dyDescent="0.25">
      <c r="A557" t="s">
        <v>853</v>
      </c>
      <c r="B557" t="s">
        <v>43</v>
      </c>
      <c r="C557" t="s">
        <v>336</v>
      </c>
      <c r="D557" s="1">
        <v>44559</v>
      </c>
      <c r="E557">
        <v>10</v>
      </c>
      <c r="F557">
        <v>59.882204769670302</v>
      </c>
      <c r="G557" s="1">
        <v>44577</v>
      </c>
      <c r="H557" s="1">
        <v>44577</v>
      </c>
      <c r="I557">
        <v>598.82204769670398</v>
      </c>
      <c r="J557">
        <f t="shared" si="8"/>
        <v>0</v>
      </c>
    </row>
    <row r="558" spans="1:10" x14ac:dyDescent="0.25">
      <c r="A558" t="s">
        <v>854</v>
      </c>
      <c r="B558" t="s">
        <v>295</v>
      </c>
      <c r="C558" t="s">
        <v>32</v>
      </c>
      <c r="D558" s="1">
        <v>44599</v>
      </c>
      <c r="E558">
        <v>11</v>
      </c>
      <c r="F558">
        <v>30.577884722266099</v>
      </c>
      <c r="G558" s="1">
        <v>44609</v>
      </c>
      <c r="H558" s="1">
        <v>44609</v>
      </c>
      <c r="I558">
        <v>336.35673194492699</v>
      </c>
      <c r="J558">
        <f t="shared" si="8"/>
        <v>0</v>
      </c>
    </row>
    <row r="559" spans="1:10" x14ac:dyDescent="0.25">
      <c r="A559" t="s">
        <v>855</v>
      </c>
      <c r="B559" t="s">
        <v>250</v>
      </c>
      <c r="C559" t="s">
        <v>581</v>
      </c>
      <c r="D559" s="1">
        <v>44514</v>
      </c>
      <c r="E559">
        <v>8</v>
      </c>
      <c r="F559">
        <v>27.112482216577899</v>
      </c>
      <c r="G559" s="1">
        <v>44538</v>
      </c>
      <c r="H559" s="1">
        <v>44538</v>
      </c>
      <c r="I559">
        <v>216.89985773262299</v>
      </c>
      <c r="J559">
        <f t="shared" si="8"/>
        <v>0</v>
      </c>
    </row>
    <row r="560" spans="1:10" x14ac:dyDescent="0.25">
      <c r="A560" t="s">
        <v>856</v>
      </c>
      <c r="B560" t="s">
        <v>482</v>
      </c>
      <c r="C560" t="s">
        <v>792</v>
      </c>
      <c r="D560" s="1">
        <v>44226</v>
      </c>
      <c r="E560">
        <v>13</v>
      </c>
      <c r="F560">
        <v>44.785595352356502</v>
      </c>
      <c r="G560" s="1">
        <v>44247</v>
      </c>
      <c r="H560" s="1">
        <v>44249</v>
      </c>
      <c r="I560">
        <v>582.212739580635</v>
      </c>
      <c r="J560">
        <f t="shared" si="8"/>
        <v>2</v>
      </c>
    </row>
    <row r="561" spans="1:10" x14ac:dyDescent="0.25">
      <c r="A561" t="s">
        <v>857</v>
      </c>
      <c r="B561" t="s">
        <v>314</v>
      </c>
      <c r="C561" t="s">
        <v>128</v>
      </c>
      <c r="D561" s="1">
        <v>44656</v>
      </c>
      <c r="E561">
        <v>19</v>
      </c>
      <c r="F561">
        <v>9.5084978042195001</v>
      </c>
      <c r="G561" s="1">
        <v>44678</v>
      </c>
      <c r="H561" s="1">
        <v>44678</v>
      </c>
      <c r="I561">
        <v>180.66145828017</v>
      </c>
      <c r="J561">
        <f t="shared" si="8"/>
        <v>0</v>
      </c>
    </row>
    <row r="562" spans="1:10" x14ac:dyDescent="0.25">
      <c r="A562" t="s">
        <v>858</v>
      </c>
      <c r="B562" t="s">
        <v>46</v>
      </c>
      <c r="C562" t="s">
        <v>434</v>
      </c>
      <c r="D562" s="1">
        <v>44920</v>
      </c>
      <c r="E562">
        <v>10</v>
      </c>
      <c r="F562">
        <v>47.869275157980198</v>
      </c>
      <c r="G562" s="1">
        <v>44932</v>
      </c>
      <c r="H562" s="1">
        <v>44929</v>
      </c>
      <c r="I562">
        <v>478.69275157980201</v>
      </c>
      <c r="J562">
        <f t="shared" si="8"/>
        <v>-3</v>
      </c>
    </row>
    <row r="563" spans="1:10" x14ac:dyDescent="0.25">
      <c r="A563" t="s">
        <v>859</v>
      </c>
      <c r="B563" t="s">
        <v>13</v>
      </c>
      <c r="C563" t="s">
        <v>361</v>
      </c>
      <c r="D563" s="1">
        <v>44239</v>
      </c>
      <c r="E563">
        <v>9</v>
      </c>
      <c r="F563">
        <v>29.829906984975</v>
      </c>
      <c r="G563" s="1">
        <v>44259</v>
      </c>
      <c r="H563" s="1">
        <v>44259</v>
      </c>
      <c r="I563">
        <v>268.469162864775</v>
      </c>
      <c r="J563">
        <f t="shared" si="8"/>
        <v>0</v>
      </c>
    </row>
    <row r="564" spans="1:10" x14ac:dyDescent="0.25">
      <c r="A564" t="s">
        <v>860</v>
      </c>
      <c r="B564" t="s">
        <v>127</v>
      </c>
      <c r="C564" t="s">
        <v>217</v>
      </c>
      <c r="D564" s="1">
        <v>44386</v>
      </c>
      <c r="E564">
        <v>14</v>
      </c>
      <c r="F564">
        <v>55.189000412151501</v>
      </c>
      <c r="G564" s="1">
        <v>44403</v>
      </c>
      <c r="H564" s="1">
        <v>44409</v>
      </c>
      <c r="I564">
        <v>772.64600577012095</v>
      </c>
      <c r="J564">
        <f t="shared" si="8"/>
        <v>6</v>
      </c>
    </row>
    <row r="565" spans="1:10" x14ac:dyDescent="0.25">
      <c r="A565" t="s">
        <v>861</v>
      </c>
      <c r="B565" t="s">
        <v>34</v>
      </c>
      <c r="C565" t="s">
        <v>41</v>
      </c>
      <c r="D565" s="1">
        <v>44855</v>
      </c>
      <c r="E565">
        <v>8</v>
      </c>
      <c r="F565">
        <v>16.9338477456368</v>
      </c>
      <c r="G565" s="1">
        <v>44868</v>
      </c>
      <c r="H565" s="1">
        <v>44870</v>
      </c>
      <c r="I565">
        <v>135.47078196509401</v>
      </c>
      <c r="J565">
        <f t="shared" si="8"/>
        <v>2</v>
      </c>
    </row>
    <row r="566" spans="1:10" x14ac:dyDescent="0.25">
      <c r="A566" t="s">
        <v>862</v>
      </c>
      <c r="B566" t="s">
        <v>326</v>
      </c>
      <c r="C566" t="s">
        <v>35</v>
      </c>
      <c r="D566" s="1">
        <v>45108</v>
      </c>
      <c r="E566">
        <v>13</v>
      </c>
      <c r="F566">
        <v>45.502324026506002</v>
      </c>
      <c r="G566" s="1">
        <v>45118</v>
      </c>
      <c r="H566" s="1">
        <v>45115</v>
      </c>
      <c r="I566">
        <v>591.53021234457799</v>
      </c>
      <c r="J566">
        <f t="shared" si="8"/>
        <v>-3</v>
      </c>
    </row>
    <row r="567" spans="1:10" x14ac:dyDescent="0.25">
      <c r="A567" t="s">
        <v>863</v>
      </c>
      <c r="B567" t="s">
        <v>382</v>
      </c>
      <c r="C567" t="s">
        <v>629</v>
      </c>
      <c r="D567" s="1">
        <v>44212</v>
      </c>
      <c r="E567">
        <v>10</v>
      </c>
      <c r="F567">
        <v>27.684592653332601</v>
      </c>
      <c r="G567" s="1">
        <v>44235</v>
      </c>
      <c r="H567" s="1">
        <v>44232</v>
      </c>
      <c r="I567">
        <v>276.84592653332601</v>
      </c>
      <c r="J567">
        <f t="shared" si="8"/>
        <v>-3</v>
      </c>
    </row>
    <row r="568" spans="1:10" x14ac:dyDescent="0.25">
      <c r="A568" t="s">
        <v>864</v>
      </c>
      <c r="B568" t="s">
        <v>442</v>
      </c>
      <c r="C568" t="s">
        <v>53</v>
      </c>
      <c r="D568" s="1">
        <v>44299</v>
      </c>
      <c r="E568">
        <v>15</v>
      </c>
      <c r="F568">
        <v>77.612308245394502</v>
      </c>
      <c r="G568" s="1">
        <v>44314</v>
      </c>
      <c r="H568" s="1">
        <v>44312</v>
      </c>
      <c r="I568">
        <v>1164.1846236809099</v>
      </c>
      <c r="J568">
        <f t="shared" si="8"/>
        <v>-2</v>
      </c>
    </row>
    <row r="569" spans="1:10" x14ac:dyDescent="0.25">
      <c r="A569" t="s">
        <v>865</v>
      </c>
      <c r="B569" t="s">
        <v>127</v>
      </c>
      <c r="C569" t="s">
        <v>257</v>
      </c>
      <c r="D569" s="1">
        <v>44315</v>
      </c>
      <c r="E569">
        <v>16</v>
      </c>
      <c r="F569">
        <v>33.034861637563999</v>
      </c>
      <c r="G569" s="1">
        <v>44338</v>
      </c>
      <c r="H569" s="1">
        <v>44337</v>
      </c>
      <c r="I569">
        <v>528.55778620102399</v>
      </c>
      <c r="J569">
        <f t="shared" si="8"/>
        <v>-1</v>
      </c>
    </row>
    <row r="570" spans="1:10" x14ac:dyDescent="0.25">
      <c r="A570" t="s">
        <v>866</v>
      </c>
      <c r="B570" t="s">
        <v>301</v>
      </c>
      <c r="C570" t="s">
        <v>165</v>
      </c>
      <c r="D570" s="1">
        <v>44908</v>
      </c>
      <c r="E570">
        <v>8</v>
      </c>
      <c r="F570">
        <v>66.597404322223795</v>
      </c>
      <c r="G570" s="1">
        <v>44932</v>
      </c>
      <c r="H570" s="1">
        <v>44931</v>
      </c>
      <c r="I570">
        <v>532.77923457779002</v>
      </c>
      <c r="J570">
        <f t="shared" si="8"/>
        <v>-1</v>
      </c>
    </row>
    <row r="571" spans="1:10" x14ac:dyDescent="0.25">
      <c r="A571" t="s">
        <v>867</v>
      </c>
      <c r="B571" t="s">
        <v>256</v>
      </c>
      <c r="C571" t="s">
        <v>138</v>
      </c>
      <c r="D571" s="1">
        <v>45270</v>
      </c>
      <c r="E571">
        <v>12</v>
      </c>
      <c r="F571">
        <v>10.186341348098701</v>
      </c>
      <c r="G571" s="1">
        <v>45280</v>
      </c>
      <c r="H571" s="1">
        <v>45285</v>
      </c>
      <c r="I571">
        <v>122.236096177184</v>
      </c>
      <c r="J571">
        <f t="shared" si="8"/>
        <v>5</v>
      </c>
    </row>
    <row r="572" spans="1:10" x14ac:dyDescent="0.25">
      <c r="A572" t="s">
        <v>868</v>
      </c>
      <c r="B572" t="s">
        <v>256</v>
      </c>
      <c r="C572" t="s">
        <v>396</v>
      </c>
      <c r="D572" s="1">
        <v>44241</v>
      </c>
      <c r="E572">
        <v>7</v>
      </c>
      <c r="F572">
        <v>9.0687558119335101</v>
      </c>
      <c r="G572" s="1">
        <v>44259</v>
      </c>
      <c r="H572" s="1">
        <v>44263</v>
      </c>
      <c r="I572">
        <v>63.481290683534503</v>
      </c>
      <c r="J572">
        <f t="shared" si="8"/>
        <v>4</v>
      </c>
    </row>
    <row r="573" spans="1:10" x14ac:dyDescent="0.25">
      <c r="A573" t="s">
        <v>869</v>
      </c>
      <c r="B573" t="s">
        <v>314</v>
      </c>
      <c r="C573" t="s">
        <v>212</v>
      </c>
      <c r="D573" s="1">
        <v>45009</v>
      </c>
      <c r="E573">
        <v>16</v>
      </c>
      <c r="F573">
        <v>64.006494395555194</v>
      </c>
      <c r="G573" s="1">
        <v>45024</v>
      </c>
      <c r="H573" s="1">
        <v>45025</v>
      </c>
      <c r="I573">
        <v>1024.1039103288799</v>
      </c>
      <c r="J573">
        <f t="shared" si="8"/>
        <v>1</v>
      </c>
    </row>
    <row r="574" spans="1:10" x14ac:dyDescent="0.25">
      <c r="A574" t="s">
        <v>870</v>
      </c>
      <c r="B574" t="s">
        <v>99</v>
      </c>
      <c r="C574" t="s">
        <v>356</v>
      </c>
      <c r="D574" s="1">
        <v>45192</v>
      </c>
      <c r="E574">
        <v>12</v>
      </c>
      <c r="F574">
        <v>76.866063156785501</v>
      </c>
      <c r="G574" s="1">
        <v>45213</v>
      </c>
      <c r="H574" s="1">
        <v>45217</v>
      </c>
      <c r="I574">
        <v>922.39275788142595</v>
      </c>
      <c r="J574">
        <f t="shared" si="8"/>
        <v>4</v>
      </c>
    </row>
    <row r="575" spans="1:10" x14ac:dyDescent="0.25">
      <c r="A575" t="s">
        <v>871</v>
      </c>
      <c r="B575" t="s">
        <v>96</v>
      </c>
      <c r="C575" t="s">
        <v>210</v>
      </c>
      <c r="D575" s="1">
        <v>45179</v>
      </c>
      <c r="E575">
        <v>11</v>
      </c>
      <c r="F575">
        <v>33.344575294958901</v>
      </c>
      <c r="G575" s="1">
        <v>45200</v>
      </c>
      <c r="H575" s="1">
        <v>45203</v>
      </c>
      <c r="I575">
        <v>366.79032824454799</v>
      </c>
      <c r="J575">
        <f t="shared" si="8"/>
        <v>3</v>
      </c>
    </row>
    <row r="576" spans="1:10" x14ac:dyDescent="0.25">
      <c r="A576" t="s">
        <v>872</v>
      </c>
      <c r="B576" t="s">
        <v>154</v>
      </c>
      <c r="C576" t="s">
        <v>262</v>
      </c>
      <c r="D576" s="1">
        <v>45199</v>
      </c>
      <c r="E576">
        <v>13</v>
      </c>
      <c r="F576">
        <v>74.103666154328394</v>
      </c>
      <c r="G576" s="1">
        <v>45216</v>
      </c>
      <c r="H576" s="1">
        <v>45222</v>
      </c>
      <c r="I576">
        <v>963.34766000626905</v>
      </c>
      <c r="J576">
        <f t="shared" si="8"/>
        <v>6</v>
      </c>
    </row>
    <row r="577" spans="1:10" x14ac:dyDescent="0.25">
      <c r="A577" t="s">
        <v>873</v>
      </c>
      <c r="B577" t="s">
        <v>61</v>
      </c>
      <c r="C577" t="s">
        <v>251</v>
      </c>
      <c r="D577" s="1">
        <v>44632</v>
      </c>
      <c r="E577">
        <v>8</v>
      </c>
      <c r="F577">
        <v>21.432313406955199</v>
      </c>
      <c r="G577" s="1">
        <v>44649</v>
      </c>
      <c r="H577" s="1">
        <v>44651</v>
      </c>
      <c r="I577">
        <v>171.45850725564199</v>
      </c>
      <c r="J577">
        <f t="shared" si="8"/>
        <v>2</v>
      </c>
    </row>
    <row r="578" spans="1:10" x14ac:dyDescent="0.25">
      <c r="A578" t="s">
        <v>874</v>
      </c>
      <c r="B578" t="s">
        <v>267</v>
      </c>
      <c r="C578" t="s">
        <v>344</v>
      </c>
      <c r="D578" s="1">
        <v>44492</v>
      </c>
      <c r="E578">
        <v>15</v>
      </c>
      <c r="F578">
        <v>76.950438303983404</v>
      </c>
      <c r="G578" s="1">
        <v>44504</v>
      </c>
      <c r="H578" s="1">
        <v>44510</v>
      </c>
      <c r="I578">
        <v>1154.2565745597501</v>
      </c>
      <c r="J578">
        <f t="shared" si="8"/>
        <v>6</v>
      </c>
    </row>
    <row r="579" spans="1:10" x14ac:dyDescent="0.25">
      <c r="A579" t="s">
        <v>875</v>
      </c>
      <c r="B579" t="s">
        <v>157</v>
      </c>
      <c r="C579" t="s">
        <v>446</v>
      </c>
      <c r="D579" s="1">
        <v>44751</v>
      </c>
      <c r="E579">
        <v>12</v>
      </c>
      <c r="F579">
        <v>55.252846683942103</v>
      </c>
      <c r="G579" s="1">
        <v>44763</v>
      </c>
      <c r="H579" s="1">
        <v>44769</v>
      </c>
      <c r="I579">
        <v>663.03416020730594</v>
      </c>
      <c r="J579">
        <f t="shared" ref="J579:J642" si="9">H579-G579</f>
        <v>6</v>
      </c>
    </row>
    <row r="580" spans="1:10" x14ac:dyDescent="0.25">
      <c r="A580" t="s">
        <v>876</v>
      </c>
      <c r="B580" t="s">
        <v>247</v>
      </c>
      <c r="C580" t="s">
        <v>581</v>
      </c>
      <c r="D580" s="1">
        <v>44561</v>
      </c>
      <c r="E580">
        <v>11</v>
      </c>
      <c r="F580">
        <v>72.897932431633294</v>
      </c>
      <c r="G580" s="1">
        <v>44585</v>
      </c>
      <c r="H580" s="1">
        <v>44587</v>
      </c>
      <c r="I580">
        <v>801.87725674796695</v>
      </c>
      <c r="J580">
        <f t="shared" si="9"/>
        <v>2</v>
      </c>
    </row>
    <row r="581" spans="1:10" x14ac:dyDescent="0.25">
      <c r="A581" t="s">
        <v>877</v>
      </c>
      <c r="B581" t="s">
        <v>124</v>
      </c>
      <c r="C581" t="s">
        <v>77</v>
      </c>
      <c r="D581" s="1">
        <v>45087</v>
      </c>
      <c r="E581">
        <v>15</v>
      </c>
      <c r="F581">
        <v>68.248321922616796</v>
      </c>
      <c r="G581" s="1">
        <v>45107</v>
      </c>
      <c r="H581" s="1">
        <v>45107</v>
      </c>
      <c r="I581">
        <v>1023.72482883925</v>
      </c>
      <c r="J581">
        <f t="shared" si="9"/>
        <v>0</v>
      </c>
    </row>
    <row r="582" spans="1:10" x14ac:dyDescent="0.25">
      <c r="A582" t="s">
        <v>878</v>
      </c>
      <c r="B582" t="s">
        <v>253</v>
      </c>
      <c r="C582" t="s">
        <v>336</v>
      </c>
      <c r="D582" s="1">
        <v>44987</v>
      </c>
      <c r="E582">
        <v>10</v>
      </c>
      <c r="F582">
        <v>12.426858633641</v>
      </c>
      <c r="G582" s="1">
        <v>45007</v>
      </c>
      <c r="H582" s="1">
        <v>45005</v>
      </c>
      <c r="I582">
        <v>124.26858633641</v>
      </c>
      <c r="J582">
        <f t="shared" si="9"/>
        <v>-2</v>
      </c>
    </row>
    <row r="583" spans="1:10" x14ac:dyDescent="0.25">
      <c r="A583" t="s">
        <v>879</v>
      </c>
      <c r="B583" t="s">
        <v>91</v>
      </c>
      <c r="C583" t="s">
        <v>691</v>
      </c>
      <c r="D583" s="1">
        <v>44460</v>
      </c>
      <c r="E583">
        <v>11</v>
      </c>
      <c r="F583">
        <v>13.029709030700401</v>
      </c>
      <c r="G583" s="1">
        <v>44479</v>
      </c>
      <c r="H583" s="1">
        <v>44477</v>
      </c>
      <c r="I583">
        <v>143.32679933770399</v>
      </c>
      <c r="J583">
        <f t="shared" si="9"/>
        <v>-2</v>
      </c>
    </row>
    <row r="584" spans="1:10" x14ac:dyDescent="0.25">
      <c r="A584" t="s">
        <v>880</v>
      </c>
      <c r="B584" t="s">
        <v>242</v>
      </c>
      <c r="C584" t="s">
        <v>881</v>
      </c>
      <c r="D584" s="1">
        <v>44643</v>
      </c>
      <c r="E584">
        <v>11</v>
      </c>
      <c r="F584">
        <v>36.818308194581597</v>
      </c>
      <c r="G584" s="1">
        <v>44667</v>
      </c>
      <c r="H584" s="1">
        <v>44671</v>
      </c>
      <c r="I584">
        <v>405.00139014039701</v>
      </c>
      <c r="J584">
        <f t="shared" si="9"/>
        <v>4</v>
      </c>
    </row>
    <row r="585" spans="1:10" x14ac:dyDescent="0.25">
      <c r="A585" t="s">
        <v>882</v>
      </c>
      <c r="B585" t="s">
        <v>79</v>
      </c>
      <c r="C585" t="s">
        <v>370</v>
      </c>
      <c r="D585" s="1">
        <v>44743</v>
      </c>
      <c r="E585">
        <v>11</v>
      </c>
      <c r="F585">
        <v>7.8558742183302899</v>
      </c>
      <c r="G585" s="1">
        <v>44758</v>
      </c>
      <c r="H585" s="1">
        <v>44761</v>
      </c>
      <c r="I585">
        <v>86.414616401633197</v>
      </c>
      <c r="J585">
        <f t="shared" si="9"/>
        <v>3</v>
      </c>
    </row>
    <row r="586" spans="1:10" x14ac:dyDescent="0.25">
      <c r="A586" t="s">
        <v>883</v>
      </c>
      <c r="B586" t="s">
        <v>31</v>
      </c>
      <c r="C586" t="s">
        <v>302</v>
      </c>
      <c r="D586" s="1">
        <v>44275</v>
      </c>
      <c r="E586">
        <v>12</v>
      </c>
      <c r="F586">
        <v>37.755997190417702</v>
      </c>
      <c r="G586" s="1">
        <v>44291</v>
      </c>
      <c r="H586" s="1">
        <v>44294</v>
      </c>
      <c r="I586">
        <v>453.07196628501299</v>
      </c>
      <c r="J586">
        <f t="shared" si="9"/>
        <v>3</v>
      </c>
    </row>
    <row r="587" spans="1:10" x14ac:dyDescent="0.25">
      <c r="A587" t="s">
        <v>884</v>
      </c>
      <c r="B587" t="s">
        <v>109</v>
      </c>
      <c r="C587" t="s">
        <v>312</v>
      </c>
      <c r="D587" s="1">
        <v>45347</v>
      </c>
      <c r="E587">
        <v>12</v>
      </c>
      <c r="F587">
        <v>31.1159658719465</v>
      </c>
      <c r="G587" s="1">
        <v>45369</v>
      </c>
      <c r="H587" s="1">
        <v>45368</v>
      </c>
      <c r="I587">
        <v>373.391590463358</v>
      </c>
      <c r="J587">
        <f t="shared" si="9"/>
        <v>-1</v>
      </c>
    </row>
    <row r="588" spans="1:10" x14ac:dyDescent="0.25">
      <c r="A588" t="s">
        <v>885</v>
      </c>
      <c r="B588" t="s">
        <v>154</v>
      </c>
      <c r="C588" t="s">
        <v>190</v>
      </c>
      <c r="D588" s="1">
        <v>44576</v>
      </c>
      <c r="E588">
        <v>8</v>
      </c>
      <c r="F588">
        <v>13.863059640127901</v>
      </c>
      <c r="G588" s="1">
        <v>44594</v>
      </c>
      <c r="H588" s="1">
        <v>44591</v>
      </c>
      <c r="I588">
        <v>110.90447712102301</v>
      </c>
      <c r="J588">
        <f t="shared" si="9"/>
        <v>-3</v>
      </c>
    </row>
    <row r="589" spans="1:10" x14ac:dyDescent="0.25">
      <c r="A589" t="s">
        <v>886</v>
      </c>
      <c r="B589" t="s">
        <v>194</v>
      </c>
      <c r="C589" t="s">
        <v>184</v>
      </c>
      <c r="D589" s="1">
        <v>45234</v>
      </c>
      <c r="E589">
        <v>12</v>
      </c>
      <c r="F589">
        <v>66.712904690513994</v>
      </c>
      <c r="G589" s="1">
        <v>45245</v>
      </c>
      <c r="H589" s="1">
        <v>45246</v>
      </c>
      <c r="I589">
        <v>800.55485628616702</v>
      </c>
      <c r="J589">
        <f t="shared" si="9"/>
        <v>1</v>
      </c>
    </row>
    <row r="590" spans="1:10" x14ac:dyDescent="0.25">
      <c r="A590" t="s">
        <v>887</v>
      </c>
      <c r="B590" t="s">
        <v>121</v>
      </c>
      <c r="C590" t="s">
        <v>184</v>
      </c>
      <c r="D590" s="1">
        <v>45274</v>
      </c>
      <c r="E590">
        <v>18</v>
      </c>
      <c r="F590">
        <v>60.269750339739197</v>
      </c>
      <c r="G590" s="1">
        <v>45298</v>
      </c>
      <c r="H590" s="1">
        <v>45304</v>
      </c>
      <c r="I590">
        <v>1084.8555061152999</v>
      </c>
      <c r="J590">
        <f t="shared" si="9"/>
        <v>6</v>
      </c>
    </row>
    <row r="591" spans="1:10" x14ac:dyDescent="0.25">
      <c r="A591" t="s">
        <v>888</v>
      </c>
      <c r="B591" t="s">
        <v>186</v>
      </c>
      <c r="C591" t="s">
        <v>795</v>
      </c>
      <c r="D591" s="1">
        <v>45315</v>
      </c>
      <c r="E591">
        <v>9</v>
      </c>
      <c r="F591">
        <v>55.838172931035999</v>
      </c>
      <c r="G591" s="1">
        <v>45335</v>
      </c>
      <c r="H591" s="1">
        <v>45340</v>
      </c>
      <c r="I591">
        <v>502.543556379324</v>
      </c>
      <c r="J591">
        <f t="shared" si="9"/>
        <v>5</v>
      </c>
    </row>
    <row r="592" spans="1:10" x14ac:dyDescent="0.25">
      <c r="A592" t="s">
        <v>889</v>
      </c>
      <c r="B592" t="s">
        <v>472</v>
      </c>
      <c r="C592" t="s">
        <v>462</v>
      </c>
      <c r="D592" s="1">
        <v>44762</v>
      </c>
      <c r="E592">
        <v>13</v>
      </c>
      <c r="F592">
        <v>27.682277550725999</v>
      </c>
      <c r="G592" s="1">
        <v>44774</v>
      </c>
      <c r="H592" s="1">
        <v>44780</v>
      </c>
      <c r="I592">
        <v>359.86960815943797</v>
      </c>
      <c r="J592">
        <f t="shared" si="9"/>
        <v>6</v>
      </c>
    </row>
    <row r="593" spans="1:10" x14ac:dyDescent="0.25">
      <c r="A593" t="s">
        <v>890</v>
      </c>
      <c r="B593" t="s">
        <v>179</v>
      </c>
      <c r="C593" t="s">
        <v>281</v>
      </c>
      <c r="D593" s="1">
        <v>44622</v>
      </c>
      <c r="E593">
        <v>9</v>
      </c>
      <c r="F593">
        <v>52.088794943255998</v>
      </c>
      <c r="G593" s="1">
        <v>44635</v>
      </c>
      <c r="H593" s="1">
        <v>44641</v>
      </c>
      <c r="I593">
        <v>468.79915448930399</v>
      </c>
      <c r="J593">
        <f t="shared" si="9"/>
        <v>6</v>
      </c>
    </row>
    <row r="594" spans="1:10" x14ac:dyDescent="0.25">
      <c r="A594" t="s">
        <v>891</v>
      </c>
      <c r="B594" t="s">
        <v>169</v>
      </c>
      <c r="C594" t="s">
        <v>408</v>
      </c>
      <c r="D594" s="1">
        <v>44412</v>
      </c>
      <c r="E594">
        <v>11</v>
      </c>
      <c r="F594">
        <v>13.9910411486869</v>
      </c>
      <c r="G594" s="1">
        <v>44429</v>
      </c>
      <c r="H594" s="1">
        <v>44428</v>
      </c>
      <c r="I594">
        <v>153.90145263555601</v>
      </c>
      <c r="J594">
        <f t="shared" si="9"/>
        <v>-1</v>
      </c>
    </row>
    <row r="595" spans="1:10" x14ac:dyDescent="0.25">
      <c r="A595" t="s">
        <v>892</v>
      </c>
      <c r="B595" t="s">
        <v>19</v>
      </c>
      <c r="C595" t="s">
        <v>341</v>
      </c>
      <c r="D595" s="1">
        <v>45084</v>
      </c>
      <c r="E595">
        <v>12</v>
      </c>
      <c r="F595">
        <v>68.125441736821799</v>
      </c>
      <c r="G595" s="1">
        <v>45097</v>
      </c>
      <c r="H595" s="1">
        <v>45094</v>
      </c>
      <c r="I595">
        <v>817.50530084186096</v>
      </c>
      <c r="J595">
        <f t="shared" si="9"/>
        <v>-3</v>
      </c>
    </row>
    <row r="596" spans="1:10" x14ac:dyDescent="0.25">
      <c r="A596" t="s">
        <v>893</v>
      </c>
      <c r="B596" t="s">
        <v>22</v>
      </c>
      <c r="C596" t="s">
        <v>214</v>
      </c>
      <c r="D596" s="1">
        <v>45252</v>
      </c>
      <c r="E596">
        <v>18</v>
      </c>
      <c r="F596">
        <v>16.590298336726701</v>
      </c>
      <c r="G596" s="1">
        <v>45268</v>
      </c>
      <c r="H596" s="1">
        <v>45266</v>
      </c>
      <c r="I596">
        <v>298.62537006108101</v>
      </c>
      <c r="J596">
        <f t="shared" si="9"/>
        <v>-2</v>
      </c>
    </row>
    <row r="597" spans="1:10" x14ac:dyDescent="0.25">
      <c r="A597" t="s">
        <v>894</v>
      </c>
      <c r="B597" t="s">
        <v>13</v>
      </c>
      <c r="C597" t="s">
        <v>161</v>
      </c>
      <c r="D597" s="1">
        <v>44355</v>
      </c>
      <c r="E597">
        <v>14</v>
      </c>
      <c r="F597">
        <v>37.701849422149998</v>
      </c>
      <c r="G597" s="1">
        <v>44372</v>
      </c>
      <c r="H597" s="1">
        <v>44375</v>
      </c>
      <c r="I597">
        <v>527.82589191010004</v>
      </c>
      <c r="J597">
        <f t="shared" si="9"/>
        <v>3</v>
      </c>
    </row>
    <row r="598" spans="1:10" x14ac:dyDescent="0.25">
      <c r="A598" t="s">
        <v>895</v>
      </c>
      <c r="B598" t="s">
        <v>617</v>
      </c>
      <c r="C598" t="s">
        <v>434</v>
      </c>
      <c r="D598" s="1">
        <v>44974</v>
      </c>
      <c r="E598">
        <v>7</v>
      </c>
      <c r="F598">
        <v>18.617803210227699</v>
      </c>
      <c r="G598" s="1">
        <v>44986</v>
      </c>
      <c r="H598" s="1">
        <v>44986</v>
      </c>
      <c r="I598">
        <v>130.32462247159401</v>
      </c>
      <c r="J598">
        <f t="shared" si="9"/>
        <v>0</v>
      </c>
    </row>
    <row r="599" spans="1:10" x14ac:dyDescent="0.25">
      <c r="A599" t="s">
        <v>896</v>
      </c>
      <c r="B599" t="s">
        <v>61</v>
      </c>
      <c r="C599" t="s">
        <v>94</v>
      </c>
      <c r="D599" s="1">
        <v>45202</v>
      </c>
      <c r="E599">
        <v>12</v>
      </c>
      <c r="F599">
        <v>68.034730014945794</v>
      </c>
      <c r="G599" s="1">
        <v>45221</v>
      </c>
      <c r="H599" s="1">
        <v>45221</v>
      </c>
      <c r="I599">
        <v>816.41676017934901</v>
      </c>
      <c r="J599">
        <f t="shared" si="9"/>
        <v>0</v>
      </c>
    </row>
    <row r="600" spans="1:10" x14ac:dyDescent="0.25">
      <c r="A600" t="s">
        <v>897</v>
      </c>
      <c r="B600" t="s">
        <v>46</v>
      </c>
      <c r="C600" t="s">
        <v>589</v>
      </c>
      <c r="D600" s="1">
        <v>45334</v>
      </c>
      <c r="E600">
        <v>6</v>
      </c>
      <c r="F600">
        <v>45.930931092778799</v>
      </c>
      <c r="G600" s="1">
        <v>45345</v>
      </c>
      <c r="H600" s="1">
        <v>45350</v>
      </c>
      <c r="I600">
        <v>275.58558655667298</v>
      </c>
      <c r="J600">
        <f t="shared" si="9"/>
        <v>5</v>
      </c>
    </row>
    <row r="601" spans="1:10" x14ac:dyDescent="0.25">
      <c r="A601" t="s">
        <v>898</v>
      </c>
      <c r="B601" t="s">
        <v>267</v>
      </c>
      <c r="C601" t="s">
        <v>899</v>
      </c>
      <c r="D601" s="1">
        <v>44619</v>
      </c>
      <c r="E601">
        <v>8</v>
      </c>
      <c r="F601">
        <v>70.517949976877702</v>
      </c>
      <c r="G601" s="1">
        <v>44631</v>
      </c>
      <c r="H601" s="1">
        <v>44636</v>
      </c>
      <c r="I601">
        <v>564.14359981502105</v>
      </c>
      <c r="J601">
        <f t="shared" si="9"/>
        <v>5</v>
      </c>
    </row>
    <row r="602" spans="1:10" x14ac:dyDescent="0.25">
      <c r="A602" t="s">
        <v>900</v>
      </c>
      <c r="B602" t="s">
        <v>40</v>
      </c>
      <c r="C602" t="s">
        <v>457</v>
      </c>
      <c r="D602" s="1">
        <v>45084</v>
      </c>
      <c r="E602">
        <v>11</v>
      </c>
      <c r="F602">
        <v>10.4243532815614</v>
      </c>
      <c r="G602" s="1">
        <v>45103</v>
      </c>
      <c r="H602" s="1">
        <v>45108</v>
      </c>
      <c r="I602">
        <v>114.667886097175</v>
      </c>
      <c r="J602">
        <f t="shared" si="9"/>
        <v>5</v>
      </c>
    </row>
    <row r="603" spans="1:10" x14ac:dyDescent="0.25">
      <c r="A603" t="s">
        <v>901</v>
      </c>
      <c r="B603" t="s">
        <v>472</v>
      </c>
      <c r="C603" t="s">
        <v>161</v>
      </c>
      <c r="D603" s="1">
        <v>44364</v>
      </c>
      <c r="E603">
        <v>14</v>
      </c>
      <c r="F603">
        <v>14.196997479849299</v>
      </c>
      <c r="G603" s="1">
        <v>44383</v>
      </c>
      <c r="H603" s="1">
        <v>44384</v>
      </c>
      <c r="I603">
        <v>198.75796471789101</v>
      </c>
      <c r="J603">
        <f t="shared" si="9"/>
        <v>1</v>
      </c>
    </row>
    <row r="604" spans="1:10" x14ac:dyDescent="0.25">
      <c r="A604" t="s">
        <v>902</v>
      </c>
      <c r="B604" t="s">
        <v>451</v>
      </c>
      <c r="C604" t="s">
        <v>310</v>
      </c>
      <c r="D604" s="1">
        <v>44938</v>
      </c>
      <c r="E604">
        <v>9</v>
      </c>
      <c r="F604">
        <v>9.0133120549460592</v>
      </c>
      <c r="G604" s="1">
        <v>44961</v>
      </c>
      <c r="H604" s="1">
        <v>44958</v>
      </c>
      <c r="I604">
        <v>81.119808494514501</v>
      </c>
      <c r="J604">
        <f t="shared" si="9"/>
        <v>-3</v>
      </c>
    </row>
    <row r="605" spans="1:10" x14ac:dyDescent="0.25">
      <c r="A605" t="s">
        <v>903</v>
      </c>
      <c r="B605" t="s">
        <v>160</v>
      </c>
      <c r="C605" t="s">
        <v>290</v>
      </c>
      <c r="D605" s="1">
        <v>44373</v>
      </c>
      <c r="E605">
        <v>12</v>
      </c>
      <c r="F605">
        <v>25.611510105026198</v>
      </c>
      <c r="G605" s="1">
        <v>44394</v>
      </c>
      <c r="H605" s="1">
        <v>44391</v>
      </c>
      <c r="I605">
        <v>307.33812126031398</v>
      </c>
      <c r="J605">
        <f t="shared" si="9"/>
        <v>-3</v>
      </c>
    </row>
    <row r="606" spans="1:10" x14ac:dyDescent="0.25">
      <c r="A606" t="s">
        <v>904</v>
      </c>
      <c r="B606" t="s">
        <v>96</v>
      </c>
      <c r="C606" t="s">
        <v>720</v>
      </c>
      <c r="D606" s="1">
        <v>44638</v>
      </c>
      <c r="E606">
        <v>12</v>
      </c>
      <c r="F606">
        <v>66.771948989550907</v>
      </c>
      <c r="G606" s="1">
        <v>44650</v>
      </c>
      <c r="H606" s="1">
        <v>44654</v>
      </c>
      <c r="I606">
        <v>801.263387874611</v>
      </c>
      <c r="J606">
        <f t="shared" si="9"/>
        <v>4</v>
      </c>
    </row>
    <row r="607" spans="1:10" x14ac:dyDescent="0.25">
      <c r="A607" t="s">
        <v>905</v>
      </c>
      <c r="B607" t="s">
        <v>25</v>
      </c>
      <c r="C607" t="s">
        <v>224</v>
      </c>
      <c r="D607" s="1">
        <v>44815</v>
      </c>
      <c r="E607">
        <v>12</v>
      </c>
      <c r="F607">
        <v>43.290321713994103</v>
      </c>
      <c r="G607" s="1">
        <v>44829</v>
      </c>
      <c r="H607" s="1">
        <v>44833</v>
      </c>
      <c r="I607">
        <v>519.48386056792901</v>
      </c>
      <c r="J607">
        <f t="shared" si="9"/>
        <v>4</v>
      </c>
    </row>
    <row r="608" spans="1:10" x14ac:dyDescent="0.25">
      <c r="A608" t="s">
        <v>906</v>
      </c>
      <c r="B608" t="s">
        <v>394</v>
      </c>
      <c r="C608" t="s">
        <v>356</v>
      </c>
      <c r="D608" s="1">
        <v>44502</v>
      </c>
      <c r="E608">
        <v>11</v>
      </c>
      <c r="F608">
        <v>12.781728718271101</v>
      </c>
      <c r="G608" s="1">
        <v>44514</v>
      </c>
      <c r="H608" s="1">
        <v>44518</v>
      </c>
      <c r="I608">
        <v>140.59901590098201</v>
      </c>
      <c r="J608">
        <f t="shared" si="9"/>
        <v>4</v>
      </c>
    </row>
    <row r="609" spans="1:10" x14ac:dyDescent="0.25">
      <c r="A609" t="s">
        <v>907</v>
      </c>
      <c r="B609" t="s">
        <v>207</v>
      </c>
      <c r="C609" t="s">
        <v>257</v>
      </c>
      <c r="D609" s="1">
        <v>45238</v>
      </c>
      <c r="E609">
        <v>11</v>
      </c>
      <c r="F609">
        <v>78.343676043460405</v>
      </c>
      <c r="G609" s="1">
        <v>45251</v>
      </c>
      <c r="H609" s="1">
        <v>45252</v>
      </c>
      <c r="I609">
        <v>861.78043647806498</v>
      </c>
      <c r="J609">
        <f t="shared" si="9"/>
        <v>1</v>
      </c>
    </row>
    <row r="610" spans="1:10" x14ac:dyDescent="0.25">
      <c r="A610" t="s">
        <v>908</v>
      </c>
      <c r="B610" t="s">
        <v>189</v>
      </c>
      <c r="C610" t="s">
        <v>279</v>
      </c>
      <c r="D610" s="1">
        <v>45370</v>
      </c>
      <c r="E610">
        <v>9</v>
      </c>
      <c r="F610">
        <v>18.9292862842583</v>
      </c>
      <c r="G610" s="1">
        <v>45392</v>
      </c>
      <c r="H610" s="1">
        <v>45392</v>
      </c>
      <c r="I610">
        <v>170.36357655832401</v>
      </c>
      <c r="J610">
        <f t="shared" si="9"/>
        <v>0</v>
      </c>
    </row>
    <row r="611" spans="1:10" x14ac:dyDescent="0.25">
      <c r="A611" t="s">
        <v>909</v>
      </c>
      <c r="B611" t="s">
        <v>13</v>
      </c>
      <c r="C611" t="s">
        <v>759</v>
      </c>
      <c r="D611" s="1">
        <v>44981</v>
      </c>
      <c r="E611">
        <v>5</v>
      </c>
      <c r="F611">
        <v>21.397357027782601</v>
      </c>
      <c r="G611" s="1">
        <v>45000</v>
      </c>
      <c r="H611" s="1">
        <v>45003</v>
      </c>
      <c r="I611">
        <v>106.98678513891301</v>
      </c>
      <c r="J611">
        <f t="shared" si="9"/>
        <v>3</v>
      </c>
    </row>
    <row r="612" spans="1:10" x14ac:dyDescent="0.25">
      <c r="A612" t="s">
        <v>910</v>
      </c>
      <c r="B612" t="s">
        <v>67</v>
      </c>
      <c r="C612" t="s">
        <v>170</v>
      </c>
      <c r="D612" s="1">
        <v>45212</v>
      </c>
      <c r="E612">
        <v>7</v>
      </c>
      <c r="F612">
        <v>54.100345438448798</v>
      </c>
      <c r="G612" s="1">
        <v>45233</v>
      </c>
      <c r="H612" s="1">
        <v>45232</v>
      </c>
      <c r="I612">
        <v>378.702418069141</v>
      </c>
      <c r="J612">
        <f t="shared" si="9"/>
        <v>-1</v>
      </c>
    </row>
    <row r="613" spans="1:10" x14ac:dyDescent="0.25">
      <c r="A613" t="s">
        <v>911</v>
      </c>
      <c r="B613" t="s">
        <v>326</v>
      </c>
      <c r="C613" t="s">
        <v>270</v>
      </c>
      <c r="D613" s="1">
        <v>45123</v>
      </c>
      <c r="E613">
        <v>9</v>
      </c>
      <c r="F613">
        <v>44.098139609661303</v>
      </c>
      <c r="G613" s="1">
        <v>45133</v>
      </c>
      <c r="H613" s="1">
        <v>45134</v>
      </c>
      <c r="I613">
        <v>396.88325648695098</v>
      </c>
      <c r="J613">
        <f t="shared" si="9"/>
        <v>1</v>
      </c>
    </row>
    <row r="614" spans="1:10" x14ac:dyDescent="0.25">
      <c r="A614" t="s">
        <v>912</v>
      </c>
      <c r="B614" t="s">
        <v>382</v>
      </c>
      <c r="C614" t="s">
        <v>210</v>
      </c>
      <c r="D614" s="1">
        <v>45108</v>
      </c>
      <c r="E614">
        <v>12</v>
      </c>
      <c r="F614">
        <v>5.13124452542172</v>
      </c>
      <c r="G614" s="1">
        <v>45118</v>
      </c>
      <c r="H614" s="1">
        <v>45120</v>
      </c>
      <c r="I614">
        <v>61.574934305060701</v>
      </c>
      <c r="J614">
        <f t="shared" si="9"/>
        <v>2</v>
      </c>
    </row>
    <row r="615" spans="1:10" x14ac:dyDescent="0.25">
      <c r="A615" t="s">
        <v>913</v>
      </c>
      <c r="B615" t="s">
        <v>564</v>
      </c>
      <c r="C615" t="s">
        <v>272</v>
      </c>
      <c r="D615" s="1">
        <v>45142</v>
      </c>
      <c r="E615">
        <v>8</v>
      </c>
      <c r="F615">
        <v>78.368268467943096</v>
      </c>
      <c r="G615" s="1">
        <v>45158</v>
      </c>
      <c r="H615" s="1">
        <v>45159</v>
      </c>
      <c r="I615">
        <v>626.946147743545</v>
      </c>
      <c r="J615">
        <f t="shared" si="9"/>
        <v>1</v>
      </c>
    </row>
    <row r="616" spans="1:10" x14ac:dyDescent="0.25">
      <c r="A616" t="s">
        <v>914</v>
      </c>
      <c r="B616" t="s">
        <v>493</v>
      </c>
      <c r="C616" t="s">
        <v>915</v>
      </c>
      <c r="D616" s="1">
        <v>45212</v>
      </c>
      <c r="E616">
        <v>11</v>
      </c>
      <c r="F616">
        <v>9.4110025999075599</v>
      </c>
      <c r="G616" s="1">
        <v>45226</v>
      </c>
      <c r="H616" s="1">
        <v>45227</v>
      </c>
      <c r="I616">
        <v>103.52102859898299</v>
      </c>
      <c r="J616">
        <f t="shared" si="9"/>
        <v>1</v>
      </c>
    </row>
    <row r="617" spans="1:10" x14ac:dyDescent="0.25">
      <c r="A617" t="s">
        <v>916</v>
      </c>
      <c r="B617" t="s">
        <v>314</v>
      </c>
      <c r="C617" t="s">
        <v>310</v>
      </c>
      <c r="D617" s="1">
        <v>44756</v>
      </c>
      <c r="E617">
        <v>10</v>
      </c>
      <c r="F617">
        <v>76.669042980393002</v>
      </c>
      <c r="G617" s="1">
        <v>44772</v>
      </c>
      <c r="H617" s="1">
        <v>44775</v>
      </c>
      <c r="I617">
        <v>766.69042980392999</v>
      </c>
      <c r="J617">
        <f t="shared" si="9"/>
        <v>3</v>
      </c>
    </row>
    <row r="618" spans="1:10" x14ac:dyDescent="0.25">
      <c r="A618" t="s">
        <v>917</v>
      </c>
      <c r="B618" t="s">
        <v>114</v>
      </c>
      <c r="C618" t="s">
        <v>47</v>
      </c>
      <c r="D618" s="1">
        <v>44439</v>
      </c>
      <c r="E618">
        <v>11</v>
      </c>
      <c r="F618">
        <v>26.826157292881899</v>
      </c>
      <c r="G618" s="1">
        <v>44458</v>
      </c>
      <c r="H618" s="1">
        <v>44459</v>
      </c>
      <c r="I618">
        <v>295.08773022170101</v>
      </c>
      <c r="J618">
        <f t="shared" si="9"/>
        <v>1</v>
      </c>
    </row>
    <row r="619" spans="1:10" x14ac:dyDescent="0.25">
      <c r="A619" t="s">
        <v>918</v>
      </c>
      <c r="B619" t="s">
        <v>121</v>
      </c>
      <c r="C619" t="s">
        <v>177</v>
      </c>
      <c r="D619" s="1">
        <v>44228</v>
      </c>
      <c r="E619">
        <v>9</v>
      </c>
      <c r="F619">
        <v>52.652739462248</v>
      </c>
      <c r="G619" s="1">
        <v>44248</v>
      </c>
      <c r="H619" s="1">
        <v>44252</v>
      </c>
      <c r="I619">
        <v>473.87465516023201</v>
      </c>
      <c r="J619">
        <f t="shared" si="9"/>
        <v>4</v>
      </c>
    </row>
    <row r="620" spans="1:10" x14ac:dyDescent="0.25">
      <c r="A620" t="s">
        <v>919</v>
      </c>
      <c r="B620" t="s">
        <v>157</v>
      </c>
      <c r="C620" t="s">
        <v>214</v>
      </c>
      <c r="D620" s="1">
        <v>44712</v>
      </c>
      <c r="E620">
        <v>11</v>
      </c>
      <c r="F620">
        <v>3.4939928257038702</v>
      </c>
      <c r="G620" s="1">
        <v>44731</v>
      </c>
      <c r="H620" s="1">
        <v>44733</v>
      </c>
      <c r="I620">
        <v>38.433921082742501</v>
      </c>
      <c r="J620">
        <f t="shared" si="9"/>
        <v>2</v>
      </c>
    </row>
    <row r="621" spans="1:10" x14ac:dyDescent="0.25">
      <c r="A621" t="s">
        <v>920</v>
      </c>
      <c r="B621" t="s">
        <v>52</v>
      </c>
      <c r="C621" t="s">
        <v>210</v>
      </c>
      <c r="D621" s="1">
        <v>44367</v>
      </c>
      <c r="E621">
        <v>14</v>
      </c>
      <c r="F621">
        <v>52.641836511714203</v>
      </c>
      <c r="G621" s="1">
        <v>44389</v>
      </c>
      <c r="H621" s="1">
        <v>44395</v>
      </c>
      <c r="I621">
        <v>736.98571116399899</v>
      </c>
      <c r="J621">
        <f t="shared" si="9"/>
        <v>6</v>
      </c>
    </row>
    <row r="622" spans="1:10" x14ac:dyDescent="0.25">
      <c r="A622" t="s">
        <v>921</v>
      </c>
      <c r="B622" t="s">
        <v>485</v>
      </c>
      <c r="C622" t="s">
        <v>437</v>
      </c>
      <c r="D622" s="1">
        <v>45370</v>
      </c>
      <c r="E622">
        <v>13</v>
      </c>
      <c r="F622">
        <v>78.975853394742401</v>
      </c>
      <c r="G622" s="1">
        <v>45381</v>
      </c>
      <c r="H622" s="1">
        <v>45380</v>
      </c>
      <c r="I622">
        <v>1026.68609413165</v>
      </c>
      <c r="J622">
        <f t="shared" si="9"/>
        <v>-1</v>
      </c>
    </row>
    <row r="623" spans="1:10" x14ac:dyDescent="0.25">
      <c r="A623" t="s">
        <v>922</v>
      </c>
      <c r="B623" t="s">
        <v>194</v>
      </c>
      <c r="C623" t="s">
        <v>283</v>
      </c>
      <c r="D623" s="1">
        <v>45350</v>
      </c>
      <c r="E623">
        <v>8</v>
      </c>
      <c r="F623">
        <v>76.676520099655903</v>
      </c>
      <c r="G623" s="1">
        <v>45374</v>
      </c>
      <c r="H623" s="1">
        <v>45377</v>
      </c>
      <c r="I623">
        <v>613.412160797247</v>
      </c>
      <c r="J623">
        <f t="shared" si="9"/>
        <v>3</v>
      </c>
    </row>
    <row r="624" spans="1:10" x14ac:dyDescent="0.25">
      <c r="A624" t="s">
        <v>923</v>
      </c>
      <c r="B624" t="s">
        <v>299</v>
      </c>
      <c r="C624" t="s">
        <v>402</v>
      </c>
      <c r="D624" s="1">
        <v>45390</v>
      </c>
      <c r="E624">
        <v>11</v>
      </c>
      <c r="F624">
        <v>21.490030423802299</v>
      </c>
      <c r="G624" s="1">
        <v>45408</v>
      </c>
      <c r="H624" s="1">
        <v>45410</v>
      </c>
      <c r="I624">
        <v>236.39033466182499</v>
      </c>
      <c r="J624">
        <f t="shared" si="9"/>
        <v>2</v>
      </c>
    </row>
    <row r="625" spans="1:10" x14ac:dyDescent="0.25">
      <c r="A625" t="s">
        <v>924</v>
      </c>
      <c r="B625" t="s">
        <v>130</v>
      </c>
      <c r="C625" t="s">
        <v>107</v>
      </c>
      <c r="D625" s="1">
        <v>44305</v>
      </c>
      <c r="E625">
        <v>8</v>
      </c>
      <c r="F625">
        <v>23.831496713734701</v>
      </c>
      <c r="G625" s="1">
        <v>44315</v>
      </c>
      <c r="H625" s="1">
        <v>44316</v>
      </c>
      <c r="I625">
        <v>190.65197370987801</v>
      </c>
      <c r="J625">
        <f t="shared" si="9"/>
        <v>1</v>
      </c>
    </row>
    <row r="626" spans="1:10" x14ac:dyDescent="0.25">
      <c r="A626" t="s">
        <v>925</v>
      </c>
      <c r="B626" t="s">
        <v>119</v>
      </c>
      <c r="C626" t="s">
        <v>68</v>
      </c>
      <c r="D626" s="1">
        <v>44989</v>
      </c>
      <c r="E626">
        <v>12</v>
      </c>
      <c r="F626">
        <v>8.0761752917325502</v>
      </c>
      <c r="G626" s="1">
        <v>45008</v>
      </c>
      <c r="H626" s="1">
        <v>45008</v>
      </c>
      <c r="I626">
        <v>96.914103500790603</v>
      </c>
      <c r="J626">
        <f t="shared" si="9"/>
        <v>0</v>
      </c>
    </row>
    <row r="627" spans="1:10" x14ac:dyDescent="0.25">
      <c r="A627" t="s">
        <v>926</v>
      </c>
      <c r="B627" t="s">
        <v>324</v>
      </c>
      <c r="C627" t="s">
        <v>281</v>
      </c>
      <c r="D627" s="1">
        <v>44365</v>
      </c>
      <c r="E627">
        <v>11</v>
      </c>
      <c r="F627">
        <v>62.105210859092502</v>
      </c>
      <c r="G627" s="1">
        <v>44383</v>
      </c>
      <c r="H627" s="1">
        <v>44381</v>
      </c>
      <c r="I627">
        <v>683.15731945001801</v>
      </c>
      <c r="J627">
        <f t="shared" si="9"/>
        <v>-2</v>
      </c>
    </row>
    <row r="628" spans="1:10" x14ac:dyDescent="0.25">
      <c r="A628" t="s">
        <v>927</v>
      </c>
      <c r="B628" t="s">
        <v>43</v>
      </c>
      <c r="C628" t="s">
        <v>915</v>
      </c>
      <c r="D628" s="1">
        <v>45300</v>
      </c>
      <c r="E628">
        <v>10</v>
      </c>
      <c r="F628">
        <v>41.663547117221</v>
      </c>
      <c r="G628" s="1">
        <v>45317</v>
      </c>
      <c r="H628" s="1">
        <v>45317</v>
      </c>
      <c r="I628">
        <v>416.63547117220998</v>
      </c>
      <c r="J628">
        <f t="shared" si="9"/>
        <v>0</v>
      </c>
    </row>
    <row r="629" spans="1:10" x14ac:dyDescent="0.25">
      <c r="A629" t="s">
        <v>928</v>
      </c>
      <c r="B629" t="s">
        <v>394</v>
      </c>
      <c r="C629" t="s">
        <v>97</v>
      </c>
      <c r="D629" s="1">
        <v>44358</v>
      </c>
      <c r="E629">
        <v>16</v>
      </c>
      <c r="F629">
        <v>43.041852399869803</v>
      </c>
      <c r="G629" s="1">
        <v>44378</v>
      </c>
      <c r="H629" s="1">
        <v>44375</v>
      </c>
      <c r="I629">
        <v>688.66963839791595</v>
      </c>
      <c r="J629">
        <f t="shared" si="9"/>
        <v>-3</v>
      </c>
    </row>
    <row r="630" spans="1:10" x14ac:dyDescent="0.25">
      <c r="A630" t="s">
        <v>929</v>
      </c>
      <c r="B630" t="s">
        <v>114</v>
      </c>
      <c r="C630" t="s">
        <v>312</v>
      </c>
      <c r="D630" s="1">
        <v>44340</v>
      </c>
      <c r="E630">
        <v>16</v>
      </c>
      <c r="F630">
        <v>28.626855043828701</v>
      </c>
      <c r="G630" s="1">
        <v>44363</v>
      </c>
      <c r="H630" s="1">
        <v>44364</v>
      </c>
      <c r="I630">
        <v>458.029680701259</v>
      </c>
      <c r="J630">
        <f t="shared" si="9"/>
        <v>1</v>
      </c>
    </row>
    <row r="631" spans="1:10" x14ac:dyDescent="0.25">
      <c r="A631" t="s">
        <v>930</v>
      </c>
      <c r="B631" t="s">
        <v>247</v>
      </c>
      <c r="C631" t="s">
        <v>613</v>
      </c>
      <c r="D631" s="1">
        <v>44647</v>
      </c>
      <c r="E631">
        <v>10</v>
      </c>
      <c r="F631">
        <v>57.085016689539898</v>
      </c>
      <c r="G631" s="1">
        <v>44669</v>
      </c>
      <c r="H631" s="1">
        <v>44672</v>
      </c>
      <c r="I631">
        <v>570.85016689539896</v>
      </c>
      <c r="J631">
        <f t="shared" si="9"/>
        <v>3</v>
      </c>
    </row>
    <row r="632" spans="1:10" x14ac:dyDescent="0.25">
      <c r="A632" t="s">
        <v>931</v>
      </c>
      <c r="B632" t="s">
        <v>143</v>
      </c>
      <c r="C632" t="s">
        <v>356</v>
      </c>
      <c r="D632" s="1">
        <v>44669</v>
      </c>
      <c r="E632">
        <v>11</v>
      </c>
      <c r="F632">
        <v>23.876158539248099</v>
      </c>
      <c r="G632" s="1">
        <v>44679</v>
      </c>
      <c r="H632" s="1">
        <v>44683</v>
      </c>
      <c r="I632">
        <v>262.63774393172901</v>
      </c>
      <c r="J632">
        <f t="shared" si="9"/>
        <v>4</v>
      </c>
    </row>
    <row r="633" spans="1:10" x14ac:dyDescent="0.25">
      <c r="A633" t="s">
        <v>932</v>
      </c>
      <c r="B633" t="s">
        <v>369</v>
      </c>
      <c r="C633" t="s">
        <v>437</v>
      </c>
      <c r="D633" s="1">
        <v>45357</v>
      </c>
      <c r="E633">
        <v>7</v>
      </c>
      <c r="F633">
        <v>10.0427797676367</v>
      </c>
      <c r="G633" s="1">
        <v>45373</v>
      </c>
      <c r="H633" s="1">
        <v>45376</v>
      </c>
      <c r="I633">
        <v>70.299458373457099</v>
      </c>
      <c r="J633">
        <f t="shared" si="9"/>
        <v>3</v>
      </c>
    </row>
    <row r="634" spans="1:10" x14ac:dyDescent="0.25">
      <c r="A634" t="s">
        <v>933</v>
      </c>
      <c r="B634" t="s">
        <v>539</v>
      </c>
      <c r="C634" t="s">
        <v>418</v>
      </c>
      <c r="D634" s="1">
        <v>44602</v>
      </c>
      <c r="E634">
        <v>8</v>
      </c>
      <c r="F634">
        <v>69.430328558470094</v>
      </c>
      <c r="G634" s="1">
        <v>44620</v>
      </c>
      <c r="H634" s="1">
        <v>44626</v>
      </c>
      <c r="I634">
        <v>555.44262846775996</v>
      </c>
      <c r="J634">
        <f t="shared" si="9"/>
        <v>6</v>
      </c>
    </row>
    <row r="635" spans="1:10" x14ac:dyDescent="0.25">
      <c r="A635" t="s">
        <v>934</v>
      </c>
      <c r="B635" t="s">
        <v>324</v>
      </c>
      <c r="C635" t="s">
        <v>152</v>
      </c>
      <c r="D635" s="1">
        <v>45355</v>
      </c>
      <c r="E635">
        <v>13</v>
      </c>
      <c r="F635">
        <v>53.609390064827799</v>
      </c>
      <c r="G635" s="1">
        <v>45373</v>
      </c>
      <c r="H635" s="1">
        <v>45378</v>
      </c>
      <c r="I635">
        <v>696.92207084276095</v>
      </c>
      <c r="J635">
        <f t="shared" si="9"/>
        <v>5</v>
      </c>
    </row>
    <row r="636" spans="1:10" x14ac:dyDescent="0.25">
      <c r="A636" t="s">
        <v>935</v>
      </c>
      <c r="B636" t="s">
        <v>67</v>
      </c>
      <c r="C636" t="s">
        <v>356</v>
      </c>
      <c r="D636" s="1">
        <v>44882</v>
      </c>
      <c r="E636">
        <v>11</v>
      </c>
      <c r="F636">
        <v>32.848178888499703</v>
      </c>
      <c r="G636" s="1">
        <v>44905</v>
      </c>
      <c r="H636" s="1">
        <v>44907</v>
      </c>
      <c r="I636">
        <v>361.32996777349598</v>
      </c>
      <c r="J636">
        <f t="shared" si="9"/>
        <v>2</v>
      </c>
    </row>
    <row r="637" spans="1:10" x14ac:dyDescent="0.25">
      <c r="A637" t="s">
        <v>936</v>
      </c>
      <c r="B637" t="s">
        <v>96</v>
      </c>
      <c r="C637" t="s">
        <v>795</v>
      </c>
      <c r="D637" s="1">
        <v>45122</v>
      </c>
      <c r="E637">
        <v>7</v>
      </c>
      <c r="F637">
        <v>57.980531610390003</v>
      </c>
      <c r="G637" s="1">
        <v>45139</v>
      </c>
      <c r="H637" s="1">
        <v>45142</v>
      </c>
      <c r="I637">
        <v>405.86372127273</v>
      </c>
      <c r="J637">
        <f t="shared" si="9"/>
        <v>3</v>
      </c>
    </row>
    <row r="638" spans="1:10" x14ac:dyDescent="0.25">
      <c r="A638" t="s">
        <v>937</v>
      </c>
      <c r="B638" t="s">
        <v>176</v>
      </c>
      <c r="C638" t="s">
        <v>370</v>
      </c>
      <c r="D638" s="1">
        <v>44214</v>
      </c>
      <c r="E638">
        <v>6</v>
      </c>
      <c r="F638">
        <v>63.810143819086697</v>
      </c>
      <c r="G638" s="1">
        <v>44225</v>
      </c>
      <c r="H638" s="1">
        <v>44224</v>
      </c>
      <c r="I638">
        <v>382.86086291452</v>
      </c>
      <c r="J638">
        <f t="shared" si="9"/>
        <v>-1</v>
      </c>
    </row>
    <row r="639" spans="1:10" x14ac:dyDescent="0.25">
      <c r="A639" t="s">
        <v>938</v>
      </c>
      <c r="B639" t="s">
        <v>43</v>
      </c>
      <c r="C639" t="s">
        <v>571</v>
      </c>
      <c r="D639" s="1">
        <v>44729</v>
      </c>
      <c r="E639">
        <v>5</v>
      </c>
      <c r="F639">
        <v>56.840723950559301</v>
      </c>
      <c r="G639" s="1">
        <v>44744</v>
      </c>
      <c r="H639" s="1">
        <v>44750</v>
      </c>
      <c r="I639">
        <v>284.20361975279599</v>
      </c>
      <c r="J639">
        <f t="shared" si="9"/>
        <v>6</v>
      </c>
    </row>
    <row r="640" spans="1:10" x14ac:dyDescent="0.25">
      <c r="A640" t="s">
        <v>939</v>
      </c>
      <c r="B640" t="s">
        <v>340</v>
      </c>
      <c r="C640" t="s">
        <v>691</v>
      </c>
      <c r="D640" s="1">
        <v>45119</v>
      </c>
      <c r="E640">
        <v>13</v>
      </c>
      <c r="F640">
        <v>60.069912302026196</v>
      </c>
      <c r="G640" s="1">
        <v>45132</v>
      </c>
      <c r="H640" s="1">
        <v>45136</v>
      </c>
      <c r="I640">
        <v>780.90885992634105</v>
      </c>
      <c r="J640">
        <f t="shared" si="9"/>
        <v>4</v>
      </c>
    </row>
    <row r="641" spans="1:10" x14ac:dyDescent="0.25">
      <c r="A641" t="s">
        <v>940</v>
      </c>
      <c r="B641" t="s">
        <v>564</v>
      </c>
      <c r="C641" t="s">
        <v>703</v>
      </c>
      <c r="D641" s="1">
        <v>44982</v>
      </c>
      <c r="E641">
        <v>10</v>
      </c>
      <c r="F641">
        <v>71.565113910148597</v>
      </c>
      <c r="G641" s="1">
        <v>44997</v>
      </c>
      <c r="H641" s="1">
        <v>45003</v>
      </c>
      <c r="I641">
        <v>715.65113910148602</v>
      </c>
      <c r="J641">
        <f t="shared" si="9"/>
        <v>6</v>
      </c>
    </row>
    <row r="642" spans="1:10" x14ac:dyDescent="0.25">
      <c r="A642" t="s">
        <v>941</v>
      </c>
      <c r="B642" t="s">
        <v>96</v>
      </c>
      <c r="C642" t="s">
        <v>581</v>
      </c>
      <c r="D642" s="1">
        <v>44966</v>
      </c>
      <c r="E642">
        <v>15</v>
      </c>
      <c r="F642">
        <v>57.476374674558002</v>
      </c>
      <c r="G642" s="1">
        <v>44990</v>
      </c>
      <c r="H642" s="1">
        <v>44987</v>
      </c>
      <c r="I642">
        <v>862.14562011836995</v>
      </c>
      <c r="J642">
        <f t="shared" si="9"/>
        <v>-3</v>
      </c>
    </row>
    <row r="643" spans="1:10" x14ac:dyDescent="0.25">
      <c r="A643" t="s">
        <v>942</v>
      </c>
      <c r="B643" t="s">
        <v>91</v>
      </c>
      <c r="C643" t="s">
        <v>17</v>
      </c>
      <c r="D643" s="1">
        <v>44509</v>
      </c>
      <c r="E643">
        <v>12</v>
      </c>
      <c r="F643">
        <v>45.7775549235865</v>
      </c>
      <c r="G643" s="1">
        <v>44519</v>
      </c>
      <c r="H643" s="1">
        <v>44520</v>
      </c>
      <c r="I643">
        <v>549.33065908303797</v>
      </c>
      <c r="J643">
        <f t="shared" ref="J643:J706" si="10">H643-G643</f>
        <v>1</v>
      </c>
    </row>
    <row r="644" spans="1:10" x14ac:dyDescent="0.25">
      <c r="A644" t="s">
        <v>943</v>
      </c>
      <c r="B644" t="s">
        <v>186</v>
      </c>
      <c r="C644" t="s">
        <v>233</v>
      </c>
      <c r="D644" s="1">
        <v>44595</v>
      </c>
      <c r="E644">
        <v>10</v>
      </c>
      <c r="F644">
        <v>24.787986948042601</v>
      </c>
      <c r="G644" s="1">
        <v>44611</v>
      </c>
      <c r="H644" s="1">
        <v>44617</v>
      </c>
      <c r="I644">
        <v>247.87986948042601</v>
      </c>
      <c r="J644">
        <f t="shared" si="10"/>
        <v>6</v>
      </c>
    </row>
    <row r="645" spans="1:10" x14ac:dyDescent="0.25">
      <c r="A645" t="s">
        <v>944</v>
      </c>
      <c r="B645" t="s">
        <v>109</v>
      </c>
      <c r="C645" t="s">
        <v>310</v>
      </c>
      <c r="D645" s="1">
        <v>44576</v>
      </c>
      <c r="E645">
        <v>6</v>
      </c>
      <c r="F645">
        <v>64.944238720595095</v>
      </c>
      <c r="G645" s="1">
        <v>44594</v>
      </c>
      <c r="H645" s="1">
        <v>44594</v>
      </c>
      <c r="I645">
        <v>389.66543232356997</v>
      </c>
      <c r="J645">
        <f t="shared" si="10"/>
        <v>0</v>
      </c>
    </row>
    <row r="646" spans="1:10" x14ac:dyDescent="0.25">
      <c r="A646" t="s">
        <v>945</v>
      </c>
      <c r="B646" t="s">
        <v>179</v>
      </c>
      <c r="C646" t="s">
        <v>233</v>
      </c>
      <c r="D646" s="1">
        <v>44200</v>
      </c>
      <c r="E646">
        <v>10</v>
      </c>
      <c r="F646">
        <v>44.180562703579398</v>
      </c>
      <c r="G646" s="1">
        <v>44222</v>
      </c>
      <c r="H646" s="1">
        <v>44227</v>
      </c>
      <c r="I646">
        <v>441.80562703579398</v>
      </c>
      <c r="J646">
        <f t="shared" si="10"/>
        <v>5</v>
      </c>
    </row>
    <row r="647" spans="1:10" x14ac:dyDescent="0.25">
      <c r="A647" t="s">
        <v>946</v>
      </c>
      <c r="B647" t="s">
        <v>194</v>
      </c>
      <c r="C647" t="s">
        <v>190</v>
      </c>
      <c r="D647" s="1">
        <v>45107</v>
      </c>
      <c r="E647">
        <v>10</v>
      </c>
      <c r="F647">
        <v>75.245397952022401</v>
      </c>
      <c r="G647" s="1">
        <v>45119</v>
      </c>
      <c r="H647" s="1">
        <v>45124</v>
      </c>
      <c r="I647">
        <v>752.45397952022404</v>
      </c>
      <c r="J647">
        <f t="shared" si="10"/>
        <v>5</v>
      </c>
    </row>
    <row r="648" spans="1:10" x14ac:dyDescent="0.25">
      <c r="A648" t="s">
        <v>947</v>
      </c>
      <c r="B648" t="s">
        <v>176</v>
      </c>
      <c r="C648" t="s">
        <v>177</v>
      </c>
      <c r="D648" s="1">
        <v>45297</v>
      </c>
      <c r="E648">
        <v>10</v>
      </c>
      <c r="F648">
        <v>69.125607262840603</v>
      </c>
      <c r="G648" s="1">
        <v>45312</v>
      </c>
      <c r="H648" s="1">
        <v>45313</v>
      </c>
      <c r="I648">
        <v>691.25607262840595</v>
      </c>
      <c r="J648">
        <f t="shared" si="10"/>
        <v>1</v>
      </c>
    </row>
    <row r="649" spans="1:10" x14ac:dyDescent="0.25">
      <c r="A649" t="s">
        <v>948</v>
      </c>
      <c r="B649" t="s">
        <v>411</v>
      </c>
      <c r="C649" t="s">
        <v>212</v>
      </c>
      <c r="D649" s="1">
        <v>44779</v>
      </c>
      <c r="E649">
        <v>9</v>
      </c>
      <c r="F649">
        <v>23.727954382872799</v>
      </c>
      <c r="G649" s="1">
        <v>44791</v>
      </c>
      <c r="H649" s="1">
        <v>44793</v>
      </c>
      <c r="I649">
        <v>213.551589445855</v>
      </c>
      <c r="J649">
        <f t="shared" si="10"/>
        <v>2</v>
      </c>
    </row>
    <row r="650" spans="1:10" x14ac:dyDescent="0.25">
      <c r="A650" t="s">
        <v>949</v>
      </c>
      <c r="B650" t="s">
        <v>13</v>
      </c>
      <c r="C650" t="s">
        <v>668</v>
      </c>
      <c r="D650" s="1">
        <v>44250</v>
      </c>
      <c r="E650">
        <v>15</v>
      </c>
      <c r="F650">
        <v>64.979938799469096</v>
      </c>
      <c r="G650" s="1">
        <v>44264</v>
      </c>
      <c r="H650" s="1">
        <v>44270</v>
      </c>
      <c r="I650">
        <v>974.69908199203701</v>
      </c>
      <c r="J650">
        <f t="shared" si="10"/>
        <v>6</v>
      </c>
    </row>
    <row r="651" spans="1:10" x14ac:dyDescent="0.25">
      <c r="A651" t="s">
        <v>950</v>
      </c>
      <c r="B651" t="s">
        <v>324</v>
      </c>
      <c r="C651" t="s">
        <v>818</v>
      </c>
      <c r="D651" s="1">
        <v>44247</v>
      </c>
      <c r="E651">
        <v>6</v>
      </c>
      <c r="F651">
        <v>45.233207855426301</v>
      </c>
      <c r="G651" s="1">
        <v>44261</v>
      </c>
      <c r="H651" s="1">
        <v>44261</v>
      </c>
      <c r="I651">
        <v>271.399247132558</v>
      </c>
      <c r="J651">
        <f t="shared" si="10"/>
        <v>0</v>
      </c>
    </row>
    <row r="652" spans="1:10" x14ac:dyDescent="0.25">
      <c r="A652" t="s">
        <v>951</v>
      </c>
      <c r="B652" t="s">
        <v>253</v>
      </c>
      <c r="C652" t="s">
        <v>356</v>
      </c>
      <c r="D652" s="1">
        <v>44645</v>
      </c>
      <c r="E652">
        <v>9</v>
      </c>
      <c r="F652">
        <v>51.294493241617303</v>
      </c>
      <c r="G652" s="1">
        <v>44663</v>
      </c>
      <c r="H652" s="1">
        <v>44660</v>
      </c>
      <c r="I652">
        <v>461.650439174555</v>
      </c>
      <c r="J652">
        <f t="shared" si="10"/>
        <v>-3</v>
      </c>
    </row>
    <row r="653" spans="1:10" x14ac:dyDescent="0.25">
      <c r="A653" t="s">
        <v>952</v>
      </c>
      <c r="B653" t="s">
        <v>482</v>
      </c>
      <c r="C653" t="s">
        <v>117</v>
      </c>
      <c r="D653" s="1">
        <v>44971</v>
      </c>
      <c r="E653">
        <v>10</v>
      </c>
      <c r="F653">
        <v>19.994809969933002</v>
      </c>
      <c r="G653" s="1">
        <v>44994</v>
      </c>
      <c r="H653" s="1">
        <v>44998</v>
      </c>
      <c r="I653">
        <v>199.94809969932999</v>
      </c>
      <c r="J653">
        <f t="shared" si="10"/>
        <v>4</v>
      </c>
    </row>
    <row r="654" spans="1:10" x14ac:dyDescent="0.25">
      <c r="A654" t="s">
        <v>953</v>
      </c>
      <c r="B654" t="s">
        <v>91</v>
      </c>
      <c r="C654" t="s">
        <v>317</v>
      </c>
      <c r="D654" s="1">
        <v>45372</v>
      </c>
      <c r="E654">
        <v>4</v>
      </c>
      <c r="F654">
        <v>35.390010959707901</v>
      </c>
      <c r="G654" s="1">
        <v>45395</v>
      </c>
      <c r="H654" s="1">
        <v>45393</v>
      </c>
      <c r="I654">
        <v>141.56004383883101</v>
      </c>
      <c r="J654">
        <f t="shared" si="10"/>
        <v>-2</v>
      </c>
    </row>
    <row r="655" spans="1:10" x14ac:dyDescent="0.25">
      <c r="A655" t="s">
        <v>954</v>
      </c>
      <c r="B655" t="s">
        <v>186</v>
      </c>
      <c r="C655" t="s">
        <v>158</v>
      </c>
      <c r="D655" s="1">
        <v>44613</v>
      </c>
      <c r="E655">
        <v>14</v>
      </c>
      <c r="F655">
        <v>23.298906168713401</v>
      </c>
      <c r="G655" s="1">
        <v>44633</v>
      </c>
      <c r="H655" s="1">
        <v>44637</v>
      </c>
      <c r="I655">
        <v>326.18468636198799</v>
      </c>
      <c r="J655">
        <f t="shared" si="10"/>
        <v>4</v>
      </c>
    </row>
    <row r="656" spans="1:10" x14ac:dyDescent="0.25">
      <c r="A656" t="s">
        <v>955</v>
      </c>
      <c r="B656" t="s">
        <v>85</v>
      </c>
      <c r="C656" t="s">
        <v>131</v>
      </c>
      <c r="D656" s="1">
        <v>45318</v>
      </c>
      <c r="E656">
        <v>11</v>
      </c>
      <c r="F656">
        <v>3.5458572532155199</v>
      </c>
      <c r="G656" s="1">
        <v>45339</v>
      </c>
      <c r="H656" s="1">
        <v>45338</v>
      </c>
      <c r="I656">
        <v>39.004429785370696</v>
      </c>
      <c r="J656">
        <f t="shared" si="10"/>
        <v>-1</v>
      </c>
    </row>
    <row r="657" spans="1:10" x14ac:dyDescent="0.25">
      <c r="A657" t="s">
        <v>956</v>
      </c>
      <c r="B657" t="s">
        <v>493</v>
      </c>
      <c r="C657" t="s">
        <v>527</v>
      </c>
      <c r="D657" s="1">
        <v>45291</v>
      </c>
      <c r="E657">
        <v>13</v>
      </c>
      <c r="F657">
        <v>74.781659052556506</v>
      </c>
      <c r="G657" s="1">
        <v>45313</v>
      </c>
      <c r="H657" s="1">
        <v>45316</v>
      </c>
      <c r="I657">
        <v>972.16156768323503</v>
      </c>
      <c r="J657">
        <f t="shared" si="10"/>
        <v>3</v>
      </c>
    </row>
    <row r="658" spans="1:10" x14ac:dyDescent="0.25">
      <c r="A658" t="s">
        <v>957</v>
      </c>
      <c r="B658" t="s">
        <v>399</v>
      </c>
      <c r="C658" t="s">
        <v>117</v>
      </c>
      <c r="D658" s="1">
        <v>45303</v>
      </c>
      <c r="E658">
        <v>12</v>
      </c>
      <c r="F658">
        <v>36.775118988209996</v>
      </c>
      <c r="G658" s="1">
        <v>45317</v>
      </c>
      <c r="H658" s="1">
        <v>45314</v>
      </c>
      <c r="I658">
        <v>441.30142785852001</v>
      </c>
      <c r="J658">
        <f t="shared" si="10"/>
        <v>-3</v>
      </c>
    </row>
    <row r="659" spans="1:10" x14ac:dyDescent="0.25">
      <c r="A659" t="s">
        <v>958</v>
      </c>
      <c r="B659" t="s">
        <v>324</v>
      </c>
      <c r="C659" t="s">
        <v>228</v>
      </c>
      <c r="D659" s="1">
        <v>44879</v>
      </c>
      <c r="E659">
        <v>10</v>
      </c>
      <c r="F659">
        <v>14.742036885854301</v>
      </c>
      <c r="G659" s="1">
        <v>44895</v>
      </c>
      <c r="H659" s="1">
        <v>44893</v>
      </c>
      <c r="I659">
        <v>147.42036885854299</v>
      </c>
      <c r="J659">
        <f t="shared" si="10"/>
        <v>-2</v>
      </c>
    </row>
    <row r="660" spans="1:10" x14ac:dyDescent="0.25">
      <c r="A660" t="s">
        <v>959</v>
      </c>
      <c r="B660" t="s">
        <v>135</v>
      </c>
      <c r="C660" t="s">
        <v>257</v>
      </c>
      <c r="D660" s="1">
        <v>45385</v>
      </c>
      <c r="E660">
        <v>17</v>
      </c>
      <c r="F660">
        <v>32.236986960613301</v>
      </c>
      <c r="G660" s="1">
        <v>45409</v>
      </c>
      <c r="H660" s="1">
        <v>45406</v>
      </c>
      <c r="I660">
        <v>548.02877833042703</v>
      </c>
      <c r="J660">
        <f t="shared" si="10"/>
        <v>-3</v>
      </c>
    </row>
    <row r="661" spans="1:10" x14ac:dyDescent="0.25">
      <c r="A661" t="s">
        <v>960</v>
      </c>
      <c r="B661" t="s">
        <v>321</v>
      </c>
      <c r="C661" t="s">
        <v>473</v>
      </c>
      <c r="D661" s="1">
        <v>45036</v>
      </c>
      <c r="E661">
        <v>15</v>
      </c>
      <c r="F661">
        <v>40.218449791930603</v>
      </c>
      <c r="G661" s="1">
        <v>45053</v>
      </c>
      <c r="H661" s="1">
        <v>45058</v>
      </c>
      <c r="I661">
        <v>603.27674687895899</v>
      </c>
      <c r="J661">
        <f t="shared" si="10"/>
        <v>5</v>
      </c>
    </row>
    <row r="662" spans="1:10" x14ac:dyDescent="0.25">
      <c r="A662" t="s">
        <v>961</v>
      </c>
      <c r="B662" t="s">
        <v>130</v>
      </c>
      <c r="C662" t="s">
        <v>693</v>
      </c>
      <c r="D662" s="1">
        <v>44597</v>
      </c>
      <c r="E662">
        <v>12</v>
      </c>
      <c r="F662">
        <v>43.185315285176003</v>
      </c>
      <c r="G662" s="1">
        <v>44621</v>
      </c>
      <c r="H662" s="1">
        <v>44626</v>
      </c>
      <c r="I662">
        <v>518.22378342211198</v>
      </c>
      <c r="J662">
        <f t="shared" si="10"/>
        <v>5</v>
      </c>
    </row>
    <row r="663" spans="1:10" x14ac:dyDescent="0.25">
      <c r="A663" t="s">
        <v>962</v>
      </c>
      <c r="B663" t="s">
        <v>198</v>
      </c>
      <c r="C663" t="s">
        <v>589</v>
      </c>
      <c r="D663" s="1">
        <v>44252</v>
      </c>
      <c r="E663">
        <v>15</v>
      </c>
      <c r="F663">
        <v>18.653394606895599</v>
      </c>
      <c r="G663" s="1">
        <v>44267</v>
      </c>
      <c r="H663" s="1">
        <v>44268</v>
      </c>
      <c r="I663">
        <v>279.80091910343498</v>
      </c>
      <c r="J663">
        <f t="shared" si="10"/>
        <v>1</v>
      </c>
    </row>
    <row r="664" spans="1:10" x14ac:dyDescent="0.25">
      <c r="A664" t="s">
        <v>963</v>
      </c>
      <c r="B664" t="s">
        <v>13</v>
      </c>
      <c r="C664" t="s">
        <v>214</v>
      </c>
      <c r="D664" s="1">
        <v>44775</v>
      </c>
      <c r="E664">
        <v>12</v>
      </c>
      <c r="F664">
        <v>47.769589858361201</v>
      </c>
      <c r="G664" s="1">
        <v>44788</v>
      </c>
      <c r="H664" s="1">
        <v>44786</v>
      </c>
      <c r="I664">
        <v>573.23507830033395</v>
      </c>
      <c r="J664">
        <f t="shared" si="10"/>
        <v>-2</v>
      </c>
    </row>
    <row r="665" spans="1:10" x14ac:dyDescent="0.25">
      <c r="A665" t="s">
        <v>964</v>
      </c>
      <c r="B665" t="s">
        <v>121</v>
      </c>
      <c r="C665" t="s">
        <v>446</v>
      </c>
      <c r="D665" s="1">
        <v>44975</v>
      </c>
      <c r="E665">
        <v>11</v>
      </c>
      <c r="F665">
        <v>56.545573131423097</v>
      </c>
      <c r="G665" s="1">
        <v>44990</v>
      </c>
      <c r="H665" s="1">
        <v>44994</v>
      </c>
      <c r="I665">
        <v>622.001304445654</v>
      </c>
      <c r="J665">
        <f t="shared" si="10"/>
        <v>4</v>
      </c>
    </row>
    <row r="666" spans="1:10" x14ac:dyDescent="0.25">
      <c r="A666" t="s">
        <v>965</v>
      </c>
      <c r="B666" t="s">
        <v>751</v>
      </c>
      <c r="C666" t="s">
        <v>192</v>
      </c>
      <c r="D666" s="1">
        <v>45283</v>
      </c>
      <c r="E666">
        <v>10</v>
      </c>
      <c r="F666">
        <v>45.883242691297198</v>
      </c>
      <c r="G666" s="1">
        <v>45293</v>
      </c>
      <c r="H666" s="1">
        <v>45290</v>
      </c>
      <c r="I666">
        <v>458.83242691297198</v>
      </c>
      <c r="J666">
        <f t="shared" si="10"/>
        <v>-3</v>
      </c>
    </row>
    <row r="667" spans="1:10" x14ac:dyDescent="0.25">
      <c r="A667" t="s">
        <v>966</v>
      </c>
      <c r="B667" t="s">
        <v>359</v>
      </c>
      <c r="C667" t="s">
        <v>818</v>
      </c>
      <c r="D667" s="1">
        <v>44680</v>
      </c>
      <c r="E667">
        <v>6</v>
      </c>
      <c r="F667">
        <v>10.778791460244999</v>
      </c>
      <c r="G667" s="1">
        <v>44693</v>
      </c>
      <c r="H667" s="1">
        <v>44699</v>
      </c>
      <c r="I667">
        <v>64.672748761470203</v>
      </c>
      <c r="J667">
        <f t="shared" si="10"/>
        <v>6</v>
      </c>
    </row>
    <row r="668" spans="1:10" x14ac:dyDescent="0.25">
      <c r="A668" t="s">
        <v>967</v>
      </c>
      <c r="B668" t="s">
        <v>52</v>
      </c>
      <c r="C668" t="s">
        <v>47</v>
      </c>
      <c r="D668" s="1">
        <v>45177</v>
      </c>
      <c r="E668">
        <v>11</v>
      </c>
      <c r="F668">
        <v>74.909394718544803</v>
      </c>
      <c r="G668" s="1">
        <v>45190</v>
      </c>
      <c r="H668" s="1">
        <v>45191</v>
      </c>
      <c r="I668">
        <v>824.00334190399303</v>
      </c>
      <c r="J668">
        <f t="shared" si="10"/>
        <v>1</v>
      </c>
    </row>
    <row r="669" spans="1:10" x14ac:dyDescent="0.25">
      <c r="A669" t="s">
        <v>968</v>
      </c>
      <c r="B669" t="s">
        <v>198</v>
      </c>
      <c r="C669" t="s">
        <v>41</v>
      </c>
      <c r="D669" s="1">
        <v>44602</v>
      </c>
      <c r="E669">
        <v>5</v>
      </c>
      <c r="F669">
        <v>59.104152704681503</v>
      </c>
      <c r="G669" s="1">
        <v>44621</v>
      </c>
      <c r="H669" s="1">
        <v>44622</v>
      </c>
      <c r="I669">
        <v>295.52076352340703</v>
      </c>
      <c r="J669">
        <f t="shared" si="10"/>
        <v>1</v>
      </c>
    </row>
    <row r="670" spans="1:10" x14ac:dyDescent="0.25">
      <c r="A670" t="s">
        <v>969</v>
      </c>
      <c r="B670" t="s">
        <v>198</v>
      </c>
      <c r="C670" t="s">
        <v>29</v>
      </c>
      <c r="D670" s="1">
        <v>44288</v>
      </c>
      <c r="E670">
        <v>9</v>
      </c>
      <c r="F670">
        <v>20.6253786760027</v>
      </c>
      <c r="G670" s="1">
        <v>44311</v>
      </c>
      <c r="H670" s="1">
        <v>44313</v>
      </c>
      <c r="I670">
        <v>185.62840808402399</v>
      </c>
      <c r="J670">
        <f t="shared" si="10"/>
        <v>2</v>
      </c>
    </row>
    <row r="671" spans="1:10" x14ac:dyDescent="0.25">
      <c r="A671" t="s">
        <v>970</v>
      </c>
      <c r="B671" t="s">
        <v>203</v>
      </c>
      <c r="C671" t="s">
        <v>74</v>
      </c>
      <c r="D671" s="1">
        <v>44653</v>
      </c>
      <c r="E671">
        <v>13</v>
      </c>
      <c r="F671">
        <v>50.097233014505299</v>
      </c>
      <c r="G671" s="1">
        <v>44674</v>
      </c>
      <c r="H671" s="1">
        <v>44672</v>
      </c>
      <c r="I671">
        <v>651.264029188569</v>
      </c>
      <c r="J671">
        <f t="shared" si="10"/>
        <v>-2</v>
      </c>
    </row>
    <row r="672" spans="1:10" x14ac:dyDescent="0.25">
      <c r="A672" t="s">
        <v>971</v>
      </c>
      <c r="B672" t="s">
        <v>160</v>
      </c>
      <c r="C672" t="s">
        <v>972</v>
      </c>
      <c r="D672" s="1">
        <v>44253</v>
      </c>
      <c r="E672">
        <v>15</v>
      </c>
      <c r="F672">
        <v>71.138030205759193</v>
      </c>
      <c r="G672" s="1">
        <v>44273</v>
      </c>
      <c r="H672" s="1">
        <v>44270</v>
      </c>
      <c r="I672">
        <v>1067.07045308638</v>
      </c>
      <c r="J672">
        <f t="shared" si="10"/>
        <v>-3</v>
      </c>
    </row>
    <row r="673" spans="1:10" x14ac:dyDescent="0.25">
      <c r="A673" t="s">
        <v>973</v>
      </c>
      <c r="B673" t="s">
        <v>472</v>
      </c>
      <c r="C673" t="s">
        <v>117</v>
      </c>
      <c r="D673" s="1">
        <v>45199</v>
      </c>
      <c r="E673">
        <v>13</v>
      </c>
      <c r="F673">
        <v>77.789928146591194</v>
      </c>
      <c r="G673" s="1">
        <v>45221</v>
      </c>
      <c r="H673" s="1">
        <v>45224</v>
      </c>
      <c r="I673">
        <v>1011.26906590568</v>
      </c>
      <c r="J673">
        <f t="shared" si="10"/>
        <v>3</v>
      </c>
    </row>
    <row r="674" spans="1:10" x14ac:dyDescent="0.25">
      <c r="A674" t="s">
        <v>974</v>
      </c>
      <c r="B674" t="s">
        <v>119</v>
      </c>
      <c r="C674" t="s">
        <v>163</v>
      </c>
      <c r="D674" s="1">
        <v>44665</v>
      </c>
      <c r="E674">
        <v>6</v>
      </c>
      <c r="F674">
        <v>48.777375420572298</v>
      </c>
      <c r="G674" s="1">
        <v>44688</v>
      </c>
      <c r="H674" s="1">
        <v>44687</v>
      </c>
      <c r="I674">
        <v>292.66425252343299</v>
      </c>
      <c r="J674">
        <f t="shared" si="10"/>
        <v>-1</v>
      </c>
    </row>
    <row r="675" spans="1:10" x14ac:dyDescent="0.25">
      <c r="A675" t="s">
        <v>975</v>
      </c>
      <c r="B675" t="s">
        <v>242</v>
      </c>
      <c r="C675" t="s">
        <v>477</v>
      </c>
      <c r="D675" s="1">
        <v>44404</v>
      </c>
      <c r="E675">
        <v>8</v>
      </c>
      <c r="F675">
        <v>62.199404997843097</v>
      </c>
      <c r="G675" s="1">
        <v>44418</v>
      </c>
      <c r="H675" s="1">
        <v>44419</v>
      </c>
      <c r="I675">
        <v>497.595239982745</v>
      </c>
      <c r="J675">
        <f t="shared" si="10"/>
        <v>1</v>
      </c>
    </row>
    <row r="676" spans="1:10" x14ac:dyDescent="0.25">
      <c r="A676" t="s">
        <v>976</v>
      </c>
      <c r="B676" t="s">
        <v>295</v>
      </c>
      <c r="C676" t="s">
        <v>391</v>
      </c>
      <c r="D676" s="1">
        <v>45290</v>
      </c>
      <c r="E676">
        <v>9</v>
      </c>
      <c r="F676">
        <v>7.6484093959715302</v>
      </c>
      <c r="G676" s="1">
        <v>45314</v>
      </c>
      <c r="H676" s="1">
        <v>45320</v>
      </c>
      <c r="I676">
        <v>68.835684563743698</v>
      </c>
      <c r="J676">
        <f t="shared" si="10"/>
        <v>6</v>
      </c>
    </row>
    <row r="677" spans="1:10" x14ac:dyDescent="0.25">
      <c r="A677" t="s">
        <v>977</v>
      </c>
      <c r="B677" t="s">
        <v>411</v>
      </c>
      <c r="C677" t="s">
        <v>89</v>
      </c>
      <c r="D677" s="1">
        <v>44332</v>
      </c>
      <c r="E677">
        <v>8</v>
      </c>
      <c r="F677">
        <v>72.5329452179556</v>
      </c>
      <c r="G677" s="1">
        <v>44356</v>
      </c>
      <c r="H677" s="1">
        <v>44360</v>
      </c>
      <c r="I677">
        <v>580.26356174364503</v>
      </c>
      <c r="J677">
        <f t="shared" si="10"/>
        <v>4</v>
      </c>
    </row>
    <row r="678" spans="1:10" x14ac:dyDescent="0.25">
      <c r="A678" t="s">
        <v>978</v>
      </c>
      <c r="B678" t="s">
        <v>399</v>
      </c>
      <c r="C678" t="s">
        <v>514</v>
      </c>
      <c r="D678" s="1">
        <v>44295</v>
      </c>
      <c r="E678">
        <v>8</v>
      </c>
      <c r="F678">
        <v>47.8503909296956</v>
      </c>
      <c r="G678" s="1">
        <v>44305</v>
      </c>
      <c r="H678" s="1">
        <v>44311</v>
      </c>
      <c r="I678">
        <v>382.803127437564</v>
      </c>
      <c r="J678">
        <f t="shared" si="10"/>
        <v>6</v>
      </c>
    </row>
    <row r="679" spans="1:10" x14ac:dyDescent="0.25">
      <c r="A679" t="s">
        <v>979</v>
      </c>
      <c r="B679" t="s">
        <v>25</v>
      </c>
      <c r="C679" t="s">
        <v>38</v>
      </c>
      <c r="D679" s="1">
        <v>44695</v>
      </c>
      <c r="E679">
        <v>11</v>
      </c>
      <c r="F679">
        <v>13.4827008102743</v>
      </c>
      <c r="G679" s="1">
        <v>44705</v>
      </c>
      <c r="H679" s="1">
        <v>44708</v>
      </c>
      <c r="I679">
        <v>148.309708913018</v>
      </c>
      <c r="J679">
        <f t="shared" si="10"/>
        <v>3</v>
      </c>
    </row>
    <row r="680" spans="1:10" x14ac:dyDescent="0.25">
      <c r="A680" t="s">
        <v>980</v>
      </c>
      <c r="B680" t="s">
        <v>169</v>
      </c>
      <c r="C680" t="s">
        <v>400</v>
      </c>
      <c r="D680" s="1">
        <v>44254</v>
      </c>
      <c r="E680">
        <v>8</v>
      </c>
      <c r="F680">
        <v>22.040235665523099</v>
      </c>
      <c r="G680" s="1">
        <v>44276</v>
      </c>
      <c r="H680" s="1">
        <v>44273</v>
      </c>
      <c r="I680">
        <v>176.32188532418499</v>
      </c>
      <c r="J680">
        <f t="shared" si="10"/>
        <v>-3</v>
      </c>
    </row>
    <row r="681" spans="1:10" x14ac:dyDescent="0.25">
      <c r="A681" t="s">
        <v>981</v>
      </c>
      <c r="B681" t="s">
        <v>427</v>
      </c>
      <c r="C681" t="s">
        <v>418</v>
      </c>
      <c r="D681" s="1">
        <v>44608</v>
      </c>
      <c r="E681">
        <v>12</v>
      </c>
      <c r="F681">
        <v>29.693968914047101</v>
      </c>
      <c r="G681" s="1">
        <v>44621</v>
      </c>
      <c r="H681" s="1">
        <v>44626</v>
      </c>
      <c r="I681">
        <v>356.32762696856503</v>
      </c>
      <c r="J681">
        <f t="shared" si="10"/>
        <v>5</v>
      </c>
    </row>
    <row r="682" spans="1:10" x14ac:dyDescent="0.25">
      <c r="A682" t="s">
        <v>982</v>
      </c>
      <c r="B682" t="s">
        <v>82</v>
      </c>
      <c r="C682" t="s">
        <v>722</v>
      </c>
      <c r="D682" s="1">
        <v>44332</v>
      </c>
      <c r="E682">
        <v>11</v>
      </c>
      <c r="F682">
        <v>27.7728235860897</v>
      </c>
      <c r="G682" s="1">
        <v>44350</v>
      </c>
      <c r="H682" s="1">
        <v>44356</v>
      </c>
      <c r="I682">
        <v>305.50105944698703</v>
      </c>
      <c r="J682">
        <f t="shared" si="10"/>
        <v>6</v>
      </c>
    </row>
    <row r="683" spans="1:10" x14ac:dyDescent="0.25">
      <c r="A683" t="s">
        <v>983</v>
      </c>
      <c r="B683" t="s">
        <v>194</v>
      </c>
      <c r="C683" t="s">
        <v>230</v>
      </c>
      <c r="D683" s="1">
        <v>44467</v>
      </c>
      <c r="E683">
        <v>11</v>
      </c>
      <c r="F683">
        <v>62.854618568833899</v>
      </c>
      <c r="G683" s="1">
        <v>44491</v>
      </c>
      <c r="H683" s="1">
        <v>44497</v>
      </c>
      <c r="I683">
        <v>691.40080425717304</v>
      </c>
      <c r="J683">
        <f t="shared" si="10"/>
        <v>6</v>
      </c>
    </row>
    <row r="684" spans="1:10" x14ac:dyDescent="0.25">
      <c r="A684" t="s">
        <v>984</v>
      </c>
      <c r="B684" t="s">
        <v>52</v>
      </c>
      <c r="C684" t="s">
        <v>102</v>
      </c>
      <c r="D684" s="1">
        <v>44896</v>
      </c>
      <c r="E684">
        <v>11</v>
      </c>
      <c r="F684">
        <v>35.779826263020297</v>
      </c>
      <c r="G684" s="1">
        <v>44910</v>
      </c>
      <c r="H684" s="1">
        <v>44916</v>
      </c>
      <c r="I684">
        <v>393.57808889322399</v>
      </c>
      <c r="J684">
        <f t="shared" si="10"/>
        <v>6</v>
      </c>
    </row>
    <row r="685" spans="1:10" x14ac:dyDescent="0.25">
      <c r="A685" t="s">
        <v>985</v>
      </c>
      <c r="B685" t="s">
        <v>99</v>
      </c>
      <c r="C685" t="s">
        <v>391</v>
      </c>
      <c r="D685" s="1">
        <v>44865</v>
      </c>
      <c r="E685">
        <v>12</v>
      </c>
      <c r="F685">
        <v>44.741437635801297</v>
      </c>
      <c r="G685" s="1">
        <v>44879</v>
      </c>
      <c r="H685" s="1">
        <v>44882</v>
      </c>
      <c r="I685">
        <v>536.89725162961497</v>
      </c>
      <c r="J685">
        <f t="shared" si="10"/>
        <v>3</v>
      </c>
    </row>
    <row r="686" spans="1:10" x14ac:dyDescent="0.25">
      <c r="A686" t="s">
        <v>986</v>
      </c>
      <c r="B686" t="s">
        <v>114</v>
      </c>
      <c r="C686" t="s">
        <v>661</v>
      </c>
      <c r="D686" s="1">
        <v>45391</v>
      </c>
      <c r="E686">
        <v>9</v>
      </c>
      <c r="F686">
        <v>20.6381570823484</v>
      </c>
      <c r="G686" s="1">
        <v>45403</v>
      </c>
      <c r="H686" s="1">
        <v>45409</v>
      </c>
      <c r="I686">
        <v>185.74341374113601</v>
      </c>
      <c r="J686">
        <f t="shared" si="10"/>
        <v>6</v>
      </c>
    </row>
    <row r="687" spans="1:10" x14ac:dyDescent="0.25">
      <c r="A687" t="s">
        <v>987</v>
      </c>
      <c r="B687" t="s">
        <v>369</v>
      </c>
      <c r="C687" t="s">
        <v>308</v>
      </c>
      <c r="D687" s="1">
        <v>45304</v>
      </c>
      <c r="E687">
        <v>10</v>
      </c>
      <c r="F687">
        <v>22.445654546326299</v>
      </c>
      <c r="G687" s="1">
        <v>45321</v>
      </c>
      <c r="H687" s="1">
        <v>45327</v>
      </c>
      <c r="I687">
        <v>224.45654546326301</v>
      </c>
      <c r="J687">
        <f t="shared" si="10"/>
        <v>6</v>
      </c>
    </row>
    <row r="688" spans="1:10" x14ac:dyDescent="0.25">
      <c r="A688" t="s">
        <v>988</v>
      </c>
      <c r="B688" t="s">
        <v>350</v>
      </c>
      <c r="C688" t="s">
        <v>133</v>
      </c>
      <c r="D688" s="1">
        <v>44720</v>
      </c>
      <c r="E688">
        <v>11</v>
      </c>
      <c r="F688">
        <v>19.1710681452033</v>
      </c>
      <c r="G688" s="1">
        <v>44744</v>
      </c>
      <c r="H688" s="1">
        <v>44745</v>
      </c>
      <c r="I688">
        <v>210.88174959723699</v>
      </c>
      <c r="J688">
        <f t="shared" si="10"/>
        <v>1</v>
      </c>
    </row>
    <row r="689" spans="1:10" x14ac:dyDescent="0.25">
      <c r="A689" t="s">
        <v>989</v>
      </c>
      <c r="B689" t="s">
        <v>203</v>
      </c>
      <c r="C689" t="s">
        <v>990</v>
      </c>
      <c r="D689" s="1">
        <v>45202</v>
      </c>
      <c r="E689">
        <v>8</v>
      </c>
      <c r="F689">
        <v>31.595080613800299</v>
      </c>
      <c r="G689" s="1">
        <v>45221</v>
      </c>
      <c r="H689" s="1">
        <v>45220</v>
      </c>
      <c r="I689">
        <v>252.76064491040199</v>
      </c>
      <c r="J689">
        <f t="shared" si="10"/>
        <v>-1</v>
      </c>
    </row>
    <row r="690" spans="1:10" x14ac:dyDescent="0.25">
      <c r="A690" t="s">
        <v>991</v>
      </c>
      <c r="B690" t="s">
        <v>121</v>
      </c>
      <c r="C690" t="s">
        <v>581</v>
      </c>
      <c r="D690" s="1">
        <v>45147</v>
      </c>
      <c r="E690">
        <v>9</v>
      </c>
      <c r="F690">
        <v>63.624308833011703</v>
      </c>
      <c r="G690" s="1">
        <v>45168</v>
      </c>
      <c r="H690" s="1">
        <v>45171</v>
      </c>
      <c r="I690">
        <v>572.61877949710504</v>
      </c>
      <c r="J690">
        <f t="shared" si="10"/>
        <v>3</v>
      </c>
    </row>
    <row r="691" spans="1:10" x14ac:dyDescent="0.25">
      <c r="A691" t="s">
        <v>992</v>
      </c>
      <c r="B691" t="s">
        <v>578</v>
      </c>
      <c r="C691" t="s">
        <v>80</v>
      </c>
      <c r="D691" s="1">
        <v>45360</v>
      </c>
      <c r="E691">
        <v>11</v>
      </c>
      <c r="F691">
        <v>51.114958986810102</v>
      </c>
      <c r="G691" s="1">
        <v>45384</v>
      </c>
      <c r="H691" s="1">
        <v>45383</v>
      </c>
      <c r="I691">
        <v>562.26454885491103</v>
      </c>
      <c r="J691">
        <f t="shared" si="10"/>
        <v>-1</v>
      </c>
    </row>
    <row r="692" spans="1:10" x14ac:dyDescent="0.25">
      <c r="A692" t="s">
        <v>993</v>
      </c>
      <c r="B692" t="s">
        <v>40</v>
      </c>
      <c r="C692" t="s">
        <v>74</v>
      </c>
      <c r="D692" s="1">
        <v>45337</v>
      </c>
      <c r="E692">
        <v>12</v>
      </c>
      <c r="F692">
        <v>17.668394031706001</v>
      </c>
      <c r="G692" s="1">
        <v>45352</v>
      </c>
      <c r="H692" s="1">
        <v>45357</v>
      </c>
      <c r="I692">
        <v>212.02072838047201</v>
      </c>
      <c r="J692">
        <f t="shared" si="10"/>
        <v>5</v>
      </c>
    </row>
    <row r="693" spans="1:10" x14ac:dyDescent="0.25">
      <c r="A693" t="s">
        <v>994</v>
      </c>
      <c r="B693" t="s">
        <v>237</v>
      </c>
      <c r="C693" t="s">
        <v>125</v>
      </c>
      <c r="D693" s="1">
        <v>44648</v>
      </c>
      <c r="E693">
        <v>11</v>
      </c>
      <c r="F693">
        <v>71.874861080467994</v>
      </c>
      <c r="G693" s="1">
        <v>44667</v>
      </c>
      <c r="H693" s="1">
        <v>44664</v>
      </c>
      <c r="I693">
        <v>790.62347188514798</v>
      </c>
      <c r="J693">
        <f t="shared" si="10"/>
        <v>-3</v>
      </c>
    </row>
    <row r="694" spans="1:10" x14ac:dyDescent="0.25">
      <c r="A694" t="s">
        <v>995</v>
      </c>
      <c r="B694" t="s">
        <v>203</v>
      </c>
      <c r="C694" t="s">
        <v>344</v>
      </c>
      <c r="D694" s="1">
        <v>44310</v>
      </c>
      <c r="E694">
        <v>12</v>
      </c>
      <c r="F694">
        <v>55.693808085605298</v>
      </c>
      <c r="G694" s="1">
        <v>44323</v>
      </c>
      <c r="H694" s="1">
        <v>44323</v>
      </c>
      <c r="I694">
        <v>668.32569702726403</v>
      </c>
      <c r="J694">
        <f t="shared" si="10"/>
        <v>0</v>
      </c>
    </row>
    <row r="695" spans="1:10" x14ac:dyDescent="0.25">
      <c r="A695" t="s">
        <v>996</v>
      </c>
      <c r="B695" t="s">
        <v>247</v>
      </c>
      <c r="C695" t="s">
        <v>68</v>
      </c>
      <c r="D695" s="1">
        <v>44370</v>
      </c>
      <c r="E695">
        <v>7</v>
      </c>
      <c r="F695">
        <v>78.018921746118494</v>
      </c>
      <c r="G695" s="1">
        <v>44393</v>
      </c>
      <c r="H695" s="1">
        <v>44394</v>
      </c>
      <c r="I695">
        <v>546.13245222282899</v>
      </c>
      <c r="J695">
        <f t="shared" si="10"/>
        <v>1</v>
      </c>
    </row>
    <row r="696" spans="1:10" x14ac:dyDescent="0.25">
      <c r="A696" t="s">
        <v>997</v>
      </c>
      <c r="B696" t="s">
        <v>67</v>
      </c>
      <c r="C696" t="s">
        <v>453</v>
      </c>
      <c r="D696" s="1">
        <v>44335</v>
      </c>
      <c r="E696">
        <v>9</v>
      </c>
      <c r="F696">
        <v>41.474784112719099</v>
      </c>
      <c r="G696" s="1">
        <v>44357</v>
      </c>
      <c r="H696" s="1">
        <v>44361</v>
      </c>
      <c r="I696">
        <v>373.27305701447199</v>
      </c>
      <c r="J696">
        <f t="shared" si="10"/>
        <v>4</v>
      </c>
    </row>
    <row r="697" spans="1:10" x14ac:dyDescent="0.25">
      <c r="A697" t="s">
        <v>998</v>
      </c>
      <c r="B697" t="s">
        <v>253</v>
      </c>
      <c r="C697" t="s">
        <v>562</v>
      </c>
      <c r="D697" s="1">
        <v>45255</v>
      </c>
      <c r="E697">
        <v>12</v>
      </c>
      <c r="F697">
        <v>64.491908462772301</v>
      </c>
      <c r="G697" s="1">
        <v>45272</v>
      </c>
      <c r="H697" s="1">
        <v>45276</v>
      </c>
      <c r="I697">
        <v>773.90290155326795</v>
      </c>
      <c r="J697">
        <f t="shared" si="10"/>
        <v>4</v>
      </c>
    </row>
    <row r="698" spans="1:10" x14ac:dyDescent="0.25">
      <c r="A698" t="s">
        <v>999</v>
      </c>
      <c r="B698" t="s">
        <v>427</v>
      </c>
      <c r="C698" t="s">
        <v>363</v>
      </c>
      <c r="D698" s="1">
        <v>45289</v>
      </c>
      <c r="E698">
        <v>13</v>
      </c>
      <c r="F698">
        <v>68.515331633258398</v>
      </c>
      <c r="G698" s="1">
        <v>45311</v>
      </c>
      <c r="H698" s="1">
        <v>45308</v>
      </c>
      <c r="I698">
        <v>890.69931123235995</v>
      </c>
      <c r="J698">
        <f t="shared" si="10"/>
        <v>-3</v>
      </c>
    </row>
    <row r="699" spans="1:10" x14ac:dyDescent="0.25">
      <c r="A699" t="s">
        <v>1000</v>
      </c>
      <c r="B699" t="s">
        <v>160</v>
      </c>
      <c r="C699" t="s">
        <v>547</v>
      </c>
      <c r="D699" s="1">
        <v>45146</v>
      </c>
      <c r="E699">
        <v>7</v>
      </c>
      <c r="F699">
        <v>30.736880873671598</v>
      </c>
      <c r="G699" s="1">
        <v>45167</v>
      </c>
      <c r="H699" s="1">
        <v>45168</v>
      </c>
      <c r="I699">
        <v>215.15816611570099</v>
      </c>
      <c r="J699">
        <f t="shared" si="10"/>
        <v>1</v>
      </c>
    </row>
    <row r="700" spans="1:10" x14ac:dyDescent="0.25">
      <c r="A700" t="s">
        <v>1001</v>
      </c>
      <c r="B700" t="s">
        <v>43</v>
      </c>
      <c r="C700" t="s">
        <v>107</v>
      </c>
      <c r="D700" s="1">
        <v>44523</v>
      </c>
      <c r="E700">
        <v>8</v>
      </c>
      <c r="F700">
        <v>26.933945571837501</v>
      </c>
      <c r="G700" s="1">
        <v>44542</v>
      </c>
      <c r="H700" s="1">
        <v>44542</v>
      </c>
      <c r="I700">
        <v>215.47156457470001</v>
      </c>
      <c r="J700">
        <f t="shared" si="10"/>
        <v>0</v>
      </c>
    </row>
    <row r="701" spans="1:10" x14ac:dyDescent="0.25">
      <c r="A701" t="s">
        <v>1002</v>
      </c>
      <c r="B701" t="s">
        <v>493</v>
      </c>
      <c r="C701" t="s">
        <v>310</v>
      </c>
      <c r="D701" s="1">
        <v>44856</v>
      </c>
      <c r="E701">
        <v>13</v>
      </c>
      <c r="F701">
        <v>59.475164980699702</v>
      </c>
      <c r="G701" s="1">
        <v>44875</v>
      </c>
      <c r="H701" s="1">
        <v>44880</v>
      </c>
      <c r="I701">
        <v>773.17714474909599</v>
      </c>
      <c r="J701">
        <f t="shared" si="10"/>
        <v>5</v>
      </c>
    </row>
    <row r="702" spans="1:10" x14ac:dyDescent="0.25">
      <c r="A702" t="s">
        <v>1003</v>
      </c>
      <c r="B702" t="s">
        <v>140</v>
      </c>
      <c r="C702" t="s">
        <v>152</v>
      </c>
      <c r="D702" s="1">
        <v>44347</v>
      </c>
      <c r="E702">
        <v>17</v>
      </c>
      <c r="F702">
        <v>17.431436629510699</v>
      </c>
      <c r="G702" s="1">
        <v>44365</v>
      </c>
      <c r="H702" s="1">
        <v>44370</v>
      </c>
      <c r="I702">
        <v>296.334422701682</v>
      </c>
      <c r="J702">
        <f t="shared" si="10"/>
        <v>5</v>
      </c>
    </row>
    <row r="703" spans="1:10" x14ac:dyDescent="0.25">
      <c r="A703" t="s">
        <v>1004</v>
      </c>
      <c r="B703" t="s">
        <v>28</v>
      </c>
      <c r="C703" t="s">
        <v>272</v>
      </c>
      <c r="D703" s="1">
        <v>44822</v>
      </c>
      <c r="E703">
        <v>18</v>
      </c>
      <c r="F703">
        <v>17.772909242948099</v>
      </c>
      <c r="G703" s="1">
        <v>44845</v>
      </c>
      <c r="H703" s="1">
        <v>44844</v>
      </c>
      <c r="I703">
        <v>319.91236637306702</v>
      </c>
      <c r="J703">
        <f t="shared" si="10"/>
        <v>-1</v>
      </c>
    </row>
    <row r="704" spans="1:10" x14ac:dyDescent="0.25">
      <c r="A704" t="s">
        <v>1005</v>
      </c>
      <c r="B704" t="s">
        <v>157</v>
      </c>
      <c r="C704" t="s">
        <v>290</v>
      </c>
      <c r="D704" s="1">
        <v>44823</v>
      </c>
      <c r="E704">
        <v>13</v>
      </c>
      <c r="F704">
        <v>60.360526088517901</v>
      </c>
      <c r="G704" s="1">
        <v>44834</v>
      </c>
      <c r="H704" s="1">
        <v>44836</v>
      </c>
      <c r="I704">
        <v>784.68683915073302</v>
      </c>
      <c r="J704">
        <f t="shared" si="10"/>
        <v>2</v>
      </c>
    </row>
    <row r="705" spans="1:10" x14ac:dyDescent="0.25">
      <c r="A705" t="s">
        <v>1006</v>
      </c>
      <c r="B705" t="s">
        <v>13</v>
      </c>
      <c r="C705" t="s">
        <v>222</v>
      </c>
      <c r="D705" s="1">
        <v>45149</v>
      </c>
      <c r="E705">
        <v>7</v>
      </c>
      <c r="F705">
        <v>74.134114140601298</v>
      </c>
      <c r="G705" s="1">
        <v>45166</v>
      </c>
      <c r="H705" s="1">
        <v>45166</v>
      </c>
      <c r="I705">
        <v>518.93879898420903</v>
      </c>
      <c r="J705">
        <f t="shared" si="10"/>
        <v>0</v>
      </c>
    </row>
    <row r="706" spans="1:10" x14ac:dyDescent="0.25">
      <c r="A706" t="s">
        <v>1007</v>
      </c>
      <c r="B706" t="s">
        <v>43</v>
      </c>
      <c r="C706" t="s">
        <v>146</v>
      </c>
      <c r="D706" s="1">
        <v>44698</v>
      </c>
      <c r="E706">
        <v>12</v>
      </c>
      <c r="F706">
        <v>49.269889183522402</v>
      </c>
      <c r="G706" s="1">
        <v>44717</v>
      </c>
      <c r="H706" s="1">
        <v>44718</v>
      </c>
      <c r="I706">
        <v>591.23867020226896</v>
      </c>
      <c r="J706">
        <f t="shared" si="10"/>
        <v>1</v>
      </c>
    </row>
    <row r="707" spans="1:10" x14ac:dyDescent="0.25">
      <c r="A707" t="s">
        <v>1008</v>
      </c>
      <c r="B707" t="s">
        <v>350</v>
      </c>
      <c r="C707" t="s">
        <v>238</v>
      </c>
      <c r="D707" s="1">
        <v>44350</v>
      </c>
      <c r="E707">
        <v>14</v>
      </c>
      <c r="F707">
        <v>73.147076499188898</v>
      </c>
      <c r="G707" s="1">
        <v>44365</v>
      </c>
      <c r="H707" s="1">
        <v>44370</v>
      </c>
      <c r="I707">
        <v>1024.0590709886401</v>
      </c>
      <c r="J707">
        <f t="shared" ref="J707:J770" si="11">H707-G707</f>
        <v>5</v>
      </c>
    </row>
    <row r="708" spans="1:10" x14ac:dyDescent="0.25">
      <c r="A708" t="s">
        <v>1009</v>
      </c>
      <c r="B708" t="s">
        <v>340</v>
      </c>
      <c r="C708" t="s">
        <v>89</v>
      </c>
      <c r="D708" s="1">
        <v>44212</v>
      </c>
      <c r="E708">
        <v>11</v>
      </c>
      <c r="F708">
        <v>43.037964812132302</v>
      </c>
      <c r="G708" s="1">
        <v>44232</v>
      </c>
      <c r="H708" s="1">
        <v>44233</v>
      </c>
      <c r="I708">
        <v>473.41761293345502</v>
      </c>
      <c r="J708">
        <f t="shared" si="11"/>
        <v>1</v>
      </c>
    </row>
    <row r="709" spans="1:10" x14ac:dyDescent="0.25">
      <c r="A709" t="s">
        <v>1010</v>
      </c>
      <c r="B709" t="s">
        <v>19</v>
      </c>
      <c r="C709" t="s">
        <v>396</v>
      </c>
      <c r="D709" s="1">
        <v>45124</v>
      </c>
      <c r="E709">
        <v>5</v>
      </c>
      <c r="F709">
        <v>57.9220821285477</v>
      </c>
      <c r="G709" s="1">
        <v>45147</v>
      </c>
      <c r="H709" s="1">
        <v>45144</v>
      </c>
      <c r="I709">
        <v>289.61041064273797</v>
      </c>
      <c r="J709">
        <f t="shared" si="11"/>
        <v>-3</v>
      </c>
    </row>
    <row r="710" spans="1:10" x14ac:dyDescent="0.25">
      <c r="A710" t="s">
        <v>1011</v>
      </c>
      <c r="B710" t="s">
        <v>169</v>
      </c>
      <c r="C710" t="s">
        <v>97</v>
      </c>
      <c r="D710" s="1">
        <v>44509</v>
      </c>
      <c r="E710">
        <v>10</v>
      </c>
      <c r="F710">
        <v>18.180515953544099</v>
      </c>
      <c r="G710" s="1">
        <v>44519</v>
      </c>
      <c r="H710" s="1">
        <v>44522</v>
      </c>
      <c r="I710">
        <v>181.80515953544099</v>
      </c>
      <c r="J710">
        <f t="shared" si="11"/>
        <v>3</v>
      </c>
    </row>
    <row r="711" spans="1:10" x14ac:dyDescent="0.25">
      <c r="A711" t="s">
        <v>1012</v>
      </c>
      <c r="B711" t="s">
        <v>176</v>
      </c>
      <c r="C711" t="s">
        <v>290</v>
      </c>
      <c r="D711" s="1">
        <v>45163</v>
      </c>
      <c r="E711">
        <v>10</v>
      </c>
      <c r="F711">
        <v>33.287375245548603</v>
      </c>
      <c r="G711" s="1">
        <v>45175</v>
      </c>
      <c r="H711" s="1">
        <v>45180</v>
      </c>
      <c r="I711">
        <v>332.873752455486</v>
      </c>
      <c r="J711">
        <f t="shared" si="11"/>
        <v>5</v>
      </c>
    </row>
    <row r="712" spans="1:10" x14ac:dyDescent="0.25">
      <c r="A712" t="s">
        <v>1013</v>
      </c>
      <c r="B712" t="s">
        <v>321</v>
      </c>
      <c r="C712" t="s">
        <v>466</v>
      </c>
      <c r="D712" s="1">
        <v>45136</v>
      </c>
      <c r="E712">
        <v>11</v>
      </c>
      <c r="F712">
        <v>7.2021294620463197</v>
      </c>
      <c r="G712" s="1">
        <v>45150</v>
      </c>
      <c r="H712" s="1">
        <v>45153</v>
      </c>
      <c r="I712">
        <v>79.223424082509496</v>
      </c>
      <c r="J712">
        <f t="shared" si="11"/>
        <v>3</v>
      </c>
    </row>
    <row r="713" spans="1:10" x14ac:dyDescent="0.25">
      <c r="A713" t="s">
        <v>1014</v>
      </c>
      <c r="B713" t="s">
        <v>169</v>
      </c>
      <c r="C713" t="s">
        <v>190</v>
      </c>
      <c r="D713" s="1">
        <v>44640</v>
      </c>
      <c r="E713">
        <v>12</v>
      </c>
      <c r="F713">
        <v>57.721982667548701</v>
      </c>
      <c r="G713" s="1">
        <v>44660</v>
      </c>
      <c r="H713" s="1">
        <v>44660</v>
      </c>
      <c r="I713">
        <v>692.66379201058396</v>
      </c>
      <c r="J713">
        <f t="shared" si="11"/>
        <v>0</v>
      </c>
    </row>
    <row r="714" spans="1:10" x14ac:dyDescent="0.25">
      <c r="A714" t="s">
        <v>1015</v>
      </c>
      <c r="B714" t="s">
        <v>85</v>
      </c>
      <c r="C714" t="s">
        <v>180</v>
      </c>
      <c r="D714" s="1">
        <v>44563</v>
      </c>
      <c r="E714">
        <v>10</v>
      </c>
      <c r="F714">
        <v>45.791030946624801</v>
      </c>
      <c r="G714" s="1">
        <v>44581</v>
      </c>
      <c r="H714" s="1">
        <v>44584</v>
      </c>
      <c r="I714">
        <v>457.91030946624801</v>
      </c>
      <c r="J714">
        <f t="shared" si="11"/>
        <v>3</v>
      </c>
    </row>
    <row r="715" spans="1:10" x14ac:dyDescent="0.25">
      <c r="A715" t="s">
        <v>1016</v>
      </c>
      <c r="B715" t="s">
        <v>442</v>
      </c>
      <c r="C715" t="s">
        <v>220</v>
      </c>
      <c r="D715" s="1">
        <v>45180</v>
      </c>
      <c r="E715">
        <v>15</v>
      </c>
      <c r="F715">
        <v>10.7201689641456</v>
      </c>
      <c r="G715" s="1">
        <v>45201</v>
      </c>
      <c r="H715" s="1">
        <v>45204</v>
      </c>
      <c r="I715">
        <v>160.80253446218501</v>
      </c>
      <c r="J715">
        <f t="shared" si="11"/>
        <v>3</v>
      </c>
    </row>
    <row r="716" spans="1:10" x14ac:dyDescent="0.25">
      <c r="A716" t="s">
        <v>1017</v>
      </c>
      <c r="B716" t="s">
        <v>472</v>
      </c>
      <c r="C716" t="s">
        <v>195</v>
      </c>
      <c r="D716" s="1">
        <v>44538</v>
      </c>
      <c r="E716">
        <v>11</v>
      </c>
      <c r="F716">
        <v>51.163490195163099</v>
      </c>
      <c r="G716" s="1">
        <v>44548</v>
      </c>
      <c r="H716" s="1">
        <v>44553</v>
      </c>
      <c r="I716">
        <v>562.79839214679396</v>
      </c>
      <c r="J716">
        <f t="shared" si="11"/>
        <v>5</v>
      </c>
    </row>
    <row r="717" spans="1:10" x14ac:dyDescent="0.25">
      <c r="A717" t="s">
        <v>1018</v>
      </c>
      <c r="B717" t="s">
        <v>250</v>
      </c>
      <c r="C717" t="s">
        <v>208</v>
      </c>
      <c r="D717" s="1">
        <v>45297</v>
      </c>
      <c r="E717">
        <v>12</v>
      </c>
      <c r="F717">
        <v>76.205508958703902</v>
      </c>
      <c r="G717" s="1">
        <v>45321</v>
      </c>
      <c r="H717" s="1">
        <v>45319</v>
      </c>
      <c r="I717">
        <v>914.466107504447</v>
      </c>
      <c r="J717">
        <f t="shared" si="11"/>
        <v>-2</v>
      </c>
    </row>
    <row r="718" spans="1:10" x14ac:dyDescent="0.25">
      <c r="A718" t="s">
        <v>1019</v>
      </c>
      <c r="B718" t="s">
        <v>174</v>
      </c>
      <c r="C718" t="s">
        <v>228</v>
      </c>
      <c r="D718" s="1">
        <v>44880</v>
      </c>
      <c r="E718">
        <v>8</v>
      </c>
      <c r="F718">
        <v>46.223930340913697</v>
      </c>
      <c r="G718" s="1">
        <v>44904</v>
      </c>
      <c r="H718" s="1">
        <v>44910</v>
      </c>
      <c r="I718">
        <v>369.791442727309</v>
      </c>
      <c r="J718">
        <f t="shared" si="11"/>
        <v>6</v>
      </c>
    </row>
    <row r="719" spans="1:10" x14ac:dyDescent="0.25">
      <c r="A719" t="s">
        <v>1020</v>
      </c>
      <c r="B719" t="s">
        <v>43</v>
      </c>
      <c r="C719" t="s">
        <v>521</v>
      </c>
      <c r="D719" s="1">
        <v>44731</v>
      </c>
      <c r="E719">
        <v>12</v>
      </c>
      <c r="F719">
        <v>76.062379012932993</v>
      </c>
      <c r="G719" s="1">
        <v>44751</v>
      </c>
      <c r="H719" s="1">
        <v>44748</v>
      </c>
      <c r="I719">
        <v>912.74854815519598</v>
      </c>
      <c r="J719">
        <f t="shared" si="11"/>
        <v>-3</v>
      </c>
    </row>
    <row r="720" spans="1:10" x14ac:dyDescent="0.25">
      <c r="A720" t="s">
        <v>1021</v>
      </c>
      <c r="B720" t="s">
        <v>207</v>
      </c>
      <c r="C720" t="s">
        <v>177</v>
      </c>
      <c r="D720" s="1">
        <v>44252</v>
      </c>
      <c r="E720">
        <v>9</v>
      </c>
      <c r="F720">
        <v>32.625907205720303</v>
      </c>
      <c r="G720" s="1">
        <v>44262</v>
      </c>
      <c r="H720" s="1">
        <v>44260</v>
      </c>
      <c r="I720">
        <v>293.633164851483</v>
      </c>
      <c r="J720">
        <f t="shared" si="11"/>
        <v>-2</v>
      </c>
    </row>
    <row r="721" spans="1:10" x14ac:dyDescent="0.25">
      <c r="A721" t="s">
        <v>1022</v>
      </c>
      <c r="B721" t="s">
        <v>22</v>
      </c>
      <c r="C721" t="s">
        <v>170</v>
      </c>
      <c r="D721" s="1">
        <v>44842</v>
      </c>
      <c r="E721">
        <v>9</v>
      </c>
      <c r="F721">
        <v>57.095886173998203</v>
      </c>
      <c r="G721" s="1">
        <v>44864</v>
      </c>
      <c r="H721" s="1">
        <v>44866</v>
      </c>
      <c r="I721">
        <v>513.86297556598299</v>
      </c>
      <c r="J721">
        <f t="shared" si="11"/>
        <v>2</v>
      </c>
    </row>
    <row r="722" spans="1:10" x14ac:dyDescent="0.25">
      <c r="A722" t="s">
        <v>1023</v>
      </c>
      <c r="B722" t="s">
        <v>359</v>
      </c>
      <c r="C722" t="s">
        <v>276</v>
      </c>
      <c r="D722" s="1">
        <v>44997</v>
      </c>
      <c r="E722">
        <v>8</v>
      </c>
      <c r="F722">
        <v>24.539762220969301</v>
      </c>
      <c r="G722" s="1">
        <v>45014</v>
      </c>
      <c r="H722" s="1">
        <v>45015</v>
      </c>
      <c r="I722">
        <v>196.31809776775401</v>
      </c>
      <c r="J722">
        <f t="shared" si="11"/>
        <v>1</v>
      </c>
    </row>
    <row r="723" spans="1:10" x14ac:dyDescent="0.25">
      <c r="A723" t="s">
        <v>1024</v>
      </c>
      <c r="B723" t="s">
        <v>174</v>
      </c>
      <c r="C723" t="s">
        <v>270</v>
      </c>
      <c r="D723" s="1">
        <v>45225</v>
      </c>
      <c r="E723">
        <v>6</v>
      </c>
      <c r="F723">
        <v>14.399388856702799</v>
      </c>
      <c r="G723" s="1">
        <v>45249</v>
      </c>
      <c r="H723" s="1">
        <v>45253</v>
      </c>
      <c r="I723">
        <v>86.396333140217095</v>
      </c>
      <c r="J723">
        <f t="shared" si="11"/>
        <v>4</v>
      </c>
    </row>
    <row r="724" spans="1:10" x14ac:dyDescent="0.25">
      <c r="A724" t="s">
        <v>1025</v>
      </c>
      <c r="B724" t="s">
        <v>34</v>
      </c>
      <c r="C724" t="s">
        <v>35</v>
      </c>
      <c r="D724" s="1">
        <v>44745</v>
      </c>
      <c r="E724">
        <v>12</v>
      </c>
      <c r="F724">
        <v>76.638958954565695</v>
      </c>
      <c r="G724" s="1">
        <v>44761</v>
      </c>
      <c r="H724" s="1">
        <v>44766</v>
      </c>
      <c r="I724">
        <v>919.66750745478896</v>
      </c>
      <c r="J724">
        <f t="shared" si="11"/>
        <v>5</v>
      </c>
    </row>
    <row r="725" spans="1:10" x14ac:dyDescent="0.25">
      <c r="A725" t="s">
        <v>1026</v>
      </c>
      <c r="B725" t="s">
        <v>43</v>
      </c>
      <c r="C725" t="s">
        <v>38</v>
      </c>
      <c r="D725" s="1">
        <v>44345</v>
      </c>
      <c r="E725">
        <v>12</v>
      </c>
      <c r="F725">
        <v>26.4713172899977</v>
      </c>
      <c r="G725" s="1">
        <v>44356</v>
      </c>
      <c r="H725" s="1">
        <v>44357</v>
      </c>
      <c r="I725">
        <v>317.65580747997302</v>
      </c>
      <c r="J725">
        <f t="shared" si="11"/>
        <v>1</v>
      </c>
    </row>
    <row r="726" spans="1:10" x14ac:dyDescent="0.25">
      <c r="A726" t="s">
        <v>1027</v>
      </c>
      <c r="B726" t="s">
        <v>203</v>
      </c>
      <c r="C726" t="s">
        <v>35</v>
      </c>
      <c r="D726" s="1">
        <v>44975</v>
      </c>
      <c r="E726">
        <v>14</v>
      </c>
      <c r="F726">
        <v>9.4627824025546499</v>
      </c>
      <c r="G726" s="1">
        <v>44990</v>
      </c>
      <c r="H726" s="1">
        <v>44988</v>
      </c>
      <c r="I726">
        <v>132.47895363576501</v>
      </c>
      <c r="J726">
        <f t="shared" si="11"/>
        <v>-2</v>
      </c>
    </row>
    <row r="727" spans="1:10" x14ac:dyDescent="0.25">
      <c r="A727" t="s">
        <v>1028</v>
      </c>
      <c r="B727" t="s">
        <v>52</v>
      </c>
      <c r="C727" t="s">
        <v>594</v>
      </c>
      <c r="D727" s="1">
        <v>45380</v>
      </c>
      <c r="E727">
        <v>10</v>
      </c>
      <c r="F727">
        <v>10.9125590727668</v>
      </c>
      <c r="G727" s="1">
        <v>45391</v>
      </c>
      <c r="H727" s="1">
        <v>45395</v>
      </c>
      <c r="I727">
        <v>109.125590727668</v>
      </c>
      <c r="J727">
        <f t="shared" si="11"/>
        <v>4</v>
      </c>
    </row>
    <row r="728" spans="1:10" x14ac:dyDescent="0.25">
      <c r="A728" t="s">
        <v>1029</v>
      </c>
      <c r="B728" t="s">
        <v>299</v>
      </c>
      <c r="C728" t="s">
        <v>383</v>
      </c>
      <c r="D728" s="1">
        <v>44434</v>
      </c>
      <c r="E728">
        <v>6</v>
      </c>
      <c r="F728">
        <v>27.607216555427701</v>
      </c>
      <c r="G728" s="1">
        <v>44447</v>
      </c>
      <c r="H728" s="1">
        <v>44452</v>
      </c>
      <c r="I728">
        <v>165.64329933256599</v>
      </c>
      <c r="J728">
        <f t="shared" si="11"/>
        <v>5</v>
      </c>
    </row>
    <row r="729" spans="1:10" x14ac:dyDescent="0.25">
      <c r="A729" t="s">
        <v>1030</v>
      </c>
      <c r="B729" t="s">
        <v>194</v>
      </c>
      <c r="C729" t="s">
        <v>105</v>
      </c>
      <c r="D729" s="1">
        <v>44610</v>
      </c>
      <c r="E729">
        <v>10</v>
      </c>
      <c r="F729">
        <v>31.738197188830299</v>
      </c>
      <c r="G729" s="1">
        <v>44622</v>
      </c>
      <c r="H729" s="1">
        <v>44627</v>
      </c>
      <c r="I729">
        <v>317.38197188830299</v>
      </c>
      <c r="J729">
        <f t="shared" si="11"/>
        <v>5</v>
      </c>
    </row>
    <row r="730" spans="1:10" x14ac:dyDescent="0.25">
      <c r="A730" t="s">
        <v>1031</v>
      </c>
      <c r="B730" t="s">
        <v>261</v>
      </c>
      <c r="C730" t="s">
        <v>270</v>
      </c>
      <c r="D730" s="1">
        <v>44369</v>
      </c>
      <c r="E730">
        <v>16</v>
      </c>
      <c r="F730">
        <v>63.551859509602203</v>
      </c>
      <c r="G730" s="1">
        <v>44385</v>
      </c>
      <c r="H730" s="1">
        <v>44383</v>
      </c>
      <c r="I730">
        <v>1016.82975215363</v>
      </c>
      <c r="J730">
        <f t="shared" si="11"/>
        <v>-2</v>
      </c>
    </row>
    <row r="731" spans="1:10" x14ac:dyDescent="0.25">
      <c r="A731" t="s">
        <v>1032</v>
      </c>
      <c r="B731" t="s">
        <v>321</v>
      </c>
      <c r="C731" t="s">
        <v>77</v>
      </c>
      <c r="D731" s="1">
        <v>44199</v>
      </c>
      <c r="E731">
        <v>16</v>
      </c>
      <c r="F731">
        <v>5.2853297245392996</v>
      </c>
      <c r="G731" s="1">
        <v>44209</v>
      </c>
      <c r="H731" s="1">
        <v>44212</v>
      </c>
      <c r="I731">
        <v>84.565275592628794</v>
      </c>
      <c r="J731">
        <f t="shared" si="11"/>
        <v>3</v>
      </c>
    </row>
    <row r="732" spans="1:10" x14ac:dyDescent="0.25">
      <c r="A732" t="s">
        <v>1033</v>
      </c>
      <c r="B732" t="s">
        <v>37</v>
      </c>
      <c r="C732" t="s">
        <v>262</v>
      </c>
      <c r="D732" s="1">
        <v>44445</v>
      </c>
      <c r="E732">
        <v>16</v>
      </c>
      <c r="F732">
        <v>75.756015937392107</v>
      </c>
      <c r="G732" s="1">
        <v>44464</v>
      </c>
      <c r="H732" s="1">
        <v>44461</v>
      </c>
      <c r="I732">
        <v>1212.0962549982701</v>
      </c>
      <c r="J732">
        <f t="shared" si="11"/>
        <v>-3</v>
      </c>
    </row>
    <row r="733" spans="1:10" x14ac:dyDescent="0.25">
      <c r="A733" t="s">
        <v>1034</v>
      </c>
      <c r="B733" t="s">
        <v>19</v>
      </c>
      <c r="C733" t="s">
        <v>765</v>
      </c>
      <c r="D733" s="1">
        <v>44832</v>
      </c>
      <c r="E733">
        <v>13</v>
      </c>
      <c r="F733">
        <v>12.6029416957644</v>
      </c>
      <c r="G733" s="1">
        <v>44845</v>
      </c>
      <c r="H733" s="1">
        <v>44846</v>
      </c>
      <c r="I733">
        <v>163.838242044937</v>
      </c>
      <c r="J733">
        <f t="shared" si="11"/>
        <v>1</v>
      </c>
    </row>
    <row r="734" spans="1:10" x14ac:dyDescent="0.25">
      <c r="A734" t="s">
        <v>1035</v>
      </c>
      <c r="B734" t="s">
        <v>140</v>
      </c>
      <c r="C734" t="s">
        <v>110</v>
      </c>
      <c r="D734" s="1">
        <v>45098</v>
      </c>
      <c r="E734">
        <v>12</v>
      </c>
      <c r="F734">
        <v>66.7242293619815</v>
      </c>
      <c r="G734" s="1">
        <v>45109</v>
      </c>
      <c r="H734" s="1">
        <v>45115</v>
      </c>
      <c r="I734">
        <v>800.69075234377794</v>
      </c>
      <c r="J734">
        <f t="shared" si="11"/>
        <v>6</v>
      </c>
    </row>
    <row r="735" spans="1:10" x14ac:dyDescent="0.25">
      <c r="A735" t="s">
        <v>1036</v>
      </c>
      <c r="B735" t="s">
        <v>556</v>
      </c>
      <c r="C735" t="s">
        <v>334</v>
      </c>
      <c r="D735" s="1">
        <v>44990</v>
      </c>
      <c r="E735">
        <v>10</v>
      </c>
      <c r="F735">
        <v>3.5556541688581702</v>
      </c>
      <c r="G735" s="1">
        <v>45011</v>
      </c>
      <c r="H735" s="1">
        <v>45013</v>
      </c>
      <c r="I735">
        <v>35.556541688581703</v>
      </c>
      <c r="J735">
        <f t="shared" si="11"/>
        <v>2</v>
      </c>
    </row>
    <row r="736" spans="1:10" x14ac:dyDescent="0.25">
      <c r="A736" t="s">
        <v>1037</v>
      </c>
      <c r="B736" t="s">
        <v>617</v>
      </c>
      <c r="C736" t="s">
        <v>94</v>
      </c>
      <c r="D736" s="1">
        <v>44298</v>
      </c>
      <c r="E736">
        <v>6</v>
      </c>
      <c r="F736">
        <v>58.495190557896599</v>
      </c>
      <c r="G736" s="1">
        <v>44321</v>
      </c>
      <c r="H736" s="1">
        <v>44327</v>
      </c>
      <c r="I736">
        <v>350.97114334737898</v>
      </c>
      <c r="J736">
        <f t="shared" si="11"/>
        <v>6</v>
      </c>
    </row>
    <row r="737" spans="1:10" x14ac:dyDescent="0.25">
      <c r="A737" t="s">
        <v>1038</v>
      </c>
      <c r="B737" t="s">
        <v>46</v>
      </c>
      <c r="C737" t="s">
        <v>718</v>
      </c>
      <c r="D737" s="1">
        <v>44391</v>
      </c>
      <c r="E737">
        <v>7</v>
      </c>
      <c r="F737">
        <v>78.113506291191896</v>
      </c>
      <c r="G737" s="1">
        <v>44408</v>
      </c>
      <c r="H737" s="1">
        <v>44408</v>
      </c>
      <c r="I737">
        <v>546.79454403834302</v>
      </c>
      <c r="J737">
        <f t="shared" si="11"/>
        <v>0</v>
      </c>
    </row>
    <row r="738" spans="1:10" x14ac:dyDescent="0.25">
      <c r="A738" t="s">
        <v>1039</v>
      </c>
      <c r="B738" t="s">
        <v>359</v>
      </c>
      <c r="C738" t="s">
        <v>693</v>
      </c>
      <c r="D738" s="1">
        <v>44389</v>
      </c>
      <c r="E738">
        <v>10</v>
      </c>
      <c r="F738">
        <v>43.754799149877798</v>
      </c>
      <c r="G738" s="1">
        <v>44401</v>
      </c>
      <c r="H738" s="1">
        <v>44407</v>
      </c>
      <c r="I738">
        <v>437.547991498778</v>
      </c>
      <c r="J738">
        <f t="shared" si="11"/>
        <v>6</v>
      </c>
    </row>
    <row r="739" spans="1:10" x14ac:dyDescent="0.25">
      <c r="A739" t="s">
        <v>1040</v>
      </c>
      <c r="B739" t="s">
        <v>174</v>
      </c>
      <c r="C739" t="s">
        <v>331</v>
      </c>
      <c r="D739" s="1">
        <v>44608</v>
      </c>
      <c r="E739">
        <v>9</v>
      </c>
      <c r="F739">
        <v>48.626522284026301</v>
      </c>
      <c r="G739" s="1">
        <v>44624</v>
      </c>
      <c r="H739" s="1">
        <v>44628</v>
      </c>
      <c r="I739">
        <v>437.63870055623602</v>
      </c>
      <c r="J739">
        <f t="shared" si="11"/>
        <v>4</v>
      </c>
    </row>
    <row r="740" spans="1:10" x14ac:dyDescent="0.25">
      <c r="A740" t="s">
        <v>1041</v>
      </c>
      <c r="B740" t="s">
        <v>379</v>
      </c>
      <c r="C740" t="s">
        <v>77</v>
      </c>
      <c r="D740" s="1">
        <v>44738</v>
      </c>
      <c r="E740">
        <v>14</v>
      </c>
      <c r="F740">
        <v>68.383593291142802</v>
      </c>
      <c r="G740" s="1">
        <v>44760</v>
      </c>
      <c r="H740" s="1">
        <v>44760</v>
      </c>
      <c r="I740">
        <v>957.37030607600002</v>
      </c>
      <c r="J740">
        <f t="shared" si="11"/>
        <v>0</v>
      </c>
    </row>
    <row r="741" spans="1:10" x14ac:dyDescent="0.25">
      <c r="A741" t="s">
        <v>1042</v>
      </c>
      <c r="B741" t="s">
        <v>40</v>
      </c>
      <c r="C741" t="s">
        <v>972</v>
      </c>
      <c r="D741" s="1">
        <v>44877</v>
      </c>
      <c r="E741">
        <v>11</v>
      </c>
      <c r="F741">
        <v>13.8934783036217</v>
      </c>
      <c r="G741" s="1">
        <v>44896</v>
      </c>
      <c r="H741" s="1">
        <v>44901</v>
      </c>
      <c r="I741">
        <v>152.828261339839</v>
      </c>
      <c r="J741">
        <f t="shared" si="11"/>
        <v>5</v>
      </c>
    </row>
    <row r="742" spans="1:10" x14ac:dyDescent="0.25">
      <c r="A742" t="s">
        <v>1043</v>
      </c>
      <c r="B742" t="s">
        <v>485</v>
      </c>
      <c r="C742" t="s">
        <v>74</v>
      </c>
      <c r="D742" s="1">
        <v>44756</v>
      </c>
      <c r="E742">
        <v>14</v>
      </c>
      <c r="F742">
        <v>21.474759213000102</v>
      </c>
      <c r="G742" s="1">
        <v>44780</v>
      </c>
      <c r="H742" s="1">
        <v>44778</v>
      </c>
      <c r="I742">
        <v>300.64662898200203</v>
      </c>
      <c r="J742">
        <f t="shared" si="11"/>
        <v>-2</v>
      </c>
    </row>
    <row r="743" spans="1:10" x14ac:dyDescent="0.25">
      <c r="A743" t="s">
        <v>1044</v>
      </c>
      <c r="B743" t="s">
        <v>109</v>
      </c>
      <c r="C743" t="s">
        <v>100</v>
      </c>
      <c r="D743" s="1">
        <v>45113</v>
      </c>
      <c r="E743">
        <v>18</v>
      </c>
      <c r="F743">
        <v>40.539596007486701</v>
      </c>
      <c r="G743" s="1">
        <v>45129</v>
      </c>
      <c r="H743" s="1">
        <v>45128</v>
      </c>
      <c r="I743">
        <v>729.71272813476105</v>
      </c>
      <c r="J743">
        <f t="shared" si="11"/>
        <v>-1</v>
      </c>
    </row>
    <row r="744" spans="1:10" x14ac:dyDescent="0.25">
      <c r="A744" t="s">
        <v>1045</v>
      </c>
      <c r="B744" t="s">
        <v>67</v>
      </c>
      <c r="C744" t="s">
        <v>402</v>
      </c>
      <c r="D744" s="1">
        <v>45343</v>
      </c>
      <c r="E744">
        <v>9</v>
      </c>
      <c r="F744">
        <v>41.8856562875972</v>
      </c>
      <c r="G744" s="1">
        <v>45354</v>
      </c>
      <c r="H744" s="1">
        <v>45356</v>
      </c>
      <c r="I744">
        <v>376.97090658837499</v>
      </c>
      <c r="J744">
        <f t="shared" si="11"/>
        <v>2</v>
      </c>
    </row>
    <row r="745" spans="1:10" x14ac:dyDescent="0.25">
      <c r="A745" t="s">
        <v>1046</v>
      </c>
      <c r="B745" t="s">
        <v>267</v>
      </c>
      <c r="C745" t="s">
        <v>331</v>
      </c>
      <c r="D745" s="1">
        <v>44700</v>
      </c>
      <c r="E745">
        <v>12</v>
      </c>
      <c r="F745">
        <v>38.8711455805174</v>
      </c>
      <c r="G745" s="1">
        <v>44712</v>
      </c>
      <c r="H745" s="1">
        <v>44715</v>
      </c>
      <c r="I745">
        <v>466.453746966209</v>
      </c>
      <c r="J745">
        <f t="shared" si="11"/>
        <v>3</v>
      </c>
    </row>
    <row r="746" spans="1:10" x14ac:dyDescent="0.25">
      <c r="A746" t="s">
        <v>1047</v>
      </c>
      <c r="B746" t="s">
        <v>240</v>
      </c>
      <c r="C746" t="s">
        <v>50</v>
      </c>
      <c r="D746" s="1">
        <v>44788</v>
      </c>
      <c r="E746">
        <v>15</v>
      </c>
      <c r="F746">
        <v>40.7884328651229</v>
      </c>
      <c r="G746" s="1">
        <v>44811</v>
      </c>
      <c r="H746" s="1">
        <v>44808</v>
      </c>
      <c r="I746">
        <v>611.82649297684304</v>
      </c>
      <c r="J746">
        <f t="shared" si="11"/>
        <v>-3</v>
      </c>
    </row>
    <row r="747" spans="1:10" x14ac:dyDescent="0.25">
      <c r="A747" t="s">
        <v>1048</v>
      </c>
      <c r="B747" t="s">
        <v>22</v>
      </c>
      <c r="C747" t="s">
        <v>192</v>
      </c>
      <c r="D747" s="1">
        <v>44861</v>
      </c>
      <c r="E747">
        <v>18</v>
      </c>
      <c r="F747">
        <v>57.852926024629198</v>
      </c>
      <c r="G747" s="1">
        <v>44880</v>
      </c>
      <c r="H747" s="1">
        <v>44884</v>
      </c>
      <c r="I747">
        <v>1041.35266844332</v>
      </c>
      <c r="J747">
        <f t="shared" si="11"/>
        <v>4</v>
      </c>
    </row>
    <row r="748" spans="1:10" x14ac:dyDescent="0.25">
      <c r="A748" t="s">
        <v>1049</v>
      </c>
      <c r="B748" t="s">
        <v>314</v>
      </c>
      <c r="C748" t="s">
        <v>543</v>
      </c>
      <c r="D748" s="1">
        <v>45373</v>
      </c>
      <c r="E748">
        <v>10</v>
      </c>
      <c r="F748">
        <v>63.457327449375001</v>
      </c>
      <c r="G748" s="1">
        <v>45388</v>
      </c>
      <c r="H748" s="1">
        <v>45390</v>
      </c>
      <c r="I748">
        <v>634.57327449374998</v>
      </c>
      <c r="J748">
        <f t="shared" si="11"/>
        <v>2</v>
      </c>
    </row>
    <row r="749" spans="1:10" x14ac:dyDescent="0.25">
      <c r="A749" t="s">
        <v>1050</v>
      </c>
      <c r="B749" t="s">
        <v>203</v>
      </c>
      <c r="C749" t="s">
        <v>1051</v>
      </c>
      <c r="D749" s="1">
        <v>45246</v>
      </c>
      <c r="E749">
        <v>9</v>
      </c>
      <c r="F749">
        <v>7.4069499223704698</v>
      </c>
      <c r="G749" s="1">
        <v>45265</v>
      </c>
      <c r="H749" s="1">
        <v>45270</v>
      </c>
      <c r="I749">
        <v>66.662549301334195</v>
      </c>
      <c r="J749">
        <f t="shared" si="11"/>
        <v>5</v>
      </c>
    </row>
    <row r="750" spans="1:10" x14ac:dyDescent="0.25">
      <c r="A750" t="s">
        <v>1052</v>
      </c>
      <c r="B750" t="s">
        <v>55</v>
      </c>
      <c r="C750" t="s">
        <v>279</v>
      </c>
      <c r="D750" s="1">
        <v>44998</v>
      </c>
      <c r="E750">
        <v>8</v>
      </c>
      <c r="F750">
        <v>15.4156142619753</v>
      </c>
      <c r="G750" s="1">
        <v>45009</v>
      </c>
      <c r="H750" s="1">
        <v>45006</v>
      </c>
      <c r="I750">
        <v>123.324914095803</v>
      </c>
      <c r="J750">
        <f t="shared" si="11"/>
        <v>-3</v>
      </c>
    </row>
    <row r="751" spans="1:10" x14ac:dyDescent="0.25">
      <c r="A751" t="s">
        <v>1053</v>
      </c>
      <c r="B751" t="s">
        <v>119</v>
      </c>
      <c r="C751" t="s">
        <v>547</v>
      </c>
      <c r="D751" s="1">
        <v>44467</v>
      </c>
      <c r="E751">
        <v>6</v>
      </c>
      <c r="F751">
        <v>50.812838696939998</v>
      </c>
      <c r="G751" s="1">
        <v>44479</v>
      </c>
      <c r="H751" s="1">
        <v>44481</v>
      </c>
      <c r="I751">
        <v>304.87703218164</v>
      </c>
      <c r="J751">
        <f t="shared" si="11"/>
        <v>2</v>
      </c>
    </row>
    <row r="752" spans="1:10" x14ac:dyDescent="0.25">
      <c r="A752" t="s">
        <v>1054</v>
      </c>
      <c r="B752" t="s">
        <v>751</v>
      </c>
      <c r="C752" t="s">
        <v>20</v>
      </c>
      <c r="D752" s="1">
        <v>45083</v>
      </c>
      <c r="E752">
        <v>14</v>
      </c>
      <c r="F752">
        <v>4.0805915719456696</v>
      </c>
      <c r="G752" s="1">
        <v>45101</v>
      </c>
      <c r="H752" s="1">
        <v>45102</v>
      </c>
      <c r="I752">
        <v>57.128282007239299</v>
      </c>
      <c r="J752">
        <f t="shared" si="11"/>
        <v>1</v>
      </c>
    </row>
    <row r="753" spans="1:10" x14ac:dyDescent="0.25">
      <c r="A753" t="s">
        <v>1055</v>
      </c>
      <c r="B753" t="s">
        <v>10</v>
      </c>
      <c r="C753" t="s">
        <v>972</v>
      </c>
      <c r="D753" s="1">
        <v>44552</v>
      </c>
      <c r="E753">
        <v>17</v>
      </c>
      <c r="F753">
        <v>25.356327557946202</v>
      </c>
      <c r="G753" s="1">
        <v>44576</v>
      </c>
      <c r="H753" s="1">
        <v>44574</v>
      </c>
      <c r="I753">
        <v>431.05756848508599</v>
      </c>
      <c r="J753">
        <f t="shared" si="11"/>
        <v>-2</v>
      </c>
    </row>
    <row r="754" spans="1:10" x14ac:dyDescent="0.25">
      <c r="A754" t="s">
        <v>1056</v>
      </c>
      <c r="B754" t="s">
        <v>564</v>
      </c>
      <c r="C754" t="s">
        <v>457</v>
      </c>
      <c r="D754" s="1">
        <v>44304</v>
      </c>
      <c r="E754">
        <v>12</v>
      </c>
      <c r="F754">
        <v>5.82289578176968</v>
      </c>
      <c r="G754" s="1">
        <v>44316</v>
      </c>
      <c r="H754" s="1">
        <v>44313</v>
      </c>
      <c r="I754">
        <v>69.8747493812361</v>
      </c>
      <c r="J754">
        <f t="shared" si="11"/>
        <v>-3</v>
      </c>
    </row>
    <row r="755" spans="1:10" x14ac:dyDescent="0.25">
      <c r="A755" t="s">
        <v>1057</v>
      </c>
      <c r="B755" t="s">
        <v>58</v>
      </c>
      <c r="C755" t="s">
        <v>693</v>
      </c>
      <c r="D755" s="1">
        <v>45198</v>
      </c>
      <c r="E755">
        <v>13</v>
      </c>
      <c r="F755">
        <v>40.042082957772401</v>
      </c>
      <c r="G755" s="1">
        <v>45221</v>
      </c>
      <c r="H755" s="1">
        <v>45227</v>
      </c>
      <c r="I755">
        <v>520.54707845104099</v>
      </c>
      <c r="J755">
        <f t="shared" si="11"/>
        <v>6</v>
      </c>
    </row>
    <row r="756" spans="1:10" x14ac:dyDescent="0.25">
      <c r="A756" t="s">
        <v>1058</v>
      </c>
      <c r="B756" t="s">
        <v>34</v>
      </c>
      <c r="C756" t="s">
        <v>262</v>
      </c>
      <c r="D756" s="1">
        <v>45224</v>
      </c>
      <c r="E756">
        <v>10</v>
      </c>
      <c r="F756">
        <v>51.395337861851502</v>
      </c>
      <c r="G756" s="1">
        <v>45240</v>
      </c>
      <c r="H756" s="1">
        <v>45244</v>
      </c>
      <c r="I756">
        <v>513.95337861851499</v>
      </c>
      <c r="J756">
        <f t="shared" si="11"/>
        <v>4</v>
      </c>
    </row>
    <row r="757" spans="1:10" x14ac:dyDescent="0.25">
      <c r="A757" t="s">
        <v>1059</v>
      </c>
      <c r="B757" t="s">
        <v>493</v>
      </c>
      <c r="C757" t="s">
        <v>50</v>
      </c>
      <c r="D757" s="1">
        <v>44599</v>
      </c>
      <c r="E757">
        <v>9</v>
      </c>
      <c r="F757">
        <v>44.253100922449399</v>
      </c>
      <c r="G757" s="1">
        <v>44615</v>
      </c>
      <c r="H757" s="1">
        <v>44613</v>
      </c>
      <c r="I757">
        <v>398.27790830204498</v>
      </c>
      <c r="J757">
        <f t="shared" si="11"/>
        <v>-2</v>
      </c>
    </row>
    <row r="758" spans="1:10" x14ac:dyDescent="0.25">
      <c r="A758" t="s">
        <v>1060</v>
      </c>
      <c r="B758" t="s">
        <v>485</v>
      </c>
      <c r="C758" t="s">
        <v>128</v>
      </c>
      <c r="D758" s="1">
        <v>44448</v>
      </c>
      <c r="E758">
        <v>13</v>
      </c>
      <c r="F758">
        <v>26.685587550073599</v>
      </c>
      <c r="G758" s="1">
        <v>44462</v>
      </c>
      <c r="H758" s="1">
        <v>44462</v>
      </c>
      <c r="I758">
        <v>346.91263815095698</v>
      </c>
      <c r="J758">
        <f t="shared" si="11"/>
        <v>0</v>
      </c>
    </row>
    <row r="759" spans="1:10" x14ac:dyDescent="0.25">
      <c r="A759" t="s">
        <v>1061</v>
      </c>
      <c r="B759" t="s">
        <v>240</v>
      </c>
      <c r="C759" t="s">
        <v>224</v>
      </c>
      <c r="D759" s="1">
        <v>44688</v>
      </c>
      <c r="E759">
        <v>12</v>
      </c>
      <c r="F759">
        <v>26.948130314756401</v>
      </c>
      <c r="G759" s="1">
        <v>44701</v>
      </c>
      <c r="H759" s="1">
        <v>44707</v>
      </c>
      <c r="I759">
        <v>323.37756377707598</v>
      </c>
      <c r="J759">
        <f t="shared" si="11"/>
        <v>6</v>
      </c>
    </row>
    <row r="760" spans="1:10" x14ac:dyDescent="0.25">
      <c r="A760" t="s">
        <v>1062</v>
      </c>
      <c r="B760" t="s">
        <v>207</v>
      </c>
      <c r="C760" t="s">
        <v>600</v>
      </c>
      <c r="D760" s="1">
        <v>45166</v>
      </c>
      <c r="E760">
        <v>10</v>
      </c>
      <c r="F760">
        <v>25.971177573496401</v>
      </c>
      <c r="G760" s="1">
        <v>45189</v>
      </c>
      <c r="H760" s="1">
        <v>45188</v>
      </c>
      <c r="I760">
        <v>259.71177573496402</v>
      </c>
      <c r="J760">
        <f t="shared" si="11"/>
        <v>-1</v>
      </c>
    </row>
    <row r="761" spans="1:10" x14ac:dyDescent="0.25">
      <c r="A761" t="s">
        <v>1063</v>
      </c>
      <c r="B761" t="s">
        <v>16</v>
      </c>
      <c r="C761" t="s">
        <v>457</v>
      </c>
      <c r="D761" s="1">
        <v>44664</v>
      </c>
      <c r="E761">
        <v>12</v>
      </c>
      <c r="F761">
        <v>5.69269356713425</v>
      </c>
      <c r="G761" s="1">
        <v>44679</v>
      </c>
      <c r="H761" s="1">
        <v>44683</v>
      </c>
      <c r="I761">
        <v>68.312322805611004</v>
      </c>
      <c r="J761">
        <f t="shared" si="11"/>
        <v>4</v>
      </c>
    </row>
    <row r="762" spans="1:10" x14ac:dyDescent="0.25">
      <c r="A762" t="s">
        <v>1064</v>
      </c>
      <c r="B762" t="s">
        <v>140</v>
      </c>
      <c r="C762" t="s">
        <v>792</v>
      </c>
      <c r="D762" s="1">
        <v>44715</v>
      </c>
      <c r="E762">
        <v>9</v>
      </c>
      <c r="F762">
        <v>8.6927396162637791</v>
      </c>
      <c r="G762" s="1">
        <v>44739</v>
      </c>
      <c r="H762" s="1">
        <v>44737</v>
      </c>
      <c r="I762">
        <v>78.234656546373998</v>
      </c>
      <c r="J762">
        <f t="shared" si="11"/>
        <v>-2</v>
      </c>
    </row>
    <row r="763" spans="1:10" x14ac:dyDescent="0.25">
      <c r="A763" t="s">
        <v>1065</v>
      </c>
      <c r="B763" t="s">
        <v>55</v>
      </c>
      <c r="C763" t="s">
        <v>102</v>
      </c>
      <c r="D763" s="1">
        <v>44858</v>
      </c>
      <c r="E763">
        <v>6</v>
      </c>
      <c r="F763">
        <v>48.075156278795703</v>
      </c>
      <c r="G763" s="1">
        <v>44878</v>
      </c>
      <c r="H763" s="1">
        <v>44879</v>
      </c>
      <c r="I763">
        <v>288.45093767277399</v>
      </c>
      <c r="J763">
        <f t="shared" si="11"/>
        <v>1</v>
      </c>
    </row>
    <row r="764" spans="1:10" x14ac:dyDescent="0.25">
      <c r="A764" t="s">
        <v>1066</v>
      </c>
      <c r="B764" t="s">
        <v>70</v>
      </c>
      <c r="C764" t="s">
        <v>317</v>
      </c>
      <c r="D764" s="1">
        <v>45293</v>
      </c>
      <c r="E764">
        <v>7</v>
      </c>
      <c r="F764">
        <v>13.7419545181071</v>
      </c>
      <c r="G764" s="1">
        <v>45314</v>
      </c>
      <c r="H764" s="1">
        <v>45316</v>
      </c>
      <c r="I764">
        <v>96.193681626749793</v>
      </c>
      <c r="J764">
        <f t="shared" si="11"/>
        <v>2</v>
      </c>
    </row>
    <row r="765" spans="1:10" x14ac:dyDescent="0.25">
      <c r="A765" t="s">
        <v>1067</v>
      </c>
      <c r="B765" t="s">
        <v>350</v>
      </c>
      <c r="C765" t="s">
        <v>144</v>
      </c>
      <c r="D765" s="1">
        <v>45356</v>
      </c>
      <c r="E765">
        <v>13</v>
      </c>
      <c r="F765">
        <v>21.153242193097299</v>
      </c>
      <c r="G765" s="1">
        <v>45378</v>
      </c>
      <c r="H765" s="1">
        <v>45375</v>
      </c>
      <c r="I765">
        <v>274.992148510265</v>
      </c>
      <c r="J765">
        <f t="shared" si="11"/>
        <v>-3</v>
      </c>
    </row>
    <row r="766" spans="1:10" x14ac:dyDescent="0.25">
      <c r="A766" t="s">
        <v>1068</v>
      </c>
      <c r="B766" t="s">
        <v>37</v>
      </c>
      <c r="C766" t="s">
        <v>228</v>
      </c>
      <c r="D766" s="1">
        <v>45095</v>
      </c>
      <c r="E766">
        <v>10</v>
      </c>
      <c r="F766">
        <v>60.839266056331503</v>
      </c>
      <c r="G766" s="1">
        <v>45114</v>
      </c>
      <c r="H766" s="1">
        <v>45119</v>
      </c>
      <c r="I766">
        <v>608.39266056331496</v>
      </c>
      <c r="J766">
        <f t="shared" si="11"/>
        <v>5</v>
      </c>
    </row>
    <row r="767" spans="1:10" x14ac:dyDescent="0.25">
      <c r="A767" t="s">
        <v>1069</v>
      </c>
      <c r="B767" t="s">
        <v>399</v>
      </c>
      <c r="C767" t="s">
        <v>430</v>
      </c>
      <c r="D767" s="1">
        <v>45360</v>
      </c>
      <c r="E767">
        <v>6</v>
      </c>
      <c r="F767">
        <v>3.7063312342090802</v>
      </c>
      <c r="G767" s="1">
        <v>45371</v>
      </c>
      <c r="H767" s="1">
        <v>45374</v>
      </c>
      <c r="I767">
        <v>22.237987405254501</v>
      </c>
      <c r="J767">
        <f t="shared" si="11"/>
        <v>3</v>
      </c>
    </row>
    <row r="768" spans="1:10" x14ac:dyDescent="0.25">
      <c r="A768" t="s">
        <v>1070</v>
      </c>
      <c r="B768" t="s">
        <v>16</v>
      </c>
      <c r="C768" t="s">
        <v>180</v>
      </c>
      <c r="D768" s="1">
        <v>44706</v>
      </c>
      <c r="E768">
        <v>16</v>
      </c>
      <c r="F768">
        <v>36.468388431284701</v>
      </c>
      <c r="G768" s="1">
        <v>44727</v>
      </c>
      <c r="H768" s="1">
        <v>44732</v>
      </c>
      <c r="I768">
        <v>583.49421490055602</v>
      </c>
      <c r="J768">
        <f t="shared" si="11"/>
        <v>5</v>
      </c>
    </row>
    <row r="769" spans="1:10" x14ac:dyDescent="0.25">
      <c r="A769" t="s">
        <v>1071</v>
      </c>
      <c r="B769" t="s">
        <v>25</v>
      </c>
      <c r="C769" t="s">
        <v>543</v>
      </c>
      <c r="D769" s="1">
        <v>44565</v>
      </c>
      <c r="E769">
        <v>14</v>
      </c>
      <c r="F769">
        <v>18.214069049965399</v>
      </c>
      <c r="G769" s="1">
        <v>44585</v>
      </c>
      <c r="H769" s="1">
        <v>44588</v>
      </c>
      <c r="I769">
        <v>254.99696669951601</v>
      </c>
      <c r="J769">
        <f t="shared" si="11"/>
        <v>3</v>
      </c>
    </row>
    <row r="770" spans="1:10" x14ac:dyDescent="0.25">
      <c r="A770" t="s">
        <v>1072</v>
      </c>
      <c r="B770" t="s">
        <v>58</v>
      </c>
      <c r="C770" t="s">
        <v>133</v>
      </c>
      <c r="D770" s="1">
        <v>44412</v>
      </c>
      <c r="E770">
        <v>7</v>
      </c>
      <c r="F770">
        <v>53.407786199612701</v>
      </c>
      <c r="G770" s="1">
        <v>44432</v>
      </c>
      <c r="H770" s="1">
        <v>44432</v>
      </c>
      <c r="I770">
        <v>373.85450339728902</v>
      </c>
      <c r="J770">
        <f t="shared" si="11"/>
        <v>0</v>
      </c>
    </row>
    <row r="771" spans="1:10" x14ac:dyDescent="0.25">
      <c r="A771" t="s">
        <v>1073</v>
      </c>
      <c r="B771" t="s">
        <v>76</v>
      </c>
      <c r="C771" t="s">
        <v>915</v>
      </c>
      <c r="D771" s="1">
        <v>45147</v>
      </c>
      <c r="E771">
        <v>7</v>
      </c>
      <c r="F771">
        <v>23.0905150069513</v>
      </c>
      <c r="G771" s="1">
        <v>45157</v>
      </c>
      <c r="H771" s="1">
        <v>45157</v>
      </c>
      <c r="I771">
        <v>161.63360504865901</v>
      </c>
      <c r="J771">
        <f t="shared" ref="J771:J834" si="12">H771-G771</f>
        <v>0</v>
      </c>
    </row>
    <row r="772" spans="1:10" x14ac:dyDescent="0.25">
      <c r="A772" t="s">
        <v>1074</v>
      </c>
      <c r="B772" t="s">
        <v>382</v>
      </c>
      <c r="C772" t="s">
        <v>257</v>
      </c>
      <c r="D772" s="1">
        <v>45270</v>
      </c>
      <c r="E772">
        <v>10</v>
      </c>
      <c r="F772">
        <v>28.0218138757077</v>
      </c>
      <c r="G772" s="1">
        <v>45287</v>
      </c>
      <c r="H772" s="1">
        <v>45286</v>
      </c>
      <c r="I772">
        <v>280.21813875707699</v>
      </c>
      <c r="J772">
        <f t="shared" si="12"/>
        <v>-1</v>
      </c>
    </row>
    <row r="773" spans="1:10" x14ac:dyDescent="0.25">
      <c r="A773" t="s">
        <v>1075</v>
      </c>
      <c r="B773" t="s">
        <v>189</v>
      </c>
      <c r="C773" t="s">
        <v>668</v>
      </c>
      <c r="D773" s="1">
        <v>45069</v>
      </c>
      <c r="E773">
        <v>6</v>
      </c>
      <c r="F773">
        <v>49.958161562510099</v>
      </c>
      <c r="G773" s="1">
        <v>45088</v>
      </c>
      <c r="H773" s="1">
        <v>45094</v>
      </c>
      <c r="I773">
        <v>299.74896937506003</v>
      </c>
      <c r="J773">
        <f t="shared" si="12"/>
        <v>6</v>
      </c>
    </row>
    <row r="774" spans="1:10" x14ac:dyDescent="0.25">
      <c r="A774" t="s">
        <v>1076</v>
      </c>
      <c r="B774" t="s">
        <v>472</v>
      </c>
      <c r="C774" t="s">
        <v>391</v>
      </c>
      <c r="D774" s="1">
        <v>44651</v>
      </c>
      <c r="E774">
        <v>7</v>
      </c>
      <c r="F774">
        <v>25.3715917144469</v>
      </c>
      <c r="G774" s="1">
        <v>44664</v>
      </c>
      <c r="H774" s="1">
        <v>44661</v>
      </c>
      <c r="I774">
        <v>177.60114200112801</v>
      </c>
      <c r="J774">
        <f t="shared" si="12"/>
        <v>-3</v>
      </c>
    </row>
    <row r="775" spans="1:10" x14ac:dyDescent="0.25">
      <c r="A775" t="s">
        <v>1077</v>
      </c>
      <c r="B775" t="s">
        <v>442</v>
      </c>
      <c r="C775" t="s">
        <v>230</v>
      </c>
      <c r="D775" s="1">
        <v>44957</v>
      </c>
      <c r="E775">
        <v>6</v>
      </c>
      <c r="F775">
        <v>45.250154427905898</v>
      </c>
      <c r="G775" s="1">
        <v>44967</v>
      </c>
      <c r="H775" s="1">
        <v>44972</v>
      </c>
      <c r="I775">
        <v>271.50092656743499</v>
      </c>
      <c r="J775">
        <f t="shared" si="12"/>
        <v>5</v>
      </c>
    </row>
    <row r="776" spans="1:10" x14ac:dyDescent="0.25">
      <c r="A776" t="s">
        <v>1078</v>
      </c>
      <c r="B776" t="s">
        <v>427</v>
      </c>
      <c r="C776" t="s">
        <v>610</v>
      </c>
      <c r="D776" s="1">
        <v>44924</v>
      </c>
      <c r="E776">
        <v>11</v>
      </c>
      <c r="F776">
        <v>59.999979622827901</v>
      </c>
      <c r="G776" s="1">
        <v>44938</v>
      </c>
      <c r="H776" s="1">
        <v>44939</v>
      </c>
      <c r="I776">
        <v>659.99977585110696</v>
      </c>
      <c r="J776">
        <f t="shared" si="12"/>
        <v>1</v>
      </c>
    </row>
    <row r="777" spans="1:10" x14ac:dyDescent="0.25">
      <c r="A777" t="s">
        <v>1079</v>
      </c>
      <c r="B777" t="s">
        <v>326</v>
      </c>
      <c r="C777" t="s">
        <v>302</v>
      </c>
      <c r="D777" s="1">
        <v>45052</v>
      </c>
      <c r="E777">
        <v>9</v>
      </c>
      <c r="F777">
        <v>14.581556651135299</v>
      </c>
      <c r="G777" s="1">
        <v>45067</v>
      </c>
      <c r="H777" s="1">
        <v>45067</v>
      </c>
      <c r="I777">
        <v>131.23400986021699</v>
      </c>
      <c r="J777">
        <f t="shared" si="12"/>
        <v>0</v>
      </c>
    </row>
    <row r="778" spans="1:10" x14ac:dyDescent="0.25">
      <c r="A778" t="s">
        <v>1080</v>
      </c>
      <c r="B778" t="s">
        <v>104</v>
      </c>
      <c r="C778" t="s">
        <v>312</v>
      </c>
      <c r="D778" s="1">
        <v>44760</v>
      </c>
      <c r="E778">
        <v>6</v>
      </c>
      <c r="F778">
        <v>53.891998348263101</v>
      </c>
      <c r="G778" s="1">
        <v>44780</v>
      </c>
      <c r="H778" s="1">
        <v>44779</v>
      </c>
      <c r="I778">
        <v>323.35199008957801</v>
      </c>
      <c r="J778">
        <f t="shared" si="12"/>
        <v>-1</v>
      </c>
    </row>
    <row r="779" spans="1:10" x14ac:dyDescent="0.25">
      <c r="A779" t="s">
        <v>1081</v>
      </c>
      <c r="B779" t="s">
        <v>124</v>
      </c>
      <c r="C779" t="s">
        <v>71</v>
      </c>
      <c r="D779" s="1">
        <v>44576</v>
      </c>
      <c r="E779">
        <v>7</v>
      </c>
      <c r="F779">
        <v>52.213607057986003</v>
      </c>
      <c r="G779" s="1">
        <v>44590</v>
      </c>
      <c r="H779" s="1">
        <v>44587</v>
      </c>
      <c r="I779">
        <v>365.49524940590197</v>
      </c>
      <c r="J779">
        <f t="shared" si="12"/>
        <v>-3</v>
      </c>
    </row>
    <row r="780" spans="1:10" x14ac:dyDescent="0.25">
      <c r="A780" t="s">
        <v>1082</v>
      </c>
      <c r="B780" t="s">
        <v>119</v>
      </c>
      <c r="C780" t="s">
        <v>262</v>
      </c>
      <c r="D780" s="1">
        <v>44886</v>
      </c>
      <c r="E780">
        <v>15</v>
      </c>
      <c r="F780">
        <v>10.2795090992366</v>
      </c>
      <c r="G780" s="1">
        <v>44898</v>
      </c>
      <c r="H780" s="1">
        <v>44904</v>
      </c>
      <c r="I780">
        <v>154.19263648854999</v>
      </c>
      <c r="J780">
        <f t="shared" si="12"/>
        <v>6</v>
      </c>
    </row>
    <row r="781" spans="1:10" x14ac:dyDescent="0.25">
      <c r="A781" t="s">
        <v>1083</v>
      </c>
      <c r="B781" t="s">
        <v>394</v>
      </c>
      <c r="C781" t="s">
        <v>279</v>
      </c>
      <c r="D781" s="1">
        <v>44891</v>
      </c>
      <c r="E781">
        <v>14</v>
      </c>
      <c r="F781">
        <v>39.1753738570576</v>
      </c>
      <c r="G781" s="1">
        <v>44908</v>
      </c>
      <c r="H781" s="1">
        <v>44914</v>
      </c>
      <c r="I781">
        <v>548.45523399880597</v>
      </c>
      <c r="J781">
        <f t="shared" si="12"/>
        <v>6</v>
      </c>
    </row>
    <row r="782" spans="1:10" x14ac:dyDescent="0.25">
      <c r="A782" t="s">
        <v>1084</v>
      </c>
      <c r="B782" t="s">
        <v>442</v>
      </c>
      <c r="C782" t="s">
        <v>521</v>
      </c>
      <c r="D782" s="1">
        <v>44902</v>
      </c>
      <c r="E782">
        <v>13</v>
      </c>
      <c r="F782">
        <v>51.629755007595499</v>
      </c>
      <c r="G782" s="1">
        <v>44926</v>
      </c>
      <c r="H782" s="1">
        <v>44928</v>
      </c>
      <c r="I782">
        <v>671.18681509874102</v>
      </c>
      <c r="J782">
        <f t="shared" si="12"/>
        <v>2</v>
      </c>
    </row>
    <row r="783" spans="1:10" x14ac:dyDescent="0.25">
      <c r="A783" t="s">
        <v>1085</v>
      </c>
      <c r="B783" t="s">
        <v>82</v>
      </c>
      <c r="C783" t="s">
        <v>425</v>
      </c>
      <c r="D783" s="1">
        <v>45322</v>
      </c>
      <c r="E783">
        <v>9</v>
      </c>
      <c r="F783">
        <v>18.571294935683099</v>
      </c>
      <c r="G783" s="1">
        <v>45341</v>
      </c>
      <c r="H783" s="1">
        <v>45338</v>
      </c>
      <c r="I783">
        <v>167.14165442114799</v>
      </c>
      <c r="J783">
        <f t="shared" si="12"/>
        <v>-3</v>
      </c>
    </row>
    <row r="784" spans="1:10" x14ac:dyDescent="0.25">
      <c r="A784" t="s">
        <v>1086</v>
      </c>
      <c r="B784" t="s">
        <v>140</v>
      </c>
      <c r="C784" t="s">
        <v>356</v>
      </c>
      <c r="D784" s="1">
        <v>44284</v>
      </c>
      <c r="E784">
        <v>14</v>
      </c>
      <c r="F784">
        <v>17.267193494345101</v>
      </c>
      <c r="G784" s="1">
        <v>44307</v>
      </c>
      <c r="H784" s="1">
        <v>44310</v>
      </c>
      <c r="I784">
        <v>241.74070892083199</v>
      </c>
      <c r="J784">
        <f t="shared" si="12"/>
        <v>3</v>
      </c>
    </row>
    <row r="785" spans="1:10" x14ac:dyDescent="0.25">
      <c r="A785" t="s">
        <v>1087</v>
      </c>
      <c r="B785" t="s">
        <v>253</v>
      </c>
      <c r="C785" t="s">
        <v>748</v>
      </c>
      <c r="D785" s="1">
        <v>45118</v>
      </c>
      <c r="E785">
        <v>15</v>
      </c>
      <c r="F785">
        <v>77.327318951922393</v>
      </c>
      <c r="G785" s="1">
        <v>45136</v>
      </c>
      <c r="H785" s="1">
        <v>45134</v>
      </c>
      <c r="I785">
        <v>1159.9097842788301</v>
      </c>
      <c r="J785">
        <f t="shared" si="12"/>
        <v>-2</v>
      </c>
    </row>
    <row r="786" spans="1:10" x14ac:dyDescent="0.25">
      <c r="A786" t="s">
        <v>1088</v>
      </c>
      <c r="B786" t="s">
        <v>288</v>
      </c>
      <c r="C786" t="s">
        <v>276</v>
      </c>
      <c r="D786" s="1">
        <v>44815</v>
      </c>
      <c r="E786">
        <v>11</v>
      </c>
      <c r="F786">
        <v>52.534530729085098</v>
      </c>
      <c r="G786" s="1">
        <v>44838</v>
      </c>
      <c r="H786" s="1">
        <v>44839</v>
      </c>
      <c r="I786">
        <v>577.87983801993596</v>
      </c>
      <c r="J786">
        <f t="shared" si="12"/>
        <v>1</v>
      </c>
    </row>
    <row r="787" spans="1:10" x14ac:dyDescent="0.25">
      <c r="A787" t="s">
        <v>1089</v>
      </c>
      <c r="B787" t="s">
        <v>205</v>
      </c>
      <c r="C787" t="s">
        <v>212</v>
      </c>
      <c r="D787" s="1">
        <v>45085</v>
      </c>
      <c r="E787">
        <v>9</v>
      </c>
      <c r="F787">
        <v>53.343983102921896</v>
      </c>
      <c r="G787" s="1">
        <v>45101</v>
      </c>
      <c r="H787" s="1">
        <v>45099</v>
      </c>
      <c r="I787">
        <v>480.09584792629698</v>
      </c>
      <c r="J787">
        <f t="shared" si="12"/>
        <v>-2</v>
      </c>
    </row>
    <row r="788" spans="1:10" x14ac:dyDescent="0.25">
      <c r="A788" t="s">
        <v>1090</v>
      </c>
      <c r="B788" t="s">
        <v>198</v>
      </c>
      <c r="C788" t="s">
        <v>146</v>
      </c>
      <c r="D788" s="1">
        <v>45242</v>
      </c>
      <c r="E788">
        <v>15</v>
      </c>
      <c r="F788">
        <v>69.830668046105501</v>
      </c>
      <c r="G788" s="1">
        <v>45254</v>
      </c>
      <c r="H788" s="1">
        <v>45256</v>
      </c>
      <c r="I788">
        <v>1047.46002069158</v>
      </c>
      <c r="J788">
        <f t="shared" si="12"/>
        <v>2</v>
      </c>
    </row>
    <row r="789" spans="1:10" x14ac:dyDescent="0.25">
      <c r="A789" t="s">
        <v>1091</v>
      </c>
      <c r="B789" t="s">
        <v>564</v>
      </c>
      <c r="C789" t="s">
        <v>346</v>
      </c>
      <c r="D789" s="1">
        <v>45240</v>
      </c>
      <c r="E789">
        <v>14</v>
      </c>
      <c r="F789">
        <v>53.523024238010201</v>
      </c>
      <c r="G789" s="1">
        <v>45259</v>
      </c>
      <c r="H789" s="1">
        <v>45259</v>
      </c>
      <c r="I789">
        <v>749.32233933214297</v>
      </c>
      <c r="J789">
        <f t="shared" si="12"/>
        <v>0</v>
      </c>
    </row>
    <row r="790" spans="1:10" x14ac:dyDescent="0.25">
      <c r="A790" t="s">
        <v>1092</v>
      </c>
      <c r="B790" t="s">
        <v>751</v>
      </c>
      <c r="C790" t="s">
        <v>243</v>
      </c>
      <c r="D790" s="1">
        <v>44634</v>
      </c>
      <c r="E790">
        <v>11</v>
      </c>
      <c r="F790">
        <v>7.1263965031320202</v>
      </c>
      <c r="G790" s="1">
        <v>44644</v>
      </c>
      <c r="H790" s="1">
        <v>44650</v>
      </c>
      <c r="I790">
        <v>78.390361534452296</v>
      </c>
      <c r="J790">
        <f t="shared" si="12"/>
        <v>6</v>
      </c>
    </row>
    <row r="791" spans="1:10" x14ac:dyDescent="0.25">
      <c r="A791" t="s">
        <v>1093</v>
      </c>
      <c r="B791" t="s">
        <v>16</v>
      </c>
      <c r="C791" t="s">
        <v>504</v>
      </c>
      <c r="D791" s="1">
        <v>45313</v>
      </c>
      <c r="E791">
        <v>14</v>
      </c>
      <c r="F791">
        <v>73.004982404946801</v>
      </c>
      <c r="G791" s="1">
        <v>45336</v>
      </c>
      <c r="H791" s="1">
        <v>45340</v>
      </c>
      <c r="I791">
        <v>1022.06975366925</v>
      </c>
      <c r="J791">
        <f t="shared" si="12"/>
        <v>4</v>
      </c>
    </row>
    <row r="792" spans="1:10" x14ac:dyDescent="0.25">
      <c r="A792" t="s">
        <v>1094</v>
      </c>
      <c r="B792" t="s">
        <v>10</v>
      </c>
      <c r="C792" t="s">
        <v>32</v>
      </c>
      <c r="D792" s="1">
        <v>44840</v>
      </c>
      <c r="E792">
        <v>6</v>
      </c>
      <c r="F792">
        <v>23.690765518698399</v>
      </c>
      <c r="G792" s="1">
        <v>44862</v>
      </c>
      <c r="H792" s="1">
        <v>44866</v>
      </c>
      <c r="I792">
        <v>142.14459311218999</v>
      </c>
      <c r="J792">
        <f t="shared" si="12"/>
        <v>4</v>
      </c>
    </row>
    <row r="793" spans="1:10" x14ac:dyDescent="0.25">
      <c r="A793" t="s">
        <v>1095</v>
      </c>
      <c r="B793" t="s">
        <v>326</v>
      </c>
      <c r="C793" t="s">
        <v>587</v>
      </c>
      <c r="D793" s="1">
        <v>45189</v>
      </c>
      <c r="E793">
        <v>8</v>
      </c>
      <c r="F793">
        <v>6.58236038031127</v>
      </c>
      <c r="G793" s="1">
        <v>45207</v>
      </c>
      <c r="H793" s="1">
        <v>45212</v>
      </c>
      <c r="I793">
        <v>52.658883042490103</v>
      </c>
      <c r="J793">
        <f t="shared" si="12"/>
        <v>5</v>
      </c>
    </row>
    <row r="794" spans="1:10" x14ac:dyDescent="0.25">
      <c r="A794" t="s">
        <v>1096</v>
      </c>
      <c r="B794" t="s">
        <v>55</v>
      </c>
      <c r="C794" t="s">
        <v>133</v>
      </c>
      <c r="D794" s="1">
        <v>44465</v>
      </c>
      <c r="E794">
        <v>8</v>
      </c>
      <c r="F794">
        <v>52.3605033421115</v>
      </c>
      <c r="G794" s="1">
        <v>44476</v>
      </c>
      <c r="H794" s="1">
        <v>44481</v>
      </c>
      <c r="I794">
        <v>418.884026736892</v>
      </c>
      <c r="J794">
        <f t="shared" si="12"/>
        <v>5</v>
      </c>
    </row>
    <row r="795" spans="1:10" x14ac:dyDescent="0.25">
      <c r="A795" t="s">
        <v>1097</v>
      </c>
      <c r="B795" t="s">
        <v>189</v>
      </c>
      <c r="C795" t="s">
        <v>105</v>
      </c>
      <c r="D795" s="1">
        <v>44389</v>
      </c>
      <c r="E795">
        <v>16</v>
      </c>
      <c r="F795">
        <v>36.3204208225402</v>
      </c>
      <c r="G795" s="1">
        <v>44410</v>
      </c>
      <c r="H795" s="1">
        <v>44410</v>
      </c>
      <c r="I795">
        <v>581.12673316064399</v>
      </c>
      <c r="J795">
        <f t="shared" si="12"/>
        <v>0</v>
      </c>
    </row>
    <row r="796" spans="1:10" x14ac:dyDescent="0.25">
      <c r="A796" t="s">
        <v>1098</v>
      </c>
      <c r="B796" t="s">
        <v>482</v>
      </c>
      <c r="C796" t="s">
        <v>125</v>
      </c>
      <c r="D796" s="1">
        <v>44423</v>
      </c>
      <c r="E796">
        <v>10</v>
      </c>
      <c r="F796">
        <v>60.9699571628393</v>
      </c>
      <c r="G796" s="1">
        <v>44442</v>
      </c>
      <c r="H796" s="1">
        <v>44446</v>
      </c>
      <c r="I796">
        <v>609.69957162839296</v>
      </c>
      <c r="J796">
        <f t="shared" si="12"/>
        <v>4</v>
      </c>
    </row>
    <row r="797" spans="1:10" x14ac:dyDescent="0.25">
      <c r="A797" t="s">
        <v>1099</v>
      </c>
      <c r="B797" t="s">
        <v>216</v>
      </c>
      <c r="C797" t="s">
        <v>41</v>
      </c>
      <c r="D797" s="1">
        <v>44808</v>
      </c>
      <c r="E797">
        <v>20</v>
      </c>
      <c r="F797">
        <v>61.616017894560997</v>
      </c>
      <c r="G797" s="1">
        <v>44823</v>
      </c>
      <c r="H797" s="1">
        <v>44829</v>
      </c>
      <c r="I797">
        <v>1232.3203578912101</v>
      </c>
      <c r="J797">
        <f t="shared" si="12"/>
        <v>6</v>
      </c>
    </row>
    <row r="798" spans="1:10" x14ac:dyDescent="0.25">
      <c r="A798" t="s">
        <v>1100</v>
      </c>
      <c r="B798" t="s">
        <v>179</v>
      </c>
      <c r="C798" t="s">
        <v>818</v>
      </c>
      <c r="D798" s="1">
        <v>44956</v>
      </c>
      <c r="E798">
        <v>12</v>
      </c>
      <c r="F798">
        <v>55.918839904022398</v>
      </c>
      <c r="G798" s="1">
        <v>44979</v>
      </c>
      <c r="H798" s="1">
        <v>44979</v>
      </c>
      <c r="I798">
        <v>671.02607884826898</v>
      </c>
      <c r="J798">
        <f t="shared" si="12"/>
        <v>0</v>
      </c>
    </row>
    <row r="799" spans="1:10" x14ac:dyDescent="0.25">
      <c r="A799" t="s">
        <v>1101</v>
      </c>
      <c r="B799" t="s">
        <v>73</v>
      </c>
      <c r="C799" t="s">
        <v>180</v>
      </c>
      <c r="D799" s="1">
        <v>45069</v>
      </c>
      <c r="E799">
        <v>11</v>
      </c>
      <c r="F799">
        <v>6.9760143163672304</v>
      </c>
      <c r="G799" s="1">
        <v>45085</v>
      </c>
      <c r="H799" s="1">
        <v>45084</v>
      </c>
      <c r="I799">
        <v>76.736157480039495</v>
      </c>
      <c r="J799">
        <f t="shared" si="12"/>
        <v>-1</v>
      </c>
    </row>
    <row r="800" spans="1:10" x14ac:dyDescent="0.25">
      <c r="A800" t="s">
        <v>1102</v>
      </c>
      <c r="B800" t="s">
        <v>160</v>
      </c>
      <c r="C800" t="s">
        <v>122</v>
      </c>
      <c r="D800" s="1">
        <v>44298</v>
      </c>
      <c r="E800">
        <v>11</v>
      </c>
      <c r="F800">
        <v>30.2644963829745</v>
      </c>
      <c r="G800" s="1">
        <v>44310</v>
      </c>
      <c r="H800" s="1">
        <v>44307</v>
      </c>
      <c r="I800">
        <v>332.90946021271901</v>
      </c>
      <c r="J800">
        <f t="shared" si="12"/>
        <v>-3</v>
      </c>
    </row>
    <row r="801" spans="1:10" x14ac:dyDescent="0.25">
      <c r="A801" t="s">
        <v>1103</v>
      </c>
      <c r="B801" t="s">
        <v>179</v>
      </c>
      <c r="C801" t="s">
        <v>498</v>
      </c>
      <c r="D801" s="1">
        <v>44856</v>
      </c>
      <c r="E801">
        <v>12</v>
      </c>
      <c r="F801">
        <v>55.468910649510697</v>
      </c>
      <c r="G801" s="1">
        <v>44869</v>
      </c>
      <c r="H801" s="1">
        <v>44874</v>
      </c>
      <c r="I801">
        <v>665.62692779412896</v>
      </c>
      <c r="J801">
        <f t="shared" si="12"/>
        <v>5</v>
      </c>
    </row>
    <row r="802" spans="1:10" x14ac:dyDescent="0.25">
      <c r="A802" t="s">
        <v>1104</v>
      </c>
      <c r="B802" t="s">
        <v>399</v>
      </c>
      <c r="C802" t="s">
        <v>473</v>
      </c>
      <c r="D802" s="1">
        <v>44989</v>
      </c>
      <c r="E802">
        <v>10</v>
      </c>
      <c r="F802">
        <v>22.5561557887033</v>
      </c>
      <c r="G802" s="1">
        <v>45003</v>
      </c>
      <c r="H802" s="1">
        <v>45008</v>
      </c>
      <c r="I802">
        <v>225.56155788703299</v>
      </c>
      <c r="J802">
        <f t="shared" si="12"/>
        <v>5</v>
      </c>
    </row>
    <row r="803" spans="1:10" x14ac:dyDescent="0.25">
      <c r="A803" t="s">
        <v>1105</v>
      </c>
      <c r="B803" t="s">
        <v>43</v>
      </c>
      <c r="C803" t="s">
        <v>453</v>
      </c>
      <c r="D803" s="1">
        <v>45006</v>
      </c>
      <c r="E803">
        <v>9</v>
      </c>
      <c r="F803">
        <v>45.477126087153898</v>
      </c>
      <c r="G803" s="1">
        <v>45021</v>
      </c>
      <c r="H803" s="1">
        <v>45019</v>
      </c>
      <c r="I803">
        <v>409.29413478438499</v>
      </c>
      <c r="J803">
        <f t="shared" si="12"/>
        <v>-2</v>
      </c>
    </row>
    <row r="804" spans="1:10" x14ac:dyDescent="0.25">
      <c r="A804" t="s">
        <v>1106</v>
      </c>
      <c r="B804" t="s">
        <v>88</v>
      </c>
      <c r="C804" t="s">
        <v>341</v>
      </c>
      <c r="D804" s="1">
        <v>44401</v>
      </c>
      <c r="E804">
        <v>11</v>
      </c>
      <c r="F804">
        <v>63.864206918313798</v>
      </c>
      <c r="G804" s="1">
        <v>44414</v>
      </c>
      <c r="H804" s="1">
        <v>44413</v>
      </c>
      <c r="I804">
        <v>702.50627610145204</v>
      </c>
      <c r="J804">
        <f t="shared" si="12"/>
        <v>-1</v>
      </c>
    </row>
    <row r="805" spans="1:10" x14ac:dyDescent="0.25">
      <c r="A805" t="s">
        <v>1107</v>
      </c>
      <c r="B805" t="s">
        <v>485</v>
      </c>
      <c r="C805" t="s">
        <v>1108</v>
      </c>
      <c r="D805" s="1">
        <v>44312</v>
      </c>
      <c r="E805">
        <v>12</v>
      </c>
      <c r="F805">
        <v>14.7547223512609</v>
      </c>
      <c r="G805" s="1">
        <v>44334</v>
      </c>
      <c r="H805" s="1">
        <v>44338</v>
      </c>
      <c r="I805">
        <v>177.056668215131</v>
      </c>
      <c r="J805">
        <f t="shared" si="12"/>
        <v>4</v>
      </c>
    </row>
    <row r="806" spans="1:10" x14ac:dyDescent="0.25">
      <c r="A806" t="s">
        <v>1109</v>
      </c>
      <c r="B806" t="s">
        <v>556</v>
      </c>
      <c r="C806" t="s">
        <v>268</v>
      </c>
      <c r="D806" s="1">
        <v>44488</v>
      </c>
      <c r="E806">
        <v>10</v>
      </c>
      <c r="F806">
        <v>71.751490624731304</v>
      </c>
      <c r="G806" s="1">
        <v>44499</v>
      </c>
      <c r="H806" s="1">
        <v>44499</v>
      </c>
      <c r="I806">
        <v>717.51490624731298</v>
      </c>
      <c r="J806">
        <f t="shared" si="12"/>
        <v>0</v>
      </c>
    </row>
    <row r="807" spans="1:10" x14ac:dyDescent="0.25">
      <c r="A807" t="s">
        <v>1110</v>
      </c>
      <c r="B807" t="s">
        <v>169</v>
      </c>
      <c r="C807" t="s">
        <v>623</v>
      </c>
      <c r="D807" s="1">
        <v>44417</v>
      </c>
      <c r="E807">
        <v>8</v>
      </c>
      <c r="F807">
        <v>57.171095724325397</v>
      </c>
      <c r="G807" s="1">
        <v>44430</v>
      </c>
      <c r="H807" s="1">
        <v>44431</v>
      </c>
      <c r="I807">
        <v>457.36876579460301</v>
      </c>
      <c r="J807">
        <f t="shared" si="12"/>
        <v>1</v>
      </c>
    </row>
    <row r="808" spans="1:10" x14ac:dyDescent="0.25">
      <c r="A808" t="s">
        <v>1111</v>
      </c>
      <c r="B808" t="s">
        <v>379</v>
      </c>
      <c r="C808" t="s">
        <v>701</v>
      </c>
      <c r="D808" s="1">
        <v>45047</v>
      </c>
      <c r="E808">
        <v>6</v>
      </c>
      <c r="F808">
        <v>61.923694923069903</v>
      </c>
      <c r="G808" s="1">
        <v>45069</v>
      </c>
      <c r="H808" s="1">
        <v>45070</v>
      </c>
      <c r="I808">
        <v>371.54216953841899</v>
      </c>
      <c r="J808">
        <f t="shared" si="12"/>
        <v>1</v>
      </c>
    </row>
    <row r="809" spans="1:10" x14ac:dyDescent="0.25">
      <c r="A809" t="s">
        <v>1112</v>
      </c>
      <c r="B809" t="s">
        <v>564</v>
      </c>
      <c r="C809" t="s">
        <v>59</v>
      </c>
      <c r="D809" s="1">
        <v>44727</v>
      </c>
      <c r="E809">
        <v>11</v>
      </c>
      <c r="F809">
        <v>15.367791435911</v>
      </c>
      <c r="G809" s="1">
        <v>44747</v>
      </c>
      <c r="H809" s="1">
        <v>44753</v>
      </c>
      <c r="I809">
        <v>169.04570579502101</v>
      </c>
      <c r="J809">
        <f t="shared" si="12"/>
        <v>6</v>
      </c>
    </row>
    <row r="810" spans="1:10" x14ac:dyDescent="0.25">
      <c r="A810" t="s">
        <v>1113</v>
      </c>
      <c r="B810" t="s">
        <v>13</v>
      </c>
      <c r="C810" t="s">
        <v>430</v>
      </c>
      <c r="D810" s="1">
        <v>44682</v>
      </c>
      <c r="E810">
        <v>15</v>
      </c>
      <c r="F810">
        <v>71.562130990147494</v>
      </c>
      <c r="G810" s="1">
        <v>44697</v>
      </c>
      <c r="H810" s="1">
        <v>44699</v>
      </c>
      <c r="I810">
        <v>1073.4319648522101</v>
      </c>
      <c r="J810">
        <f t="shared" si="12"/>
        <v>2</v>
      </c>
    </row>
    <row r="811" spans="1:10" x14ac:dyDescent="0.25">
      <c r="A811" t="s">
        <v>1114</v>
      </c>
      <c r="B811" t="s">
        <v>369</v>
      </c>
      <c r="C811" t="s">
        <v>105</v>
      </c>
      <c r="D811" s="1">
        <v>45280</v>
      </c>
      <c r="E811">
        <v>6</v>
      </c>
      <c r="F811">
        <v>36.234753789012103</v>
      </c>
      <c r="G811" s="1">
        <v>45301</v>
      </c>
      <c r="H811" s="1">
        <v>45307</v>
      </c>
      <c r="I811">
        <v>217.40852273407299</v>
      </c>
      <c r="J811">
        <f t="shared" si="12"/>
        <v>6</v>
      </c>
    </row>
    <row r="812" spans="1:10" x14ac:dyDescent="0.25">
      <c r="A812" t="s">
        <v>1115</v>
      </c>
      <c r="B812" t="s">
        <v>451</v>
      </c>
      <c r="C812" t="s">
        <v>668</v>
      </c>
      <c r="D812" s="1">
        <v>44845</v>
      </c>
      <c r="E812">
        <v>14</v>
      </c>
      <c r="F812">
        <v>22.3611471363322</v>
      </c>
      <c r="G812" s="1">
        <v>44867</v>
      </c>
      <c r="H812" s="1">
        <v>44869</v>
      </c>
      <c r="I812">
        <v>313.05605990865098</v>
      </c>
      <c r="J812">
        <f t="shared" si="12"/>
        <v>2</v>
      </c>
    </row>
    <row r="813" spans="1:10" x14ac:dyDescent="0.25">
      <c r="A813" t="s">
        <v>1116</v>
      </c>
      <c r="B813" t="s">
        <v>247</v>
      </c>
      <c r="C813" t="s">
        <v>701</v>
      </c>
      <c r="D813" s="1">
        <v>44497</v>
      </c>
      <c r="E813">
        <v>10</v>
      </c>
      <c r="F813">
        <v>64.184071292115306</v>
      </c>
      <c r="G813" s="1">
        <v>44520</v>
      </c>
      <c r="H813" s="1">
        <v>44517</v>
      </c>
      <c r="I813">
        <v>641.840712921153</v>
      </c>
      <c r="J813">
        <f t="shared" si="12"/>
        <v>-3</v>
      </c>
    </row>
    <row r="814" spans="1:10" x14ac:dyDescent="0.25">
      <c r="A814" t="s">
        <v>1117</v>
      </c>
      <c r="B814" t="s">
        <v>216</v>
      </c>
      <c r="C814" t="s">
        <v>462</v>
      </c>
      <c r="D814" s="1">
        <v>44866</v>
      </c>
      <c r="E814">
        <v>13</v>
      </c>
      <c r="F814">
        <v>13.1970369878872</v>
      </c>
      <c r="G814" s="1">
        <v>44876</v>
      </c>
      <c r="H814" s="1">
        <v>44878</v>
      </c>
      <c r="I814">
        <v>171.561480842534</v>
      </c>
      <c r="J814">
        <f t="shared" si="12"/>
        <v>2</v>
      </c>
    </row>
    <row r="815" spans="1:10" x14ac:dyDescent="0.25">
      <c r="A815" t="s">
        <v>1118</v>
      </c>
      <c r="B815" t="s">
        <v>119</v>
      </c>
      <c r="C815" t="s">
        <v>400</v>
      </c>
      <c r="D815" s="1">
        <v>44679</v>
      </c>
      <c r="E815">
        <v>11</v>
      </c>
      <c r="F815">
        <v>63.935522596388402</v>
      </c>
      <c r="G815" s="1">
        <v>44700</v>
      </c>
      <c r="H815" s="1">
        <v>44704</v>
      </c>
      <c r="I815">
        <v>703.29074856027296</v>
      </c>
      <c r="J815">
        <f t="shared" si="12"/>
        <v>4</v>
      </c>
    </row>
    <row r="816" spans="1:10" x14ac:dyDescent="0.25">
      <c r="A816" t="s">
        <v>1119</v>
      </c>
      <c r="B816" t="s">
        <v>350</v>
      </c>
      <c r="C816" t="s">
        <v>35</v>
      </c>
      <c r="D816" s="1">
        <v>45025</v>
      </c>
      <c r="E816">
        <v>8</v>
      </c>
      <c r="F816">
        <v>14.0172127870939</v>
      </c>
      <c r="G816" s="1">
        <v>45041</v>
      </c>
      <c r="H816" s="1">
        <v>45040</v>
      </c>
      <c r="I816">
        <v>112.137702296751</v>
      </c>
      <c r="J816">
        <f t="shared" si="12"/>
        <v>-1</v>
      </c>
    </row>
    <row r="817" spans="1:10" x14ac:dyDescent="0.25">
      <c r="A817" t="s">
        <v>1120</v>
      </c>
      <c r="B817" t="s">
        <v>394</v>
      </c>
      <c r="C817" t="s">
        <v>302</v>
      </c>
      <c r="D817" s="1">
        <v>45028</v>
      </c>
      <c r="E817">
        <v>11</v>
      </c>
      <c r="F817">
        <v>6.3039926307939602</v>
      </c>
      <c r="G817" s="1">
        <v>45049</v>
      </c>
      <c r="H817" s="1">
        <v>45049</v>
      </c>
      <c r="I817">
        <v>69.343918938733495</v>
      </c>
      <c r="J817">
        <f t="shared" si="12"/>
        <v>0</v>
      </c>
    </row>
    <row r="818" spans="1:10" x14ac:dyDescent="0.25">
      <c r="A818" t="s">
        <v>1121</v>
      </c>
      <c r="B818" t="s">
        <v>314</v>
      </c>
      <c r="C818" t="s">
        <v>117</v>
      </c>
      <c r="D818" s="1">
        <v>44535</v>
      </c>
      <c r="E818">
        <v>11</v>
      </c>
      <c r="F818">
        <v>56.336485870664397</v>
      </c>
      <c r="G818" s="1">
        <v>44548</v>
      </c>
      <c r="H818" s="1">
        <v>44551</v>
      </c>
      <c r="I818">
        <v>619.70134457730899</v>
      </c>
      <c r="J818">
        <f t="shared" si="12"/>
        <v>3</v>
      </c>
    </row>
    <row r="819" spans="1:10" x14ac:dyDescent="0.25">
      <c r="A819" t="s">
        <v>1122</v>
      </c>
      <c r="B819" t="s">
        <v>16</v>
      </c>
      <c r="C819" t="s">
        <v>701</v>
      </c>
      <c r="D819" s="1">
        <v>45180</v>
      </c>
      <c r="E819">
        <v>14</v>
      </c>
      <c r="F819">
        <v>30.976245500883401</v>
      </c>
      <c r="G819" s="1">
        <v>45191</v>
      </c>
      <c r="H819" s="1">
        <v>45190</v>
      </c>
      <c r="I819">
        <v>433.66743701236697</v>
      </c>
      <c r="J819">
        <f t="shared" si="12"/>
        <v>-1</v>
      </c>
    </row>
    <row r="820" spans="1:10" x14ac:dyDescent="0.25">
      <c r="A820" t="s">
        <v>1123</v>
      </c>
      <c r="B820" t="s">
        <v>85</v>
      </c>
      <c r="C820" t="s">
        <v>402</v>
      </c>
      <c r="D820" s="1">
        <v>44442</v>
      </c>
      <c r="E820">
        <v>12</v>
      </c>
      <c r="F820">
        <v>66.863388685687198</v>
      </c>
      <c r="G820" s="1">
        <v>44464</v>
      </c>
      <c r="H820" s="1">
        <v>44464</v>
      </c>
      <c r="I820">
        <v>802.36066422824695</v>
      </c>
      <c r="J820">
        <f t="shared" si="12"/>
        <v>0</v>
      </c>
    </row>
    <row r="821" spans="1:10" x14ac:dyDescent="0.25">
      <c r="A821" t="s">
        <v>1124</v>
      </c>
      <c r="B821" t="s">
        <v>578</v>
      </c>
      <c r="C821" t="s">
        <v>521</v>
      </c>
      <c r="D821" s="1">
        <v>44737</v>
      </c>
      <c r="E821">
        <v>11</v>
      </c>
      <c r="F821">
        <v>67.190221519655296</v>
      </c>
      <c r="G821" s="1">
        <v>44750</v>
      </c>
      <c r="H821" s="1">
        <v>44753</v>
      </c>
      <c r="I821">
        <v>739.092436716208</v>
      </c>
      <c r="J821">
        <f t="shared" si="12"/>
        <v>3</v>
      </c>
    </row>
    <row r="822" spans="1:10" x14ac:dyDescent="0.25">
      <c r="A822" t="s">
        <v>1125</v>
      </c>
      <c r="B822" t="s">
        <v>359</v>
      </c>
      <c r="C822" t="s">
        <v>473</v>
      </c>
      <c r="D822" s="1">
        <v>44938</v>
      </c>
      <c r="E822">
        <v>9</v>
      </c>
      <c r="F822">
        <v>17.664915219210801</v>
      </c>
      <c r="G822" s="1">
        <v>44955</v>
      </c>
      <c r="H822" s="1">
        <v>44953</v>
      </c>
      <c r="I822">
        <v>158.98423697289701</v>
      </c>
      <c r="J822">
        <f t="shared" si="12"/>
        <v>-2</v>
      </c>
    </row>
    <row r="823" spans="1:10" x14ac:dyDescent="0.25">
      <c r="A823" t="s">
        <v>1126</v>
      </c>
      <c r="B823" t="s">
        <v>240</v>
      </c>
      <c r="C823" t="s">
        <v>430</v>
      </c>
      <c r="D823" s="1">
        <v>44972</v>
      </c>
      <c r="E823">
        <v>7</v>
      </c>
      <c r="F823">
        <v>18.928856108000801</v>
      </c>
      <c r="G823" s="1">
        <v>44996</v>
      </c>
      <c r="H823" s="1">
        <v>44999</v>
      </c>
      <c r="I823">
        <v>132.501992756005</v>
      </c>
      <c r="J823">
        <f t="shared" si="12"/>
        <v>3</v>
      </c>
    </row>
    <row r="824" spans="1:10" x14ac:dyDescent="0.25">
      <c r="A824" t="s">
        <v>1127</v>
      </c>
      <c r="B824" t="s">
        <v>216</v>
      </c>
      <c r="C824" t="s">
        <v>356</v>
      </c>
      <c r="D824" s="1">
        <v>44772</v>
      </c>
      <c r="E824">
        <v>10</v>
      </c>
      <c r="F824">
        <v>37.823956834444999</v>
      </c>
      <c r="G824" s="1">
        <v>44786</v>
      </c>
      <c r="H824" s="1">
        <v>44790</v>
      </c>
      <c r="I824">
        <v>378.23956834444999</v>
      </c>
      <c r="J824">
        <f t="shared" si="12"/>
        <v>4</v>
      </c>
    </row>
    <row r="825" spans="1:10" x14ac:dyDescent="0.25">
      <c r="A825" t="s">
        <v>1128</v>
      </c>
      <c r="B825" t="s">
        <v>340</v>
      </c>
      <c r="C825" t="s">
        <v>1129</v>
      </c>
      <c r="D825" s="1">
        <v>44585</v>
      </c>
      <c r="E825">
        <v>7</v>
      </c>
      <c r="F825">
        <v>5.0641854487268896</v>
      </c>
      <c r="G825" s="1">
        <v>44595</v>
      </c>
      <c r="H825" s="1">
        <v>44599</v>
      </c>
      <c r="I825">
        <v>35.4492981410882</v>
      </c>
      <c r="J825">
        <f t="shared" si="12"/>
        <v>4</v>
      </c>
    </row>
    <row r="826" spans="1:10" x14ac:dyDescent="0.25">
      <c r="A826" t="s">
        <v>1130</v>
      </c>
      <c r="B826" t="s">
        <v>314</v>
      </c>
      <c r="C826" t="s">
        <v>495</v>
      </c>
      <c r="D826" s="1">
        <v>44371</v>
      </c>
      <c r="E826">
        <v>5</v>
      </c>
      <c r="F826">
        <v>39.2270759290355</v>
      </c>
      <c r="G826" s="1">
        <v>44388</v>
      </c>
      <c r="H826" s="1">
        <v>44388</v>
      </c>
      <c r="I826">
        <v>196.13537964517701</v>
      </c>
      <c r="J826">
        <f t="shared" si="12"/>
        <v>0</v>
      </c>
    </row>
    <row r="827" spans="1:10" x14ac:dyDescent="0.25">
      <c r="A827" t="s">
        <v>1131</v>
      </c>
      <c r="B827" t="s">
        <v>40</v>
      </c>
      <c r="C827" t="s">
        <v>110</v>
      </c>
      <c r="D827" s="1">
        <v>44971</v>
      </c>
      <c r="E827">
        <v>15</v>
      </c>
      <c r="F827">
        <v>50.5384348480762</v>
      </c>
      <c r="G827" s="1">
        <v>44992</v>
      </c>
      <c r="H827" s="1">
        <v>44994</v>
      </c>
      <c r="I827">
        <v>758.07652272114399</v>
      </c>
      <c r="J827">
        <f t="shared" si="12"/>
        <v>2</v>
      </c>
    </row>
    <row r="828" spans="1:10" x14ac:dyDescent="0.25">
      <c r="A828" t="s">
        <v>1132</v>
      </c>
      <c r="B828" t="s">
        <v>186</v>
      </c>
      <c r="C828" t="s">
        <v>691</v>
      </c>
      <c r="D828" s="1">
        <v>44305</v>
      </c>
      <c r="E828">
        <v>9</v>
      </c>
      <c r="F828">
        <v>4.8905124781593203</v>
      </c>
      <c r="G828" s="1">
        <v>44324</v>
      </c>
      <c r="H828" s="1">
        <v>44322</v>
      </c>
      <c r="I828">
        <v>44.0146123034339</v>
      </c>
      <c r="J828">
        <f t="shared" si="12"/>
        <v>-2</v>
      </c>
    </row>
    <row r="829" spans="1:10" x14ac:dyDescent="0.25">
      <c r="A829" t="s">
        <v>1133</v>
      </c>
      <c r="B829" t="s">
        <v>326</v>
      </c>
      <c r="C829" t="s">
        <v>701</v>
      </c>
      <c r="D829" s="1">
        <v>45091</v>
      </c>
      <c r="E829">
        <v>11</v>
      </c>
      <c r="F829">
        <v>22.2368965102192</v>
      </c>
      <c r="G829" s="1">
        <v>45112</v>
      </c>
      <c r="H829" s="1">
        <v>45117</v>
      </c>
      <c r="I829">
        <v>244.60586161241099</v>
      </c>
      <c r="J829">
        <f t="shared" si="12"/>
        <v>5</v>
      </c>
    </row>
    <row r="830" spans="1:10" x14ac:dyDescent="0.25">
      <c r="A830" t="s">
        <v>1134</v>
      </c>
      <c r="B830" t="s">
        <v>617</v>
      </c>
      <c r="C830" t="s">
        <v>391</v>
      </c>
      <c r="D830" s="1">
        <v>45167</v>
      </c>
      <c r="E830">
        <v>11</v>
      </c>
      <c r="F830">
        <v>33.798925038965201</v>
      </c>
      <c r="G830" s="1">
        <v>45182</v>
      </c>
      <c r="H830" s="1">
        <v>45181</v>
      </c>
      <c r="I830">
        <v>371.78817542861799</v>
      </c>
      <c r="J830">
        <f t="shared" si="12"/>
        <v>-1</v>
      </c>
    </row>
    <row r="831" spans="1:10" x14ac:dyDescent="0.25">
      <c r="A831" t="s">
        <v>1135</v>
      </c>
      <c r="B831" t="s">
        <v>76</v>
      </c>
      <c r="C831" t="s">
        <v>100</v>
      </c>
      <c r="D831" s="1">
        <v>44498</v>
      </c>
      <c r="E831">
        <v>6</v>
      </c>
      <c r="F831">
        <v>42.697914314002198</v>
      </c>
      <c r="G831" s="1">
        <v>44512</v>
      </c>
      <c r="H831" s="1">
        <v>44511</v>
      </c>
      <c r="I831">
        <v>256.18748588401297</v>
      </c>
      <c r="J831">
        <f t="shared" si="12"/>
        <v>-1</v>
      </c>
    </row>
    <row r="832" spans="1:10" x14ac:dyDescent="0.25">
      <c r="A832" t="s">
        <v>1136</v>
      </c>
      <c r="B832" t="s">
        <v>79</v>
      </c>
      <c r="C832" t="s">
        <v>380</v>
      </c>
      <c r="D832" s="1">
        <v>44731</v>
      </c>
      <c r="E832">
        <v>14</v>
      </c>
      <c r="F832">
        <v>10.339464407673599</v>
      </c>
      <c r="G832" s="1">
        <v>44744</v>
      </c>
      <c r="H832" s="1">
        <v>44748</v>
      </c>
      <c r="I832">
        <v>144.75250170743101</v>
      </c>
      <c r="J832">
        <f t="shared" si="12"/>
        <v>4</v>
      </c>
    </row>
    <row r="833" spans="1:10" x14ac:dyDescent="0.25">
      <c r="A833" t="s">
        <v>1137</v>
      </c>
      <c r="B833" t="s">
        <v>411</v>
      </c>
      <c r="C833" t="s">
        <v>89</v>
      </c>
      <c r="D833" s="1">
        <v>44963</v>
      </c>
      <c r="E833">
        <v>15</v>
      </c>
      <c r="F833">
        <v>26.437772677025599</v>
      </c>
      <c r="G833" s="1">
        <v>44983</v>
      </c>
      <c r="H833" s="1">
        <v>44985</v>
      </c>
      <c r="I833">
        <v>396.56659015538401</v>
      </c>
      <c r="J833">
        <f t="shared" si="12"/>
        <v>2</v>
      </c>
    </row>
    <row r="834" spans="1:10" x14ac:dyDescent="0.25">
      <c r="A834" t="s">
        <v>1138</v>
      </c>
      <c r="B834" t="s">
        <v>91</v>
      </c>
      <c r="C834" t="s">
        <v>341</v>
      </c>
      <c r="D834" s="1">
        <v>45085</v>
      </c>
      <c r="E834">
        <v>14</v>
      </c>
      <c r="F834">
        <v>71.486406292141297</v>
      </c>
      <c r="G834" s="1">
        <v>45096</v>
      </c>
      <c r="H834" s="1">
        <v>45096</v>
      </c>
      <c r="I834">
        <v>1000.80968808997</v>
      </c>
      <c r="J834">
        <f t="shared" si="12"/>
        <v>0</v>
      </c>
    </row>
    <row r="835" spans="1:10" x14ac:dyDescent="0.25">
      <c r="A835" t="s">
        <v>1139</v>
      </c>
      <c r="B835" t="s">
        <v>174</v>
      </c>
      <c r="C835" t="s">
        <v>334</v>
      </c>
      <c r="D835" s="1">
        <v>44607</v>
      </c>
      <c r="E835">
        <v>13</v>
      </c>
      <c r="F835">
        <v>3.6978616405109199</v>
      </c>
      <c r="G835" s="1">
        <v>44617</v>
      </c>
      <c r="H835" s="1">
        <v>44620</v>
      </c>
      <c r="I835">
        <v>48.072201326642002</v>
      </c>
      <c r="J835">
        <f t="shared" ref="J835:J898" si="13">H835-G835</f>
        <v>3</v>
      </c>
    </row>
    <row r="836" spans="1:10" x14ac:dyDescent="0.25">
      <c r="A836" t="s">
        <v>1140</v>
      </c>
      <c r="B836" t="s">
        <v>135</v>
      </c>
      <c r="C836" t="s">
        <v>128</v>
      </c>
      <c r="D836" s="1">
        <v>44989</v>
      </c>
      <c r="E836">
        <v>10</v>
      </c>
      <c r="F836">
        <v>75.854513479770404</v>
      </c>
      <c r="G836" s="1">
        <v>45003</v>
      </c>
      <c r="H836" s="1">
        <v>45000</v>
      </c>
      <c r="I836">
        <v>758.54513479770401</v>
      </c>
      <c r="J836">
        <f t="shared" si="13"/>
        <v>-3</v>
      </c>
    </row>
    <row r="837" spans="1:10" x14ac:dyDescent="0.25">
      <c r="A837" t="s">
        <v>1141</v>
      </c>
      <c r="B837" t="s">
        <v>67</v>
      </c>
      <c r="C837" t="s">
        <v>230</v>
      </c>
      <c r="D837" s="1">
        <v>44662</v>
      </c>
      <c r="E837">
        <v>8</v>
      </c>
      <c r="F837">
        <v>33.664447824125901</v>
      </c>
      <c r="G837" s="1">
        <v>44677</v>
      </c>
      <c r="H837" s="1">
        <v>44680</v>
      </c>
      <c r="I837">
        <v>269.31558259300698</v>
      </c>
      <c r="J837">
        <f t="shared" si="13"/>
        <v>3</v>
      </c>
    </row>
    <row r="838" spans="1:10" x14ac:dyDescent="0.25">
      <c r="A838" t="s">
        <v>1142</v>
      </c>
      <c r="B838" t="s">
        <v>293</v>
      </c>
      <c r="C838" t="s">
        <v>363</v>
      </c>
      <c r="D838" s="1">
        <v>45295</v>
      </c>
      <c r="E838">
        <v>9</v>
      </c>
      <c r="F838">
        <v>10.1871396885044</v>
      </c>
      <c r="G838" s="1">
        <v>45305</v>
      </c>
      <c r="H838" s="1">
        <v>45308</v>
      </c>
      <c r="I838">
        <v>91.684257196539605</v>
      </c>
      <c r="J838">
        <f t="shared" si="13"/>
        <v>3</v>
      </c>
    </row>
    <row r="839" spans="1:10" x14ac:dyDescent="0.25">
      <c r="A839" t="s">
        <v>1143</v>
      </c>
      <c r="B839" t="s">
        <v>205</v>
      </c>
      <c r="C839" t="s">
        <v>155</v>
      </c>
      <c r="D839" s="1">
        <v>44530</v>
      </c>
      <c r="E839">
        <v>12</v>
      </c>
      <c r="F839">
        <v>68.126770433720694</v>
      </c>
      <c r="G839" s="1">
        <v>44544</v>
      </c>
      <c r="H839" s="1">
        <v>44542</v>
      </c>
      <c r="I839">
        <v>817.52124520464804</v>
      </c>
      <c r="J839">
        <f t="shared" si="13"/>
        <v>-2</v>
      </c>
    </row>
    <row r="840" spans="1:10" x14ac:dyDescent="0.25">
      <c r="A840" t="s">
        <v>1144</v>
      </c>
      <c r="B840" t="s">
        <v>119</v>
      </c>
      <c r="C840" t="s">
        <v>462</v>
      </c>
      <c r="D840" s="1">
        <v>45189</v>
      </c>
      <c r="E840">
        <v>11</v>
      </c>
      <c r="F840">
        <v>13.967264913373199</v>
      </c>
      <c r="G840" s="1">
        <v>45204</v>
      </c>
      <c r="H840" s="1">
        <v>45204</v>
      </c>
      <c r="I840">
        <v>153.63991404710501</v>
      </c>
      <c r="J840">
        <f t="shared" si="13"/>
        <v>0</v>
      </c>
    </row>
    <row r="841" spans="1:10" x14ac:dyDescent="0.25">
      <c r="A841" t="s">
        <v>1145</v>
      </c>
      <c r="B841" t="s">
        <v>99</v>
      </c>
      <c r="C841" t="s">
        <v>336</v>
      </c>
      <c r="D841" s="1">
        <v>44973</v>
      </c>
      <c r="E841">
        <v>16</v>
      </c>
      <c r="F841">
        <v>6.7357202153938003</v>
      </c>
      <c r="G841" s="1">
        <v>44993</v>
      </c>
      <c r="H841" s="1">
        <v>44996</v>
      </c>
      <c r="I841">
        <v>107.77152344629999</v>
      </c>
      <c r="J841">
        <f t="shared" si="13"/>
        <v>3</v>
      </c>
    </row>
    <row r="842" spans="1:10" x14ac:dyDescent="0.25">
      <c r="A842" t="s">
        <v>1146</v>
      </c>
      <c r="B842" t="s">
        <v>216</v>
      </c>
      <c r="C842" t="s">
        <v>498</v>
      </c>
      <c r="D842" s="1">
        <v>44667</v>
      </c>
      <c r="E842">
        <v>10</v>
      </c>
      <c r="F842">
        <v>79.324355196249499</v>
      </c>
      <c r="G842" s="1">
        <v>44691</v>
      </c>
      <c r="H842" s="1">
        <v>44691</v>
      </c>
      <c r="I842">
        <v>793.24355196249496</v>
      </c>
      <c r="J842">
        <f t="shared" si="13"/>
        <v>0</v>
      </c>
    </row>
    <row r="843" spans="1:10" x14ac:dyDescent="0.25">
      <c r="A843" t="s">
        <v>1147</v>
      </c>
      <c r="B843" t="s">
        <v>189</v>
      </c>
      <c r="C843" t="s">
        <v>361</v>
      </c>
      <c r="D843" s="1">
        <v>44447</v>
      </c>
      <c r="E843">
        <v>11</v>
      </c>
      <c r="F843">
        <v>62.107765852274497</v>
      </c>
      <c r="G843" s="1">
        <v>44461</v>
      </c>
      <c r="H843" s="1">
        <v>44460</v>
      </c>
      <c r="I843">
        <v>683.18542437501901</v>
      </c>
      <c r="J843">
        <f t="shared" si="13"/>
        <v>-1</v>
      </c>
    </row>
    <row r="844" spans="1:10" x14ac:dyDescent="0.25">
      <c r="A844" t="s">
        <v>1148</v>
      </c>
      <c r="B844" t="s">
        <v>394</v>
      </c>
      <c r="C844" t="s">
        <v>274</v>
      </c>
      <c r="D844" s="1">
        <v>44265</v>
      </c>
      <c r="E844">
        <v>14</v>
      </c>
      <c r="F844">
        <v>58.624647230818397</v>
      </c>
      <c r="G844" s="1">
        <v>44282</v>
      </c>
      <c r="H844" s="1">
        <v>44283</v>
      </c>
      <c r="I844">
        <v>820.74506123145795</v>
      </c>
      <c r="J844">
        <f t="shared" si="13"/>
        <v>1</v>
      </c>
    </row>
    <row r="845" spans="1:10" x14ac:dyDescent="0.25">
      <c r="A845" t="s">
        <v>1149</v>
      </c>
      <c r="B845" t="s">
        <v>556</v>
      </c>
      <c r="C845" t="s">
        <v>65</v>
      </c>
      <c r="D845" s="1">
        <v>44358</v>
      </c>
      <c r="E845">
        <v>11</v>
      </c>
      <c r="F845">
        <v>54.206251116014499</v>
      </c>
      <c r="G845" s="1">
        <v>44368</v>
      </c>
      <c r="H845" s="1">
        <v>44368</v>
      </c>
      <c r="I845">
        <v>596.26876227616003</v>
      </c>
      <c r="J845">
        <f t="shared" si="13"/>
        <v>0</v>
      </c>
    </row>
    <row r="846" spans="1:10" x14ac:dyDescent="0.25">
      <c r="A846" t="s">
        <v>1150</v>
      </c>
      <c r="B846" t="s">
        <v>340</v>
      </c>
      <c r="C846" t="s">
        <v>77</v>
      </c>
      <c r="D846" s="1">
        <v>45338</v>
      </c>
      <c r="E846">
        <v>7</v>
      </c>
      <c r="F846">
        <v>38.134833823214201</v>
      </c>
      <c r="G846" s="1">
        <v>45360</v>
      </c>
      <c r="H846" s="1">
        <v>45359</v>
      </c>
      <c r="I846">
        <v>266.94383676249902</v>
      </c>
      <c r="J846">
        <f t="shared" si="13"/>
        <v>-1</v>
      </c>
    </row>
    <row r="847" spans="1:10" x14ac:dyDescent="0.25">
      <c r="A847" t="s">
        <v>1151</v>
      </c>
      <c r="B847" t="s">
        <v>64</v>
      </c>
      <c r="C847" t="s">
        <v>20</v>
      </c>
      <c r="D847" s="1">
        <v>44630</v>
      </c>
      <c r="E847">
        <v>9</v>
      </c>
      <c r="F847">
        <v>47.869586339061001</v>
      </c>
      <c r="G847" s="1">
        <v>44641</v>
      </c>
      <c r="H847" s="1">
        <v>44641</v>
      </c>
      <c r="I847">
        <v>430.82627705154903</v>
      </c>
      <c r="J847">
        <f t="shared" si="13"/>
        <v>0</v>
      </c>
    </row>
    <row r="848" spans="1:10" x14ac:dyDescent="0.25">
      <c r="A848" t="s">
        <v>1152</v>
      </c>
      <c r="B848" t="s">
        <v>88</v>
      </c>
      <c r="C848" t="s">
        <v>302</v>
      </c>
      <c r="D848" s="1">
        <v>44619</v>
      </c>
      <c r="E848">
        <v>4</v>
      </c>
      <c r="F848">
        <v>46.904529835071102</v>
      </c>
      <c r="G848" s="1">
        <v>44636</v>
      </c>
      <c r="H848" s="1">
        <v>44639</v>
      </c>
      <c r="I848">
        <v>187.61811934028401</v>
      </c>
      <c r="J848">
        <f t="shared" si="13"/>
        <v>3</v>
      </c>
    </row>
    <row r="849" spans="1:10" x14ac:dyDescent="0.25">
      <c r="A849" t="s">
        <v>1153</v>
      </c>
      <c r="B849" t="s">
        <v>564</v>
      </c>
      <c r="C849" t="s">
        <v>23</v>
      </c>
      <c r="D849" s="1">
        <v>44394</v>
      </c>
      <c r="E849">
        <v>15</v>
      </c>
      <c r="F849">
        <v>5.98065397428116</v>
      </c>
      <c r="G849" s="1">
        <v>44409</v>
      </c>
      <c r="H849" s="1">
        <v>44413</v>
      </c>
      <c r="I849">
        <v>89.709809614217406</v>
      </c>
      <c r="J849">
        <f t="shared" si="13"/>
        <v>4</v>
      </c>
    </row>
    <row r="850" spans="1:10" x14ac:dyDescent="0.25">
      <c r="A850" t="s">
        <v>1154</v>
      </c>
      <c r="B850" t="s">
        <v>427</v>
      </c>
      <c r="C850" t="s">
        <v>521</v>
      </c>
      <c r="D850" s="1">
        <v>45163</v>
      </c>
      <c r="E850">
        <v>14</v>
      </c>
      <c r="F850">
        <v>72.204681926847499</v>
      </c>
      <c r="G850" s="1">
        <v>45184</v>
      </c>
      <c r="H850" s="1">
        <v>45181</v>
      </c>
      <c r="I850">
        <v>1010.86554697586</v>
      </c>
      <c r="J850">
        <f t="shared" si="13"/>
        <v>-3</v>
      </c>
    </row>
    <row r="851" spans="1:10" x14ac:dyDescent="0.25">
      <c r="A851" t="s">
        <v>1155</v>
      </c>
      <c r="B851" t="s">
        <v>109</v>
      </c>
      <c r="C851" t="s">
        <v>146</v>
      </c>
      <c r="D851" s="1">
        <v>44947</v>
      </c>
      <c r="E851">
        <v>15</v>
      </c>
      <c r="F851">
        <v>41.670283084050197</v>
      </c>
      <c r="G851" s="1">
        <v>44965</v>
      </c>
      <c r="H851" s="1">
        <v>44965</v>
      </c>
      <c r="I851">
        <v>625.05424626075296</v>
      </c>
      <c r="J851">
        <f t="shared" si="13"/>
        <v>0</v>
      </c>
    </row>
    <row r="852" spans="1:10" x14ac:dyDescent="0.25">
      <c r="A852" t="s">
        <v>1156</v>
      </c>
      <c r="B852" t="s">
        <v>55</v>
      </c>
      <c r="C852" t="s">
        <v>180</v>
      </c>
      <c r="D852" s="1">
        <v>44305</v>
      </c>
      <c r="E852">
        <v>11</v>
      </c>
      <c r="F852">
        <v>15.1701547436881</v>
      </c>
      <c r="G852" s="1">
        <v>44324</v>
      </c>
      <c r="H852" s="1">
        <v>44326</v>
      </c>
      <c r="I852">
        <v>166.871702180569</v>
      </c>
      <c r="J852">
        <f t="shared" si="13"/>
        <v>2</v>
      </c>
    </row>
    <row r="853" spans="1:10" x14ac:dyDescent="0.25">
      <c r="A853" t="s">
        <v>1157</v>
      </c>
      <c r="B853" t="s">
        <v>121</v>
      </c>
      <c r="C853" t="s">
        <v>141</v>
      </c>
      <c r="D853" s="1">
        <v>44432</v>
      </c>
      <c r="E853">
        <v>7</v>
      </c>
      <c r="F853">
        <v>46.3045379163893</v>
      </c>
      <c r="G853" s="1">
        <v>44449</v>
      </c>
      <c r="H853" s="1">
        <v>44447</v>
      </c>
      <c r="I853">
        <v>324.13176541472501</v>
      </c>
      <c r="J853">
        <f t="shared" si="13"/>
        <v>-2</v>
      </c>
    </row>
    <row r="854" spans="1:10" x14ac:dyDescent="0.25">
      <c r="A854" t="s">
        <v>1158</v>
      </c>
      <c r="B854" t="s">
        <v>109</v>
      </c>
      <c r="C854" t="s">
        <v>290</v>
      </c>
      <c r="D854" s="1">
        <v>44721</v>
      </c>
      <c r="E854">
        <v>13</v>
      </c>
      <c r="F854">
        <v>68.656178309003593</v>
      </c>
      <c r="G854" s="1">
        <v>44745</v>
      </c>
      <c r="H854" s="1">
        <v>44747</v>
      </c>
      <c r="I854">
        <v>892.53031801704697</v>
      </c>
      <c r="J854">
        <f t="shared" si="13"/>
        <v>2</v>
      </c>
    </row>
    <row r="855" spans="1:10" x14ac:dyDescent="0.25">
      <c r="A855" t="s">
        <v>1159</v>
      </c>
      <c r="B855" t="s">
        <v>219</v>
      </c>
      <c r="C855" t="s">
        <v>437</v>
      </c>
      <c r="D855" s="1">
        <v>45378</v>
      </c>
      <c r="E855">
        <v>14</v>
      </c>
      <c r="F855">
        <v>74.418676657902395</v>
      </c>
      <c r="G855" s="1">
        <v>45394</v>
      </c>
      <c r="H855" s="1">
        <v>45400</v>
      </c>
      <c r="I855">
        <v>1041.86147321063</v>
      </c>
      <c r="J855">
        <f t="shared" si="13"/>
        <v>6</v>
      </c>
    </row>
    <row r="856" spans="1:10" x14ac:dyDescent="0.25">
      <c r="A856" t="s">
        <v>1160</v>
      </c>
      <c r="B856" t="s">
        <v>216</v>
      </c>
      <c r="C856" t="s">
        <v>141</v>
      </c>
      <c r="D856" s="1">
        <v>44394</v>
      </c>
      <c r="E856">
        <v>7</v>
      </c>
      <c r="F856">
        <v>27.886817182200499</v>
      </c>
      <c r="G856" s="1">
        <v>44408</v>
      </c>
      <c r="H856" s="1">
        <v>44405</v>
      </c>
      <c r="I856">
        <v>195.20772027540301</v>
      </c>
      <c r="J856">
        <f t="shared" si="13"/>
        <v>-3</v>
      </c>
    </row>
    <row r="857" spans="1:10" x14ac:dyDescent="0.25">
      <c r="A857" t="s">
        <v>1161</v>
      </c>
      <c r="B857" t="s">
        <v>340</v>
      </c>
      <c r="C857" t="s">
        <v>915</v>
      </c>
      <c r="D857" s="1">
        <v>45286</v>
      </c>
      <c r="E857">
        <v>10</v>
      </c>
      <c r="F857">
        <v>15.5128897402468</v>
      </c>
      <c r="G857" s="1">
        <v>45301</v>
      </c>
      <c r="H857" s="1">
        <v>45306</v>
      </c>
      <c r="I857">
        <v>155.128897402468</v>
      </c>
      <c r="J857">
        <f t="shared" si="13"/>
        <v>5</v>
      </c>
    </row>
    <row r="858" spans="1:10" x14ac:dyDescent="0.25">
      <c r="A858" t="s">
        <v>1162</v>
      </c>
      <c r="B858" t="s">
        <v>13</v>
      </c>
      <c r="C858" t="s">
        <v>385</v>
      </c>
      <c r="D858" s="1">
        <v>45111</v>
      </c>
      <c r="E858">
        <v>10</v>
      </c>
      <c r="F858">
        <v>44.566274355148103</v>
      </c>
      <c r="G858" s="1">
        <v>45132</v>
      </c>
      <c r="H858" s="1">
        <v>45136</v>
      </c>
      <c r="I858">
        <v>445.66274355148101</v>
      </c>
      <c r="J858">
        <f t="shared" si="13"/>
        <v>4</v>
      </c>
    </row>
    <row r="859" spans="1:10" x14ac:dyDescent="0.25">
      <c r="A859" t="s">
        <v>1163</v>
      </c>
      <c r="B859" t="s">
        <v>135</v>
      </c>
      <c r="C859" t="s">
        <v>547</v>
      </c>
      <c r="D859" s="1">
        <v>44592</v>
      </c>
      <c r="E859">
        <v>13</v>
      </c>
      <c r="F859">
        <v>60.1819454892617</v>
      </c>
      <c r="G859" s="1">
        <v>44613</v>
      </c>
      <c r="H859" s="1">
        <v>44612</v>
      </c>
      <c r="I859">
        <v>782.36529136040201</v>
      </c>
      <c r="J859">
        <f t="shared" si="13"/>
        <v>-1</v>
      </c>
    </row>
    <row r="860" spans="1:10" x14ac:dyDescent="0.25">
      <c r="A860" t="s">
        <v>1164</v>
      </c>
      <c r="B860" t="s">
        <v>82</v>
      </c>
      <c r="C860" t="s">
        <v>430</v>
      </c>
      <c r="D860" s="1">
        <v>45342</v>
      </c>
      <c r="E860">
        <v>12</v>
      </c>
      <c r="F860">
        <v>12.617648555093901</v>
      </c>
      <c r="G860" s="1">
        <v>45364</v>
      </c>
      <c r="H860" s="1">
        <v>45367</v>
      </c>
      <c r="I860">
        <v>151.41178266112601</v>
      </c>
      <c r="J860">
        <f t="shared" si="13"/>
        <v>3</v>
      </c>
    </row>
    <row r="861" spans="1:10" x14ac:dyDescent="0.25">
      <c r="A861" t="s">
        <v>1165</v>
      </c>
      <c r="B861" t="s">
        <v>85</v>
      </c>
      <c r="C861" t="s">
        <v>462</v>
      </c>
      <c r="D861" s="1">
        <v>44393</v>
      </c>
      <c r="E861">
        <v>12</v>
      </c>
      <c r="F861">
        <v>35.749303919418502</v>
      </c>
      <c r="G861" s="1">
        <v>44407</v>
      </c>
      <c r="H861" s="1">
        <v>44409</v>
      </c>
      <c r="I861">
        <v>428.99164703302199</v>
      </c>
      <c r="J861">
        <f t="shared" si="13"/>
        <v>2</v>
      </c>
    </row>
    <row r="862" spans="1:10" x14ac:dyDescent="0.25">
      <c r="A862" t="s">
        <v>1166</v>
      </c>
      <c r="B862" t="s">
        <v>31</v>
      </c>
      <c r="C862" t="s">
        <v>270</v>
      </c>
      <c r="D862" s="1">
        <v>45163</v>
      </c>
      <c r="E862">
        <v>9</v>
      </c>
      <c r="F862">
        <v>41.619782016016899</v>
      </c>
      <c r="G862" s="1">
        <v>45184</v>
      </c>
      <c r="H862" s="1">
        <v>45189</v>
      </c>
      <c r="I862">
        <v>374.578038144152</v>
      </c>
      <c r="J862">
        <f t="shared" si="13"/>
        <v>5</v>
      </c>
    </row>
    <row r="863" spans="1:10" x14ac:dyDescent="0.25">
      <c r="A863" t="s">
        <v>1167</v>
      </c>
      <c r="B863" t="s">
        <v>40</v>
      </c>
      <c r="C863" t="s">
        <v>408</v>
      </c>
      <c r="D863" s="1">
        <v>45017</v>
      </c>
      <c r="E863">
        <v>9</v>
      </c>
      <c r="F863">
        <v>55.633737442329497</v>
      </c>
      <c r="G863" s="1">
        <v>45035</v>
      </c>
      <c r="H863" s="1">
        <v>45040</v>
      </c>
      <c r="I863">
        <v>500.703636980966</v>
      </c>
      <c r="J863">
        <f t="shared" si="13"/>
        <v>5</v>
      </c>
    </row>
    <row r="864" spans="1:10" x14ac:dyDescent="0.25">
      <c r="A864" t="s">
        <v>1168</v>
      </c>
      <c r="B864" t="s">
        <v>194</v>
      </c>
      <c r="C864" t="s">
        <v>792</v>
      </c>
      <c r="D864" s="1">
        <v>44526</v>
      </c>
      <c r="E864">
        <v>10</v>
      </c>
      <c r="F864">
        <v>27.662093615131401</v>
      </c>
      <c r="G864" s="1">
        <v>44540</v>
      </c>
      <c r="H864" s="1">
        <v>44542</v>
      </c>
      <c r="I864">
        <v>276.62093615131403</v>
      </c>
      <c r="J864">
        <f t="shared" si="13"/>
        <v>2</v>
      </c>
    </row>
    <row r="865" spans="1:10" x14ac:dyDescent="0.25">
      <c r="A865" t="s">
        <v>1169</v>
      </c>
      <c r="B865" t="s">
        <v>186</v>
      </c>
      <c r="C865" t="s">
        <v>559</v>
      </c>
      <c r="D865" s="1">
        <v>44540</v>
      </c>
      <c r="E865">
        <v>10</v>
      </c>
      <c r="F865">
        <v>55.903188132338698</v>
      </c>
      <c r="G865" s="1">
        <v>44560</v>
      </c>
      <c r="H865" s="1">
        <v>44557</v>
      </c>
      <c r="I865">
        <v>559.03188132338698</v>
      </c>
      <c r="J865">
        <f t="shared" si="13"/>
        <v>-3</v>
      </c>
    </row>
    <row r="866" spans="1:10" x14ac:dyDescent="0.25">
      <c r="A866" t="s">
        <v>1170</v>
      </c>
      <c r="B866" t="s">
        <v>31</v>
      </c>
      <c r="C866" t="s">
        <v>396</v>
      </c>
      <c r="D866" s="1">
        <v>44753</v>
      </c>
      <c r="E866">
        <v>10</v>
      </c>
      <c r="F866">
        <v>35.951776809680403</v>
      </c>
      <c r="G866" s="1">
        <v>44770</v>
      </c>
      <c r="H866" s="1">
        <v>44770</v>
      </c>
      <c r="I866">
        <v>359.51776809680399</v>
      </c>
      <c r="J866">
        <f t="shared" si="13"/>
        <v>0</v>
      </c>
    </row>
    <row r="867" spans="1:10" x14ac:dyDescent="0.25">
      <c r="A867" t="s">
        <v>1171</v>
      </c>
      <c r="B867" t="s">
        <v>261</v>
      </c>
      <c r="C867" t="s">
        <v>627</v>
      </c>
      <c r="D867" s="1">
        <v>44681</v>
      </c>
      <c r="E867">
        <v>10</v>
      </c>
      <c r="F867">
        <v>49.487760076507897</v>
      </c>
      <c r="G867" s="1">
        <v>44695</v>
      </c>
      <c r="H867" s="1">
        <v>44695</v>
      </c>
      <c r="I867">
        <v>494.87760076507902</v>
      </c>
      <c r="J867">
        <f t="shared" si="13"/>
        <v>0</v>
      </c>
    </row>
    <row r="868" spans="1:10" x14ac:dyDescent="0.25">
      <c r="A868" t="s">
        <v>1172</v>
      </c>
      <c r="B868" t="s">
        <v>299</v>
      </c>
      <c r="C868" t="s">
        <v>629</v>
      </c>
      <c r="D868" s="1">
        <v>44471</v>
      </c>
      <c r="E868">
        <v>9</v>
      </c>
      <c r="F868">
        <v>65.459647971679303</v>
      </c>
      <c r="G868" s="1">
        <v>44488</v>
      </c>
      <c r="H868" s="1">
        <v>44488</v>
      </c>
      <c r="I868">
        <v>589.13683174511402</v>
      </c>
      <c r="J868">
        <f t="shared" si="13"/>
        <v>0</v>
      </c>
    </row>
    <row r="869" spans="1:10" x14ac:dyDescent="0.25">
      <c r="A869" t="s">
        <v>1173</v>
      </c>
      <c r="B869" t="s">
        <v>219</v>
      </c>
      <c r="C869" t="s">
        <v>689</v>
      </c>
      <c r="D869" s="1">
        <v>45391</v>
      </c>
      <c r="E869">
        <v>13</v>
      </c>
      <c r="F869">
        <v>78.327091729182797</v>
      </c>
      <c r="G869" s="1">
        <v>45406</v>
      </c>
      <c r="H869" s="1">
        <v>45411</v>
      </c>
      <c r="I869">
        <v>1018.25219247937</v>
      </c>
      <c r="J869">
        <f t="shared" si="13"/>
        <v>5</v>
      </c>
    </row>
    <row r="870" spans="1:10" x14ac:dyDescent="0.25">
      <c r="A870" t="s">
        <v>1174</v>
      </c>
      <c r="B870" t="s">
        <v>76</v>
      </c>
      <c r="C870" t="s">
        <v>444</v>
      </c>
      <c r="D870" s="1">
        <v>44248</v>
      </c>
      <c r="E870">
        <v>12</v>
      </c>
      <c r="F870">
        <v>45.529216503474203</v>
      </c>
      <c r="G870" s="1">
        <v>44264</v>
      </c>
      <c r="H870" s="1">
        <v>44268</v>
      </c>
      <c r="I870">
        <v>546.35059804168998</v>
      </c>
      <c r="J870">
        <f t="shared" si="13"/>
        <v>4</v>
      </c>
    </row>
    <row r="871" spans="1:10" x14ac:dyDescent="0.25">
      <c r="A871" t="s">
        <v>1175</v>
      </c>
      <c r="B871" t="s">
        <v>189</v>
      </c>
      <c r="C871" t="s">
        <v>1176</v>
      </c>
      <c r="D871" s="1">
        <v>44634</v>
      </c>
      <c r="E871">
        <v>14</v>
      </c>
      <c r="F871">
        <v>67.327530985860804</v>
      </c>
      <c r="G871" s="1">
        <v>44649</v>
      </c>
      <c r="H871" s="1">
        <v>44650</v>
      </c>
      <c r="I871">
        <v>942.58543380205197</v>
      </c>
      <c r="J871">
        <f t="shared" si="13"/>
        <v>1</v>
      </c>
    </row>
    <row r="872" spans="1:10" x14ac:dyDescent="0.25">
      <c r="A872" t="s">
        <v>1177</v>
      </c>
      <c r="B872" t="s">
        <v>114</v>
      </c>
      <c r="C872" t="s">
        <v>338</v>
      </c>
      <c r="D872" s="1">
        <v>44913</v>
      </c>
      <c r="E872">
        <v>11</v>
      </c>
      <c r="F872">
        <v>9.3788031256260993</v>
      </c>
      <c r="G872" s="1">
        <v>44925</v>
      </c>
      <c r="H872" s="1">
        <v>44928</v>
      </c>
      <c r="I872">
        <v>103.166834381887</v>
      </c>
      <c r="J872">
        <f t="shared" si="13"/>
        <v>3</v>
      </c>
    </row>
    <row r="873" spans="1:10" x14ac:dyDescent="0.25">
      <c r="A873" t="s">
        <v>1178</v>
      </c>
      <c r="B873" t="s">
        <v>85</v>
      </c>
      <c r="C873" t="s">
        <v>317</v>
      </c>
      <c r="D873" s="1">
        <v>45240</v>
      </c>
      <c r="E873">
        <v>9</v>
      </c>
      <c r="F873">
        <v>73.763067633153497</v>
      </c>
      <c r="G873" s="1">
        <v>45256</v>
      </c>
      <c r="H873" s="1">
        <v>45257</v>
      </c>
      <c r="I873">
        <v>663.86760869838099</v>
      </c>
      <c r="J873">
        <f t="shared" si="13"/>
        <v>1</v>
      </c>
    </row>
    <row r="874" spans="1:10" x14ac:dyDescent="0.25">
      <c r="A874" t="s">
        <v>1179</v>
      </c>
      <c r="B874" t="s">
        <v>16</v>
      </c>
      <c r="C874" t="s">
        <v>990</v>
      </c>
      <c r="D874" s="1">
        <v>44835</v>
      </c>
      <c r="E874">
        <v>11</v>
      </c>
      <c r="F874">
        <v>13.750742578381001</v>
      </c>
      <c r="G874" s="1">
        <v>44858</v>
      </c>
      <c r="H874" s="1">
        <v>44863</v>
      </c>
      <c r="I874">
        <v>151.25816836219201</v>
      </c>
      <c r="J874">
        <f t="shared" si="13"/>
        <v>5</v>
      </c>
    </row>
    <row r="875" spans="1:10" x14ac:dyDescent="0.25">
      <c r="A875" t="s">
        <v>1180</v>
      </c>
      <c r="B875" t="s">
        <v>578</v>
      </c>
      <c r="C875" t="s">
        <v>172</v>
      </c>
      <c r="D875" s="1">
        <v>45209</v>
      </c>
      <c r="E875">
        <v>10</v>
      </c>
      <c r="F875">
        <v>5.75985235244341</v>
      </c>
      <c r="G875" s="1">
        <v>45226</v>
      </c>
      <c r="H875" s="1">
        <v>45224</v>
      </c>
      <c r="I875">
        <v>57.5985235244341</v>
      </c>
      <c r="J875">
        <f t="shared" si="13"/>
        <v>-2</v>
      </c>
    </row>
    <row r="876" spans="1:10" x14ac:dyDescent="0.25">
      <c r="A876" t="s">
        <v>1181</v>
      </c>
      <c r="B876" t="s">
        <v>198</v>
      </c>
      <c r="C876" t="s">
        <v>290</v>
      </c>
      <c r="D876" s="1">
        <v>45160</v>
      </c>
      <c r="E876">
        <v>17</v>
      </c>
      <c r="F876">
        <v>58.9766026043376</v>
      </c>
      <c r="G876" s="1">
        <v>45179</v>
      </c>
      <c r="H876" s="1">
        <v>45184</v>
      </c>
      <c r="I876">
        <v>1002.60224427374</v>
      </c>
      <c r="J876">
        <f t="shared" si="13"/>
        <v>5</v>
      </c>
    </row>
    <row r="877" spans="1:10" x14ac:dyDescent="0.25">
      <c r="A877" t="s">
        <v>1182</v>
      </c>
      <c r="B877" t="s">
        <v>475</v>
      </c>
      <c r="C877" t="s">
        <v>83</v>
      </c>
      <c r="D877" s="1">
        <v>45233</v>
      </c>
      <c r="E877">
        <v>12</v>
      </c>
      <c r="F877">
        <v>5.4365026078019802</v>
      </c>
      <c r="G877" s="1">
        <v>45253</v>
      </c>
      <c r="H877" s="1">
        <v>45252</v>
      </c>
      <c r="I877">
        <v>65.238031293623806</v>
      </c>
      <c r="J877">
        <f t="shared" si="13"/>
        <v>-1</v>
      </c>
    </row>
    <row r="878" spans="1:10" x14ac:dyDescent="0.25">
      <c r="A878" t="s">
        <v>1183</v>
      </c>
      <c r="B878" t="s">
        <v>369</v>
      </c>
      <c r="C878" t="s">
        <v>92</v>
      </c>
      <c r="D878" s="1">
        <v>45105</v>
      </c>
      <c r="E878">
        <v>7</v>
      </c>
      <c r="F878">
        <v>67.533400770013401</v>
      </c>
      <c r="G878" s="1">
        <v>45123</v>
      </c>
      <c r="H878" s="1">
        <v>45127</v>
      </c>
      <c r="I878">
        <v>472.73380539009401</v>
      </c>
      <c r="J878">
        <f t="shared" si="13"/>
        <v>4</v>
      </c>
    </row>
    <row r="879" spans="1:10" x14ac:dyDescent="0.25">
      <c r="A879" t="s">
        <v>1184</v>
      </c>
      <c r="B879" t="s">
        <v>253</v>
      </c>
      <c r="C879" t="s">
        <v>259</v>
      </c>
      <c r="D879" s="1">
        <v>44261</v>
      </c>
      <c r="E879">
        <v>9</v>
      </c>
      <c r="F879">
        <v>67.912938778517898</v>
      </c>
      <c r="G879" s="1">
        <v>44283</v>
      </c>
      <c r="H879" s="1">
        <v>44280</v>
      </c>
      <c r="I879">
        <v>611.21644900666104</v>
      </c>
      <c r="J879">
        <f t="shared" si="13"/>
        <v>-3</v>
      </c>
    </row>
    <row r="880" spans="1:10" x14ac:dyDescent="0.25">
      <c r="A880" t="s">
        <v>1185</v>
      </c>
      <c r="B880" t="s">
        <v>207</v>
      </c>
      <c r="C880" t="s">
        <v>421</v>
      </c>
      <c r="D880" s="1">
        <v>45088</v>
      </c>
      <c r="E880">
        <v>13</v>
      </c>
      <c r="F880">
        <v>3.6777124452685701</v>
      </c>
      <c r="G880" s="1">
        <v>45105</v>
      </c>
      <c r="H880" s="1">
        <v>45109</v>
      </c>
      <c r="I880">
        <v>47.810261788491403</v>
      </c>
      <c r="J880">
        <f t="shared" si="13"/>
        <v>4</v>
      </c>
    </row>
    <row r="881" spans="1:10" x14ac:dyDescent="0.25">
      <c r="A881" t="s">
        <v>1186</v>
      </c>
      <c r="B881" t="s">
        <v>174</v>
      </c>
      <c r="C881" t="s">
        <v>428</v>
      </c>
      <c r="D881" s="1">
        <v>45216</v>
      </c>
      <c r="E881">
        <v>11</v>
      </c>
      <c r="F881">
        <v>30.891335145756901</v>
      </c>
      <c r="G881" s="1">
        <v>45228</v>
      </c>
      <c r="H881" s="1">
        <v>45233</v>
      </c>
      <c r="I881">
        <v>339.80468660332599</v>
      </c>
      <c r="J881">
        <f t="shared" si="13"/>
        <v>5</v>
      </c>
    </row>
    <row r="882" spans="1:10" x14ac:dyDescent="0.25">
      <c r="A882" t="s">
        <v>1187</v>
      </c>
      <c r="B882" t="s">
        <v>160</v>
      </c>
      <c r="C882" t="s">
        <v>587</v>
      </c>
      <c r="D882" s="1">
        <v>44996</v>
      </c>
      <c r="E882">
        <v>10</v>
      </c>
      <c r="F882">
        <v>47.459969079836199</v>
      </c>
      <c r="G882" s="1">
        <v>45007</v>
      </c>
      <c r="H882" s="1">
        <v>45009</v>
      </c>
      <c r="I882">
        <v>474.59969079836202</v>
      </c>
      <c r="J882">
        <f t="shared" si="13"/>
        <v>2</v>
      </c>
    </row>
    <row r="883" spans="1:10" x14ac:dyDescent="0.25">
      <c r="A883" t="s">
        <v>1188</v>
      </c>
      <c r="B883" t="s">
        <v>394</v>
      </c>
      <c r="C883" t="s">
        <v>297</v>
      </c>
      <c r="D883" s="1">
        <v>44346</v>
      </c>
      <c r="E883">
        <v>19</v>
      </c>
      <c r="F883">
        <v>56.810195083492601</v>
      </c>
      <c r="G883" s="1">
        <v>44370</v>
      </c>
      <c r="H883" s="1">
        <v>44371</v>
      </c>
      <c r="I883">
        <v>1079.3937065863499</v>
      </c>
      <c r="J883">
        <f t="shared" si="13"/>
        <v>1</v>
      </c>
    </row>
    <row r="884" spans="1:10" x14ac:dyDescent="0.25">
      <c r="A884" t="s">
        <v>1189</v>
      </c>
      <c r="B884" t="s">
        <v>19</v>
      </c>
      <c r="C884" t="s">
        <v>259</v>
      </c>
      <c r="D884" s="1">
        <v>44983</v>
      </c>
      <c r="E884">
        <v>15</v>
      </c>
      <c r="F884">
        <v>24.990370123793301</v>
      </c>
      <c r="G884" s="1">
        <v>44998</v>
      </c>
      <c r="H884" s="1">
        <v>44997</v>
      </c>
      <c r="I884">
        <v>374.85555185689998</v>
      </c>
      <c r="J884">
        <f t="shared" si="13"/>
        <v>-1</v>
      </c>
    </row>
    <row r="885" spans="1:10" x14ac:dyDescent="0.25">
      <c r="A885" t="s">
        <v>1190</v>
      </c>
      <c r="B885" t="s">
        <v>250</v>
      </c>
      <c r="C885" t="s">
        <v>413</v>
      </c>
      <c r="D885" s="1">
        <v>44623</v>
      </c>
      <c r="E885">
        <v>13</v>
      </c>
      <c r="F885">
        <v>25.340063070892</v>
      </c>
      <c r="G885" s="1">
        <v>44647</v>
      </c>
      <c r="H885" s="1">
        <v>44648</v>
      </c>
      <c r="I885">
        <v>329.420819921597</v>
      </c>
      <c r="J885">
        <f t="shared" si="13"/>
        <v>1</v>
      </c>
    </row>
    <row r="886" spans="1:10" x14ac:dyDescent="0.25">
      <c r="A886" t="s">
        <v>1191</v>
      </c>
      <c r="B886" t="s">
        <v>485</v>
      </c>
      <c r="C886" t="s">
        <v>581</v>
      </c>
      <c r="D886" s="1">
        <v>44980</v>
      </c>
      <c r="E886">
        <v>10</v>
      </c>
      <c r="F886">
        <v>79.338453578143501</v>
      </c>
      <c r="G886" s="1">
        <v>45001</v>
      </c>
      <c r="H886" s="1">
        <v>44999</v>
      </c>
      <c r="I886">
        <v>793.38453578143503</v>
      </c>
      <c r="J886">
        <f t="shared" si="13"/>
        <v>-2</v>
      </c>
    </row>
    <row r="887" spans="1:10" x14ac:dyDescent="0.25">
      <c r="A887" t="s">
        <v>1192</v>
      </c>
      <c r="B887" t="s">
        <v>359</v>
      </c>
      <c r="C887" t="s">
        <v>470</v>
      </c>
      <c r="D887" s="1">
        <v>45119</v>
      </c>
      <c r="E887">
        <v>8</v>
      </c>
      <c r="F887">
        <v>67.910389886567003</v>
      </c>
      <c r="G887" s="1">
        <v>45135</v>
      </c>
      <c r="H887" s="1">
        <v>45133</v>
      </c>
      <c r="I887">
        <v>543.28311909253603</v>
      </c>
      <c r="J887">
        <f t="shared" si="13"/>
        <v>-2</v>
      </c>
    </row>
    <row r="888" spans="1:10" x14ac:dyDescent="0.25">
      <c r="A888" t="s">
        <v>1193</v>
      </c>
      <c r="B888" t="s">
        <v>321</v>
      </c>
      <c r="C888" t="s">
        <v>230</v>
      </c>
      <c r="D888" s="1">
        <v>44205</v>
      </c>
      <c r="E888">
        <v>11</v>
      </c>
      <c r="F888">
        <v>21.7014191476033</v>
      </c>
      <c r="G888" s="1">
        <v>44224</v>
      </c>
      <c r="H888" s="1">
        <v>44225</v>
      </c>
      <c r="I888">
        <v>238.715610623636</v>
      </c>
      <c r="J888">
        <f t="shared" si="13"/>
        <v>1</v>
      </c>
    </row>
    <row r="889" spans="1:10" x14ac:dyDescent="0.25">
      <c r="A889" t="s">
        <v>1194</v>
      </c>
      <c r="B889" t="s">
        <v>485</v>
      </c>
      <c r="C889" t="s">
        <v>818</v>
      </c>
      <c r="D889" s="1">
        <v>44877</v>
      </c>
      <c r="E889">
        <v>9</v>
      </c>
      <c r="F889">
        <v>19.869519511125699</v>
      </c>
      <c r="G889" s="1">
        <v>44889</v>
      </c>
      <c r="H889" s="1">
        <v>44886</v>
      </c>
      <c r="I889">
        <v>178.82567560013101</v>
      </c>
      <c r="J889">
        <f t="shared" si="13"/>
        <v>-3</v>
      </c>
    </row>
    <row r="890" spans="1:10" x14ac:dyDescent="0.25">
      <c r="A890" t="s">
        <v>1195</v>
      </c>
      <c r="B890" t="s">
        <v>176</v>
      </c>
      <c r="C890" t="s">
        <v>470</v>
      </c>
      <c r="D890" s="1">
        <v>44647</v>
      </c>
      <c r="E890">
        <v>7</v>
      </c>
      <c r="F890">
        <v>44.848824491202102</v>
      </c>
      <c r="G890" s="1">
        <v>44663</v>
      </c>
      <c r="H890" s="1">
        <v>44669</v>
      </c>
      <c r="I890">
        <v>313.941771438415</v>
      </c>
      <c r="J890">
        <f t="shared" si="13"/>
        <v>6</v>
      </c>
    </row>
    <row r="891" spans="1:10" x14ac:dyDescent="0.25">
      <c r="A891" t="s">
        <v>1196</v>
      </c>
      <c r="B891" t="s">
        <v>22</v>
      </c>
      <c r="C891" t="s">
        <v>701</v>
      </c>
      <c r="D891" s="1">
        <v>44680</v>
      </c>
      <c r="E891">
        <v>17</v>
      </c>
      <c r="F891">
        <v>57.591243254031298</v>
      </c>
      <c r="G891" s="1">
        <v>44692</v>
      </c>
      <c r="H891" s="1">
        <v>44695</v>
      </c>
      <c r="I891">
        <v>979.05113531853306</v>
      </c>
      <c r="J891">
        <f t="shared" si="13"/>
        <v>3</v>
      </c>
    </row>
    <row r="892" spans="1:10" x14ac:dyDescent="0.25">
      <c r="A892" t="s">
        <v>1197</v>
      </c>
      <c r="B892" t="s">
        <v>31</v>
      </c>
      <c r="C892" t="s">
        <v>94</v>
      </c>
      <c r="D892" s="1">
        <v>45360</v>
      </c>
      <c r="E892">
        <v>5</v>
      </c>
      <c r="F892">
        <v>4.5814341147057203</v>
      </c>
      <c r="G892" s="1">
        <v>45378</v>
      </c>
      <c r="H892" s="1">
        <v>45375</v>
      </c>
      <c r="I892">
        <v>22.9071705735286</v>
      </c>
      <c r="J892">
        <f t="shared" si="13"/>
        <v>-3</v>
      </c>
    </row>
    <row r="893" spans="1:10" x14ac:dyDescent="0.25">
      <c r="A893" t="s">
        <v>1198</v>
      </c>
      <c r="B893" t="s">
        <v>411</v>
      </c>
      <c r="C893" t="s">
        <v>504</v>
      </c>
      <c r="D893" s="1">
        <v>45115</v>
      </c>
      <c r="E893">
        <v>10</v>
      </c>
      <c r="F893">
        <v>19.0232272007832</v>
      </c>
      <c r="G893" s="1">
        <v>45128</v>
      </c>
      <c r="H893" s="1">
        <v>45133</v>
      </c>
      <c r="I893">
        <v>190.23227200783199</v>
      </c>
      <c r="J893">
        <f t="shared" si="13"/>
        <v>5</v>
      </c>
    </row>
    <row r="894" spans="1:10" x14ac:dyDescent="0.25">
      <c r="A894" t="s">
        <v>1199</v>
      </c>
      <c r="B894" t="s">
        <v>186</v>
      </c>
      <c r="C894" t="s">
        <v>222</v>
      </c>
      <c r="D894" s="1">
        <v>45205</v>
      </c>
      <c r="E894">
        <v>9</v>
      </c>
      <c r="F894">
        <v>78.452495742924498</v>
      </c>
      <c r="G894" s="1">
        <v>45222</v>
      </c>
      <c r="H894" s="1">
        <v>45221</v>
      </c>
      <c r="I894">
        <v>706.07246168632003</v>
      </c>
      <c r="J894">
        <f t="shared" si="13"/>
        <v>-1</v>
      </c>
    </row>
    <row r="895" spans="1:10" x14ac:dyDescent="0.25">
      <c r="A895" t="s">
        <v>1200</v>
      </c>
      <c r="B895" t="s">
        <v>96</v>
      </c>
      <c r="C895" t="s">
        <v>38</v>
      </c>
      <c r="D895" s="1">
        <v>44254</v>
      </c>
      <c r="E895">
        <v>8</v>
      </c>
      <c r="F895">
        <v>43.282614196858702</v>
      </c>
      <c r="G895" s="1">
        <v>44268</v>
      </c>
      <c r="H895" s="1">
        <v>44272</v>
      </c>
      <c r="I895">
        <v>346.26091357486899</v>
      </c>
      <c r="J895">
        <f t="shared" si="13"/>
        <v>4</v>
      </c>
    </row>
    <row r="896" spans="1:10" x14ac:dyDescent="0.25">
      <c r="A896" t="s">
        <v>1201</v>
      </c>
      <c r="B896" t="s">
        <v>288</v>
      </c>
      <c r="C896" t="s">
        <v>763</v>
      </c>
      <c r="D896" s="1">
        <v>44775</v>
      </c>
      <c r="E896">
        <v>12</v>
      </c>
      <c r="F896">
        <v>74.742064379823304</v>
      </c>
      <c r="G896" s="1">
        <v>44785</v>
      </c>
      <c r="H896" s="1">
        <v>44790</v>
      </c>
      <c r="I896">
        <v>896.90477255788005</v>
      </c>
      <c r="J896">
        <f t="shared" si="13"/>
        <v>5</v>
      </c>
    </row>
    <row r="897" spans="1:10" x14ac:dyDescent="0.25">
      <c r="A897" t="s">
        <v>1202</v>
      </c>
      <c r="B897" t="s">
        <v>216</v>
      </c>
      <c r="C897" t="s">
        <v>192</v>
      </c>
      <c r="D897" s="1">
        <v>44624</v>
      </c>
      <c r="E897">
        <v>10</v>
      </c>
      <c r="F897">
        <v>4.90750873619172</v>
      </c>
      <c r="G897" s="1">
        <v>44640</v>
      </c>
      <c r="H897" s="1">
        <v>44640</v>
      </c>
      <c r="I897">
        <v>49.075087361917198</v>
      </c>
      <c r="J897">
        <f t="shared" si="13"/>
        <v>0</v>
      </c>
    </row>
    <row r="898" spans="1:10" x14ac:dyDescent="0.25">
      <c r="A898" t="s">
        <v>1203</v>
      </c>
      <c r="B898" t="s">
        <v>127</v>
      </c>
      <c r="C898" t="s">
        <v>518</v>
      </c>
      <c r="D898" s="1">
        <v>44362</v>
      </c>
      <c r="E898">
        <v>18</v>
      </c>
      <c r="F898">
        <v>60.956675026785</v>
      </c>
      <c r="G898" s="1">
        <v>44380</v>
      </c>
      <c r="H898" s="1">
        <v>44379</v>
      </c>
      <c r="I898">
        <v>1097.2201504821301</v>
      </c>
      <c r="J898">
        <f t="shared" si="13"/>
        <v>-1</v>
      </c>
    </row>
    <row r="899" spans="1:10" x14ac:dyDescent="0.25">
      <c r="A899" t="s">
        <v>1204</v>
      </c>
      <c r="B899" t="s">
        <v>253</v>
      </c>
      <c r="C899" t="s">
        <v>279</v>
      </c>
      <c r="D899" s="1">
        <v>44220</v>
      </c>
      <c r="E899">
        <v>8</v>
      </c>
      <c r="F899">
        <v>53.073517869815099</v>
      </c>
      <c r="G899" s="1">
        <v>44233</v>
      </c>
      <c r="H899" s="1">
        <v>44233</v>
      </c>
      <c r="I899">
        <v>424.58814295852102</v>
      </c>
      <c r="J899">
        <f t="shared" ref="J899:J962" si="14">H899-G899</f>
        <v>0</v>
      </c>
    </row>
    <row r="900" spans="1:10" x14ac:dyDescent="0.25">
      <c r="A900" t="s">
        <v>1205</v>
      </c>
      <c r="B900" t="s">
        <v>247</v>
      </c>
      <c r="C900" t="s">
        <v>400</v>
      </c>
      <c r="D900" s="1">
        <v>44386</v>
      </c>
      <c r="E900">
        <v>8</v>
      </c>
      <c r="F900">
        <v>33.421999266936197</v>
      </c>
      <c r="G900" s="1">
        <v>44409</v>
      </c>
      <c r="H900" s="1">
        <v>44410</v>
      </c>
      <c r="I900">
        <v>267.37599413548901</v>
      </c>
      <c r="J900">
        <f t="shared" si="14"/>
        <v>1</v>
      </c>
    </row>
    <row r="901" spans="1:10" x14ac:dyDescent="0.25">
      <c r="A901" t="s">
        <v>1206</v>
      </c>
      <c r="B901" t="s">
        <v>359</v>
      </c>
      <c r="C901" t="s">
        <v>29</v>
      </c>
      <c r="D901" s="1">
        <v>44216</v>
      </c>
      <c r="E901">
        <v>10</v>
      </c>
      <c r="F901">
        <v>57.811066267816102</v>
      </c>
      <c r="G901" s="1">
        <v>44232</v>
      </c>
      <c r="H901" s="1">
        <v>44233</v>
      </c>
      <c r="I901">
        <v>578.11066267816102</v>
      </c>
      <c r="J901">
        <f t="shared" si="14"/>
        <v>1</v>
      </c>
    </row>
    <row r="902" spans="1:10" x14ac:dyDescent="0.25">
      <c r="A902" t="s">
        <v>1207</v>
      </c>
      <c r="B902" t="s">
        <v>109</v>
      </c>
      <c r="C902" t="s">
        <v>473</v>
      </c>
      <c r="D902" s="1">
        <v>44297</v>
      </c>
      <c r="E902">
        <v>12</v>
      </c>
      <c r="F902">
        <v>45.860726533960801</v>
      </c>
      <c r="G902" s="1">
        <v>44314</v>
      </c>
      <c r="H902" s="1">
        <v>44315</v>
      </c>
      <c r="I902">
        <v>550.32871840753</v>
      </c>
      <c r="J902">
        <f t="shared" si="14"/>
        <v>1</v>
      </c>
    </row>
    <row r="903" spans="1:10" x14ac:dyDescent="0.25">
      <c r="A903" t="s">
        <v>1208</v>
      </c>
      <c r="B903" t="s">
        <v>124</v>
      </c>
      <c r="C903" t="s">
        <v>283</v>
      </c>
      <c r="D903" s="1">
        <v>44932</v>
      </c>
      <c r="E903">
        <v>10</v>
      </c>
      <c r="F903">
        <v>52.166773463381901</v>
      </c>
      <c r="G903" s="1">
        <v>44950</v>
      </c>
      <c r="H903" s="1">
        <v>44956</v>
      </c>
      <c r="I903">
        <v>521.66773463381901</v>
      </c>
      <c r="J903">
        <f t="shared" si="14"/>
        <v>6</v>
      </c>
    </row>
    <row r="904" spans="1:10" x14ac:dyDescent="0.25">
      <c r="A904" t="s">
        <v>1209</v>
      </c>
      <c r="B904" t="s">
        <v>314</v>
      </c>
      <c r="C904" t="s">
        <v>792</v>
      </c>
      <c r="D904" s="1">
        <v>45066</v>
      </c>
      <c r="E904">
        <v>9</v>
      </c>
      <c r="F904">
        <v>18.425363171794501</v>
      </c>
      <c r="G904" s="1">
        <v>45078</v>
      </c>
      <c r="H904" s="1">
        <v>45081</v>
      </c>
      <c r="I904">
        <v>165.82826854615001</v>
      </c>
      <c r="J904">
        <f t="shared" si="14"/>
        <v>3</v>
      </c>
    </row>
    <row r="905" spans="1:10" x14ac:dyDescent="0.25">
      <c r="A905" t="s">
        <v>1210</v>
      </c>
      <c r="B905" t="s">
        <v>79</v>
      </c>
      <c r="C905" t="s">
        <v>224</v>
      </c>
      <c r="D905" s="1">
        <v>45057</v>
      </c>
      <c r="E905">
        <v>9</v>
      </c>
      <c r="F905">
        <v>39.940471266420502</v>
      </c>
      <c r="G905" s="1">
        <v>45080</v>
      </c>
      <c r="H905" s="1">
        <v>45079</v>
      </c>
      <c r="I905">
        <v>359.46424139778401</v>
      </c>
      <c r="J905">
        <f t="shared" si="14"/>
        <v>-1</v>
      </c>
    </row>
    <row r="906" spans="1:10" x14ac:dyDescent="0.25">
      <c r="A906" t="s">
        <v>1211</v>
      </c>
      <c r="B906" t="s">
        <v>49</v>
      </c>
      <c r="C906" t="s">
        <v>418</v>
      </c>
      <c r="D906" s="1">
        <v>44859</v>
      </c>
      <c r="E906">
        <v>11</v>
      </c>
      <c r="F906">
        <v>29.045332266459301</v>
      </c>
      <c r="G906" s="1">
        <v>44883</v>
      </c>
      <c r="H906" s="1">
        <v>44882</v>
      </c>
      <c r="I906">
        <v>319.49865493105301</v>
      </c>
      <c r="J906">
        <f t="shared" si="14"/>
        <v>-1</v>
      </c>
    </row>
    <row r="907" spans="1:10" x14ac:dyDescent="0.25">
      <c r="A907" t="s">
        <v>1212</v>
      </c>
      <c r="B907" t="s">
        <v>16</v>
      </c>
      <c r="C907" t="s">
        <v>158</v>
      </c>
      <c r="D907" s="1">
        <v>45306</v>
      </c>
      <c r="E907">
        <v>10</v>
      </c>
      <c r="F907">
        <v>73.510166880985807</v>
      </c>
      <c r="G907" s="1">
        <v>45325</v>
      </c>
      <c r="H907" s="1">
        <v>45322</v>
      </c>
      <c r="I907">
        <v>735.10166880985798</v>
      </c>
      <c r="J907">
        <f t="shared" si="14"/>
        <v>-3</v>
      </c>
    </row>
    <row r="908" spans="1:10" x14ac:dyDescent="0.25">
      <c r="A908" t="s">
        <v>1213</v>
      </c>
      <c r="B908" t="s">
        <v>119</v>
      </c>
      <c r="C908" t="s">
        <v>161</v>
      </c>
      <c r="D908" s="1">
        <v>45155</v>
      </c>
      <c r="E908">
        <v>13</v>
      </c>
      <c r="F908">
        <v>18.231391366233701</v>
      </c>
      <c r="G908" s="1">
        <v>45170</v>
      </c>
      <c r="H908" s="1">
        <v>45168</v>
      </c>
      <c r="I908">
        <v>237.00808776103801</v>
      </c>
      <c r="J908">
        <f t="shared" si="14"/>
        <v>-2</v>
      </c>
    </row>
    <row r="909" spans="1:10" x14ac:dyDescent="0.25">
      <c r="A909" t="s">
        <v>1214</v>
      </c>
      <c r="B909" t="s">
        <v>73</v>
      </c>
      <c r="C909" t="s">
        <v>131</v>
      </c>
      <c r="D909" s="1">
        <v>44289</v>
      </c>
      <c r="E909">
        <v>5</v>
      </c>
      <c r="F909">
        <v>47.469545249727403</v>
      </c>
      <c r="G909" s="1">
        <v>44306</v>
      </c>
      <c r="H909" s="1">
        <v>44311</v>
      </c>
      <c r="I909">
        <v>237.347726248637</v>
      </c>
      <c r="J909">
        <f t="shared" si="14"/>
        <v>5</v>
      </c>
    </row>
    <row r="910" spans="1:10" x14ac:dyDescent="0.25">
      <c r="A910" t="s">
        <v>1215</v>
      </c>
      <c r="B910" t="s">
        <v>25</v>
      </c>
      <c r="C910" t="s">
        <v>353</v>
      </c>
      <c r="D910" s="1">
        <v>44241</v>
      </c>
      <c r="E910">
        <v>5</v>
      </c>
      <c r="F910">
        <v>68.411464422038605</v>
      </c>
      <c r="G910" s="1">
        <v>44254</v>
      </c>
      <c r="H910" s="1">
        <v>44253</v>
      </c>
      <c r="I910">
        <v>342.05732211019301</v>
      </c>
      <c r="J910">
        <f t="shared" si="14"/>
        <v>-1</v>
      </c>
    </row>
    <row r="911" spans="1:10" x14ac:dyDescent="0.25">
      <c r="A911" t="s">
        <v>1216</v>
      </c>
      <c r="B911" t="s">
        <v>43</v>
      </c>
      <c r="C911" t="s">
        <v>201</v>
      </c>
      <c r="D911" s="1">
        <v>45185</v>
      </c>
      <c r="E911">
        <v>12</v>
      </c>
      <c r="F911">
        <v>28.2024929497865</v>
      </c>
      <c r="G911" s="1">
        <v>45206</v>
      </c>
      <c r="H911" s="1">
        <v>45206</v>
      </c>
      <c r="I911">
        <v>338.42991539743798</v>
      </c>
      <c r="J911">
        <f t="shared" si="14"/>
        <v>0</v>
      </c>
    </row>
    <row r="912" spans="1:10" x14ac:dyDescent="0.25">
      <c r="A912" t="s">
        <v>1217</v>
      </c>
      <c r="B912" t="s">
        <v>261</v>
      </c>
      <c r="C912" t="s">
        <v>210</v>
      </c>
      <c r="D912" s="1">
        <v>44350</v>
      </c>
      <c r="E912">
        <v>8</v>
      </c>
      <c r="F912">
        <v>36.120880494628402</v>
      </c>
      <c r="G912" s="1">
        <v>44364</v>
      </c>
      <c r="H912" s="1">
        <v>44361</v>
      </c>
      <c r="I912">
        <v>288.96704395702699</v>
      </c>
      <c r="J912">
        <f t="shared" si="14"/>
        <v>-3</v>
      </c>
    </row>
    <row r="913" spans="1:10" x14ac:dyDescent="0.25">
      <c r="A913" t="s">
        <v>1218</v>
      </c>
      <c r="B913" t="s">
        <v>301</v>
      </c>
      <c r="C913" t="s">
        <v>317</v>
      </c>
      <c r="D913" s="1">
        <v>44210</v>
      </c>
      <c r="E913">
        <v>11</v>
      </c>
      <c r="F913">
        <v>31.617657795588201</v>
      </c>
      <c r="G913" s="1">
        <v>44230</v>
      </c>
      <c r="H913" s="1">
        <v>44227</v>
      </c>
      <c r="I913">
        <v>347.79423575147098</v>
      </c>
      <c r="J913">
        <f t="shared" si="14"/>
        <v>-3</v>
      </c>
    </row>
    <row r="914" spans="1:10" x14ac:dyDescent="0.25">
      <c r="A914" t="s">
        <v>1219</v>
      </c>
      <c r="B914" t="s">
        <v>157</v>
      </c>
      <c r="C914" t="s">
        <v>600</v>
      </c>
      <c r="D914" s="1">
        <v>45227</v>
      </c>
      <c r="E914">
        <v>12</v>
      </c>
      <c r="F914">
        <v>68.200069190302898</v>
      </c>
      <c r="G914" s="1">
        <v>45250</v>
      </c>
      <c r="H914" s="1">
        <v>45255</v>
      </c>
      <c r="I914">
        <v>818.40083028363495</v>
      </c>
      <c r="J914">
        <f t="shared" si="14"/>
        <v>5</v>
      </c>
    </row>
    <row r="915" spans="1:10" x14ac:dyDescent="0.25">
      <c r="A915" t="s">
        <v>1220</v>
      </c>
      <c r="B915" t="s">
        <v>247</v>
      </c>
      <c r="C915" t="s">
        <v>363</v>
      </c>
      <c r="D915" s="1">
        <v>45061</v>
      </c>
      <c r="E915">
        <v>10</v>
      </c>
      <c r="F915">
        <v>74.463981611330894</v>
      </c>
      <c r="G915" s="1">
        <v>45085</v>
      </c>
      <c r="H915" s="1">
        <v>45086</v>
      </c>
      <c r="I915">
        <v>744.63981611330905</v>
      </c>
      <c r="J915">
        <f t="shared" si="14"/>
        <v>1</v>
      </c>
    </row>
    <row r="916" spans="1:10" x14ac:dyDescent="0.25">
      <c r="A916" t="s">
        <v>1221</v>
      </c>
      <c r="B916" t="s">
        <v>194</v>
      </c>
      <c r="C916" t="s">
        <v>83</v>
      </c>
      <c r="D916" s="1">
        <v>44329</v>
      </c>
      <c r="E916">
        <v>7</v>
      </c>
      <c r="F916">
        <v>75.612338569126806</v>
      </c>
      <c r="G916" s="1">
        <v>44344</v>
      </c>
      <c r="H916" s="1">
        <v>44341</v>
      </c>
      <c r="I916">
        <v>529.28636998388697</v>
      </c>
      <c r="J916">
        <f t="shared" si="14"/>
        <v>-3</v>
      </c>
    </row>
    <row r="917" spans="1:10" x14ac:dyDescent="0.25">
      <c r="A917" t="s">
        <v>1222</v>
      </c>
      <c r="B917" t="s">
        <v>578</v>
      </c>
      <c r="C917" t="s">
        <v>71</v>
      </c>
      <c r="D917" s="1">
        <v>44554</v>
      </c>
      <c r="E917">
        <v>10</v>
      </c>
      <c r="F917">
        <v>17.0263436638425</v>
      </c>
      <c r="G917" s="1">
        <v>44565</v>
      </c>
      <c r="H917" s="1">
        <v>44569</v>
      </c>
      <c r="I917">
        <v>170.26343663842499</v>
      </c>
      <c r="J917">
        <f t="shared" si="14"/>
        <v>4</v>
      </c>
    </row>
    <row r="918" spans="1:10" x14ac:dyDescent="0.25">
      <c r="A918" t="s">
        <v>1223</v>
      </c>
      <c r="B918" t="s">
        <v>326</v>
      </c>
      <c r="C918" t="s">
        <v>613</v>
      </c>
      <c r="D918" s="1">
        <v>44922</v>
      </c>
      <c r="E918">
        <v>12</v>
      </c>
      <c r="F918">
        <v>3.5016892831603199</v>
      </c>
      <c r="G918" s="1">
        <v>44933</v>
      </c>
      <c r="H918" s="1">
        <v>44938</v>
      </c>
      <c r="I918">
        <v>42.0202713979238</v>
      </c>
      <c r="J918">
        <f t="shared" si="14"/>
        <v>5</v>
      </c>
    </row>
    <row r="919" spans="1:10" x14ac:dyDescent="0.25">
      <c r="A919" t="s">
        <v>1224</v>
      </c>
      <c r="B919" t="s">
        <v>442</v>
      </c>
      <c r="C919" t="s">
        <v>17</v>
      </c>
      <c r="D919" s="1">
        <v>45126</v>
      </c>
      <c r="E919">
        <v>9</v>
      </c>
      <c r="F919">
        <v>21.251206661736202</v>
      </c>
      <c r="G919" s="1">
        <v>45149</v>
      </c>
      <c r="H919" s="1">
        <v>45147</v>
      </c>
      <c r="I919">
        <v>191.26085995562599</v>
      </c>
      <c r="J919">
        <f t="shared" si="14"/>
        <v>-2</v>
      </c>
    </row>
    <row r="920" spans="1:10" x14ac:dyDescent="0.25">
      <c r="A920" t="s">
        <v>1225</v>
      </c>
      <c r="B920" t="s">
        <v>216</v>
      </c>
      <c r="C920" t="s">
        <v>380</v>
      </c>
      <c r="D920" s="1">
        <v>44655</v>
      </c>
      <c r="E920">
        <v>15</v>
      </c>
      <c r="F920">
        <v>44.935074273495601</v>
      </c>
      <c r="G920" s="1">
        <v>44676</v>
      </c>
      <c r="H920" s="1">
        <v>44679</v>
      </c>
      <c r="I920">
        <v>674.02611410243503</v>
      </c>
      <c r="J920">
        <f t="shared" si="14"/>
        <v>3</v>
      </c>
    </row>
    <row r="921" spans="1:10" x14ac:dyDescent="0.25">
      <c r="A921" t="s">
        <v>1226</v>
      </c>
      <c r="B921" t="s">
        <v>61</v>
      </c>
      <c r="C921" t="s">
        <v>722</v>
      </c>
      <c r="D921" s="1">
        <v>44523</v>
      </c>
      <c r="E921">
        <v>18</v>
      </c>
      <c r="F921">
        <v>21.582095299403601</v>
      </c>
      <c r="G921" s="1">
        <v>44541</v>
      </c>
      <c r="H921" s="1">
        <v>44546</v>
      </c>
      <c r="I921">
        <v>388.47771538926497</v>
      </c>
      <c r="J921">
        <f t="shared" si="14"/>
        <v>5</v>
      </c>
    </row>
    <row r="922" spans="1:10" x14ac:dyDescent="0.25">
      <c r="A922" t="s">
        <v>1227</v>
      </c>
      <c r="B922" t="s">
        <v>240</v>
      </c>
      <c r="C922" t="s">
        <v>310</v>
      </c>
      <c r="D922" s="1">
        <v>45187</v>
      </c>
      <c r="E922">
        <v>12</v>
      </c>
      <c r="F922">
        <v>72.964698597219794</v>
      </c>
      <c r="G922" s="1">
        <v>45202</v>
      </c>
      <c r="H922" s="1">
        <v>45204</v>
      </c>
      <c r="I922">
        <v>875.57638316663702</v>
      </c>
      <c r="J922">
        <f t="shared" si="14"/>
        <v>2</v>
      </c>
    </row>
    <row r="923" spans="1:10" x14ac:dyDescent="0.25">
      <c r="A923" t="s">
        <v>1228</v>
      </c>
      <c r="B923" t="s">
        <v>314</v>
      </c>
      <c r="C923" t="s">
        <v>425</v>
      </c>
      <c r="D923" s="1">
        <v>45019</v>
      </c>
      <c r="E923">
        <v>13</v>
      </c>
      <c r="F923">
        <v>13.994869634427699</v>
      </c>
      <c r="G923" s="1">
        <v>45036</v>
      </c>
      <c r="H923" s="1">
        <v>45042</v>
      </c>
      <c r="I923">
        <v>181.93330524756001</v>
      </c>
      <c r="J923">
        <f t="shared" si="14"/>
        <v>6</v>
      </c>
    </row>
    <row r="924" spans="1:10" x14ac:dyDescent="0.25">
      <c r="A924" t="s">
        <v>1229</v>
      </c>
      <c r="B924" t="s">
        <v>13</v>
      </c>
      <c r="C924" t="s">
        <v>163</v>
      </c>
      <c r="D924" s="1">
        <v>45056</v>
      </c>
      <c r="E924">
        <v>12</v>
      </c>
      <c r="F924">
        <v>26.1267603526932</v>
      </c>
      <c r="G924" s="1">
        <v>45075</v>
      </c>
      <c r="H924" s="1">
        <v>45074</v>
      </c>
      <c r="I924">
        <v>313.52112423231802</v>
      </c>
      <c r="J924">
        <f t="shared" si="14"/>
        <v>-1</v>
      </c>
    </row>
    <row r="925" spans="1:10" x14ac:dyDescent="0.25">
      <c r="A925" t="s">
        <v>1230</v>
      </c>
      <c r="B925" t="s">
        <v>96</v>
      </c>
      <c r="C925" t="s">
        <v>228</v>
      </c>
      <c r="D925" s="1">
        <v>44435</v>
      </c>
      <c r="E925">
        <v>12</v>
      </c>
      <c r="F925">
        <v>66.139927810257106</v>
      </c>
      <c r="G925" s="1">
        <v>44458</v>
      </c>
      <c r="H925" s="1">
        <v>44459</v>
      </c>
      <c r="I925">
        <v>793.67913372308499</v>
      </c>
      <c r="J925">
        <f t="shared" si="14"/>
        <v>1</v>
      </c>
    </row>
    <row r="926" spans="1:10" x14ac:dyDescent="0.25">
      <c r="A926" t="s">
        <v>1231</v>
      </c>
      <c r="B926" t="s">
        <v>301</v>
      </c>
      <c r="C926" t="s">
        <v>20</v>
      </c>
      <c r="D926" s="1">
        <v>44541</v>
      </c>
      <c r="E926">
        <v>12</v>
      </c>
      <c r="F926">
        <v>54.3969375542029</v>
      </c>
      <c r="G926" s="1">
        <v>44562</v>
      </c>
      <c r="H926" s="1">
        <v>44567</v>
      </c>
      <c r="I926">
        <v>652.763250650435</v>
      </c>
      <c r="J926">
        <f t="shared" si="14"/>
        <v>5</v>
      </c>
    </row>
    <row r="927" spans="1:10" x14ac:dyDescent="0.25">
      <c r="A927" t="s">
        <v>1232</v>
      </c>
      <c r="B927" t="s">
        <v>556</v>
      </c>
      <c r="C927" t="s">
        <v>86</v>
      </c>
      <c r="D927" s="1">
        <v>44348</v>
      </c>
      <c r="E927">
        <v>9</v>
      </c>
      <c r="F927">
        <v>42.336624563572698</v>
      </c>
      <c r="G927" s="1">
        <v>44370</v>
      </c>
      <c r="H927" s="1">
        <v>44375</v>
      </c>
      <c r="I927">
        <v>381.02962107215399</v>
      </c>
      <c r="J927">
        <f t="shared" si="14"/>
        <v>5</v>
      </c>
    </row>
    <row r="928" spans="1:10" x14ac:dyDescent="0.25">
      <c r="A928" t="s">
        <v>1233</v>
      </c>
      <c r="B928" t="s">
        <v>198</v>
      </c>
      <c r="C928" t="s">
        <v>138</v>
      </c>
      <c r="D928" s="1">
        <v>44599</v>
      </c>
      <c r="E928">
        <v>11</v>
      </c>
      <c r="F928">
        <v>21.242869183196198</v>
      </c>
      <c r="G928" s="1">
        <v>44618</v>
      </c>
      <c r="H928" s="1">
        <v>44618</v>
      </c>
      <c r="I928">
        <v>233.67156101515801</v>
      </c>
      <c r="J928">
        <f t="shared" si="14"/>
        <v>0</v>
      </c>
    </row>
    <row r="929" spans="1:10" x14ac:dyDescent="0.25">
      <c r="A929" t="s">
        <v>1234</v>
      </c>
      <c r="B929" t="s">
        <v>13</v>
      </c>
      <c r="C929" t="s">
        <v>341</v>
      </c>
      <c r="D929" s="1">
        <v>44397</v>
      </c>
      <c r="E929">
        <v>8</v>
      </c>
      <c r="F929">
        <v>72.785943452896404</v>
      </c>
      <c r="G929" s="1">
        <v>44413</v>
      </c>
      <c r="H929" s="1">
        <v>44419</v>
      </c>
      <c r="I929">
        <v>582.28754762317101</v>
      </c>
      <c r="J929">
        <f t="shared" si="14"/>
        <v>6</v>
      </c>
    </row>
    <row r="930" spans="1:10" x14ac:dyDescent="0.25">
      <c r="A930" t="s">
        <v>1235</v>
      </c>
      <c r="B930" t="s">
        <v>61</v>
      </c>
      <c r="C930" t="s">
        <v>243</v>
      </c>
      <c r="D930" s="1">
        <v>44942</v>
      </c>
      <c r="E930">
        <v>13</v>
      </c>
      <c r="F930">
        <v>45.8455534159121</v>
      </c>
      <c r="G930" s="1">
        <v>44954</v>
      </c>
      <c r="H930" s="1">
        <v>44956</v>
      </c>
      <c r="I930">
        <v>595.99219440685704</v>
      </c>
      <c r="J930">
        <f t="shared" si="14"/>
        <v>2</v>
      </c>
    </row>
    <row r="931" spans="1:10" x14ac:dyDescent="0.25">
      <c r="A931" t="s">
        <v>1236</v>
      </c>
      <c r="B931" t="s">
        <v>475</v>
      </c>
      <c r="C931" t="s">
        <v>521</v>
      </c>
      <c r="D931" s="1">
        <v>45112</v>
      </c>
      <c r="E931">
        <v>10</v>
      </c>
      <c r="F931">
        <v>78.964114537796704</v>
      </c>
      <c r="G931" s="1">
        <v>45130</v>
      </c>
      <c r="H931" s="1">
        <v>45131</v>
      </c>
      <c r="I931">
        <v>789.64114537796695</v>
      </c>
      <c r="J931">
        <f t="shared" si="14"/>
        <v>1</v>
      </c>
    </row>
    <row r="932" spans="1:10" x14ac:dyDescent="0.25">
      <c r="A932" t="s">
        <v>1237</v>
      </c>
      <c r="B932" t="s">
        <v>293</v>
      </c>
      <c r="C932" t="s">
        <v>110</v>
      </c>
      <c r="D932" s="1">
        <v>44542</v>
      </c>
      <c r="E932">
        <v>17</v>
      </c>
      <c r="F932">
        <v>61.406988726185197</v>
      </c>
      <c r="G932" s="1">
        <v>44557</v>
      </c>
      <c r="H932" s="1">
        <v>44563</v>
      </c>
      <c r="I932">
        <v>1043.91880834514</v>
      </c>
      <c r="J932">
        <f t="shared" si="14"/>
        <v>6</v>
      </c>
    </row>
    <row r="933" spans="1:10" x14ac:dyDescent="0.25">
      <c r="A933" t="s">
        <v>1238</v>
      </c>
      <c r="B933" t="s">
        <v>751</v>
      </c>
      <c r="C933" t="s">
        <v>29</v>
      </c>
      <c r="D933" s="1">
        <v>44947</v>
      </c>
      <c r="E933">
        <v>14</v>
      </c>
      <c r="F933">
        <v>70.319145110742099</v>
      </c>
      <c r="G933" s="1">
        <v>44960</v>
      </c>
      <c r="H933" s="1">
        <v>44964</v>
      </c>
      <c r="I933">
        <v>984.46803155038901</v>
      </c>
      <c r="J933">
        <f t="shared" si="14"/>
        <v>4</v>
      </c>
    </row>
    <row r="934" spans="1:10" x14ac:dyDescent="0.25">
      <c r="A934" t="s">
        <v>1239</v>
      </c>
      <c r="B934" t="s">
        <v>121</v>
      </c>
      <c r="C934" t="s">
        <v>571</v>
      </c>
      <c r="D934" s="1">
        <v>45207</v>
      </c>
      <c r="E934">
        <v>13</v>
      </c>
      <c r="F934">
        <v>76.222684235277001</v>
      </c>
      <c r="G934" s="1">
        <v>45217</v>
      </c>
      <c r="H934" s="1">
        <v>45220</v>
      </c>
      <c r="I934">
        <v>990.89489505860195</v>
      </c>
      <c r="J934">
        <f t="shared" si="14"/>
        <v>3</v>
      </c>
    </row>
    <row r="935" spans="1:10" x14ac:dyDescent="0.25">
      <c r="A935" t="s">
        <v>1240</v>
      </c>
      <c r="B935" t="s">
        <v>205</v>
      </c>
      <c r="C935" t="s">
        <v>328</v>
      </c>
      <c r="D935" s="1">
        <v>44930</v>
      </c>
      <c r="E935">
        <v>6</v>
      </c>
      <c r="F935">
        <v>48.9609990193334</v>
      </c>
      <c r="G935" s="1">
        <v>44949</v>
      </c>
      <c r="H935" s="1">
        <v>44947</v>
      </c>
      <c r="I935">
        <v>293.765994116</v>
      </c>
      <c r="J935">
        <f t="shared" si="14"/>
        <v>-2</v>
      </c>
    </row>
    <row r="936" spans="1:10" x14ac:dyDescent="0.25">
      <c r="A936" t="s">
        <v>1241</v>
      </c>
      <c r="B936" t="s">
        <v>288</v>
      </c>
      <c r="C936" t="s">
        <v>763</v>
      </c>
      <c r="D936" s="1">
        <v>44431</v>
      </c>
      <c r="E936">
        <v>11</v>
      </c>
      <c r="F936">
        <v>46.801210101094597</v>
      </c>
      <c r="G936" s="1">
        <v>44446</v>
      </c>
      <c r="H936" s="1">
        <v>44446</v>
      </c>
      <c r="I936">
        <v>514.81331111204099</v>
      </c>
      <c r="J936">
        <f t="shared" si="14"/>
        <v>0</v>
      </c>
    </row>
    <row r="937" spans="1:10" x14ac:dyDescent="0.25">
      <c r="A937" t="s">
        <v>1242</v>
      </c>
      <c r="B937" t="s">
        <v>203</v>
      </c>
      <c r="C937" t="s">
        <v>77</v>
      </c>
      <c r="D937" s="1">
        <v>45272</v>
      </c>
      <c r="E937">
        <v>13</v>
      </c>
      <c r="F937">
        <v>50.569539994648103</v>
      </c>
      <c r="G937" s="1">
        <v>45293</v>
      </c>
      <c r="H937" s="1">
        <v>45290</v>
      </c>
      <c r="I937">
        <v>657.40401993042497</v>
      </c>
      <c r="J937">
        <f t="shared" si="14"/>
        <v>-3</v>
      </c>
    </row>
    <row r="938" spans="1:10" x14ac:dyDescent="0.25">
      <c r="A938" t="s">
        <v>1243</v>
      </c>
      <c r="B938" t="s">
        <v>267</v>
      </c>
      <c r="C938" t="s">
        <v>623</v>
      </c>
      <c r="D938" s="1">
        <v>45354</v>
      </c>
      <c r="E938">
        <v>10</v>
      </c>
      <c r="F938">
        <v>39.331025244566298</v>
      </c>
      <c r="G938" s="1">
        <v>45368</v>
      </c>
      <c r="H938" s="1">
        <v>45372</v>
      </c>
      <c r="I938">
        <v>393.31025244566302</v>
      </c>
      <c r="J938">
        <f t="shared" si="14"/>
        <v>4</v>
      </c>
    </row>
    <row r="939" spans="1:10" x14ac:dyDescent="0.25">
      <c r="A939" t="s">
        <v>1244</v>
      </c>
      <c r="B939" t="s">
        <v>114</v>
      </c>
      <c r="C939" t="s">
        <v>413</v>
      </c>
      <c r="D939" s="1">
        <v>44788</v>
      </c>
      <c r="E939">
        <v>6</v>
      </c>
      <c r="F939">
        <v>44.349199773461201</v>
      </c>
      <c r="G939" s="1">
        <v>44798</v>
      </c>
      <c r="H939" s="1">
        <v>44796</v>
      </c>
      <c r="I939">
        <v>266.09519864076702</v>
      </c>
      <c r="J939">
        <f t="shared" si="14"/>
        <v>-2</v>
      </c>
    </row>
    <row r="940" spans="1:10" x14ac:dyDescent="0.25">
      <c r="A940" t="s">
        <v>1245</v>
      </c>
      <c r="B940" t="s">
        <v>109</v>
      </c>
      <c r="C940" t="s">
        <v>32</v>
      </c>
      <c r="D940" s="1">
        <v>45377</v>
      </c>
      <c r="E940">
        <v>17</v>
      </c>
      <c r="F940">
        <v>33.598397872828002</v>
      </c>
      <c r="G940" s="1">
        <v>45395</v>
      </c>
      <c r="H940" s="1">
        <v>45392</v>
      </c>
      <c r="I940">
        <v>571.17276383807598</v>
      </c>
      <c r="J940">
        <f t="shared" si="14"/>
        <v>-3</v>
      </c>
    </row>
    <row r="941" spans="1:10" x14ac:dyDescent="0.25">
      <c r="A941" t="s">
        <v>1246</v>
      </c>
      <c r="B941" t="s">
        <v>49</v>
      </c>
      <c r="C941" t="s">
        <v>272</v>
      </c>
      <c r="D941" s="1">
        <v>45291</v>
      </c>
      <c r="E941">
        <v>10</v>
      </c>
      <c r="F941">
        <v>53.590475238840902</v>
      </c>
      <c r="G941" s="1">
        <v>45307</v>
      </c>
      <c r="H941" s="1">
        <v>45305</v>
      </c>
      <c r="I941">
        <v>535.90475238840895</v>
      </c>
      <c r="J941">
        <f t="shared" si="14"/>
        <v>-2</v>
      </c>
    </row>
    <row r="942" spans="1:10" x14ac:dyDescent="0.25">
      <c r="A942" t="s">
        <v>1247</v>
      </c>
      <c r="B942" t="s">
        <v>169</v>
      </c>
      <c r="C942" t="s">
        <v>383</v>
      </c>
      <c r="D942" s="1">
        <v>44388</v>
      </c>
      <c r="E942">
        <v>13</v>
      </c>
      <c r="F942">
        <v>19.7974276515348</v>
      </c>
      <c r="G942" s="1">
        <v>44398</v>
      </c>
      <c r="H942" s="1">
        <v>44402</v>
      </c>
      <c r="I942">
        <v>257.36655946995199</v>
      </c>
      <c r="J942">
        <f t="shared" si="14"/>
        <v>4</v>
      </c>
    </row>
    <row r="943" spans="1:10" x14ac:dyDescent="0.25">
      <c r="A943" t="s">
        <v>1248</v>
      </c>
      <c r="B943" t="s">
        <v>174</v>
      </c>
      <c r="C943" t="s">
        <v>230</v>
      </c>
      <c r="D943" s="1">
        <v>45313</v>
      </c>
      <c r="E943">
        <v>5</v>
      </c>
      <c r="F943">
        <v>57.656715960264002</v>
      </c>
      <c r="G943" s="1">
        <v>45334</v>
      </c>
      <c r="H943" s="1">
        <v>45339</v>
      </c>
      <c r="I943">
        <v>288.28357980132</v>
      </c>
      <c r="J943">
        <f t="shared" si="14"/>
        <v>5</v>
      </c>
    </row>
    <row r="944" spans="1:10" x14ac:dyDescent="0.25">
      <c r="A944" t="s">
        <v>1249</v>
      </c>
      <c r="B944" t="s">
        <v>25</v>
      </c>
      <c r="C944" t="s">
        <v>59</v>
      </c>
      <c r="D944" s="1">
        <v>44626</v>
      </c>
      <c r="E944">
        <v>9</v>
      </c>
      <c r="F944">
        <v>24.396748536321098</v>
      </c>
      <c r="G944" s="1">
        <v>44649</v>
      </c>
      <c r="H944" s="1">
        <v>44647</v>
      </c>
      <c r="I944">
        <v>219.57073682689</v>
      </c>
      <c r="J944">
        <f t="shared" si="14"/>
        <v>-2</v>
      </c>
    </row>
    <row r="945" spans="1:10" x14ac:dyDescent="0.25">
      <c r="A945" t="s">
        <v>1250</v>
      </c>
      <c r="B945" t="s">
        <v>88</v>
      </c>
      <c r="C945" t="s">
        <v>514</v>
      </c>
      <c r="D945" s="1">
        <v>44767</v>
      </c>
      <c r="E945">
        <v>9</v>
      </c>
      <c r="F945">
        <v>12.5441239764553</v>
      </c>
      <c r="G945" s="1">
        <v>44785</v>
      </c>
      <c r="H945" s="1">
        <v>44791</v>
      </c>
      <c r="I945">
        <v>112.897115788097</v>
      </c>
      <c r="J945">
        <f t="shared" si="14"/>
        <v>6</v>
      </c>
    </row>
    <row r="946" spans="1:10" x14ac:dyDescent="0.25">
      <c r="A946" t="s">
        <v>1251</v>
      </c>
      <c r="B946" t="s">
        <v>176</v>
      </c>
      <c r="C946" t="s">
        <v>274</v>
      </c>
      <c r="D946" s="1">
        <v>45222</v>
      </c>
      <c r="E946">
        <v>19</v>
      </c>
      <c r="F946">
        <v>50.916990371373601</v>
      </c>
      <c r="G946" s="1">
        <v>45237</v>
      </c>
      <c r="H946" s="1">
        <v>45236</v>
      </c>
      <c r="I946">
        <v>967.42281705609901</v>
      </c>
      <c r="J946">
        <f t="shared" si="14"/>
        <v>-1</v>
      </c>
    </row>
    <row r="947" spans="1:10" x14ac:dyDescent="0.25">
      <c r="A947" t="s">
        <v>1252</v>
      </c>
      <c r="B947" t="s">
        <v>157</v>
      </c>
      <c r="C947" t="s">
        <v>53</v>
      </c>
      <c r="D947" s="1">
        <v>45165</v>
      </c>
      <c r="E947">
        <v>16</v>
      </c>
      <c r="F947">
        <v>65.253314613269396</v>
      </c>
      <c r="G947" s="1">
        <v>45178</v>
      </c>
      <c r="H947" s="1">
        <v>45179</v>
      </c>
      <c r="I947">
        <v>1044.0530338123101</v>
      </c>
      <c r="J947">
        <f t="shared" si="14"/>
        <v>1</v>
      </c>
    </row>
    <row r="948" spans="1:10" x14ac:dyDescent="0.25">
      <c r="A948" t="s">
        <v>1253</v>
      </c>
      <c r="B948" t="s">
        <v>442</v>
      </c>
      <c r="C948" t="s">
        <v>158</v>
      </c>
      <c r="D948" s="1">
        <v>44656</v>
      </c>
      <c r="E948">
        <v>12</v>
      </c>
      <c r="F948">
        <v>31.600644196205401</v>
      </c>
      <c r="G948" s="1">
        <v>44680</v>
      </c>
      <c r="H948" s="1">
        <v>44684</v>
      </c>
      <c r="I948">
        <v>379.20773035446501</v>
      </c>
      <c r="J948">
        <f t="shared" si="14"/>
        <v>4</v>
      </c>
    </row>
    <row r="949" spans="1:10" x14ac:dyDescent="0.25">
      <c r="A949" t="s">
        <v>1254</v>
      </c>
      <c r="B949" t="s">
        <v>578</v>
      </c>
      <c r="C949" t="s">
        <v>187</v>
      </c>
      <c r="D949" s="1">
        <v>44778</v>
      </c>
      <c r="E949">
        <v>16</v>
      </c>
      <c r="F949">
        <v>44.121188608549502</v>
      </c>
      <c r="G949" s="1">
        <v>44802</v>
      </c>
      <c r="H949" s="1">
        <v>44803</v>
      </c>
      <c r="I949">
        <v>705.93901773679204</v>
      </c>
      <c r="J949">
        <f t="shared" si="14"/>
        <v>1</v>
      </c>
    </row>
    <row r="950" spans="1:10" x14ac:dyDescent="0.25">
      <c r="A950" t="s">
        <v>1255</v>
      </c>
      <c r="B950" t="s">
        <v>160</v>
      </c>
      <c r="C950" t="s">
        <v>270</v>
      </c>
      <c r="D950" s="1">
        <v>44493</v>
      </c>
      <c r="E950">
        <v>12</v>
      </c>
      <c r="F950">
        <v>77.714743876006906</v>
      </c>
      <c r="G950" s="1">
        <v>44509</v>
      </c>
      <c r="H950" s="1">
        <v>44515</v>
      </c>
      <c r="I950">
        <v>932.57692651208299</v>
      </c>
      <c r="J950">
        <f t="shared" si="14"/>
        <v>6</v>
      </c>
    </row>
    <row r="951" spans="1:10" x14ac:dyDescent="0.25">
      <c r="A951" t="s">
        <v>1256</v>
      </c>
      <c r="B951" t="s">
        <v>40</v>
      </c>
      <c r="C951" t="s">
        <v>391</v>
      </c>
      <c r="D951" s="1">
        <v>45377</v>
      </c>
      <c r="E951">
        <v>8</v>
      </c>
      <c r="F951">
        <v>32.982414131690298</v>
      </c>
      <c r="G951" s="1">
        <v>45390</v>
      </c>
      <c r="H951" s="1">
        <v>45387</v>
      </c>
      <c r="I951">
        <v>263.85931305352199</v>
      </c>
      <c r="J951">
        <f t="shared" si="14"/>
        <v>-3</v>
      </c>
    </row>
    <row r="952" spans="1:10" x14ac:dyDescent="0.25">
      <c r="A952" t="s">
        <v>1257</v>
      </c>
      <c r="B952" t="s">
        <v>186</v>
      </c>
      <c r="C952" t="s">
        <v>251</v>
      </c>
      <c r="D952" s="1">
        <v>45010</v>
      </c>
      <c r="E952">
        <v>12</v>
      </c>
      <c r="F952">
        <v>10.7378160208536</v>
      </c>
      <c r="G952" s="1">
        <v>45032</v>
      </c>
      <c r="H952" s="1">
        <v>45031</v>
      </c>
      <c r="I952">
        <v>128.853792250243</v>
      </c>
      <c r="J952">
        <f t="shared" si="14"/>
        <v>-1</v>
      </c>
    </row>
    <row r="953" spans="1:10" x14ac:dyDescent="0.25">
      <c r="A953" t="s">
        <v>1258</v>
      </c>
      <c r="B953" t="s">
        <v>34</v>
      </c>
      <c r="C953" t="s">
        <v>1259</v>
      </c>
      <c r="D953" s="1">
        <v>44291</v>
      </c>
      <c r="E953">
        <v>15</v>
      </c>
      <c r="F953">
        <v>18.773070274429401</v>
      </c>
      <c r="G953" s="1">
        <v>44305</v>
      </c>
      <c r="H953" s="1">
        <v>44308</v>
      </c>
      <c r="I953">
        <v>281.596054116441</v>
      </c>
      <c r="J953">
        <f t="shared" si="14"/>
        <v>3</v>
      </c>
    </row>
    <row r="954" spans="1:10" x14ac:dyDescent="0.25">
      <c r="A954" t="s">
        <v>1260</v>
      </c>
      <c r="B954" t="s">
        <v>104</v>
      </c>
      <c r="C954" t="s">
        <v>498</v>
      </c>
      <c r="D954" s="1">
        <v>44949</v>
      </c>
      <c r="E954">
        <v>9</v>
      </c>
      <c r="F954">
        <v>75.9848315865122</v>
      </c>
      <c r="G954" s="1">
        <v>44973</v>
      </c>
      <c r="H954" s="1">
        <v>44971</v>
      </c>
      <c r="I954">
        <v>683.86348427861003</v>
      </c>
      <c r="J954">
        <f t="shared" si="14"/>
        <v>-2</v>
      </c>
    </row>
    <row r="955" spans="1:10" x14ac:dyDescent="0.25">
      <c r="A955" t="s">
        <v>1261</v>
      </c>
      <c r="B955" t="s">
        <v>85</v>
      </c>
      <c r="C955" t="s">
        <v>470</v>
      </c>
      <c r="D955" s="1">
        <v>44621</v>
      </c>
      <c r="E955">
        <v>14</v>
      </c>
      <c r="F955">
        <v>30.580378138631399</v>
      </c>
      <c r="G955" s="1">
        <v>44637</v>
      </c>
      <c r="H955" s="1">
        <v>44640</v>
      </c>
      <c r="I955">
        <v>428.12529394083998</v>
      </c>
      <c r="J955">
        <f t="shared" si="14"/>
        <v>3</v>
      </c>
    </row>
    <row r="956" spans="1:10" x14ac:dyDescent="0.25">
      <c r="A956" t="s">
        <v>1262</v>
      </c>
      <c r="B956" t="s">
        <v>91</v>
      </c>
      <c r="C956" t="s">
        <v>341</v>
      </c>
      <c r="D956" s="1">
        <v>45318</v>
      </c>
      <c r="E956">
        <v>10</v>
      </c>
      <c r="F956">
        <v>58.601602282276097</v>
      </c>
      <c r="G956" s="1">
        <v>45341</v>
      </c>
      <c r="H956" s="1">
        <v>45340</v>
      </c>
      <c r="I956">
        <v>586.01602282276099</v>
      </c>
      <c r="J956">
        <f t="shared" si="14"/>
        <v>-1</v>
      </c>
    </row>
    <row r="957" spans="1:10" x14ac:dyDescent="0.25">
      <c r="A957" t="s">
        <v>1263</v>
      </c>
      <c r="B957" t="s">
        <v>160</v>
      </c>
      <c r="C957" t="s">
        <v>182</v>
      </c>
      <c r="D957" s="1">
        <v>44297</v>
      </c>
      <c r="E957">
        <v>16</v>
      </c>
      <c r="F957">
        <v>42.0015463614046</v>
      </c>
      <c r="G957" s="1">
        <v>44308</v>
      </c>
      <c r="H957" s="1">
        <v>44307</v>
      </c>
      <c r="I957">
        <v>672.02474178247405</v>
      </c>
      <c r="J957">
        <f t="shared" si="14"/>
        <v>-1</v>
      </c>
    </row>
    <row r="958" spans="1:10" x14ac:dyDescent="0.25">
      <c r="A958" t="s">
        <v>1264</v>
      </c>
      <c r="B958" t="s">
        <v>399</v>
      </c>
      <c r="C958" t="s">
        <v>38</v>
      </c>
      <c r="D958" s="1">
        <v>44438</v>
      </c>
      <c r="E958">
        <v>12</v>
      </c>
      <c r="F958">
        <v>43.451556839904299</v>
      </c>
      <c r="G958" s="1">
        <v>44457</v>
      </c>
      <c r="H958" s="1">
        <v>44462</v>
      </c>
      <c r="I958">
        <v>521.41868207885102</v>
      </c>
      <c r="J958">
        <f t="shared" si="14"/>
        <v>5</v>
      </c>
    </row>
    <row r="959" spans="1:10" x14ac:dyDescent="0.25">
      <c r="A959" t="s">
        <v>1265</v>
      </c>
      <c r="B959" t="s">
        <v>751</v>
      </c>
      <c r="C959" t="s">
        <v>600</v>
      </c>
      <c r="D959" s="1">
        <v>44690</v>
      </c>
      <c r="E959">
        <v>11</v>
      </c>
      <c r="F959">
        <v>13.6391232988671</v>
      </c>
      <c r="G959" s="1">
        <v>44700</v>
      </c>
      <c r="H959" s="1">
        <v>44702</v>
      </c>
      <c r="I959">
        <v>150.03035628753801</v>
      </c>
      <c r="J959">
        <f t="shared" si="14"/>
        <v>2</v>
      </c>
    </row>
    <row r="960" spans="1:10" x14ac:dyDescent="0.25">
      <c r="A960" t="s">
        <v>1266</v>
      </c>
      <c r="B960" t="s">
        <v>154</v>
      </c>
      <c r="C960" t="s">
        <v>527</v>
      </c>
      <c r="D960" s="1">
        <v>44600</v>
      </c>
      <c r="E960">
        <v>19</v>
      </c>
      <c r="F960">
        <v>17.5238950156394</v>
      </c>
      <c r="G960" s="1">
        <v>44623</v>
      </c>
      <c r="H960" s="1">
        <v>44626</v>
      </c>
      <c r="I960">
        <v>332.95400529714999</v>
      </c>
      <c r="J960">
        <f t="shared" si="14"/>
        <v>3</v>
      </c>
    </row>
    <row r="961" spans="1:10" x14ac:dyDescent="0.25">
      <c r="A961" t="s">
        <v>1267</v>
      </c>
      <c r="B961" t="s">
        <v>751</v>
      </c>
      <c r="C961" t="s">
        <v>400</v>
      </c>
      <c r="D961" s="1">
        <v>44414</v>
      </c>
      <c r="E961">
        <v>14</v>
      </c>
      <c r="F961">
        <v>24.666606330173799</v>
      </c>
      <c r="G961" s="1">
        <v>44437</v>
      </c>
      <c r="H961" s="1">
        <v>44439</v>
      </c>
      <c r="I961">
        <v>345.332488622433</v>
      </c>
      <c r="J961">
        <f t="shared" si="14"/>
        <v>2</v>
      </c>
    </row>
    <row r="962" spans="1:10" x14ac:dyDescent="0.25">
      <c r="A962" t="s">
        <v>1268</v>
      </c>
      <c r="B962" t="s">
        <v>253</v>
      </c>
      <c r="C962" t="s">
        <v>102</v>
      </c>
      <c r="D962" s="1">
        <v>44646</v>
      </c>
      <c r="E962">
        <v>5</v>
      </c>
      <c r="F962">
        <v>18.314183821372801</v>
      </c>
      <c r="G962" s="1">
        <v>44667</v>
      </c>
      <c r="H962" s="1">
        <v>44666</v>
      </c>
      <c r="I962">
        <v>91.570919106864295</v>
      </c>
      <c r="J962">
        <f t="shared" si="14"/>
        <v>-1</v>
      </c>
    </row>
    <row r="963" spans="1:10" x14ac:dyDescent="0.25">
      <c r="A963" t="s">
        <v>1269</v>
      </c>
      <c r="B963" t="s">
        <v>52</v>
      </c>
      <c r="C963" t="s">
        <v>370</v>
      </c>
      <c r="D963" s="1">
        <v>44506</v>
      </c>
      <c r="E963">
        <v>7</v>
      </c>
      <c r="F963">
        <v>53.765544813275604</v>
      </c>
      <c r="G963" s="1">
        <v>44527</v>
      </c>
      <c r="H963" s="1">
        <v>44525</v>
      </c>
      <c r="I963">
        <v>376.358813692929</v>
      </c>
      <c r="J963">
        <f t="shared" ref="J963:J1026" si="15">H963-G963</f>
        <v>-2</v>
      </c>
    </row>
    <row r="964" spans="1:10" x14ac:dyDescent="0.25">
      <c r="A964" t="s">
        <v>1270</v>
      </c>
      <c r="B964" t="s">
        <v>198</v>
      </c>
      <c r="C964" t="s">
        <v>795</v>
      </c>
      <c r="D964" s="1">
        <v>44498</v>
      </c>
      <c r="E964">
        <v>8</v>
      </c>
      <c r="F964">
        <v>42.674073886715099</v>
      </c>
      <c r="G964" s="1">
        <v>44508</v>
      </c>
      <c r="H964" s="1">
        <v>44509</v>
      </c>
      <c r="I964">
        <v>341.39259109372102</v>
      </c>
      <c r="J964">
        <f t="shared" si="15"/>
        <v>1</v>
      </c>
    </row>
    <row r="965" spans="1:10" x14ac:dyDescent="0.25">
      <c r="A965" t="s">
        <v>1271</v>
      </c>
      <c r="B965" t="s">
        <v>55</v>
      </c>
      <c r="C965" t="s">
        <v>543</v>
      </c>
      <c r="D965" s="1">
        <v>44664</v>
      </c>
      <c r="E965">
        <v>14</v>
      </c>
      <c r="F965">
        <v>57.546394598965897</v>
      </c>
      <c r="G965" s="1">
        <v>44684</v>
      </c>
      <c r="H965" s="1">
        <v>44689</v>
      </c>
      <c r="I965">
        <v>805.649524385522</v>
      </c>
      <c r="J965">
        <f t="shared" si="15"/>
        <v>5</v>
      </c>
    </row>
    <row r="966" spans="1:10" x14ac:dyDescent="0.25">
      <c r="A966" t="s">
        <v>1272</v>
      </c>
      <c r="B966" t="s">
        <v>76</v>
      </c>
      <c r="C966" t="s">
        <v>100</v>
      </c>
      <c r="D966" s="1">
        <v>44885</v>
      </c>
      <c r="E966">
        <v>11</v>
      </c>
      <c r="F966">
        <v>22.324946433615199</v>
      </c>
      <c r="G966" s="1">
        <v>44909</v>
      </c>
      <c r="H966" s="1">
        <v>44915</v>
      </c>
      <c r="I966">
        <v>245.57441076976701</v>
      </c>
      <c r="J966">
        <f t="shared" si="15"/>
        <v>6</v>
      </c>
    </row>
    <row r="967" spans="1:10" x14ac:dyDescent="0.25">
      <c r="A967" t="s">
        <v>1273</v>
      </c>
      <c r="B967" t="s">
        <v>58</v>
      </c>
      <c r="C967" t="s">
        <v>97</v>
      </c>
      <c r="D967" s="1">
        <v>44731</v>
      </c>
      <c r="E967">
        <v>11</v>
      </c>
      <c r="F967">
        <v>8.9325810099818899</v>
      </c>
      <c r="G967" s="1">
        <v>44753</v>
      </c>
      <c r="H967" s="1">
        <v>44753</v>
      </c>
      <c r="I967">
        <v>98.258391109800797</v>
      </c>
      <c r="J967">
        <f t="shared" si="15"/>
        <v>0</v>
      </c>
    </row>
    <row r="968" spans="1:10" x14ac:dyDescent="0.25">
      <c r="A968" t="s">
        <v>1274</v>
      </c>
      <c r="B968" t="s">
        <v>37</v>
      </c>
      <c r="C968" t="s">
        <v>97</v>
      </c>
      <c r="D968" s="1">
        <v>44850</v>
      </c>
      <c r="E968">
        <v>11</v>
      </c>
      <c r="F968">
        <v>69.149497454998397</v>
      </c>
      <c r="G968" s="1">
        <v>44863</v>
      </c>
      <c r="H968" s="1">
        <v>44866</v>
      </c>
      <c r="I968">
        <v>760.64447200498296</v>
      </c>
      <c r="J968">
        <f t="shared" si="15"/>
        <v>3</v>
      </c>
    </row>
    <row r="969" spans="1:10" x14ac:dyDescent="0.25">
      <c r="A969" t="s">
        <v>1275</v>
      </c>
      <c r="B969" t="s">
        <v>43</v>
      </c>
      <c r="C969" t="s">
        <v>20</v>
      </c>
      <c r="D969" s="1">
        <v>44402</v>
      </c>
      <c r="E969">
        <v>11</v>
      </c>
      <c r="F969">
        <v>55.412622053014097</v>
      </c>
      <c r="G969" s="1">
        <v>44421</v>
      </c>
      <c r="H969" s="1">
        <v>44423</v>
      </c>
      <c r="I969">
        <v>609.53884258315497</v>
      </c>
      <c r="J969">
        <f t="shared" si="15"/>
        <v>2</v>
      </c>
    </row>
    <row r="970" spans="1:10" x14ac:dyDescent="0.25">
      <c r="A970" t="s">
        <v>1276</v>
      </c>
      <c r="B970" t="s">
        <v>124</v>
      </c>
      <c r="C970" t="s">
        <v>224</v>
      </c>
      <c r="D970" s="1">
        <v>44448</v>
      </c>
      <c r="E970">
        <v>13</v>
      </c>
      <c r="F970">
        <v>72.456000530530702</v>
      </c>
      <c r="G970" s="1">
        <v>44472</v>
      </c>
      <c r="H970" s="1">
        <v>44469</v>
      </c>
      <c r="I970">
        <v>941.92800689689898</v>
      </c>
      <c r="J970">
        <f t="shared" si="15"/>
        <v>-3</v>
      </c>
    </row>
    <row r="971" spans="1:10" x14ac:dyDescent="0.25">
      <c r="A971" t="s">
        <v>1277</v>
      </c>
      <c r="B971" t="s">
        <v>451</v>
      </c>
      <c r="C971" t="s">
        <v>664</v>
      </c>
      <c r="D971" s="1">
        <v>44847</v>
      </c>
      <c r="E971">
        <v>16</v>
      </c>
      <c r="F971">
        <v>23.453692128211099</v>
      </c>
      <c r="G971" s="1">
        <v>44867</v>
      </c>
      <c r="H971" s="1">
        <v>44872</v>
      </c>
      <c r="I971">
        <v>375.25907405137798</v>
      </c>
      <c r="J971">
        <f t="shared" si="15"/>
        <v>5</v>
      </c>
    </row>
    <row r="972" spans="1:10" x14ac:dyDescent="0.25">
      <c r="A972" t="s">
        <v>1278</v>
      </c>
      <c r="B972" t="s">
        <v>160</v>
      </c>
      <c r="C972" t="s">
        <v>83</v>
      </c>
      <c r="D972" s="1">
        <v>44298</v>
      </c>
      <c r="E972">
        <v>12</v>
      </c>
      <c r="F972">
        <v>47.1768713106215</v>
      </c>
      <c r="G972" s="1">
        <v>44311</v>
      </c>
      <c r="H972" s="1">
        <v>44309</v>
      </c>
      <c r="I972">
        <v>566.12245572745803</v>
      </c>
      <c r="J972">
        <f t="shared" si="15"/>
        <v>-2</v>
      </c>
    </row>
    <row r="973" spans="1:10" x14ac:dyDescent="0.25">
      <c r="A973" t="s">
        <v>1279</v>
      </c>
      <c r="B973" t="s">
        <v>13</v>
      </c>
      <c r="C973" t="s">
        <v>540</v>
      </c>
      <c r="D973" s="1">
        <v>44269</v>
      </c>
      <c r="E973">
        <v>14</v>
      </c>
      <c r="F973">
        <v>35.709385557864898</v>
      </c>
      <c r="G973" s="1">
        <v>44283</v>
      </c>
      <c r="H973" s="1">
        <v>44285</v>
      </c>
      <c r="I973">
        <v>499.93139781010802</v>
      </c>
      <c r="J973">
        <f t="shared" si="15"/>
        <v>2</v>
      </c>
    </row>
    <row r="974" spans="1:10" x14ac:dyDescent="0.25">
      <c r="A974" t="s">
        <v>1280</v>
      </c>
      <c r="B974" t="s">
        <v>314</v>
      </c>
      <c r="C974" t="s">
        <v>312</v>
      </c>
      <c r="D974" s="1">
        <v>44820</v>
      </c>
      <c r="E974">
        <v>10</v>
      </c>
      <c r="F974">
        <v>47.7364449868723</v>
      </c>
      <c r="G974" s="1">
        <v>44836</v>
      </c>
      <c r="H974" s="1">
        <v>44839</v>
      </c>
      <c r="I974">
        <v>477.364449868723</v>
      </c>
      <c r="J974">
        <f t="shared" si="15"/>
        <v>3</v>
      </c>
    </row>
    <row r="975" spans="1:10" x14ac:dyDescent="0.25">
      <c r="A975" t="s">
        <v>1281</v>
      </c>
      <c r="B975" t="s">
        <v>58</v>
      </c>
      <c r="C975" t="s">
        <v>17</v>
      </c>
      <c r="D975" s="1">
        <v>45286</v>
      </c>
      <c r="E975">
        <v>14</v>
      </c>
      <c r="F975">
        <v>16.5109485208107</v>
      </c>
      <c r="G975" s="1">
        <v>45310</v>
      </c>
      <c r="H975" s="1">
        <v>45315</v>
      </c>
      <c r="I975">
        <v>231.15327929135</v>
      </c>
      <c r="J975">
        <f t="shared" si="15"/>
        <v>5</v>
      </c>
    </row>
    <row r="976" spans="1:10" x14ac:dyDescent="0.25">
      <c r="A976" t="s">
        <v>1282</v>
      </c>
      <c r="B976" t="s">
        <v>186</v>
      </c>
      <c r="C976" t="s">
        <v>117</v>
      </c>
      <c r="D976" s="1">
        <v>45009</v>
      </c>
      <c r="E976">
        <v>8</v>
      </c>
      <c r="F976">
        <v>61.853906661144201</v>
      </c>
      <c r="G976" s="1">
        <v>45024</v>
      </c>
      <c r="H976" s="1">
        <v>45029</v>
      </c>
      <c r="I976">
        <v>494.83125328915298</v>
      </c>
      <c r="J976">
        <f t="shared" si="15"/>
        <v>5</v>
      </c>
    </row>
    <row r="977" spans="1:10" x14ac:dyDescent="0.25">
      <c r="A977" t="s">
        <v>1283</v>
      </c>
      <c r="B977" t="s">
        <v>394</v>
      </c>
      <c r="C977" t="s">
        <v>418</v>
      </c>
      <c r="D977" s="1">
        <v>45270</v>
      </c>
      <c r="E977">
        <v>15</v>
      </c>
      <c r="F977">
        <v>7.6295519009686901</v>
      </c>
      <c r="G977" s="1">
        <v>45282</v>
      </c>
      <c r="H977" s="1">
        <v>45283</v>
      </c>
      <c r="I977">
        <v>114.44327851452999</v>
      </c>
      <c r="J977">
        <f t="shared" si="15"/>
        <v>1</v>
      </c>
    </row>
    <row r="978" spans="1:10" x14ac:dyDescent="0.25">
      <c r="A978" t="s">
        <v>1284</v>
      </c>
      <c r="B978" t="s">
        <v>121</v>
      </c>
      <c r="C978" t="s">
        <v>425</v>
      </c>
      <c r="D978" s="1">
        <v>45108</v>
      </c>
      <c r="E978">
        <v>9</v>
      </c>
      <c r="F978">
        <v>60.617780108022501</v>
      </c>
      <c r="G978" s="1">
        <v>45131</v>
      </c>
      <c r="H978" s="1">
        <v>45137</v>
      </c>
      <c r="I978">
        <v>545.56002097220301</v>
      </c>
      <c r="J978">
        <f t="shared" si="15"/>
        <v>6</v>
      </c>
    </row>
    <row r="979" spans="1:10" x14ac:dyDescent="0.25">
      <c r="A979" t="s">
        <v>1285</v>
      </c>
      <c r="B979" t="s">
        <v>369</v>
      </c>
      <c r="C979" t="s">
        <v>100</v>
      </c>
      <c r="D979" s="1">
        <v>44592</v>
      </c>
      <c r="E979">
        <v>14</v>
      </c>
      <c r="F979">
        <v>48.687394948499097</v>
      </c>
      <c r="G979" s="1">
        <v>44604</v>
      </c>
      <c r="H979" s="1">
        <v>44610</v>
      </c>
      <c r="I979">
        <v>681.62352927898803</v>
      </c>
      <c r="J979">
        <f t="shared" si="15"/>
        <v>6</v>
      </c>
    </row>
    <row r="980" spans="1:10" x14ac:dyDescent="0.25">
      <c r="A980" t="s">
        <v>1286</v>
      </c>
      <c r="B980" t="s">
        <v>70</v>
      </c>
      <c r="C980" t="s">
        <v>792</v>
      </c>
      <c r="D980" s="1">
        <v>44798</v>
      </c>
      <c r="E980">
        <v>14</v>
      </c>
      <c r="F980">
        <v>17.5636955985809</v>
      </c>
      <c r="G980" s="1">
        <v>44815</v>
      </c>
      <c r="H980" s="1">
        <v>44815</v>
      </c>
      <c r="I980">
        <v>245.89173838013301</v>
      </c>
      <c r="J980">
        <f t="shared" si="15"/>
        <v>0</v>
      </c>
    </row>
    <row r="981" spans="1:10" x14ac:dyDescent="0.25">
      <c r="A981" t="s">
        <v>1287</v>
      </c>
      <c r="B981" t="s">
        <v>37</v>
      </c>
      <c r="C981" t="s">
        <v>432</v>
      </c>
      <c r="D981" s="1">
        <v>44948</v>
      </c>
      <c r="E981">
        <v>10</v>
      </c>
      <c r="F981">
        <v>6.5956658913746997</v>
      </c>
      <c r="G981" s="1">
        <v>44968</v>
      </c>
      <c r="H981" s="1">
        <v>44965</v>
      </c>
      <c r="I981">
        <v>65.956658913747006</v>
      </c>
      <c r="J981">
        <f t="shared" si="15"/>
        <v>-3</v>
      </c>
    </row>
    <row r="982" spans="1:10" x14ac:dyDescent="0.25">
      <c r="A982" t="s">
        <v>1288</v>
      </c>
      <c r="B982" t="s">
        <v>124</v>
      </c>
      <c r="C982" t="s">
        <v>344</v>
      </c>
      <c r="D982" s="1">
        <v>45385</v>
      </c>
      <c r="E982">
        <v>8</v>
      </c>
      <c r="F982">
        <v>61.003926724613798</v>
      </c>
      <c r="G982" s="1">
        <v>45408</v>
      </c>
      <c r="H982" s="1">
        <v>45407</v>
      </c>
      <c r="I982">
        <v>488.03141379690999</v>
      </c>
      <c r="J982">
        <f t="shared" si="15"/>
        <v>-1</v>
      </c>
    </row>
    <row r="983" spans="1:10" x14ac:dyDescent="0.25">
      <c r="A983" t="s">
        <v>1289</v>
      </c>
      <c r="B983" t="s">
        <v>114</v>
      </c>
      <c r="C983" t="s">
        <v>276</v>
      </c>
      <c r="D983" s="1">
        <v>44707</v>
      </c>
      <c r="E983">
        <v>17</v>
      </c>
      <c r="F983">
        <v>14.9936071932737</v>
      </c>
      <c r="G983" s="1">
        <v>44724</v>
      </c>
      <c r="H983" s="1">
        <v>44723</v>
      </c>
      <c r="I983">
        <v>254.89132228565401</v>
      </c>
      <c r="J983">
        <f t="shared" si="15"/>
        <v>-1</v>
      </c>
    </row>
    <row r="984" spans="1:10" x14ac:dyDescent="0.25">
      <c r="A984" t="s">
        <v>1290</v>
      </c>
      <c r="B984" t="s">
        <v>73</v>
      </c>
      <c r="C984" t="s">
        <v>792</v>
      </c>
      <c r="D984" s="1">
        <v>45161</v>
      </c>
      <c r="E984">
        <v>8</v>
      </c>
      <c r="F984">
        <v>7.0163079545379201</v>
      </c>
      <c r="G984" s="1">
        <v>45172</v>
      </c>
      <c r="H984" s="1">
        <v>45169</v>
      </c>
      <c r="I984">
        <v>56.130463636303297</v>
      </c>
      <c r="J984">
        <f t="shared" si="15"/>
        <v>-3</v>
      </c>
    </row>
    <row r="985" spans="1:10" x14ac:dyDescent="0.25">
      <c r="A985" t="s">
        <v>1291</v>
      </c>
      <c r="B985" t="s">
        <v>174</v>
      </c>
      <c r="C985" t="s">
        <v>428</v>
      </c>
      <c r="D985" s="1">
        <v>44437</v>
      </c>
      <c r="E985">
        <v>12</v>
      </c>
      <c r="F985">
        <v>33.9894420656546</v>
      </c>
      <c r="G985" s="1">
        <v>44452</v>
      </c>
      <c r="H985" s="1">
        <v>44453</v>
      </c>
      <c r="I985">
        <v>407.87330478785498</v>
      </c>
      <c r="J985">
        <f t="shared" si="15"/>
        <v>1</v>
      </c>
    </row>
    <row r="986" spans="1:10" x14ac:dyDescent="0.25">
      <c r="A986" t="s">
        <v>1292</v>
      </c>
      <c r="B986" t="s">
        <v>119</v>
      </c>
      <c r="C986" t="s">
        <v>144</v>
      </c>
      <c r="D986" s="1">
        <v>44493</v>
      </c>
      <c r="E986">
        <v>15</v>
      </c>
      <c r="F986">
        <v>26.8552954883429</v>
      </c>
      <c r="G986" s="1">
        <v>44508</v>
      </c>
      <c r="H986" s="1">
        <v>44510</v>
      </c>
      <c r="I986">
        <v>402.82943232514299</v>
      </c>
      <c r="J986">
        <f t="shared" si="15"/>
        <v>2</v>
      </c>
    </row>
    <row r="987" spans="1:10" x14ac:dyDescent="0.25">
      <c r="A987" t="s">
        <v>1293</v>
      </c>
      <c r="B987" t="s">
        <v>198</v>
      </c>
      <c r="C987" t="s">
        <v>881</v>
      </c>
      <c r="D987" s="1">
        <v>44872</v>
      </c>
      <c r="E987">
        <v>9</v>
      </c>
      <c r="F987">
        <v>49.255717471326001</v>
      </c>
      <c r="G987" s="1">
        <v>44887</v>
      </c>
      <c r="H987" s="1">
        <v>44885</v>
      </c>
      <c r="I987">
        <v>443.30145724193397</v>
      </c>
      <c r="J987">
        <f t="shared" si="15"/>
        <v>-2</v>
      </c>
    </row>
    <row r="988" spans="1:10" x14ac:dyDescent="0.25">
      <c r="A988" t="s">
        <v>1294</v>
      </c>
      <c r="B988" t="s">
        <v>578</v>
      </c>
      <c r="C988" t="s">
        <v>128</v>
      </c>
      <c r="D988" s="1">
        <v>45174</v>
      </c>
      <c r="E988">
        <v>11</v>
      </c>
      <c r="F988">
        <v>34.954595770768002</v>
      </c>
      <c r="G988" s="1">
        <v>45189</v>
      </c>
      <c r="H988" s="1">
        <v>45195</v>
      </c>
      <c r="I988">
        <v>384.50055347844801</v>
      </c>
      <c r="J988">
        <f t="shared" si="15"/>
        <v>6</v>
      </c>
    </row>
    <row r="989" spans="1:10" x14ac:dyDescent="0.25">
      <c r="A989" t="s">
        <v>1295</v>
      </c>
      <c r="B989" t="s">
        <v>70</v>
      </c>
      <c r="C989" t="s">
        <v>587</v>
      </c>
      <c r="D989" s="1">
        <v>45231</v>
      </c>
      <c r="E989">
        <v>13</v>
      </c>
      <c r="F989">
        <v>57.8533377384177</v>
      </c>
      <c r="G989" s="1">
        <v>45255</v>
      </c>
      <c r="H989" s="1">
        <v>45258</v>
      </c>
      <c r="I989">
        <v>752.09339059942999</v>
      </c>
      <c r="J989">
        <f t="shared" si="15"/>
        <v>3</v>
      </c>
    </row>
    <row r="990" spans="1:10" x14ac:dyDescent="0.25">
      <c r="A990" t="s">
        <v>1296</v>
      </c>
      <c r="B990" t="s">
        <v>399</v>
      </c>
      <c r="C990" t="s">
        <v>44</v>
      </c>
      <c r="D990" s="1">
        <v>45145</v>
      </c>
      <c r="E990">
        <v>11</v>
      </c>
      <c r="F990">
        <v>32.105452142544998</v>
      </c>
      <c r="G990" s="1">
        <v>45164</v>
      </c>
      <c r="H990" s="1">
        <v>45167</v>
      </c>
      <c r="I990">
        <v>353.159973567995</v>
      </c>
      <c r="J990">
        <f t="shared" si="15"/>
        <v>3</v>
      </c>
    </row>
    <row r="991" spans="1:10" x14ac:dyDescent="0.25">
      <c r="A991" t="s">
        <v>1297</v>
      </c>
      <c r="B991" t="s">
        <v>40</v>
      </c>
      <c r="C991" t="s">
        <v>408</v>
      </c>
      <c r="D991" s="1">
        <v>44501</v>
      </c>
      <c r="E991">
        <v>15</v>
      </c>
      <c r="F991">
        <v>72.554828660664697</v>
      </c>
      <c r="G991" s="1">
        <v>44521</v>
      </c>
      <c r="H991" s="1">
        <v>44525</v>
      </c>
      <c r="I991">
        <v>1088.32242990997</v>
      </c>
      <c r="J991">
        <f t="shared" si="15"/>
        <v>4</v>
      </c>
    </row>
    <row r="992" spans="1:10" x14ac:dyDescent="0.25">
      <c r="A992" t="s">
        <v>1298</v>
      </c>
      <c r="B992" t="s">
        <v>314</v>
      </c>
      <c r="C992" t="s">
        <v>122</v>
      </c>
      <c r="D992" s="1">
        <v>44728</v>
      </c>
      <c r="E992">
        <v>12</v>
      </c>
      <c r="F992">
        <v>63.5711761660164</v>
      </c>
      <c r="G992" s="1">
        <v>44752</v>
      </c>
      <c r="H992" s="1">
        <v>44757</v>
      </c>
      <c r="I992">
        <v>762.85411399219697</v>
      </c>
      <c r="J992">
        <f t="shared" si="15"/>
        <v>5</v>
      </c>
    </row>
    <row r="993" spans="1:10" x14ac:dyDescent="0.25">
      <c r="A993" t="s">
        <v>1299</v>
      </c>
      <c r="B993" t="s">
        <v>240</v>
      </c>
      <c r="C993" t="s">
        <v>661</v>
      </c>
      <c r="D993" s="1">
        <v>44886</v>
      </c>
      <c r="E993">
        <v>16</v>
      </c>
      <c r="F993">
        <v>49.4881192903133</v>
      </c>
      <c r="G993" s="1">
        <v>44900</v>
      </c>
      <c r="H993" s="1">
        <v>44905</v>
      </c>
      <c r="I993">
        <v>791.80990864501302</v>
      </c>
      <c r="J993">
        <f t="shared" si="15"/>
        <v>5</v>
      </c>
    </row>
    <row r="994" spans="1:10" x14ac:dyDescent="0.25">
      <c r="A994" t="s">
        <v>1300</v>
      </c>
      <c r="B994" t="s">
        <v>203</v>
      </c>
      <c r="C994" t="s">
        <v>158</v>
      </c>
      <c r="D994" s="1">
        <v>45396</v>
      </c>
      <c r="E994">
        <v>8</v>
      </c>
      <c r="F994">
        <v>27.064873600349401</v>
      </c>
      <c r="G994" s="1">
        <v>45407</v>
      </c>
      <c r="H994" s="1">
        <v>45405</v>
      </c>
      <c r="I994">
        <v>216.51898880279501</v>
      </c>
      <c r="J994">
        <f t="shared" si="15"/>
        <v>-2</v>
      </c>
    </row>
    <row r="995" spans="1:10" x14ac:dyDescent="0.25">
      <c r="A995" t="s">
        <v>1301</v>
      </c>
      <c r="B995" t="s">
        <v>140</v>
      </c>
      <c r="C995" t="s">
        <v>182</v>
      </c>
      <c r="D995" s="1">
        <v>44303</v>
      </c>
      <c r="E995">
        <v>6</v>
      </c>
      <c r="F995">
        <v>72.365387115559798</v>
      </c>
      <c r="G995" s="1">
        <v>44314</v>
      </c>
      <c r="H995" s="1">
        <v>44316</v>
      </c>
      <c r="I995">
        <v>434.19232269335799</v>
      </c>
      <c r="J995">
        <f t="shared" si="15"/>
        <v>2</v>
      </c>
    </row>
    <row r="996" spans="1:10" x14ac:dyDescent="0.25">
      <c r="A996" t="s">
        <v>1302</v>
      </c>
      <c r="B996" t="s">
        <v>99</v>
      </c>
      <c r="C996" t="s">
        <v>53</v>
      </c>
      <c r="D996" s="1">
        <v>44548</v>
      </c>
      <c r="E996">
        <v>9</v>
      </c>
      <c r="F996">
        <v>57.543164695051701</v>
      </c>
      <c r="G996" s="1">
        <v>44565</v>
      </c>
      <c r="H996" s="1">
        <v>44567</v>
      </c>
      <c r="I996">
        <v>517.88848225546599</v>
      </c>
      <c r="J996">
        <f t="shared" si="15"/>
        <v>2</v>
      </c>
    </row>
    <row r="997" spans="1:10" x14ac:dyDescent="0.25">
      <c r="A997" t="s">
        <v>1303</v>
      </c>
      <c r="B997" t="s">
        <v>143</v>
      </c>
      <c r="C997" t="s">
        <v>56</v>
      </c>
      <c r="D997" s="1">
        <v>45386</v>
      </c>
      <c r="E997">
        <v>7</v>
      </c>
      <c r="F997">
        <v>63.874835014399402</v>
      </c>
      <c r="G997" s="1">
        <v>45397</v>
      </c>
      <c r="H997" s="1">
        <v>45402</v>
      </c>
      <c r="I997">
        <v>447.12384510079602</v>
      </c>
      <c r="J997">
        <f t="shared" si="15"/>
        <v>5</v>
      </c>
    </row>
    <row r="998" spans="1:10" x14ac:dyDescent="0.25">
      <c r="A998" t="s">
        <v>1304</v>
      </c>
      <c r="B998" t="s">
        <v>293</v>
      </c>
      <c r="C998" t="s">
        <v>581</v>
      </c>
      <c r="D998" s="1">
        <v>45172</v>
      </c>
      <c r="E998">
        <v>12</v>
      </c>
      <c r="F998">
        <v>66.816229257996397</v>
      </c>
      <c r="G998" s="1">
        <v>45189</v>
      </c>
      <c r="H998" s="1">
        <v>45190</v>
      </c>
      <c r="I998">
        <v>801.79475109595705</v>
      </c>
      <c r="J998">
        <f t="shared" si="15"/>
        <v>1</v>
      </c>
    </row>
    <row r="999" spans="1:10" x14ac:dyDescent="0.25">
      <c r="A999" t="s">
        <v>1305</v>
      </c>
      <c r="B999" t="s">
        <v>247</v>
      </c>
      <c r="C999" t="s">
        <v>385</v>
      </c>
      <c r="D999" s="1">
        <v>45154</v>
      </c>
      <c r="E999">
        <v>19</v>
      </c>
      <c r="F999">
        <v>33.004088964093</v>
      </c>
      <c r="G999" s="1">
        <v>45172</v>
      </c>
      <c r="H999" s="1">
        <v>45169</v>
      </c>
      <c r="I999">
        <v>627.07769031776797</v>
      </c>
      <c r="J999">
        <f t="shared" si="15"/>
        <v>-3</v>
      </c>
    </row>
    <row r="1000" spans="1:10" x14ac:dyDescent="0.25">
      <c r="A1000" t="s">
        <v>1306</v>
      </c>
      <c r="B1000" t="s">
        <v>46</v>
      </c>
      <c r="C1000" t="s">
        <v>210</v>
      </c>
      <c r="D1000" s="1">
        <v>45258</v>
      </c>
      <c r="E1000">
        <v>9</v>
      </c>
      <c r="F1000">
        <v>35.535035457771599</v>
      </c>
      <c r="G1000" s="1">
        <v>45275</v>
      </c>
      <c r="H1000" s="1">
        <v>45280</v>
      </c>
      <c r="I1000">
        <v>319.81531911994398</v>
      </c>
      <c r="J1000">
        <f t="shared" si="15"/>
        <v>5</v>
      </c>
    </row>
    <row r="1001" spans="1:10" x14ac:dyDescent="0.25">
      <c r="A1001" t="s">
        <v>1307</v>
      </c>
      <c r="B1001" t="s">
        <v>207</v>
      </c>
      <c r="C1001" t="s">
        <v>32</v>
      </c>
      <c r="D1001" s="1">
        <v>44301</v>
      </c>
      <c r="E1001">
        <v>5</v>
      </c>
      <c r="F1001">
        <v>26.5713504170104</v>
      </c>
      <c r="G1001" s="1">
        <v>44313</v>
      </c>
      <c r="H1001" s="1">
        <v>44319</v>
      </c>
      <c r="I1001">
        <v>132.85675208505199</v>
      </c>
      <c r="J1001">
        <f t="shared" si="15"/>
        <v>6</v>
      </c>
    </row>
    <row r="1002" spans="1:10" x14ac:dyDescent="0.25">
      <c r="A1002" t="s">
        <v>1308</v>
      </c>
      <c r="B1002" t="s">
        <v>314</v>
      </c>
      <c r="C1002" t="s">
        <v>29</v>
      </c>
      <c r="D1002" s="1">
        <v>44800</v>
      </c>
      <c r="E1002">
        <v>7</v>
      </c>
      <c r="F1002">
        <v>10.232052228980701</v>
      </c>
      <c r="G1002" s="1">
        <v>44814</v>
      </c>
      <c r="H1002" s="1">
        <v>44811</v>
      </c>
      <c r="I1002">
        <v>71.624365602864998</v>
      </c>
      <c r="J1002">
        <f t="shared" si="15"/>
        <v>-3</v>
      </c>
    </row>
    <row r="1003" spans="1:10" x14ac:dyDescent="0.25">
      <c r="A1003" t="s">
        <v>1309</v>
      </c>
      <c r="B1003" t="s">
        <v>73</v>
      </c>
      <c r="C1003" t="s">
        <v>338</v>
      </c>
      <c r="D1003" s="1">
        <v>44294</v>
      </c>
      <c r="E1003">
        <v>6</v>
      </c>
      <c r="F1003">
        <v>62.285291743891399</v>
      </c>
      <c r="G1003" s="1">
        <v>44308</v>
      </c>
      <c r="H1003" s="1">
        <v>44306</v>
      </c>
      <c r="I1003">
        <v>373.71175046334798</v>
      </c>
      <c r="J1003">
        <f t="shared" si="15"/>
        <v>-2</v>
      </c>
    </row>
    <row r="1004" spans="1:10" x14ac:dyDescent="0.25">
      <c r="A1004" t="s">
        <v>1310</v>
      </c>
      <c r="B1004" t="s">
        <v>179</v>
      </c>
      <c r="C1004" t="s">
        <v>571</v>
      </c>
      <c r="D1004" s="1">
        <v>45271</v>
      </c>
      <c r="E1004">
        <v>12</v>
      </c>
      <c r="F1004">
        <v>9.0736348065530805</v>
      </c>
      <c r="G1004" s="1">
        <v>45289</v>
      </c>
      <c r="H1004" s="1">
        <v>45288</v>
      </c>
      <c r="I1004">
        <v>108.88361767863699</v>
      </c>
      <c r="J1004">
        <f t="shared" si="15"/>
        <v>-1</v>
      </c>
    </row>
    <row r="1005" spans="1:10" x14ac:dyDescent="0.25">
      <c r="A1005" t="s">
        <v>1311</v>
      </c>
      <c r="B1005" t="s">
        <v>52</v>
      </c>
      <c r="C1005" t="s">
        <v>270</v>
      </c>
      <c r="D1005" s="1">
        <v>44759</v>
      </c>
      <c r="E1005">
        <v>8</v>
      </c>
      <c r="F1005">
        <v>11.6338541868392</v>
      </c>
      <c r="G1005" s="1">
        <v>44782</v>
      </c>
      <c r="H1005" s="1">
        <v>44781</v>
      </c>
      <c r="I1005">
        <v>93.070833494713995</v>
      </c>
      <c r="J1005">
        <f t="shared" si="15"/>
        <v>-1</v>
      </c>
    </row>
    <row r="1006" spans="1:10" x14ac:dyDescent="0.25">
      <c r="A1006" t="s">
        <v>1312</v>
      </c>
      <c r="B1006" t="s">
        <v>399</v>
      </c>
      <c r="C1006" t="s">
        <v>336</v>
      </c>
      <c r="D1006" s="1">
        <v>44850</v>
      </c>
      <c r="E1006">
        <v>9</v>
      </c>
      <c r="F1006">
        <v>73.245708258285902</v>
      </c>
      <c r="G1006" s="1">
        <v>44867</v>
      </c>
      <c r="H1006" s="1">
        <v>44867</v>
      </c>
      <c r="I1006">
        <v>659.21137432457294</v>
      </c>
      <c r="J1006">
        <f t="shared" si="15"/>
        <v>0</v>
      </c>
    </row>
    <row r="1007" spans="1:10" x14ac:dyDescent="0.25">
      <c r="A1007" t="s">
        <v>1313</v>
      </c>
      <c r="B1007" t="s">
        <v>485</v>
      </c>
      <c r="C1007" t="s">
        <v>818</v>
      </c>
      <c r="D1007" s="1">
        <v>45324</v>
      </c>
      <c r="E1007">
        <v>14</v>
      </c>
      <c r="F1007">
        <v>32.437101445497099</v>
      </c>
      <c r="G1007" s="1">
        <v>45343</v>
      </c>
      <c r="H1007" s="1">
        <v>45347</v>
      </c>
      <c r="I1007">
        <v>454.11942023696002</v>
      </c>
      <c r="J1007">
        <f t="shared" si="15"/>
        <v>4</v>
      </c>
    </row>
    <row r="1008" spans="1:10" x14ac:dyDescent="0.25">
      <c r="A1008" t="s">
        <v>1314</v>
      </c>
      <c r="B1008" t="s">
        <v>179</v>
      </c>
      <c r="C1008" t="s">
        <v>610</v>
      </c>
      <c r="D1008" s="1">
        <v>44513</v>
      </c>
      <c r="E1008">
        <v>12</v>
      </c>
      <c r="F1008">
        <v>79.195706651207701</v>
      </c>
      <c r="G1008" s="1">
        <v>44527</v>
      </c>
      <c r="H1008" s="1">
        <v>44530</v>
      </c>
      <c r="I1008">
        <v>950.34847981449195</v>
      </c>
      <c r="J1008">
        <f t="shared" si="15"/>
        <v>3</v>
      </c>
    </row>
    <row r="1009" spans="1:10" x14ac:dyDescent="0.25">
      <c r="A1009" t="s">
        <v>1315</v>
      </c>
      <c r="B1009" t="s">
        <v>256</v>
      </c>
      <c r="C1009" t="s">
        <v>425</v>
      </c>
      <c r="D1009" s="1">
        <v>44883</v>
      </c>
      <c r="E1009">
        <v>13</v>
      </c>
      <c r="F1009">
        <v>56.739270729474597</v>
      </c>
      <c r="G1009" s="1">
        <v>44900</v>
      </c>
      <c r="H1009" s="1">
        <v>44900</v>
      </c>
      <c r="I1009">
        <v>737.61051948317004</v>
      </c>
      <c r="J1009">
        <f t="shared" si="15"/>
        <v>0</v>
      </c>
    </row>
    <row r="1010" spans="1:10" x14ac:dyDescent="0.25">
      <c r="A1010" t="s">
        <v>1316</v>
      </c>
      <c r="B1010" t="s">
        <v>314</v>
      </c>
      <c r="C1010" t="s">
        <v>527</v>
      </c>
      <c r="D1010" s="1">
        <v>44478</v>
      </c>
      <c r="E1010">
        <v>12</v>
      </c>
      <c r="F1010">
        <v>54.467645190239402</v>
      </c>
      <c r="G1010" s="1">
        <v>44489</v>
      </c>
      <c r="H1010" s="1">
        <v>44487</v>
      </c>
      <c r="I1010">
        <v>653.611742282872</v>
      </c>
      <c r="J1010">
        <f t="shared" si="15"/>
        <v>-2</v>
      </c>
    </row>
    <row r="1011" spans="1:10" x14ac:dyDescent="0.25">
      <c r="A1011" t="s">
        <v>1317</v>
      </c>
      <c r="B1011" t="s">
        <v>314</v>
      </c>
      <c r="C1011" t="s">
        <v>110</v>
      </c>
      <c r="D1011" s="1">
        <v>44822</v>
      </c>
      <c r="E1011">
        <v>9</v>
      </c>
      <c r="F1011">
        <v>73.520917654635696</v>
      </c>
      <c r="G1011" s="1">
        <v>44839</v>
      </c>
      <c r="H1011" s="1">
        <v>44844</v>
      </c>
      <c r="I1011">
        <v>661.68825889172103</v>
      </c>
      <c r="J1011">
        <f t="shared" si="15"/>
        <v>5</v>
      </c>
    </row>
    <row r="1012" spans="1:10" x14ac:dyDescent="0.25">
      <c r="A1012" t="s">
        <v>1318</v>
      </c>
      <c r="B1012" t="s">
        <v>482</v>
      </c>
      <c r="C1012" t="s">
        <v>110</v>
      </c>
      <c r="D1012" s="1">
        <v>45328</v>
      </c>
      <c r="E1012">
        <v>7</v>
      </c>
      <c r="F1012">
        <v>38.490440344193097</v>
      </c>
      <c r="G1012" s="1">
        <v>45339</v>
      </c>
      <c r="H1012" s="1">
        <v>45339</v>
      </c>
      <c r="I1012">
        <v>269.43308240935198</v>
      </c>
      <c r="J1012">
        <f t="shared" si="15"/>
        <v>0</v>
      </c>
    </row>
    <row r="1013" spans="1:10" x14ac:dyDescent="0.25">
      <c r="A1013" t="s">
        <v>1319</v>
      </c>
      <c r="B1013" t="s">
        <v>52</v>
      </c>
      <c r="C1013" t="s">
        <v>138</v>
      </c>
      <c r="D1013" s="1">
        <v>45003</v>
      </c>
      <c r="E1013">
        <v>14</v>
      </c>
      <c r="F1013">
        <v>21.662963550628099</v>
      </c>
      <c r="G1013" s="1">
        <v>45018</v>
      </c>
      <c r="H1013" s="1">
        <v>45018</v>
      </c>
      <c r="I1013">
        <v>303.281489708793</v>
      </c>
      <c r="J1013">
        <f t="shared" si="15"/>
        <v>0</v>
      </c>
    </row>
    <row r="1014" spans="1:10" x14ac:dyDescent="0.25">
      <c r="A1014" t="s">
        <v>1320</v>
      </c>
      <c r="B1014" t="s">
        <v>617</v>
      </c>
      <c r="C1014" t="s">
        <v>14</v>
      </c>
      <c r="D1014" s="1">
        <v>44791</v>
      </c>
      <c r="E1014">
        <v>11</v>
      </c>
      <c r="F1014">
        <v>52.570201010916499</v>
      </c>
      <c r="G1014" s="1">
        <v>44804</v>
      </c>
      <c r="H1014" s="1">
        <v>44805</v>
      </c>
      <c r="I1014">
        <v>578.27221112008101</v>
      </c>
      <c r="J1014">
        <f t="shared" si="15"/>
        <v>1</v>
      </c>
    </row>
    <row r="1015" spans="1:10" x14ac:dyDescent="0.25">
      <c r="A1015" t="s">
        <v>1321</v>
      </c>
      <c r="B1015" t="s">
        <v>394</v>
      </c>
      <c r="C1015" t="s">
        <v>356</v>
      </c>
      <c r="D1015" s="1">
        <v>45318</v>
      </c>
      <c r="E1015">
        <v>13</v>
      </c>
      <c r="F1015">
        <v>19.052572528026801</v>
      </c>
      <c r="G1015" s="1">
        <v>45335</v>
      </c>
      <c r="H1015" s="1">
        <v>45339</v>
      </c>
      <c r="I1015">
        <v>247.68344286434899</v>
      </c>
      <c r="J1015">
        <f t="shared" si="15"/>
        <v>4</v>
      </c>
    </row>
    <row r="1016" spans="1:10" x14ac:dyDescent="0.25">
      <c r="A1016" t="s">
        <v>1322</v>
      </c>
      <c r="B1016" t="s">
        <v>539</v>
      </c>
      <c r="C1016" t="s">
        <v>77</v>
      </c>
      <c r="D1016" s="1">
        <v>44625</v>
      </c>
      <c r="E1016">
        <v>10</v>
      </c>
      <c r="F1016">
        <v>72.980732513689404</v>
      </c>
      <c r="G1016" s="1">
        <v>44642</v>
      </c>
      <c r="H1016" s="1">
        <v>44640</v>
      </c>
      <c r="I1016">
        <v>729.80732513689395</v>
      </c>
      <c r="J1016">
        <f t="shared" si="15"/>
        <v>-2</v>
      </c>
    </row>
    <row r="1017" spans="1:10" x14ac:dyDescent="0.25">
      <c r="A1017" t="s">
        <v>1323</v>
      </c>
      <c r="B1017" t="s">
        <v>295</v>
      </c>
      <c r="C1017" t="s">
        <v>361</v>
      </c>
      <c r="D1017" s="1">
        <v>45270</v>
      </c>
      <c r="E1017">
        <v>9</v>
      </c>
      <c r="F1017">
        <v>41.935172974489298</v>
      </c>
      <c r="G1017" s="1">
        <v>45292</v>
      </c>
      <c r="H1017" s="1">
        <v>45297</v>
      </c>
      <c r="I1017">
        <v>377.41655677040399</v>
      </c>
      <c r="J1017">
        <f t="shared" si="15"/>
        <v>5</v>
      </c>
    </row>
    <row r="1018" spans="1:10" x14ac:dyDescent="0.25">
      <c r="A1018" t="s">
        <v>1324</v>
      </c>
      <c r="B1018" t="s">
        <v>179</v>
      </c>
      <c r="C1018" t="s">
        <v>437</v>
      </c>
      <c r="D1018" s="1">
        <v>44684</v>
      </c>
      <c r="E1018">
        <v>16</v>
      </c>
      <c r="F1018">
        <v>50.081028330607197</v>
      </c>
      <c r="G1018" s="1">
        <v>44697</v>
      </c>
      <c r="H1018" s="1">
        <v>44696</v>
      </c>
      <c r="I1018">
        <v>801.29645328971503</v>
      </c>
      <c r="J1018">
        <f t="shared" si="15"/>
        <v>-1</v>
      </c>
    </row>
    <row r="1019" spans="1:10" x14ac:dyDescent="0.25">
      <c r="A1019" t="s">
        <v>1325</v>
      </c>
      <c r="B1019" t="s">
        <v>34</v>
      </c>
      <c r="C1019" t="s">
        <v>233</v>
      </c>
      <c r="D1019" s="1">
        <v>45222</v>
      </c>
      <c r="E1019">
        <v>14</v>
      </c>
      <c r="F1019">
        <v>50.520704104879101</v>
      </c>
      <c r="G1019" s="1">
        <v>45232</v>
      </c>
      <c r="H1019" s="1">
        <v>45233</v>
      </c>
      <c r="I1019">
        <v>707.28985746830801</v>
      </c>
      <c r="J1019">
        <f t="shared" si="15"/>
        <v>1</v>
      </c>
    </row>
    <row r="1020" spans="1:10" x14ac:dyDescent="0.25">
      <c r="A1020" t="s">
        <v>1326</v>
      </c>
      <c r="B1020" t="s">
        <v>43</v>
      </c>
      <c r="C1020" t="s">
        <v>356</v>
      </c>
      <c r="D1020" s="1">
        <v>44385</v>
      </c>
      <c r="E1020">
        <v>12</v>
      </c>
      <c r="F1020">
        <v>36.9791420886271</v>
      </c>
      <c r="G1020" s="1">
        <v>44401</v>
      </c>
      <c r="H1020" s="1">
        <v>44398</v>
      </c>
      <c r="I1020">
        <v>443.74970506352599</v>
      </c>
      <c r="J1020">
        <f t="shared" si="15"/>
        <v>-3</v>
      </c>
    </row>
    <row r="1021" spans="1:10" x14ac:dyDescent="0.25">
      <c r="A1021" t="s">
        <v>1327</v>
      </c>
      <c r="B1021" t="s">
        <v>253</v>
      </c>
      <c r="C1021" t="s">
        <v>102</v>
      </c>
      <c r="D1021" s="1">
        <v>44783</v>
      </c>
      <c r="E1021">
        <v>8</v>
      </c>
      <c r="F1021">
        <v>50.437958199600502</v>
      </c>
      <c r="G1021" s="1">
        <v>44803</v>
      </c>
      <c r="H1021" s="1">
        <v>44805</v>
      </c>
      <c r="I1021">
        <v>403.50366559680401</v>
      </c>
      <c r="J1021">
        <f t="shared" si="15"/>
        <v>2</v>
      </c>
    </row>
    <row r="1022" spans="1:10" x14ac:dyDescent="0.25">
      <c r="A1022" t="s">
        <v>1328</v>
      </c>
      <c r="B1022" t="s">
        <v>293</v>
      </c>
      <c r="C1022" t="s">
        <v>53</v>
      </c>
      <c r="D1022" s="1">
        <v>44938</v>
      </c>
      <c r="E1022">
        <v>15</v>
      </c>
      <c r="F1022">
        <v>22.914609298590999</v>
      </c>
      <c r="G1022" s="1">
        <v>44950</v>
      </c>
      <c r="H1022" s="1">
        <v>44951</v>
      </c>
      <c r="I1022">
        <v>343.71913947886497</v>
      </c>
      <c r="J1022">
        <f t="shared" si="15"/>
        <v>1</v>
      </c>
    </row>
    <row r="1023" spans="1:10" x14ac:dyDescent="0.25">
      <c r="A1023" t="s">
        <v>1329</v>
      </c>
      <c r="B1023" t="s">
        <v>143</v>
      </c>
      <c r="C1023" t="s">
        <v>92</v>
      </c>
      <c r="D1023" s="1">
        <v>45233</v>
      </c>
      <c r="E1023">
        <v>11</v>
      </c>
      <c r="F1023">
        <v>68.655791990571501</v>
      </c>
      <c r="G1023" s="1">
        <v>45253</v>
      </c>
      <c r="H1023" s="1">
        <v>45256</v>
      </c>
      <c r="I1023">
        <v>755.21371189628701</v>
      </c>
      <c r="J1023">
        <f t="shared" si="15"/>
        <v>3</v>
      </c>
    </row>
    <row r="1024" spans="1:10" x14ac:dyDescent="0.25">
      <c r="A1024" t="s">
        <v>1330</v>
      </c>
      <c r="B1024" t="s">
        <v>205</v>
      </c>
      <c r="C1024" t="s">
        <v>44</v>
      </c>
      <c r="D1024" s="1">
        <v>45214</v>
      </c>
      <c r="E1024">
        <v>8</v>
      </c>
      <c r="F1024">
        <v>48.715728849700596</v>
      </c>
      <c r="G1024" s="1">
        <v>45226</v>
      </c>
      <c r="H1024" s="1">
        <v>45231</v>
      </c>
      <c r="I1024">
        <v>389.725830797605</v>
      </c>
      <c r="J1024">
        <f t="shared" si="15"/>
        <v>5</v>
      </c>
    </row>
    <row r="1025" spans="1:10" x14ac:dyDescent="0.25">
      <c r="A1025" t="s">
        <v>1331</v>
      </c>
      <c r="B1025" t="s">
        <v>99</v>
      </c>
      <c r="C1025" t="s">
        <v>161</v>
      </c>
      <c r="D1025" s="1">
        <v>44428</v>
      </c>
      <c r="E1025">
        <v>10</v>
      </c>
      <c r="F1025">
        <v>58.834138013801002</v>
      </c>
      <c r="G1025" s="1">
        <v>44450</v>
      </c>
      <c r="H1025" s="1">
        <v>44453</v>
      </c>
      <c r="I1025">
        <v>588.34138013800998</v>
      </c>
      <c r="J1025">
        <f t="shared" si="15"/>
        <v>3</v>
      </c>
    </row>
    <row r="1026" spans="1:10" x14ac:dyDescent="0.25">
      <c r="A1026" t="s">
        <v>1332</v>
      </c>
      <c r="B1026" t="s">
        <v>186</v>
      </c>
      <c r="C1026" t="s">
        <v>391</v>
      </c>
      <c r="D1026" s="1">
        <v>44480</v>
      </c>
      <c r="E1026">
        <v>11</v>
      </c>
      <c r="F1026">
        <v>34.616541820961103</v>
      </c>
      <c r="G1026" s="1">
        <v>44501</v>
      </c>
      <c r="H1026" s="1">
        <v>44499</v>
      </c>
      <c r="I1026">
        <v>380.78196003057201</v>
      </c>
      <c r="J1026">
        <f t="shared" si="15"/>
        <v>-2</v>
      </c>
    </row>
    <row r="1027" spans="1:10" x14ac:dyDescent="0.25">
      <c r="A1027" t="s">
        <v>1333</v>
      </c>
      <c r="B1027" t="s">
        <v>299</v>
      </c>
      <c r="C1027" t="s">
        <v>504</v>
      </c>
      <c r="D1027" s="1">
        <v>44447</v>
      </c>
      <c r="E1027">
        <v>14</v>
      </c>
      <c r="F1027">
        <v>69.081296136734096</v>
      </c>
      <c r="G1027" s="1">
        <v>44468</v>
      </c>
      <c r="H1027" s="1">
        <v>44472</v>
      </c>
      <c r="I1027">
        <v>967.13814591427797</v>
      </c>
      <c r="J1027">
        <f t="shared" ref="J1027:J1090" si="16">H1027-G1027</f>
        <v>4</v>
      </c>
    </row>
    <row r="1028" spans="1:10" x14ac:dyDescent="0.25">
      <c r="A1028" t="s">
        <v>1334</v>
      </c>
      <c r="B1028" t="s">
        <v>359</v>
      </c>
      <c r="C1028" t="s">
        <v>26</v>
      </c>
      <c r="D1028" s="1">
        <v>44468</v>
      </c>
      <c r="E1028">
        <v>8</v>
      </c>
      <c r="F1028">
        <v>69.693790772594895</v>
      </c>
      <c r="G1028" s="1">
        <v>44481</v>
      </c>
      <c r="H1028" s="1">
        <v>44485</v>
      </c>
      <c r="I1028">
        <v>557.55032618075904</v>
      </c>
      <c r="J1028">
        <f t="shared" si="16"/>
        <v>4</v>
      </c>
    </row>
    <row r="1029" spans="1:10" x14ac:dyDescent="0.25">
      <c r="A1029" t="s">
        <v>1335</v>
      </c>
      <c r="B1029" t="s">
        <v>256</v>
      </c>
      <c r="C1029" t="s">
        <v>270</v>
      </c>
      <c r="D1029" s="1">
        <v>44469</v>
      </c>
      <c r="E1029">
        <v>13</v>
      </c>
      <c r="F1029">
        <v>46.8171397767657</v>
      </c>
      <c r="G1029" s="1">
        <v>44490</v>
      </c>
      <c r="H1029" s="1">
        <v>44495</v>
      </c>
      <c r="I1029">
        <v>608.622817097954</v>
      </c>
      <c r="J1029">
        <f t="shared" si="16"/>
        <v>5</v>
      </c>
    </row>
    <row r="1030" spans="1:10" x14ac:dyDescent="0.25">
      <c r="A1030" t="s">
        <v>1336</v>
      </c>
      <c r="B1030" t="s">
        <v>205</v>
      </c>
      <c r="C1030" t="s">
        <v>141</v>
      </c>
      <c r="D1030" s="1">
        <v>45238</v>
      </c>
      <c r="E1030">
        <v>14</v>
      </c>
      <c r="F1030">
        <v>12.250083408894101</v>
      </c>
      <c r="G1030" s="1">
        <v>45249</v>
      </c>
      <c r="H1030" s="1">
        <v>45254</v>
      </c>
      <c r="I1030">
        <v>171.50116772451699</v>
      </c>
      <c r="J1030">
        <f t="shared" si="16"/>
        <v>5</v>
      </c>
    </row>
    <row r="1031" spans="1:10" x14ac:dyDescent="0.25">
      <c r="A1031" t="s">
        <v>1337</v>
      </c>
      <c r="B1031" t="s">
        <v>104</v>
      </c>
      <c r="C1031" t="s">
        <v>654</v>
      </c>
      <c r="D1031" s="1">
        <v>44575</v>
      </c>
      <c r="E1031">
        <v>12</v>
      </c>
      <c r="F1031">
        <v>46.164681854894603</v>
      </c>
      <c r="G1031" s="1">
        <v>44592</v>
      </c>
      <c r="H1031" s="1">
        <v>44593</v>
      </c>
      <c r="I1031">
        <v>553.97618225873498</v>
      </c>
      <c r="J1031">
        <f t="shared" si="16"/>
        <v>1</v>
      </c>
    </row>
    <row r="1032" spans="1:10" x14ac:dyDescent="0.25">
      <c r="A1032" t="s">
        <v>1338</v>
      </c>
      <c r="B1032" t="s">
        <v>46</v>
      </c>
      <c r="C1032" t="s">
        <v>668</v>
      </c>
      <c r="D1032" s="1">
        <v>45126</v>
      </c>
      <c r="E1032">
        <v>12</v>
      </c>
      <c r="F1032">
        <v>37.1983154653268</v>
      </c>
      <c r="G1032" s="1">
        <v>45144</v>
      </c>
      <c r="H1032" s="1">
        <v>45147</v>
      </c>
      <c r="I1032">
        <v>446.37978558392098</v>
      </c>
      <c r="J1032">
        <f t="shared" si="16"/>
        <v>3</v>
      </c>
    </row>
    <row r="1033" spans="1:10" x14ac:dyDescent="0.25">
      <c r="A1033" t="s">
        <v>1339</v>
      </c>
      <c r="B1033" t="s">
        <v>91</v>
      </c>
      <c r="C1033" t="s">
        <v>254</v>
      </c>
      <c r="D1033" s="1">
        <v>44305</v>
      </c>
      <c r="E1033">
        <v>3</v>
      </c>
      <c r="F1033">
        <v>46.381118688301299</v>
      </c>
      <c r="G1033" s="1">
        <v>44326</v>
      </c>
      <c r="H1033" s="1">
        <v>44324</v>
      </c>
      <c r="I1033">
        <v>139.143356064903</v>
      </c>
      <c r="J1033">
        <f t="shared" si="16"/>
        <v>-2</v>
      </c>
    </row>
    <row r="1034" spans="1:10" x14ac:dyDescent="0.25">
      <c r="A1034" t="s">
        <v>1340</v>
      </c>
      <c r="B1034" t="s">
        <v>143</v>
      </c>
      <c r="C1034" t="s">
        <v>254</v>
      </c>
      <c r="D1034" s="1">
        <v>45344</v>
      </c>
      <c r="E1034">
        <v>5</v>
      </c>
      <c r="F1034">
        <v>39.714297448289798</v>
      </c>
      <c r="G1034" s="1">
        <v>45358</v>
      </c>
      <c r="H1034" s="1">
        <v>45362</v>
      </c>
      <c r="I1034">
        <v>198.57148724144901</v>
      </c>
      <c r="J1034">
        <f t="shared" si="16"/>
        <v>4</v>
      </c>
    </row>
    <row r="1035" spans="1:10" x14ac:dyDescent="0.25">
      <c r="A1035" t="s">
        <v>1341</v>
      </c>
      <c r="B1035" t="s">
        <v>174</v>
      </c>
      <c r="C1035" t="s">
        <v>396</v>
      </c>
      <c r="D1035" s="1">
        <v>45229</v>
      </c>
      <c r="E1035">
        <v>12</v>
      </c>
      <c r="F1035">
        <v>61.005516916972397</v>
      </c>
      <c r="G1035" s="1">
        <v>45241</v>
      </c>
      <c r="H1035" s="1">
        <v>45244</v>
      </c>
      <c r="I1035">
        <v>732.06620300366797</v>
      </c>
      <c r="J1035">
        <f t="shared" si="16"/>
        <v>3</v>
      </c>
    </row>
    <row r="1036" spans="1:10" x14ac:dyDescent="0.25">
      <c r="A1036" t="s">
        <v>1342</v>
      </c>
      <c r="B1036" t="s">
        <v>253</v>
      </c>
      <c r="C1036" t="s">
        <v>53</v>
      </c>
      <c r="D1036" s="1">
        <v>44672</v>
      </c>
      <c r="E1036">
        <v>5</v>
      </c>
      <c r="F1036">
        <v>63.363332176676103</v>
      </c>
      <c r="G1036" s="1">
        <v>44686</v>
      </c>
      <c r="H1036" s="1">
        <v>44686</v>
      </c>
      <c r="I1036">
        <v>316.81666088338</v>
      </c>
      <c r="J1036">
        <f t="shared" si="16"/>
        <v>0</v>
      </c>
    </row>
    <row r="1037" spans="1:10" x14ac:dyDescent="0.25">
      <c r="A1037" t="s">
        <v>1343</v>
      </c>
      <c r="B1037" t="s">
        <v>124</v>
      </c>
      <c r="C1037" t="s">
        <v>192</v>
      </c>
      <c r="D1037" s="1">
        <v>44547</v>
      </c>
      <c r="E1037">
        <v>15</v>
      </c>
      <c r="F1037">
        <v>14.228721572560101</v>
      </c>
      <c r="G1037" s="1">
        <v>44565</v>
      </c>
      <c r="H1037" s="1">
        <v>44570</v>
      </c>
      <c r="I1037">
        <v>213.43082358840201</v>
      </c>
      <c r="J1037">
        <f t="shared" si="16"/>
        <v>5</v>
      </c>
    </row>
    <row r="1038" spans="1:10" x14ac:dyDescent="0.25">
      <c r="A1038" t="s">
        <v>1344</v>
      </c>
      <c r="B1038" t="s">
        <v>242</v>
      </c>
      <c r="C1038" t="s">
        <v>26</v>
      </c>
      <c r="D1038" s="1">
        <v>44364</v>
      </c>
      <c r="E1038">
        <v>10</v>
      </c>
      <c r="F1038">
        <v>52.428927604441903</v>
      </c>
      <c r="G1038" s="1">
        <v>44388</v>
      </c>
      <c r="H1038" s="1">
        <v>44386</v>
      </c>
      <c r="I1038">
        <v>524.28927604441901</v>
      </c>
      <c r="J1038">
        <f t="shared" si="16"/>
        <v>-2</v>
      </c>
    </row>
    <row r="1039" spans="1:10" x14ac:dyDescent="0.25">
      <c r="A1039" t="s">
        <v>1345</v>
      </c>
      <c r="B1039" t="s">
        <v>240</v>
      </c>
      <c r="C1039" t="s">
        <v>32</v>
      </c>
      <c r="D1039" s="1">
        <v>44789</v>
      </c>
      <c r="E1039">
        <v>9</v>
      </c>
      <c r="F1039">
        <v>17.827650350041701</v>
      </c>
      <c r="G1039" s="1">
        <v>44813</v>
      </c>
      <c r="H1039" s="1">
        <v>44813</v>
      </c>
      <c r="I1039">
        <v>160.44885315037499</v>
      </c>
      <c r="J1039">
        <f t="shared" si="16"/>
        <v>0</v>
      </c>
    </row>
    <row r="1040" spans="1:10" x14ac:dyDescent="0.25">
      <c r="A1040" t="s">
        <v>1346</v>
      </c>
      <c r="B1040" t="s">
        <v>394</v>
      </c>
      <c r="C1040" t="s">
        <v>629</v>
      </c>
      <c r="D1040" s="1">
        <v>44555</v>
      </c>
      <c r="E1040">
        <v>19</v>
      </c>
      <c r="F1040">
        <v>19.0991074496064</v>
      </c>
      <c r="G1040" s="1">
        <v>44579</v>
      </c>
      <c r="H1040" s="1">
        <v>44584</v>
      </c>
      <c r="I1040">
        <v>362.88304154252199</v>
      </c>
      <c r="J1040">
        <f t="shared" si="16"/>
        <v>5</v>
      </c>
    </row>
    <row r="1041" spans="1:10" x14ac:dyDescent="0.25">
      <c r="A1041" t="s">
        <v>1347</v>
      </c>
      <c r="B1041" t="s">
        <v>52</v>
      </c>
      <c r="C1041" t="s">
        <v>344</v>
      </c>
      <c r="D1041" s="1">
        <v>45141</v>
      </c>
      <c r="E1041">
        <v>13</v>
      </c>
      <c r="F1041">
        <v>8.6144822908506899</v>
      </c>
      <c r="G1041" s="1">
        <v>45164</v>
      </c>
      <c r="H1041" s="1">
        <v>45161</v>
      </c>
      <c r="I1041">
        <v>111.988269781059</v>
      </c>
      <c r="J1041">
        <f t="shared" si="16"/>
        <v>-3</v>
      </c>
    </row>
    <row r="1042" spans="1:10" x14ac:dyDescent="0.25">
      <c r="A1042" t="s">
        <v>1348</v>
      </c>
      <c r="B1042" t="s">
        <v>295</v>
      </c>
      <c r="C1042" t="s">
        <v>763</v>
      </c>
      <c r="D1042" s="1">
        <v>44661</v>
      </c>
      <c r="E1042">
        <v>16</v>
      </c>
      <c r="F1042">
        <v>42.043868140421402</v>
      </c>
      <c r="G1042" s="1">
        <v>44685</v>
      </c>
      <c r="H1042" s="1">
        <v>44686</v>
      </c>
      <c r="I1042">
        <v>672.70189024674301</v>
      </c>
      <c r="J1042">
        <f t="shared" si="16"/>
        <v>1</v>
      </c>
    </row>
    <row r="1043" spans="1:10" x14ac:dyDescent="0.25">
      <c r="A1043" t="s">
        <v>1349</v>
      </c>
      <c r="B1043" t="s">
        <v>34</v>
      </c>
      <c r="C1043" t="s">
        <v>795</v>
      </c>
      <c r="D1043" s="1">
        <v>45243</v>
      </c>
      <c r="E1043">
        <v>13</v>
      </c>
      <c r="F1043">
        <v>42.275468290097898</v>
      </c>
      <c r="G1043" s="1">
        <v>45264</v>
      </c>
      <c r="H1043" s="1">
        <v>45270</v>
      </c>
      <c r="I1043">
        <v>549.58108777127302</v>
      </c>
      <c r="J1043">
        <f t="shared" si="16"/>
        <v>6</v>
      </c>
    </row>
    <row r="1044" spans="1:10" x14ac:dyDescent="0.25">
      <c r="A1044" t="s">
        <v>1350</v>
      </c>
      <c r="B1044" t="s">
        <v>157</v>
      </c>
      <c r="C1044" t="s">
        <v>276</v>
      </c>
      <c r="D1044" s="1">
        <v>44243</v>
      </c>
      <c r="E1044">
        <v>13</v>
      </c>
      <c r="F1044">
        <v>48.121879711942697</v>
      </c>
      <c r="G1044" s="1">
        <v>44261</v>
      </c>
      <c r="H1044" s="1">
        <v>44259</v>
      </c>
      <c r="I1044">
        <v>625.58443625525501</v>
      </c>
      <c r="J1044">
        <f t="shared" si="16"/>
        <v>-2</v>
      </c>
    </row>
    <row r="1045" spans="1:10" x14ac:dyDescent="0.25">
      <c r="A1045" t="s">
        <v>1351</v>
      </c>
      <c r="B1045" t="s">
        <v>247</v>
      </c>
      <c r="C1045" t="s">
        <v>89</v>
      </c>
      <c r="D1045" s="1">
        <v>44886</v>
      </c>
      <c r="E1045">
        <v>7</v>
      </c>
      <c r="F1045">
        <v>19.209629733257799</v>
      </c>
      <c r="G1045" s="1">
        <v>44909</v>
      </c>
      <c r="H1045" s="1">
        <v>44911</v>
      </c>
      <c r="I1045">
        <v>134.467408132804</v>
      </c>
      <c r="J1045">
        <f t="shared" si="16"/>
        <v>2</v>
      </c>
    </row>
    <row r="1046" spans="1:10" x14ac:dyDescent="0.25">
      <c r="A1046" t="s">
        <v>1352</v>
      </c>
      <c r="B1046" t="s">
        <v>242</v>
      </c>
      <c r="C1046" t="s">
        <v>437</v>
      </c>
      <c r="D1046" s="1">
        <v>44246</v>
      </c>
      <c r="E1046">
        <v>13</v>
      </c>
      <c r="F1046">
        <v>61.944148237717897</v>
      </c>
      <c r="G1046" s="1">
        <v>44270</v>
      </c>
      <c r="H1046" s="1">
        <v>44271</v>
      </c>
      <c r="I1046">
        <v>805.27392709033302</v>
      </c>
      <c r="J1046">
        <f t="shared" si="16"/>
        <v>1</v>
      </c>
    </row>
    <row r="1047" spans="1:10" x14ac:dyDescent="0.25">
      <c r="A1047" t="s">
        <v>1353</v>
      </c>
      <c r="B1047" t="s">
        <v>127</v>
      </c>
      <c r="C1047" t="s">
        <v>41</v>
      </c>
      <c r="D1047" s="1">
        <v>44602</v>
      </c>
      <c r="E1047">
        <v>15</v>
      </c>
      <c r="F1047">
        <v>19.6162439756894</v>
      </c>
      <c r="G1047" s="1">
        <v>44615</v>
      </c>
      <c r="H1047" s="1">
        <v>44615</v>
      </c>
      <c r="I1047">
        <v>294.24365963534098</v>
      </c>
      <c r="J1047">
        <f t="shared" si="16"/>
        <v>0</v>
      </c>
    </row>
    <row r="1048" spans="1:10" x14ac:dyDescent="0.25">
      <c r="A1048" t="s">
        <v>1354</v>
      </c>
      <c r="B1048" t="s">
        <v>267</v>
      </c>
      <c r="C1048" t="s">
        <v>664</v>
      </c>
      <c r="D1048" s="1">
        <v>44321</v>
      </c>
      <c r="E1048">
        <v>13</v>
      </c>
      <c r="F1048">
        <v>55.800938301358798</v>
      </c>
      <c r="G1048" s="1">
        <v>44345</v>
      </c>
      <c r="H1048" s="1">
        <v>44347</v>
      </c>
      <c r="I1048">
        <v>725.412197917664</v>
      </c>
      <c r="J1048">
        <f t="shared" si="16"/>
        <v>2</v>
      </c>
    </row>
    <row r="1049" spans="1:10" x14ac:dyDescent="0.25">
      <c r="A1049" t="s">
        <v>1355</v>
      </c>
      <c r="B1049" t="s">
        <v>10</v>
      </c>
      <c r="C1049" t="s">
        <v>334</v>
      </c>
      <c r="D1049" s="1">
        <v>44495</v>
      </c>
      <c r="E1049">
        <v>9</v>
      </c>
      <c r="F1049">
        <v>34.955766576384399</v>
      </c>
      <c r="G1049" s="1">
        <v>44515</v>
      </c>
      <c r="H1049" s="1">
        <v>44512</v>
      </c>
      <c r="I1049">
        <v>314.60189918745903</v>
      </c>
      <c r="J1049">
        <f t="shared" si="16"/>
        <v>-3</v>
      </c>
    </row>
    <row r="1050" spans="1:10" x14ac:dyDescent="0.25">
      <c r="A1050" t="s">
        <v>1356</v>
      </c>
      <c r="B1050" t="s">
        <v>31</v>
      </c>
      <c r="C1050" t="s">
        <v>881</v>
      </c>
      <c r="D1050" s="1">
        <v>45143</v>
      </c>
      <c r="E1050">
        <v>7</v>
      </c>
      <c r="F1050">
        <v>13.759365528843</v>
      </c>
      <c r="G1050" s="1">
        <v>45163</v>
      </c>
      <c r="H1050" s="1">
        <v>45160</v>
      </c>
      <c r="I1050">
        <v>96.315558701901296</v>
      </c>
      <c r="J1050">
        <f t="shared" si="16"/>
        <v>-3</v>
      </c>
    </row>
    <row r="1051" spans="1:10" x14ac:dyDescent="0.25">
      <c r="A1051" t="s">
        <v>1357</v>
      </c>
      <c r="B1051" t="s">
        <v>250</v>
      </c>
      <c r="C1051" t="s">
        <v>276</v>
      </c>
      <c r="D1051" s="1">
        <v>44753</v>
      </c>
      <c r="E1051">
        <v>9</v>
      </c>
      <c r="F1051">
        <v>57.644269041745702</v>
      </c>
      <c r="G1051" s="1">
        <v>44764</v>
      </c>
      <c r="H1051" s="1">
        <v>44766</v>
      </c>
      <c r="I1051">
        <v>518.79842137571097</v>
      </c>
      <c r="J1051">
        <f t="shared" si="16"/>
        <v>2</v>
      </c>
    </row>
    <row r="1052" spans="1:10" x14ac:dyDescent="0.25">
      <c r="A1052" t="s">
        <v>1358</v>
      </c>
      <c r="B1052" t="s">
        <v>751</v>
      </c>
      <c r="C1052" t="s">
        <v>222</v>
      </c>
      <c r="D1052" s="1">
        <v>44784</v>
      </c>
      <c r="E1052">
        <v>8</v>
      </c>
      <c r="F1052">
        <v>12.585273192662401</v>
      </c>
      <c r="G1052" s="1">
        <v>44802</v>
      </c>
      <c r="H1052" s="1">
        <v>44802</v>
      </c>
      <c r="I1052">
        <v>100.68218554129901</v>
      </c>
      <c r="J1052">
        <f t="shared" si="16"/>
        <v>0</v>
      </c>
    </row>
    <row r="1053" spans="1:10" x14ac:dyDescent="0.25">
      <c r="A1053" t="s">
        <v>1359</v>
      </c>
      <c r="B1053" t="s">
        <v>219</v>
      </c>
      <c r="C1053" t="s">
        <v>272</v>
      </c>
      <c r="D1053" s="1">
        <v>44376</v>
      </c>
      <c r="E1053">
        <v>8</v>
      </c>
      <c r="F1053">
        <v>23.155143066853899</v>
      </c>
      <c r="G1053" s="1">
        <v>44387</v>
      </c>
      <c r="H1053" s="1">
        <v>44390</v>
      </c>
      <c r="I1053">
        <v>185.24114453483099</v>
      </c>
      <c r="J1053">
        <f t="shared" si="16"/>
        <v>3</v>
      </c>
    </row>
    <row r="1054" spans="1:10" x14ac:dyDescent="0.25">
      <c r="A1054" t="s">
        <v>1360</v>
      </c>
      <c r="B1054" t="s">
        <v>114</v>
      </c>
      <c r="C1054" t="s">
        <v>161</v>
      </c>
      <c r="D1054" s="1">
        <v>45233</v>
      </c>
      <c r="E1054">
        <v>8</v>
      </c>
      <c r="F1054">
        <v>14.819663621212801</v>
      </c>
      <c r="G1054" s="1">
        <v>45244</v>
      </c>
      <c r="H1054" s="1">
        <v>45243</v>
      </c>
      <c r="I1054">
        <v>118.557308969703</v>
      </c>
      <c r="J1054">
        <f t="shared" si="16"/>
        <v>-1</v>
      </c>
    </row>
    <row r="1055" spans="1:10" x14ac:dyDescent="0.25">
      <c r="A1055" t="s">
        <v>1361</v>
      </c>
      <c r="B1055" t="s">
        <v>114</v>
      </c>
      <c r="C1055" t="s">
        <v>1362</v>
      </c>
      <c r="D1055" s="1">
        <v>44735</v>
      </c>
      <c r="E1055">
        <v>8</v>
      </c>
      <c r="F1055">
        <v>36.907248334427003</v>
      </c>
      <c r="G1055" s="1">
        <v>44747</v>
      </c>
      <c r="H1055" s="1">
        <v>44745</v>
      </c>
      <c r="I1055">
        <v>295.25798667541602</v>
      </c>
      <c r="J1055">
        <f t="shared" si="16"/>
        <v>-2</v>
      </c>
    </row>
    <row r="1056" spans="1:10" x14ac:dyDescent="0.25">
      <c r="A1056" t="s">
        <v>1363</v>
      </c>
      <c r="B1056" t="s">
        <v>751</v>
      </c>
      <c r="C1056" t="s">
        <v>110</v>
      </c>
      <c r="D1056" s="1">
        <v>44767</v>
      </c>
      <c r="E1056">
        <v>15</v>
      </c>
      <c r="F1056">
        <v>62.065033667480897</v>
      </c>
      <c r="G1056" s="1">
        <v>44791</v>
      </c>
      <c r="H1056" s="1">
        <v>44789</v>
      </c>
      <c r="I1056">
        <v>930.97550501221394</v>
      </c>
      <c r="J1056">
        <f t="shared" si="16"/>
        <v>-2</v>
      </c>
    </row>
    <row r="1057" spans="1:10" x14ac:dyDescent="0.25">
      <c r="A1057" t="s">
        <v>1364</v>
      </c>
      <c r="B1057" t="s">
        <v>564</v>
      </c>
      <c r="C1057" t="s">
        <v>268</v>
      </c>
      <c r="D1057" s="1">
        <v>44356</v>
      </c>
      <c r="E1057">
        <v>10</v>
      </c>
      <c r="F1057">
        <v>32.284738321237199</v>
      </c>
      <c r="G1057" s="1">
        <v>44369</v>
      </c>
      <c r="H1057" s="1">
        <v>44374</v>
      </c>
      <c r="I1057">
        <v>322.84738321237199</v>
      </c>
      <c r="J1057">
        <f t="shared" si="16"/>
        <v>5</v>
      </c>
    </row>
    <row r="1058" spans="1:10" x14ac:dyDescent="0.25">
      <c r="A1058" t="s">
        <v>1365</v>
      </c>
      <c r="B1058" t="s">
        <v>493</v>
      </c>
      <c r="C1058" t="s">
        <v>270</v>
      </c>
      <c r="D1058" s="1">
        <v>44317</v>
      </c>
      <c r="E1058">
        <v>10</v>
      </c>
      <c r="F1058">
        <v>27.233427911481201</v>
      </c>
      <c r="G1058" s="1">
        <v>44328</v>
      </c>
      <c r="H1058" s="1">
        <v>44329</v>
      </c>
      <c r="I1058">
        <v>272.33427911481198</v>
      </c>
      <c r="J1058">
        <f t="shared" si="16"/>
        <v>1</v>
      </c>
    </row>
    <row r="1059" spans="1:10" x14ac:dyDescent="0.25">
      <c r="A1059" t="s">
        <v>1366</v>
      </c>
      <c r="B1059" t="s">
        <v>295</v>
      </c>
      <c r="C1059" t="s">
        <v>214</v>
      </c>
      <c r="D1059" s="1">
        <v>44549</v>
      </c>
      <c r="E1059">
        <v>9</v>
      </c>
      <c r="F1059">
        <v>44.647223605560299</v>
      </c>
      <c r="G1059" s="1">
        <v>44565</v>
      </c>
      <c r="H1059" s="1">
        <v>44567</v>
      </c>
      <c r="I1059">
        <v>401.825012450043</v>
      </c>
      <c r="J1059">
        <f t="shared" si="16"/>
        <v>2</v>
      </c>
    </row>
    <row r="1060" spans="1:10" x14ac:dyDescent="0.25">
      <c r="A1060" t="s">
        <v>1367</v>
      </c>
      <c r="B1060" t="s">
        <v>475</v>
      </c>
      <c r="C1060" t="s">
        <v>759</v>
      </c>
      <c r="D1060" s="1">
        <v>44917</v>
      </c>
      <c r="E1060">
        <v>12</v>
      </c>
      <c r="F1060">
        <v>46.222563535280898</v>
      </c>
      <c r="G1060" s="1">
        <v>44929</v>
      </c>
      <c r="H1060" s="1">
        <v>44935</v>
      </c>
      <c r="I1060">
        <v>554.670762423371</v>
      </c>
      <c r="J1060">
        <f t="shared" si="16"/>
        <v>6</v>
      </c>
    </row>
    <row r="1061" spans="1:10" x14ac:dyDescent="0.25">
      <c r="A1061" t="s">
        <v>1368</v>
      </c>
      <c r="B1061" t="s">
        <v>472</v>
      </c>
      <c r="C1061" t="s">
        <v>89</v>
      </c>
      <c r="D1061" s="1">
        <v>44244</v>
      </c>
      <c r="E1061">
        <v>11</v>
      </c>
      <c r="F1061">
        <v>74.357636512725094</v>
      </c>
      <c r="G1061" s="1">
        <v>44257</v>
      </c>
      <c r="H1061" s="1">
        <v>44254</v>
      </c>
      <c r="I1061">
        <v>817.93400163997603</v>
      </c>
      <c r="J1061">
        <f t="shared" si="16"/>
        <v>-3</v>
      </c>
    </row>
    <row r="1062" spans="1:10" x14ac:dyDescent="0.25">
      <c r="A1062" t="s">
        <v>1369</v>
      </c>
      <c r="B1062" t="s">
        <v>140</v>
      </c>
      <c r="C1062" t="s">
        <v>212</v>
      </c>
      <c r="D1062" s="1">
        <v>44377</v>
      </c>
      <c r="E1062">
        <v>9</v>
      </c>
      <c r="F1062">
        <v>18.815960989427399</v>
      </c>
      <c r="G1062" s="1">
        <v>44397</v>
      </c>
      <c r="H1062" s="1">
        <v>44396</v>
      </c>
      <c r="I1062">
        <v>169.34364890484599</v>
      </c>
      <c r="J1062">
        <f t="shared" si="16"/>
        <v>-1</v>
      </c>
    </row>
    <row r="1063" spans="1:10" x14ac:dyDescent="0.25">
      <c r="A1063" t="s">
        <v>1370</v>
      </c>
      <c r="B1063" t="s">
        <v>121</v>
      </c>
      <c r="C1063" t="s">
        <v>182</v>
      </c>
      <c r="D1063" s="1">
        <v>44767</v>
      </c>
      <c r="E1063">
        <v>8</v>
      </c>
      <c r="F1063">
        <v>35.270069964939502</v>
      </c>
      <c r="G1063" s="1">
        <v>44786</v>
      </c>
      <c r="H1063" s="1">
        <v>44787</v>
      </c>
      <c r="I1063">
        <v>282.16055971951602</v>
      </c>
      <c r="J1063">
        <f t="shared" si="16"/>
        <v>1</v>
      </c>
    </row>
    <row r="1064" spans="1:10" x14ac:dyDescent="0.25">
      <c r="A1064" t="s">
        <v>1371</v>
      </c>
      <c r="B1064" t="s">
        <v>127</v>
      </c>
      <c r="C1064" t="s">
        <v>199</v>
      </c>
      <c r="D1064" s="1">
        <v>44639</v>
      </c>
      <c r="E1064">
        <v>15</v>
      </c>
      <c r="F1064">
        <v>15.7811429522257</v>
      </c>
      <c r="G1064" s="1">
        <v>44660</v>
      </c>
      <c r="H1064" s="1">
        <v>44659</v>
      </c>
      <c r="I1064">
        <v>236.71714428338601</v>
      </c>
      <c r="J1064">
        <f t="shared" si="16"/>
        <v>-1</v>
      </c>
    </row>
    <row r="1065" spans="1:10" x14ac:dyDescent="0.25">
      <c r="A1065" t="s">
        <v>1372</v>
      </c>
      <c r="B1065" t="s">
        <v>176</v>
      </c>
      <c r="C1065" t="s">
        <v>437</v>
      </c>
      <c r="D1065" s="1">
        <v>44817</v>
      </c>
      <c r="E1065">
        <v>5</v>
      </c>
      <c r="F1065">
        <v>18.4857965986536</v>
      </c>
      <c r="G1065" s="1">
        <v>44841</v>
      </c>
      <c r="H1065" s="1">
        <v>44845</v>
      </c>
      <c r="I1065">
        <v>92.428982993268406</v>
      </c>
      <c r="J1065">
        <f t="shared" si="16"/>
        <v>4</v>
      </c>
    </row>
    <row r="1066" spans="1:10" x14ac:dyDescent="0.25">
      <c r="A1066" t="s">
        <v>1373</v>
      </c>
      <c r="B1066" t="s">
        <v>340</v>
      </c>
      <c r="C1066" t="s">
        <v>222</v>
      </c>
      <c r="D1066" s="1">
        <v>45201</v>
      </c>
      <c r="E1066">
        <v>10</v>
      </c>
      <c r="F1066">
        <v>19.390062946741001</v>
      </c>
      <c r="G1066" s="1">
        <v>45224</v>
      </c>
      <c r="H1066" s="1">
        <v>45222</v>
      </c>
      <c r="I1066">
        <v>193.90062946741</v>
      </c>
      <c r="J1066">
        <f t="shared" si="16"/>
        <v>-2</v>
      </c>
    </row>
    <row r="1067" spans="1:10" x14ac:dyDescent="0.25">
      <c r="A1067" t="s">
        <v>1374</v>
      </c>
      <c r="B1067" t="s">
        <v>314</v>
      </c>
      <c r="C1067" t="s">
        <v>338</v>
      </c>
      <c r="D1067" s="1">
        <v>44287</v>
      </c>
      <c r="E1067">
        <v>9</v>
      </c>
      <c r="F1067">
        <v>39.220517799154202</v>
      </c>
      <c r="G1067" s="1">
        <v>44310</v>
      </c>
      <c r="H1067" s="1">
        <v>44307</v>
      </c>
      <c r="I1067">
        <v>352.98466019238799</v>
      </c>
      <c r="J1067">
        <f t="shared" si="16"/>
        <v>-3</v>
      </c>
    </row>
    <row r="1068" spans="1:10" x14ac:dyDescent="0.25">
      <c r="A1068" t="s">
        <v>1375</v>
      </c>
      <c r="B1068" t="s">
        <v>288</v>
      </c>
      <c r="C1068" t="s">
        <v>495</v>
      </c>
      <c r="D1068" s="1">
        <v>44995</v>
      </c>
      <c r="E1068">
        <v>10</v>
      </c>
      <c r="F1068">
        <v>67.686963308426598</v>
      </c>
      <c r="G1068" s="1">
        <v>45018</v>
      </c>
      <c r="H1068" s="1">
        <v>45018</v>
      </c>
      <c r="I1068">
        <v>676.86963308426596</v>
      </c>
      <c r="J1068">
        <f t="shared" si="16"/>
        <v>0</v>
      </c>
    </row>
    <row r="1069" spans="1:10" x14ac:dyDescent="0.25">
      <c r="A1069" t="s">
        <v>1376</v>
      </c>
      <c r="B1069" t="s">
        <v>121</v>
      </c>
      <c r="C1069" t="s">
        <v>158</v>
      </c>
      <c r="D1069" s="1">
        <v>44368</v>
      </c>
      <c r="E1069">
        <v>16</v>
      </c>
      <c r="F1069">
        <v>77.979166505811193</v>
      </c>
      <c r="G1069" s="1">
        <v>44385</v>
      </c>
      <c r="H1069" s="1">
        <v>44389</v>
      </c>
      <c r="I1069">
        <v>1247.66666409297</v>
      </c>
      <c r="J1069">
        <f t="shared" si="16"/>
        <v>4</v>
      </c>
    </row>
    <row r="1070" spans="1:10" x14ac:dyDescent="0.25">
      <c r="A1070" t="s">
        <v>1377</v>
      </c>
      <c r="B1070" t="s">
        <v>411</v>
      </c>
      <c r="C1070" t="s">
        <v>74</v>
      </c>
      <c r="D1070" s="1">
        <v>45048</v>
      </c>
      <c r="E1070">
        <v>12</v>
      </c>
      <c r="F1070">
        <v>75.530664320554706</v>
      </c>
      <c r="G1070" s="1">
        <v>45059</v>
      </c>
      <c r="H1070" s="1">
        <v>45060</v>
      </c>
      <c r="I1070">
        <v>906.36797184665602</v>
      </c>
      <c r="J1070">
        <f t="shared" si="16"/>
        <v>1</v>
      </c>
    </row>
    <row r="1071" spans="1:10" x14ac:dyDescent="0.25">
      <c r="A1071" t="s">
        <v>1378</v>
      </c>
      <c r="B1071" t="s">
        <v>157</v>
      </c>
      <c r="C1071" t="s">
        <v>792</v>
      </c>
      <c r="D1071" s="1">
        <v>45065</v>
      </c>
      <c r="E1071">
        <v>10</v>
      </c>
      <c r="F1071">
        <v>48.308726031184698</v>
      </c>
      <c r="G1071" s="1">
        <v>45077</v>
      </c>
      <c r="H1071" s="1">
        <v>45082</v>
      </c>
      <c r="I1071">
        <v>483.08726031184699</v>
      </c>
      <c r="J1071">
        <f t="shared" si="16"/>
        <v>5</v>
      </c>
    </row>
    <row r="1072" spans="1:10" x14ac:dyDescent="0.25">
      <c r="A1072" t="s">
        <v>1379</v>
      </c>
      <c r="B1072" t="s">
        <v>314</v>
      </c>
      <c r="C1072" t="s">
        <v>283</v>
      </c>
      <c r="D1072" s="1">
        <v>45202</v>
      </c>
      <c r="E1072">
        <v>14</v>
      </c>
      <c r="F1072">
        <v>69.390740308739296</v>
      </c>
      <c r="G1072" s="1">
        <v>45215</v>
      </c>
      <c r="H1072" s="1">
        <v>45215</v>
      </c>
      <c r="I1072">
        <v>971.47036432235097</v>
      </c>
      <c r="J1072">
        <f t="shared" si="16"/>
        <v>0</v>
      </c>
    </row>
    <row r="1073" spans="1:10" x14ac:dyDescent="0.25">
      <c r="A1073" t="s">
        <v>1380</v>
      </c>
      <c r="B1073" t="s">
        <v>216</v>
      </c>
      <c r="C1073" t="s">
        <v>765</v>
      </c>
      <c r="D1073" s="1">
        <v>45254</v>
      </c>
      <c r="E1073">
        <v>9</v>
      </c>
      <c r="F1073">
        <v>42.894187975604702</v>
      </c>
      <c r="G1073" s="1">
        <v>45265</v>
      </c>
      <c r="H1073" s="1">
        <v>45262</v>
      </c>
      <c r="I1073">
        <v>386.04769178044302</v>
      </c>
      <c r="J1073">
        <f t="shared" si="16"/>
        <v>-3</v>
      </c>
    </row>
    <row r="1074" spans="1:10" x14ac:dyDescent="0.25">
      <c r="A1074" t="s">
        <v>1381</v>
      </c>
      <c r="B1074" t="s">
        <v>205</v>
      </c>
      <c r="C1074" t="s">
        <v>272</v>
      </c>
      <c r="D1074" s="1">
        <v>45033</v>
      </c>
      <c r="E1074">
        <v>7</v>
      </c>
      <c r="F1074">
        <v>49.063338010266101</v>
      </c>
      <c r="G1074" s="1">
        <v>45048</v>
      </c>
      <c r="H1074" s="1">
        <v>45050</v>
      </c>
      <c r="I1074">
        <v>343.44336607186301</v>
      </c>
      <c r="J1074">
        <f t="shared" si="16"/>
        <v>2</v>
      </c>
    </row>
    <row r="1075" spans="1:10" x14ac:dyDescent="0.25">
      <c r="A1075" t="s">
        <v>1382</v>
      </c>
      <c r="B1075" t="s">
        <v>91</v>
      </c>
      <c r="C1075" t="s">
        <v>589</v>
      </c>
      <c r="D1075" s="1">
        <v>44572</v>
      </c>
      <c r="E1075">
        <v>16</v>
      </c>
      <c r="F1075">
        <v>34.656643340391902</v>
      </c>
      <c r="G1075" s="1">
        <v>44582</v>
      </c>
      <c r="H1075" s="1">
        <v>44579</v>
      </c>
      <c r="I1075">
        <v>554.506293446271</v>
      </c>
      <c r="J1075">
        <f t="shared" si="16"/>
        <v>-3</v>
      </c>
    </row>
    <row r="1076" spans="1:10" x14ac:dyDescent="0.25">
      <c r="A1076" t="s">
        <v>1383</v>
      </c>
      <c r="B1076" t="s">
        <v>539</v>
      </c>
      <c r="C1076" t="s">
        <v>297</v>
      </c>
      <c r="D1076" s="1">
        <v>44927</v>
      </c>
      <c r="E1076">
        <v>9</v>
      </c>
      <c r="F1076">
        <v>6.3793509689642098</v>
      </c>
      <c r="G1076" s="1">
        <v>44939</v>
      </c>
      <c r="H1076" s="1">
        <v>44939</v>
      </c>
      <c r="I1076">
        <v>57.414158720677896</v>
      </c>
      <c r="J1076">
        <f t="shared" si="16"/>
        <v>0</v>
      </c>
    </row>
    <row r="1077" spans="1:10" x14ac:dyDescent="0.25">
      <c r="A1077" t="s">
        <v>1384</v>
      </c>
      <c r="B1077" t="s">
        <v>369</v>
      </c>
      <c r="C1077" t="s">
        <v>230</v>
      </c>
      <c r="D1077" s="1">
        <v>44628</v>
      </c>
      <c r="E1077">
        <v>8</v>
      </c>
      <c r="F1077">
        <v>60.794569418120801</v>
      </c>
      <c r="G1077" s="1">
        <v>44646</v>
      </c>
      <c r="H1077" s="1">
        <v>44652</v>
      </c>
      <c r="I1077">
        <v>486.35655534496601</v>
      </c>
      <c r="J1077">
        <f t="shared" si="16"/>
        <v>6</v>
      </c>
    </row>
    <row r="1078" spans="1:10" x14ac:dyDescent="0.25">
      <c r="A1078" t="s">
        <v>1385</v>
      </c>
      <c r="B1078" t="s">
        <v>49</v>
      </c>
      <c r="C1078" t="s">
        <v>457</v>
      </c>
      <c r="D1078" s="1">
        <v>44254</v>
      </c>
      <c r="E1078">
        <v>9</v>
      </c>
      <c r="F1078">
        <v>48.848746518254302</v>
      </c>
      <c r="G1078" s="1">
        <v>44278</v>
      </c>
      <c r="H1078" s="1">
        <v>44279</v>
      </c>
      <c r="I1078">
        <v>439.63871866428798</v>
      </c>
      <c r="J1078">
        <f t="shared" si="16"/>
        <v>1</v>
      </c>
    </row>
    <row r="1079" spans="1:10" x14ac:dyDescent="0.25">
      <c r="A1079" t="s">
        <v>1386</v>
      </c>
      <c r="B1079" t="s">
        <v>140</v>
      </c>
      <c r="C1079" t="s">
        <v>331</v>
      </c>
      <c r="D1079" s="1">
        <v>44765</v>
      </c>
      <c r="E1079">
        <v>13</v>
      </c>
      <c r="F1079">
        <v>71.660450931500506</v>
      </c>
      <c r="G1079" s="1">
        <v>44789</v>
      </c>
      <c r="H1079" s="1">
        <v>44791</v>
      </c>
      <c r="I1079">
        <v>931.58586210950602</v>
      </c>
      <c r="J1079">
        <f t="shared" si="16"/>
        <v>2</v>
      </c>
    </row>
    <row r="1080" spans="1:10" x14ac:dyDescent="0.25">
      <c r="A1080" t="s">
        <v>1387</v>
      </c>
      <c r="B1080" t="s">
        <v>314</v>
      </c>
      <c r="C1080" t="s">
        <v>308</v>
      </c>
      <c r="D1080" s="1">
        <v>44656</v>
      </c>
      <c r="E1080">
        <v>8</v>
      </c>
      <c r="F1080">
        <v>9.8921721826182498</v>
      </c>
      <c r="G1080" s="1">
        <v>44673</v>
      </c>
      <c r="H1080" s="1">
        <v>44679</v>
      </c>
      <c r="I1080">
        <v>79.137377460945999</v>
      </c>
      <c r="J1080">
        <f t="shared" si="16"/>
        <v>6</v>
      </c>
    </row>
    <row r="1081" spans="1:10" x14ac:dyDescent="0.25">
      <c r="A1081" t="s">
        <v>1388</v>
      </c>
      <c r="B1081" t="s">
        <v>189</v>
      </c>
      <c r="C1081" t="s">
        <v>421</v>
      </c>
      <c r="D1081" s="1">
        <v>44329</v>
      </c>
      <c r="E1081">
        <v>7</v>
      </c>
      <c r="F1081">
        <v>20.447902291407399</v>
      </c>
      <c r="G1081" s="1">
        <v>44352</v>
      </c>
      <c r="H1081" s="1">
        <v>44353</v>
      </c>
      <c r="I1081">
        <v>143.135316039852</v>
      </c>
      <c r="J1081">
        <f t="shared" si="16"/>
        <v>1</v>
      </c>
    </row>
    <row r="1082" spans="1:10" x14ac:dyDescent="0.25">
      <c r="A1082" t="s">
        <v>1389</v>
      </c>
      <c r="B1082" t="s">
        <v>76</v>
      </c>
      <c r="C1082" t="s">
        <v>627</v>
      </c>
      <c r="D1082" s="1">
        <v>44434</v>
      </c>
      <c r="E1082">
        <v>7</v>
      </c>
      <c r="F1082">
        <v>67.870185164270694</v>
      </c>
      <c r="G1082" s="1">
        <v>44451</v>
      </c>
      <c r="H1082" s="1">
        <v>44451</v>
      </c>
      <c r="I1082">
        <v>475.09129614989502</v>
      </c>
      <c r="J1082">
        <f t="shared" si="16"/>
        <v>0</v>
      </c>
    </row>
    <row r="1083" spans="1:10" x14ac:dyDescent="0.25">
      <c r="A1083" t="s">
        <v>1390</v>
      </c>
      <c r="B1083" t="s">
        <v>46</v>
      </c>
      <c r="C1083" t="s">
        <v>718</v>
      </c>
      <c r="D1083" s="1">
        <v>44223</v>
      </c>
      <c r="E1083">
        <v>10</v>
      </c>
      <c r="F1083">
        <v>79.3796814573722</v>
      </c>
      <c r="G1083" s="1">
        <v>44247</v>
      </c>
      <c r="H1083" s="1">
        <v>44248</v>
      </c>
      <c r="I1083">
        <v>793.79681457372203</v>
      </c>
      <c r="J1083">
        <f t="shared" si="16"/>
        <v>1</v>
      </c>
    </row>
    <row r="1084" spans="1:10" x14ac:dyDescent="0.25">
      <c r="A1084" t="s">
        <v>1391</v>
      </c>
      <c r="B1084" t="s">
        <v>79</v>
      </c>
      <c r="C1084" t="s">
        <v>437</v>
      </c>
      <c r="D1084" s="1">
        <v>45010</v>
      </c>
      <c r="E1084">
        <v>11</v>
      </c>
      <c r="F1084">
        <v>73.926886751545197</v>
      </c>
      <c r="G1084" s="1">
        <v>45027</v>
      </c>
      <c r="H1084" s="1">
        <v>45030</v>
      </c>
      <c r="I1084">
        <v>813.19575426699703</v>
      </c>
      <c r="J1084">
        <f t="shared" si="16"/>
        <v>3</v>
      </c>
    </row>
    <row r="1085" spans="1:10" x14ac:dyDescent="0.25">
      <c r="A1085" t="s">
        <v>1392</v>
      </c>
      <c r="B1085" t="s">
        <v>143</v>
      </c>
      <c r="C1085" t="s">
        <v>272</v>
      </c>
      <c r="D1085" s="1">
        <v>45053</v>
      </c>
      <c r="E1085">
        <v>10</v>
      </c>
      <c r="F1085">
        <v>68.787227886443802</v>
      </c>
      <c r="G1085" s="1">
        <v>45070</v>
      </c>
      <c r="H1085" s="1">
        <v>45069</v>
      </c>
      <c r="I1085">
        <v>687.87227886443804</v>
      </c>
      <c r="J1085">
        <f t="shared" si="16"/>
        <v>-1</v>
      </c>
    </row>
    <row r="1086" spans="1:10" x14ac:dyDescent="0.25">
      <c r="A1086" t="s">
        <v>1393</v>
      </c>
      <c r="B1086" t="s">
        <v>52</v>
      </c>
      <c r="C1086" t="s">
        <v>208</v>
      </c>
      <c r="D1086" s="1">
        <v>44557</v>
      </c>
      <c r="E1086">
        <v>7</v>
      </c>
      <c r="F1086">
        <v>78.219665831342994</v>
      </c>
      <c r="G1086" s="1">
        <v>44570</v>
      </c>
      <c r="H1086" s="1">
        <v>44573</v>
      </c>
      <c r="I1086">
        <v>547.5376608194</v>
      </c>
      <c r="J1086">
        <f t="shared" si="16"/>
        <v>3</v>
      </c>
    </row>
    <row r="1087" spans="1:10" x14ac:dyDescent="0.25">
      <c r="A1087" t="s">
        <v>1394</v>
      </c>
      <c r="B1087" t="s">
        <v>96</v>
      </c>
      <c r="C1087" t="s">
        <v>363</v>
      </c>
      <c r="D1087" s="1">
        <v>44413</v>
      </c>
      <c r="E1087">
        <v>13</v>
      </c>
      <c r="F1087">
        <v>18.413241119085001</v>
      </c>
      <c r="G1087" s="1">
        <v>44424</v>
      </c>
      <c r="H1087" s="1">
        <v>44423</v>
      </c>
      <c r="I1087">
        <v>239.372134548106</v>
      </c>
      <c r="J1087">
        <f t="shared" si="16"/>
        <v>-1</v>
      </c>
    </row>
    <row r="1088" spans="1:10" x14ac:dyDescent="0.25">
      <c r="A1088" t="s">
        <v>1395</v>
      </c>
      <c r="B1088" t="s">
        <v>219</v>
      </c>
      <c r="C1088" t="s">
        <v>881</v>
      </c>
      <c r="D1088" s="1">
        <v>44206</v>
      </c>
      <c r="E1088">
        <v>10</v>
      </c>
      <c r="F1088">
        <v>51.271703830924899</v>
      </c>
      <c r="G1088" s="1">
        <v>44218</v>
      </c>
      <c r="H1088" s="1">
        <v>44224</v>
      </c>
      <c r="I1088">
        <v>512.71703830924901</v>
      </c>
      <c r="J1088">
        <f t="shared" si="16"/>
        <v>6</v>
      </c>
    </row>
    <row r="1089" spans="1:10" x14ac:dyDescent="0.25">
      <c r="A1089" t="s">
        <v>1396</v>
      </c>
      <c r="B1089" t="s">
        <v>295</v>
      </c>
      <c r="C1089" t="s">
        <v>380</v>
      </c>
      <c r="D1089" s="1">
        <v>45016</v>
      </c>
      <c r="E1089">
        <v>10</v>
      </c>
      <c r="F1089">
        <v>60.507974160152699</v>
      </c>
      <c r="G1089" s="1">
        <v>45033</v>
      </c>
      <c r="H1089" s="1">
        <v>45032</v>
      </c>
      <c r="I1089">
        <v>605.07974160152696</v>
      </c>
      <c r="J1089">
        <f t="shared" si="16"/>
        <v>-1</v>
      </c>
    </row>
    <row r="1090" spans="1:10" x14ac:dyDescent="0.25">
      <c r="A1090" t="s">
        <v>1397</v>
      </c>
      <c r="B1090" t="s">
        <v>119</v>
      </c>
      <c r="C1090" t="s">
        <v>727</v>
      </c>
      <c r="D1090" s="1">
        <v>44928</v>
      </c>
      <c r="E1090">
        <v>13</v>
      </c>
      <c r="F1090">
        <v>32.308175967125401</v>
      </c>
      <c r="G1090" s="1">
        <v>44944</v>
      </c>
      <c r="H1090" s="1">
        <v>44949</v>
      </c>
      <c r="I1090">
        <v>420.00628757263001</v>
      </c>
      <c r="J1090">
        <f t="shared" si="16"/>
        <v>5</v>
      </c>
    </row>
    <row r="1091" spans="1:10" x14ac:dyDescent="0.25">
      <c r="A1091" t="s">
        <v>1398</v>
      </c>
      <c r="B1091" t="s">
        <v>13</v>
      </c>
      <c r="C1091" t="s">
        <v>430</v>
      </c>
      <c r="D1091" s="1">
        <v>44343</v>
      </c>
      <c r="E1091">
        <v>9</v>
      </c>
      <c r="F1091">
        <v>41.2419481453515</v>
      </c>
      <c r="G1091" s="1">
        <v>44365</v>
      </c>
      <c r="H1091" s="1">
        <v>44362</v>
      </c>
      <c r="I1091">
        <v>371.17753330816299</v>
      </c>
      <c r="J1091">
        <f t="shared" ref="J1091:J1154" si="17">H1091-G1091</f>
        <v>-3</v>
      </c>
    </row>
    <row r="1092" spans="1:10" x14ac:dyDescent="0.25">
      <c r="A1092" t="s">
        <v>1399</v>
      </c>
      <c r="B1092" t="s">
        <v>67</v>
      </c>
      <c r="C1092" t="s">
        <v>44</v>
      </c>
      <c r="D1092" s="1">
        <v>44552</v>
      </c>
      <c r="E1092">
        <v>8</v>
      </c>
      <c r="F1092">
        <v>9.9061421471210807</v>
      </c>
      <c r="G1092" s="1">
        <v>44565</v>
      </c>
      <c r="H1092" s="1">
        <v>44571</v>
      </c>
      <c r="I1092">
        <v>79.249137176968603</v>
      </c>
      <c r="J1092">
        <f t="shared" si="17"/>
        <v>6</v>
      </c>
    </row>
    <row r="1093" spans="1:10" x14ac:dyDescent="0.25">
      <c r="A1093" t="s">
        <v>1400</v>
      </c>
      <c r="B1093" t="s">
        <v>350</v>
      </c>
      <c r="C1093" t="s">
        <v>65</v>
      </c>
      <c r="D1093" s="1">
        <v>44562</v>
      </c>
      <c r="E1093">
        <v>7</v>
      </c>
      <c r="F1093">
        <v>33.270854730425903</v>
      </c>
      <c r="G1093" s="1">
        <v>44578</v>
      </c>
      <c r="H1093" s="1">
        <v>44579</v>
      </c>
      <c r="I1093">
        <v>232.89598311298101</v>
      </c>
      <c r="J1093">
        <f t="shared" si="17"/>
        <v>1</v>
      </c>
    </row>
    <row r="1094" spans="1:10" x14ac:dyDescent="0.25">
      <c r="A1094" t="s">
        <v>1401</v>
      </c>
      <c r="B1094" t="s">
        <v>135</v>
      </c>
      <c r="C1094" t="s">
        <v>881</v>
      </c>
      <c r="D1094" s="1">
        <v>44744</v>
      </c>
      <c r="E1094">
        <v>9</v>
      </c>
      <c r="F1094">
        <v>77.226742563151603</v>
      </c>
      <c r="G1094" s="1">
        <v>44768</v>
      </c>
      <c r="H1094" s="1">
        <v>44765</v>
      </c>
      <c r="I1094">
        <v>695.04068306836496</v>
      </c>
      <c r="J1094">
        <f t="shared" si="17"/>
        <v>-3</v>
      </c>
    </row>
    <row r="1095" spans="1:10" x14ac:dyDescent="0.25">
      <c r="A1095" t="s">
        <v>1402</v>
      </c>
      <c r="B1095" t="s">
        <v>174</v>
      </c>
      <c r="C1095" t="s">
        <v>68</v>
      </c>
      <c r="D1095" s="1">
        <v>44446</v>
      </c>
      <c r="E1095">
        <v>16</v>
      </c>
      <c r="F1095">
        <v>28.9254474478643</v>
      </c>
      <c r="G1095" s="1">
        <v>44463</v>
      </c>
      <c r="H1095" s="1">
        <v>44463</v>
      </c>
      <c r="I1095">
        <v>462.80715916582898</v>
      </c>
      <c r="J1095">
        <f t="shared" si="17"/>
        <v>0</v>
      </c>
    </row>
    <row r="1096" spans="1:10" x14ac:dyDescent="0.25">
      <c r="A1096" t="s">
        <v>1403</v>
      </c>
      <c r="B1096" t="s">
        <v>119</v>
      </c>
      <c r="C1096" t="s">
        <v>792</v>
      </c>
      <c r="D1096" s="1">
        <v>44993</v>
      </c>
      <c r="E1096">
        <v>15</v>
      </c>
      <c r="F1096">
        <v>14.992155530501799</v>
      </c>
      <c r="G1096" s="1">
        <v>45003</v>
      </c>
      <c r="H1096" s="1">
        <v>45003</v>
      </c>
      <c r="I1096">
        <v>224.88233295752801</v>
      </c>
      <c r="J1096">
        <f t="shared" si="17"/>
        <v>0</v>
      </c>
    </row>
    <row r="1097" spans="1:10" x14ac:dyDescent="0.25">
      <c r="A1097" t="s">
        <v>1404</v>
      </c>
      <c r="B1097" t="s">
        <v>109</v>
      </c>
      <c r="C1097" t="s">
        <v>125</v>
      </c>
      <c r="D1097" s="1">
        <v>45104</v>
      </c>
      <c r="E1097">
        <v>10</v>
      </c>
      <c r="F1097">
        <v>72.667403360309507</v>
      </c>
      <c r="G1097" s="1">
        <v>45125</v>
      </c>
      <c r="H1097" s="1">
        <v>45122</v>
      </c>
      <c r="I1097">
        <v>726.67403360309504</v>
      </c>
      <c r="J1097">
        <f t="shared" si="17"/>
        <v>-3</v>
      </c>
    </row>
    <row r="1098" spans="1:10" x14ac:dyDescent="0.25">
      <c r="A1098" t="s">
        <v>1405</v>
      </c>
      <c r="B1098" t="s">
        <v>242</v>
      </c>
      <c r="C1098" t="s">
        <v>83</v>
      </c>
      <c r="D1098" s="1">
        <v>44830</v>
      </c>
      <c r="E1098">
        <v>8</v>
      </c>
      <c r="F1098">
        <v>9.9780861972537096</v>
      </c>
      <c r="G1098" s="1">
        <v>44846</v>
      </c>
      <c r="H1098" s="1">
        <v>44852</v>
      </c>
      <c r="I1098">
        <v>79.824689578029705</v>
      </c>
      <c r="J1098">
        <f t="shared" si="17"/>
        <v>6</v>
      </c>
    </row>
    <row r="1099" spans="1:10" x14ac:dyDescent="0.25">
      <c r="A1099" t="s">
        <v>1406</v>
      </c>
      <c r="B1099" t="s">
        <v>61</v>
      </c>
      <c r="C1099" t="s">
        <v>274</v>
      </c>
      <c r="D1099" s="1">
        <v>44690</v>
      </c>
      <c r="E1099">
        <v>16</v>
      </c>
      <c r="F1099">
        <v>19.106383990611199</v>
      </c>
      <c r="G1099" s="1">
        <v>44703</v>
      </c>
      <c r="H1099" s="1">
        <v>44703</v>
      </c>
      <c r="I1099">
        <v>305.70214384977999</v>
      </c>
      <c r="J1099">
        <f t="shared" si="17"/>
        <v>0</v>
      </c>
    </row>
    <row r="1100" spans="1:10" x14ac:dyDescent="0.25">
      <c r="A1100" t="s">
        <v>1407</v>
      </c>
      <c r="B1100" t="s">
        <v>539</v>
      </c>
      <c r="C1100" t="s">
        <v>400</v>
      </c>
      <c r="D1100" s="1">
        <v>44447</v>
      </c>
      <c r="E1100">
        <v>6</v>
      </c>
      <c r="F1100">
        <v>78.519401385638702</v>
      </c>
      <c r="G1100" s="1">
        <v>44461</v>
      </c>
      <c r="H1100" s="1">
        <v>44464</v>
      </c>
      <c r="I1100">
        <v>471.11640831383198</v>
      </c>
      <c r="J1100">
        <f t="shared" si="17"/>
        <v>3</v>
      </c>
    </row>
    <row r="1101" spans="1:10" x14ac:dyDescent="0.25">
      <c r="A1101" t="s">
        <v>1408</v>
      </c>
      <c r="B1101" t="s">
        <v>261</v>
      </c>
      <c r="C1101" t="s">
        <v>434</v>
      </c>
      <c r="D1101" s="1">
        <v>44738</v>
      </c>
      <c r="E1101">
        <v>10</v>
      </c>
      <c r="F1101">
        <v>55.157893617204799</v>
      </c>
      <c r="G1101" s="1">
        <v>44751</v>
      </c>
      <c r="H1101" s="1">
        <v>44753</v>
      </c>
      <c r="I1101">
        <v>551.57893617204797</v>
      </c>
      <c r="J1101">
        <f t="shared" si="17"/>
        <v>2</v>
      </c>
    </row>
    <row r="1102" spans="1:10" x14ac:dyDescent="0.25">
      <c r="A1102" t="s">
        <v>1409</v>
      </c>
      <c r="B1102" t="s">
        <v>340</v>
      </c>
      <c r="C1102" t="s">
        <v>100</v>
      </c>
      <c r="D1102" s="1">
        <v>45369</v>
      </c>
      <c r="E1102">
        <v>11</v>
      </c>
      <c r="F1102">
        <v>28.4182029282209</v>
      </c>
      <c r="G1102" s="1">
        <v>45381</v>
      </c>
      <c r="H1102" s="1">
        <v>45382</v>
      </c>
      <c r="I1102">
        <v>312.60023221043002</v>
      </c>
      <c r="J1102">
        <f t="shared" si="17"/>
        <v>1</v>
      </c>
    </row>
    <row r="1103" spans="1:10" x14ac:dyDescent="0.25">
      <c r="A1103" t="s">
        <v>1410</v>
      </c>
      <c r="B1103" t="s">
        <v>96</v>
      </c>
      <c r="C1103" t="s">
        <v>1051</v>
      </c>
      <c r="D1103" s="1">
        <v>44612</v>
      </c>
      <c r="E1103">
        <v>11</v>
      </c>
      <c r="F1103">
        <v>53.681475226803997</v>
      </c>
      <c r="G1103" s="1">
        <v>44631</v>
      </c>
      <c r="H1103" s="1">
        <v>44633</v>
      </c>
      <c r="I1103">
        <v>590.49622749484399</v>
      </c>
      <c r="J1103">
        <f t="shared" si="17"/>
        <v>2</v>
      </c>
    </row>
    <row r="1104" spans="1:10" x14ac:dyDescent="0.25">
      <c r="A1104" t="s">
        <v>1411</v>
      </c>
      <c r="B1104" t="s">
        <v>55</v>
      </c>
      <c r="C1104" t="s">
        <v>177</v>
      </c>
      <c r="D1104" s="1">
        <v>45368</v>
      </c>
      <c r="E1104">
        <v>9</v>
      </c>
      <c r="F1104">
        <v>60.8496048217688</v>
      </c>
      <c r="G1104" s="1">
        <v>45383</v>
      </c>
      <c r="H1104" s="1">
        <v>45381</v>
      </c>
      <c r="I1104">
        <v>547.64644339591905</v>
      </c>
      <c r="J1104">
        <f t="shared" si="17"/>
        <v>-2</v>
      </c>
    </row>
    <row r="1105" spans="1:10" x14ac:dyDescent="0.25">
      <c r="A1105" t="s">
        <v>1412</v>
      </c>
      <c r="B1105" t="s">
        <v>140</v>
      </c>
      <c r="C1105" t="s">
        <v>547</v>
      </c>
      <c r="D1105" s="1">
        <v>45226</v>
      </c>
      <c r="E1105">
        <v>7</v>
      </c>
      <c r="F1105">
        <v>23.2064525772015</v>
      </c>
      <c r="G1105" s="1">
        <v>45236</v>
      </c>
      <c r="H1105" s="1">
        <v>45235</v>
      </c>
      <c r="I1105">
        <v>162.44516804041001</v>
      </c>
      <c r="J1105">
        <f t="shared" si="17"/>
        <v>-1</v>
      </c>
    </row>
    <row r="1106" spans="1:10" x14ac:dyDescent="0.25">
      <c r="A1106" t="s">
        <v>1413</v>
      </c>
      <c r="B1106" t="s">
        <v>205</v>
      </c>
      <c r="C1106" t="s">
        <v>297</v>
      </c>
      <c r="D1106" s="1">
        <v>44330</v>
      </c>
      <c r="E1106">
        <v>7</v>
      </c>
      <c r="F1106">
        <v>50.443144127419203</v>
      </c>
      <c r="G1106" s="1">
        <v>44351</v>
      </c>
      <c r="H1106" s="1">
        <v>44349</v>
      </c>
      <c r="I1106">
        <v>353.10200889193402</v>
      </c>
      <c r="J1106">
        <f t="shared" si="17"/>
        <v>-2</v>
      </c>
    </row>
    <row r="1107" spans="1:10" x14ac:dyDescent="0.25">
      <c r="A1107" t="s">
        <v>1414</v>
      </c>
      <c r="B1107" t="s">
        <v>10</v>
      </c>
      <c r="C1107" t="s">
        <v>915</v>
      </c>
      <c r="D1107" s="1">
        <v>44337</v>
      </c>
      <c r="E1107">
        <v>15</v>
      </c>
      <c r="F1107">
        <v>60.472957819545599</v>
      </c>
      <c r="G1107" s="1">
        <v>44361</v>
      </c>
      <c r="H1107" s="1">
        <v>44362</v>
      </c>
      <c r="I1107">
        <v>907.09436729318395</v>
      </c>
      <c r="J1107">
        <f t="shared" si="17"/>
        <v>1</v>
      </c>
    </row>
    <row r="1108" spans="1:10" x14ac:dyDescent="0.25">
      <c r="A1108" t="s">
        <v>1415</v>
      </c>
      <c r="B1108" t="s">
        <v>22</v>
      </c>
      <c r="C1108" t="s">
        <v>623</v>
      </c>
      <c r="D1108" s="1">
        <v>44691</v>
      </c>
      <c r="E1108">
        <v>9</v>
      </c>
      <c r="F1108">
        <v>7.5818701797643397</v>
      </c>
      <c r="G1108" s="1">
        <v>44710</v>
      </c>
      <c r="H1108" s="1">
        <v>44712</v>
      </c>
      <c r="I1108">
        <v>68.236831617879105</v>
      </c>
      <c r="J1108">
        <f t="shared" si="17"/>
        <v>2</v>
      </c>
    </row>
    <row r="1109" spans="1:10" x14ac:dyDescent="0.25">
      <c r="A1109" t="s">
        <v>1416</v>
      </c>
      <c r="B1109" t="s">
        <v>43</v>
      </c>
      <c r="C1109" t="s">
        <v>210</v>
      </c>
      <c r="D1109" s="1">
        <v>45069</v>
      </c>
      <c r="E1109">
        <v>13</v>
      </c>
      <c r="F1109">
        <v>58.0202865933339</v>
      </c>
      <c r="G1109" s="1">
        <v>45088</v>
      </c>
      <c r="H1109" s="1">
        <v>45093</v>
      </c>
      <c r="I1109">
        <v>754.26372571334105</v>
      </c>
      <c r="J1109">
        <f t="shared" si="17"/>
        <v>5</v>
      </c>
    </row>
    <row r="1110" spans="1:10" x14ac:dyDescent="0.25">
      <c r="A1110" t="s">
        <v>1417</v>
      </c>
      <c r="B1110" t="s">
        <v>143</v>
      </c>
      <c r="C1110" t="s">
        <v>245</v>
      </c>
      <c r="D1110" s="1">
        <v>44614</v>
      </c>
      <c r="E1110">
        <v>11</v>
      </c>
      <c r="F1110">
        <v>68.435427161609795</v>
      </c>
      <c r="G1110" s="1">
        <v>44634</v>
      </c>
      <c r="H1110" s="1">
        <v>44639</v>
      </c>
      <c r="I1110">
        <v>752.78969877770703</v>
      </c>
      <c r="J1110">
        <f t="shared" si="17"/>
        <v>5</v>
      </c>
    </row>
    <row r="1111" spans="1:10" x14ac:dyDescent="0.25">
      <c r="A1111" t="s">
        <v>1418</v>
      </c>
      <c r="B1111" t="s">
        <v>119</v>
      </c>
      <c r="C1111" t="s">
        <v>341</v>
      </c>
      <c r="D1111" s="1">
        <v>45017</v>
      </c>
      <c r="E1111">
        <v>8</v>
      </c>
      <c r="F1111">
        <v>44.148695376448302</v>
      </c>
      <c r="G1111" s="1">
        <v>45035</v>
      </c>
      <c r="H1111" s="1">
        <v>45041</v>
      </c>
      <c r="I1111">
        <v>353.18956301158602</v>
      </c>
      <c r="J1111">
        <f t="shared" si="17"/>
        <v>6</v>
      </c>
    </row>
    <row r="1112" spans="1:10" x14ac:dyDescent="0.25">
      <c r="A1112" t="s">
        <v>1419</v>
      </c>
      <c r="B1112" t="s">
        <v>394</v>
      </c>
      <c r="C1112" t="s">
        <v>344</v>
      </c>
      <c r="D1112" s="1">
        <v>44813</v>
      </c>
      <c r="E1112">
        <v>10</v>
      </c>
      <c r="F1112">
        <v>72.549076928214504</v>
      </c>
      <c r="G1112" s="1">
        <v>44836</v>
      </c>
      <c r="H1112" s="1">
        <v>44842</v>
      </c>
      <c r="I1112">
        <v>725.49076928214504</v>
      </c>
      <c r="J1112">
        <f t="shared" si="17"/>
        <v>6</v>
      </c>
    </row>
    <row r="1113" spans="1:10" x14ac:dyDescent="0.25">
      <c r="A1113" t="s">
        <v>1420</v>
      </c>
      <c r="B1113" t="s">
        <v>617</v>
      </c>
      <c r="C1113" t="s">
        <v>105</v>
      </c>
      <c r="D1113" s="1">
        <v>44734</v>
      </c>
      <c r="E1113">
        <v>13</v>
      </c>
      <c r="F1113">
        <v>31.088519860356499</v>
      </c>
      <c r="G1113" s="1">
        <v>44747</v>
      </c>
      <c r="H1113" s="1">
        <v>44750</v>
      </c>
      <c r="I1113">
        <v>404.15075818463498</v>
      </c>
      <c r="J1113">
        <f t="shared" si="17"/>
        <v>3</v>
      </c>
    </row>
    <row r="1114" spans="1:10" x14ac:dyDescent="0.25">
      <c r="A1114" t="s">
        <v>1421</v>
      </c>
      <c r="B1114" t="s">
        <v>219</v>
      </c>
      <c r="C1114" t="s">
        <v>543</v>
      </c>
      <c r="D1114" s="1">
        <v>45244</v>
      </c>
      <c r="E1114">
        <v>10</v>
      </c>
      <c r="F1114">
        <v>77.196195609856801</v>
      </c>
      <c r="G1114" s="1">
        <v>45263</v>
      </c>
      <c r="H1114" s="1">
        <v>45265</v>
      </c>
      <c r="I1114">
        <v>771.96195609856795</v>
      </c>
      <c r="J1114">
        <f t="shared" si="17"/>
        <v>2</v>
      </c>
    </row>
    <row r="1115" spans="1:10" x14ac:dyDescent="0.25">
      <c r="A1115" t="s">
        <v>1422</v>
      </c>
      <c r="B1115" t="s">
        <v>321</v>
      </c>
      <c r="C1115" t="s">
        <v>600</v>
      </c>
      <c r="D1115" s="1">
        <v>45073</v>
      </c>
      <c r="E1115">
        <v>10</v>
      </c>
      <c r="F1115">
        <v>51.274809582208597</v>
      </c>
      <c r="G1115" s="1">
        <v>45092</v>
      </c>
      <c r="H1115" s="1">
        <v>45091</v>
      </c>
      <c r="I1115">
        <v>512.74809582208604</v>
      </c>
      <c r="J1115">
        <f t="shared" si="17"/>
        <v>-1</v>
      </c>
    </row>
    <row r="1116" spans="1:10" x14ac:dyDescent="0.25">
      <c r="A1116" t="s">
        <v>1423</v>
      </c>
      <c r="B1116" t="s">
        <v>79</v>
      </c>
      <c r="C1116" t="s">
        <v>281</v>
      </c>
      <c r="D1116" s="1">
        <v>44732</v>
      </c>
      <c r="E1116">
        <v>18</v>
      </c>
      <c r="F1116">
        <v>53.224056402732003</v>
      </c>
      <c r="G1116" s="1">
        <v>44756</v>
      </c>
      <c r="H1116" s="1">
        <v>44760</v>
      </c>
      <c r="I1116">
        <v>958.03301524917595</v>
      </c>
      <c r="J1116">
        <f t="shared" si="17"/>
        <v>4</v>
      </c>
    </row>
    <row r="1117" spans="1:10" x14ac:dyDescent="0.25">
      <c r="A1117" t="s">
        <v>1424</v>
      </c>
      <c r="B1117" t="s">
        <v>686</v>
      </c>
      <c r="C1117" t="s">
        <v>473</v>
      </c>
      <c r="D1117" s="1">
        <v>44997</v>
      </c>
      <c r="E1117">
        <v>12</v>
      </c>
      <c r="F1117">
        <v>73.3401603361947</v>
      </c>
      <c r="G1117" s="1">
        <v>45010</v>
      </c>
      <c r="H1117" s="1">
        <v>45009</v>
      </c>
      <c r="I1117">
        <v>880.08192403433702</v>
      </c>
      <c r="J1117">
        <f t="shared" si="17"/>
        <v>-1</v>
      </c>
    </row>
    <row r="1118" spans="1:10" x14ac:dyDescent="0.25">
      <c r="A1118" t="s">
        <v>1425</v>
      </c>
      <c r="B1118" t="s">
        <v>109</v>
      </c>
      <c r="C1118" t="s">
        <v>413</v>
      </c>
      <c r="D1118" s="1">
        <v>45314</v>
      </c>
      <c r="E1118">
        <v>10</v>
      </c>
      <c r="F1118">
        <v>66.493898178368696</v>
      </c>
      <c r="G1118" s="1">
        <v>45329</v>
      </c>
      <c r="H1118" s="1">
        <v>45335</v>
      </c>
      <c r="I1118">
        <v>664.93898178368704</v>
      </c>
      <c r="J1118">
        <f t="shared" si="17"/>
        <v>6</v>
      </c>
    </row>
    <row r="1119" spans="1:10" x14ac:dyDescent="0.25">
      <c r="A1119" t="s">
        <v>1426</v>
      </c>
      <c r="B1119" t="s">
        <v>326</v>
      </c>
      <c r="C1119" t="s">
        <v>312</v>
      </c>
      <c r="D1119" s="1">
        <v>45200</v>
      </c>
      <c r="E1119">
        <v>8</v>
      </c>
      <c r="F1119">
        <v>74.273662934555205</v>
      </c>
      <c r="G1119" s="1">
        <v>45212</v>
      </c>
      <c r="H1119" s="1">
        <v>45213</v>
      </c>
      <c r="I1119">
        <v>594.18930347644198</v>
      </c>
      <c r="J1119">
        <f t="shared" si="17"/>
        <v>1</v>
      </c>
    </row>
    <row r="1120" spans="1:10" x14ac:dyDescent="0.25">
      <c r="A1120" t="s">
        <v>1427</v>
      </c>
      <c r="B1120" t="s">
        <v>207</v>
      </c>
      <c r="C1120" t="s">
        <v>308</v>
      </c>
      <c r="D1120" s="1">
        <v>44977</v>
      </c>
      <c r="E1120">
        <v>13</v>
      </c>
      <c r="F1120">
        <v>72.864217547825405</v>
      </c>
      <c r="G1120" s="1">
        <v>44989</v>
      </c>
      <c r="H1120" s="1">
        <v>44990</v>
      </c>
      <c r="I1120">
        <v>947.23482812173097</v>
      </c>
      <c r="J1120">
        <f t="shared" si="17"/>
        <v>1</v>
      </c>
    </row>
    <row r="1121" spans="1:10" x14ac:dyDescent="0.25">
      <c r="A1121" t="s">
        <v>1428</v>
      </c>
      <c r="B1121" t="s">
        <v>207</v>
      </c>
      <c r="C1121" t="s">
        <v>600</v>
      </c>
      <c r="D1121" s="1">
        <v>45314</v>
      </c>
      <c r="E1121">
        <v>9</v>
      </c>
      <c r="F1121">
        <v>40.036594753293699</v>
      </c>
      <c r="G1121" s="1">
        <v>45326</v>
      </c>
      <c r="H1121" s="1">
        <v>45328</v>
      </c>
      <c r="I1121">
        <v>360.32935277964299</v>
      </c>
      <c r="J1121">
        <f t="shared" si="17"/>
        <v>2</v>
      </c>
    </row>
    <row r="1122" spans="1:10" x14ac:dyDescent="0.25">
      <c r="A1122" t="s">
        <v>1429</v>
      </c>
      <c r="B1122" t="s">
        <v>46</v>
      </c>
      <c r="C1122" t="s">
        <v>353</v>
      </c>
      <c r="D1122" s="1">
        <v>44714</v>
      </c>
      <c r="E1122">
        <v>9</v>
      </c>
      <c r="F1122">
        <v>51.561320764280303</v>
      </c>
      <c r="G1122" s="1">
        <v>44735</v>
      </c>
      <c r="H1122" s="1">
        <v>44736</v>
      </c>
      <c r="I1122">
        <v>464.05188687852302</v>
      </c>
      <c r="J1122">
        <f t="shared" si="17"/>
        <v>1</v>
      </c>
    </row>
    <row r="1123" spans="1:10" x14ac:dyDescent="0.25">
      <c r="A1123" t="s">
        <v>1430</v>
      </c>
      <c r="B1123" t="s">
        <v>326</v>
      </c>
      <c r="C1123" t="s">
        <v>208</v>
      </c>
      <c r="D1123" s="1">
        <v>44458</v>
      </c>
      <c r="E1123">
        <v>9</v>
      </c>
      <c r="F1123">
        <v>6.4424196280159602</v>
      </c>
      <c r="G1123" s="1">
        <v>44482</v>
      </c>
      <c r="H1123" s="1">
        <v>44487</v>
      </c>
      <c r="I1123">
        <v>57.981776652143601</v>
      </c>
      <c r="J1123">
        <f t="shared" si="17"/>
        <v>5</v>
      </c>
    </row>
    <row r="1124" spans="1:10" x14ac:dyDescent="0.25">
      <c r="A1124" t="s">
        <v>1431</v>
      </c>
      <c r="B1124" t="s">
        <v>91</v>
      </c>
      <c r="C1124" t="s">
        <v>408</v>
      </c>
      <c r="D1124" s="1">
        <v>45117</v>
      </c>
      <c r="E1124">
        <v>10</v>
      </c>
      <c r="F1124">
        <v>14.9991753798893</v>
      </c>
      <c r="G1124" s="1">
        <v>45141</v>
      </c>
      <c r="H1124" s="1">
        <v>45143</v>
      </c>
      <c r="I1124">
        <v>149.991753798893</v>
      </c>
      <c r="J1124">
        <f t="shared" si="17"/>
        <v>2</v>
      </c>
    </row>
    <row r="1125" spans="1:10" x14ac:dyDescent="0.25">
      <c r="A1125" t="s">
        <v>1432</v>
      </c>
      <c r="B1125" t="s">
        <v>88</v>
      </c>
      <c r="C1125" t="s">
        <v>763</v>
      </c>
      <c r="D1125" s="1">
        <v>45304</v>
      </c>
      <c r="E1125">
        <v>9</v>
      </c>
      <c r="F1125">
        <v>53.379143044095798</v>
      </c>
      <c r="G1125" s="1">
        <v>45328</v>
      </c>
      <c r="H1125" s="1">
        <v>45325</v>
      </c>
      <c r="I1125">
        <v>480.41228739686198</v>
      </c>
      <c r="J1125">
        <f t="shared" si="17"/>
        <v>-3</v>
      </c>
    </row>
    <row r="1126" spans="1:10" x14ac:dyDescent="0.25">
      <c r="A1126" t="s">
        <v>1433</v>
      </c>
      <c r="B1126" t="s">
        <v>350</v>
      </c>
      <c r="C1126" t="s">
        <v>748</v>
      </c>
      <c r="D1126" s="1">
        <v>45213</v>
      </c>
      <c r="E1126">
        <v>8</v>
      </c>
      <c r="F1126">
        <v>35.145875889241303</v>
      </c>
      <c r="G1126" s="1">
        <v>45227</v>
      </c>
      <c r="H1126" s="1">
        <v>45224</v>
      </c>
      <c r="I1126">
        <v>281.16700711393003</v>
      </c>
      <c r="J1126">
        <f t="shared" si="17"/>
        <v>-3</v>
      </c>
    </row>
    <row r="1127" spans="1:10" x14ac:dyDescent="0.25">
      <c r="A1127" t="s">
        <v>1434</v>
      </c>
      <c r="B1127" t="s">
        <v>157</v>
      </c>
      <c r="C1127" t="s">
        <v>100</v>
      </c>
      <c r="D1127" s="1">
        <v>45181</v>
      </c>
      <c r="E1127">
        <v>13</v>
      </c>
      <c r="F1127">
        <v>62.088478374764797</v>
      </c>
      <c r="G1127" s="1">
        <v>45194</v>
      </c>
      <c r="H1127" s="1">
        <v>45199</v>
      </c>
      <c r="I1127">
        <v>807.150218871942</v>
      </c>
      <c r="J1127">
        <f t="shared" si="17"/>
        <v>5</v>
      </c>
    </row>
    <row r="1128" spans="1:10" x14ac:dyDescent="0.25">
      <c r="A1128" t="s">
        <v>1435</v>
      </c>
      <c r="B1128" t="s">
        <v>43</v>
      </c>
      <c r="C1128" t="s">
        <v>47</v>
      </c>
      <c r="D1128" s="1">
        <v>45278</v>
      </c>
      <c r="E1128">
        <v>11</v>
      </c>
      <c r="F1128">
        <v>20.440397431864401</v>
      </c>
      <c r="G1128" s="1">
        <v>45289</v>
      </c>
      <c r="H1128" s="1">
        <v>45291</v>
      </c>
      <c r="I1128">
        <v>224.844371750508</v>
      </c>
      <c r="J1128">
        <f t="shared" si="17"/>
        <v>2</v>
      </c>
    </row>
    <row r="1129" spans="1:10" x14ac:dyDescent="0.25">
      <c r="A1129" t="s">
        <v>1436</v>
      </c>
      <c r="B1129" t="s">
        <v>22</v>
      </c>
      <c r="C1129" t="s">
        <v>571</v>
      </c>
      <c r="D1129" s="1">
        <v>45346</v>
      </c>
      <c r="E1129">
        <v>8</v>
      </c>
      <c r="F1129">
        <v>40.6457541321791</v>
      </c>
      <c r="G1129" s="1">
        <v>45359</v>
      </c>
      <c r="H1129" s="1">
        <v>45358</v>
      </c>
      <c r="I1129">
        <v>325.16603305743303</v>
      </c>
      <c r="J1129">
        <f t="shared" si="17"/>
        <v>-1</v>
      </c>
    </row>
    <row r="1130" spans="1:10" x14ac:dyDescent="0.25">
      <c r="A1130" t="s">
        <v>1437</v>
      </c>
      <c r="B1130" t="s">
        <v>67</v>
      </c>
      <c r="C1130" t="s">
        <v>380</v>
      </c>
      <c r="D1130" s="1">
        <v>44636</v>
      </c>
      <c r="E1130">
        <v>9</v>
      </c>
      <c r="F1130">
        <v>53.149913125887302</v>
      </c>
      <c r="G1130" s="1">
        <v>44657</v>
      </c>
      <c r="H1130" s="1">
        <v>44658</v>
      </c>
      <c r="I1130">
        <v>478.34921813298502</v>
      </c>
      <c r="J1130">
        <f t="shared" si="17"/>
        <v>1</v>
      </c>
    </row>
    <row r="1131" spans="1:10" x14ac:dyDescent="0.25">
      <c r="A1131" t="s">
        <v>1438</v>
      </c>
      <c r="B1131" t="s">
        <v>143</v>
      </c>
      <c r="C1131" t="s">
        <v>238</v>
      </c>
      <c r="D1131" s="1">
        <v>45369</v>
      </c>
      <c r="E1131">
        <v>10</v>
      </c>
      <c r="F1131">
        <v>47.921551250889102</v>
      </c>
      <c r="G1131" s="1">
        <v>45391</v>
      </c>
      <c r="H1131" s="1">
        <v>45391</v>
      </c>
      <c r="I1131">
        <v>479.21551250889098</v>
      </c>
      <c r="J1131">
        <f t="shared" si="17"/>
        <v>0</v>
      </c>
    </row>
    <row r="1132" spans="1:10" x14ac:dyDescent="0.25">
      <c r="A1132" t="s">
        <v>1439</v>
      </c>
      <c r="B1132" t="s">
        <v>49</v>
      </c>
      <c r="C1132" t="s">
        <v>413</v>
      </c>
      <c r="D1132" s="1">
        <v>44254</v>
      </c>
      <c r="E1132">
        <v>14</v>
      </c>
      <c r="F1132">
        <v>29.887210478360601</v>
      </c>
      <c r="G1132" s="1">
        <v>44269</v>
      </c>
      <c r="H1132" s="1">
        <v>44267</v>
      </c>
      <c r="I1132">
        <v>418.42094669704898</v>
      </c>
      <c r="J1132">
        <f t="shared" si="17"/>
        <v>-2</v>
      </c>
    </row>
    <row r="1133" spans="1:10" x14ac:dyDescent="0.25">
      <c r="A1133" t="s">
        <v>1440</v>
      </c>
      <c r="B1133" t="s">
        <v>34</v>
      </c>
      <c r="C1133" t="s">
        <v>748</v>
      </c>
      <c r="D1133" s="1">
        <v>44329</v>
      </c>
      <c r="E1133">
        <v>11</v>
      </c>
      <c r="F1133">
        <v>25.356941314767401</v>
      </c>
      <c r="G1133" s="1">
        <v>44351</v>
      </c>
      <c r="H1133" s="1">
        <v>44348</v>
      </c>
      <c r="I1133">
        <v>278.926354462441</v>
      </c>
      <c r="J1133">
        <f t="shared" si="17"/>
        <v>-3</v>
      </c>
    </row>
    <row r="1134" spans="1:10" x14ac:dyDescent="0.25">
      <c r="A1134" t="s">
        <v>1441</v>
      </c>
      <c r="B1134" t="s">
        <v>379</v>
      </c>
      <c r="C1134" t="s">
        <v>276</v>
      </c>
      <c r="D1134" s="1">
        <v>45248</v>
      </c>
      <c r="E1134">
        <v>16</v>
      </c>
      <c r="F1134">
        <v>5.0950674267580496</v>
      </c>
      <c r="G1134" s="1">
        <v>45271</v>
      </c>
      <c r="H1134" s="1">
        <v>45272</v>
      </c>
      <c r="I1134">
        <v>81.521078828128793</v>
      </c>
      <c r="J1134">
        <f t="shared" si="17"/>
        <v>1</v>
      </c>
    </row>
    <row r="1135" spans="1:10" x14ac:dyDescent="0.25">
      <c r="A1135" t="s">
        <v>1442</v>
      </c>
      <c r="B1135" t="s">
        <v>143</v>
      </c>
      <c r="C1135" t="s">
        <v>77</v>
      </c>
      <c r="D1135" s="1">
        <v>44578</v>
      </c>
      <c r="E1135">
        <v>10</v>
      </c>
      <c r="F1135">
        <v>34.628588656280101</v>
      </c>
      <c r="G1135" s="1">
        <v>44596</v>
      </c>
      <c r="H1135" s="1">
        <v>44598</v>
      </c>
      <c r="I1135">
        <v>346.28588656280101</v>
      </c>
      <c r="J1135">
        <f t="shared" si="17"/>
        <v>2</v>
      </c>
    </row>
    <row r="1136" spans="1:10" x14ac:dyDescent="0.25">
      <c r="A1136" t="s">
        <v>1443</v>
      </c>
      <c r="B1136" t="s">
        <v>324</v>
      </c>
      <c r="C1136" t="s">
        <v>214</v>
      </c>
      <c r="D1136" s="1">
        <v>44479</v>
      </c>
      <c r="E1136">
        <v>10</v>
      </c>
      <c r="F1136">
        <v>3.8478569823238802</v>
      </c>
      <c r="G1136" s="1">
        <v>44495</v>
      </c>
      <c r="H1136" s="1">
        <v>44496</v>
      </c>
      <c r="I1136">
        <v>38.4785698232388</v>
      </c>
      <c r="J1136">
        <f t="shared" si="17"/>
        <v>1</v>
      </c>
    </row>
    <row r="1137" spans="1:10" x14ac:dyDescent="0.25">
      <c r="A1137" t="s">
        <v>1444</v>
      </c>
      <c r="B1137" t="s">
        <v>31</v>
      </c>
      <c r="C1137" t="s">
        <v>689</v>
      </c>
      <c r="D1137" s="1">
        <v>44641</v>
      </c>
      <c r="E1137">
        <v>9</v>
      </c>
      <c r="F1137">
        <v>23.5890046603466</v>
      </c>
      <c r="G1137" s="1">
        <v>44654</v>
      </c>
      <c r="H1137" s="1">
        <v>44659</v>
      </c>
      <c r="I1137">
        <v>212.301041943119</v>
      </c>
      <c r="J1137">
        <f t="shared" si="17"/>
        <v>5</v>
      </c>
    </row>
    <row r="1138" spans="1:10" x14ac:dyDescent="0.25">
      <c r="A1138" t="s">
        <v>1445</v>
      </c>
      <c r="B1138" t="s">
        <v>227</v>
      </c>
      <c r="C1138" t="s">
        <v>94</v>
      </c>
      <c r="D1138" s="1">
        <v>45212</v>
      </c>
      <c r="E1138">
        <v>7</v>
      </c>
      <c r="F1138">
        <v>71.043605938105003</v>
      </c>
      <c r="G1138" s="1">
        <v>45224</v>
      </c>
      <c r="H1138" s="1">
        <v>45228</v>
      </c>
      <c r="I1138">
        <v>497.30524156673499</v>
      </c>
      <c r="J1138">
        <f t="shared" si="17"/>
        <v>4</v>
      </c>
    </row>
    <row r="1139" spans="1:10" x14ac:dyDescent="0.25">
      <c r="A1139" t="s">
        <v>1446</v>
      </c>
      <c r="B1139" t="s">
        <v>109</v>
      </c>
      <c r="C1139" t="s">
        <v>990</v>
      </c>
      <c r="D1139" s="1">
        <v>45223</v>
      </c>
      <c r="E1139">
        <v>15</v>
      </c>
      <c r="F1139">
        <v>3.0880389214510302</v>
      </c>
      <c r="G1139" s="1">
        <v>45241</v>
      </c>
      <c r="H1139" s="1">
        <v>45242</v>
      </c>
      <c r="I1139">
        <v>46.320583821765403</v>
      </c>
      <c r="J1139">
        <f t="shared" si="17"/>
        <v>1</v>
      </c>
    </row>
    <row r="1140" spans="1:10" x14ac:dyDescent="0.25">
      <c r="A1140" t="s">
        <v>1447</v>
      </c>
      <c r="B1140" t="s">
        <v>186</v>
      </c>
      <c r="C1140" t="s">
        <v>11</v>
      </c>
      <c r="D1140" s="1">
        <v>44357</v>
      </c>
      <c r="E1140">
        <v>14</v>
      </c>
      <c r="F1140">
        <v>25.9547159537087</v>
      </c>
      <c r="G1140" s="1">
        <v>44378</v>
      </c>
      <c r="H1140" s="1">
        <v>44375</v>
      </c>
      <c r="I1140">
        <v>363.366023351921</v>
      </c>
      <c r="J1140">
        <f t="shared" si="17"/>
        <v>-3</v>
      </c>
    </row>
    <row r="1141" spans="1:10" x14ac:dyDescent="0.25">
      <c r="A1141" t="s">
        <v>1448</v>
      </c>
      <c r="B1141" t="s">
        <v>578</v>
      </c>
      <c r="C1141" t="s">
        <v>29</v>
      </c>
      <c r="D1141" s="1">
        <v>44821</v>
      </c>
      <c r="E1141">
        <v>15</v>
      </c>
      <c r="F1141">
        <v>38.4112742102513</v>
      </c>
      <c r="G1141" s="1">
        <v>44836</v>
      </c>
      <c r="H1141" s="1">
        <v>44833</v>
      </c>
      <c r="I1141">
        <v>576.16911315376899</v>
      </c>
      <c r="J1141">
        <f t="shared" si="17"/>
        <v>-3</v>
      </c>
    </row>
    <row r="1142" spans="1:10" x14ac:dyDescent="0.25">
      <c r="A1142" t="s">
        <v>1449</v>
      </c>
      <c r="B1142" t="s">
        <v>79</v>
      </c>
      <c r="C1142" t="s">
        <v>41</v>
      </c>
      <c r="D1142" s="1">
        <v>44287</v>
      </c>
      <c r="E1142">
        <v>6</v>
      </c>
      <c r="F1142">
        <v>55.418365225126202</v>
      </c>
      <c r="G1142" s="1">
        <v>44309</v>
      </c>
      <c r="H1142" s="1">
        <v>44314</v>
      </c>
      <c r="I1142">
        <v>332.510191350757</v>
      </c>
      <c r="J1142">
        <f t="shared" si="17"/>
        <v>5</v>
      </c>
    </row>
    <row r="1143" spans="1:10" x14ac:dyDescent="0.25">
      <c r="A1143" t="s">
        <v>1450</v>
      </c>
      <c r="B1143" t="s">
        <v>482</v>
      </c>
      <c r="C1143" t="s">
        <v>161</v>
      </c>
      <c r="D1143" s="1">
        <v>45008</v>
      </c>
      <c r="E1143">
        <v>7</v>
      </c>
      <c r="F1143">
        <v>38.1231309577622</v>
      </c>
      <c r="G1143" s="1">
        <v>45023</v>
      </c>
      <c r="H1143" s="1">
        <v>45028</v>
      </c>
      <c r="I1143">
        <v>266.86191670433499</v>
      </c>
      <c r="J1143">
        <f t="shared" si="17"/>
        <v>5</v>
      </c>
    </row>
    <row r="1144" spans="1:10" x14ac:dyDescent="0.25">
      <c r="A1144" t="s">
        <v>1451</v>
      </c>
      <c r="B1144" t="s">
        <v>219</v>
      </c>
      <c r="C1144" t="s">
        <v>689</v>
      </c>
      <c r="D1144" s="1">
        <v>44904</v>
      </c>
      <c r="E1144">
        <v>14</v>
      </c>
      <c r="F1144">
        <v>58.244083211637502</v>
      </c>
      <c r="G1144" s="1">
        <v>44917</v>
      </c>
      <c r="H1144" s="1">
        <v>44918</v>
      </c>
      <c r="I1144">
        <v>815.41716496292497</v>
      </c>
      <c r="J1144">
        <f t="shared" si="17"/>
        <v>1</v>
      </c>
    </row>
    <row r="1145" spans="1:10" x14ac:dyDescent="0.25">
      <c r="A1145" t="s">
        <v>1452</v>
      </c>
      <c r="B1145" t="s">
        <v>237</v>
      </c>
      <c r="C1145" t="s">
        <v>693</v>
      </c>
      <c r="D1145" s="1">
        <v>45098</v>
      </c>
      <c r="E1145">
        <v>12</v>
      </c>
      <c r="F1145">
        <v>37.614023951230102</v>
      </c>
      <c r="G1145" s="1">
        <v>45116</v>
      </c>
      <c r="H1145" s="1">
        <v>45118</v>
      </c>
      <c r="I1145">
        <v>451.36828741476103</v>
      </c>
      <c r="J1145">
        <f t="shared" si="17"/>
        <v>2</v>
      </c>
    </row>
    <row r="1146" spans="1:10" x14ac:dyDescent="0.25">
      <c r="A1146" t="s">
        <v>1453</v>
      </c>
      <c r="B1146" t="s">
        <v>91</v>
      </c>
      <c r="C1146" t="s">
        <v>268</v>
      </c>
      <c r="D1146" s="1">
        <v>44465</v>
      </c>
      <c r="E1146">
        <v>15</v>
      </c>
      <c r="F1146">
        <v>59.668716165914098</v>
      </c>
      <c r="G1146" s="1">
        <v>44480</v>
      </c>
      <c r="H1146" s="1">
        <v>44478</v>
      </c>
      <c r="I1146">
        <v>895.03074248871201</v>
      </c>
      <c r="J1146">
        <f t="shared" si="17"/>
        <v>-2</v>
      </c>
    </row>
    <row r="1147" spans="1:10" x14ac:dyDescent="0.25">
      <c r="A1147" t="s">
        <v>1454</v>
      </c>
      <c r="B1147" t="s">
        <v>256</v>
      </c>
      <c r="C1147" t="s">
        <v>527</v>
      </c>
      <c r="D1147" s="1">
        <v>44397</v>
      </c>
      <c r="E1147">
        <v>17</v>
      </c>
      <c r="F1147">
        <v>19.233283220199901</v>
      </c>
      <c r="G1147" s="1">
        <v>44409</v>
      </c>
      <c r="H1147" s="1">
        <v>44411</v>
      </c>
      <c r="I1147">
        <v>326.96581474339899</v>
      </c>
      <c r="J1147">
        <f t="shared" si="17"/>
        <v>2</v>
      </c>
    </row>
    <row r="1148" spans="1:10" x14ac:dyDescent="0.25">
      <c r="A1148" t="s">
        <v>1455</v>
      </c>
      <c r="B1148" t="s">
        <v>350</v>
      </c>
      <c r="C1148" t="s">
        <v>693</v>
      </c>
      <c r="D1148" s="1">
        <v>45057</v>
      </c>
      <c r="E1148">
        <v>11</v>
      </c>
      <c r="F1148">
        <v>16.664456921197999</v>
      </c>
      <c r="G1148" s="1">
        <v>45077</v>
      </c>
      <c r="H1148" s="1">
        <v>45076</v>
      </c>
      <c r="I1148">
        <v>183.30902613317801</v>
      </c>
      <c r="J1148">
        <f t="shared" si="17"/>
        <v>-1</v>
      </c>
    </row>
    <row r="1149" spans="1:10" x14ac:dyDescent="0.25">
      <c r="A1149" t="s">
        <v>1456</v>
      </c>
      <c r="B1149" t="s">
        <v>242</v>
      </c>
      <c r="C1149" t="s">
        <v>559</v>
      </c>
      <c r="D1149" s="1">
        <v>44791</v>
      </c>
      <c r="E1149">
        <v>9</v>
      </c>
      <c r="F1149">
        <v>9.9562569845692206</v>
      </c>
      <c r="G1149" s="1">
        <v>44804</v>
      </c>
      <c r="H1149" s="1">
        <v>44809</v>
      </c>
      <c r="I1149">
        <v>89.606312861123001</v>
      </c>
      <c r="J1149">
        <f t="shared" si="17"/>
        <v>5</v>
      </c>
    </row>
    <row r="1150" spans="1:10" x14ac:dyDescent="0.25">
      <c r="A1150" t="s">
        <v>1457</v>
      </c>
      <c r="B1150" t="s">
        <v>350</v>
      </c>
      <c r="C1150" t="s">
        <v>600</v>
      </c>
      <c r="D1150" s="1">
        <v>44957</v>
      </c>
      <c r="E1150">
        <v>8</v>
      </c>
      <c r="F1150">
        <v>44.000597014069797</v>
      </c>
      <c r="G1150" s="1">
        <v>44975</v>
      </c>
      <c r="H1150" s="1">
        <v>44978</v>
      </c>
      <c r="I1150">
        <v>352.004776112559</v>
      </c>
      <c r="J1150">
        <f t="shared" si="17"/>
        <v>3</v>
      </c>
    </row>
    <row r="1151" spans="1:10" x14ac:dyDescent="0.25">
      <c r="A1151" t="s">
        <v>1458</v>
      </c>
      <c r="B1151" t="s">
        <v>121</v>
      </c>
      <c r="C1151" t="s">
        <v>158</v>
      </c>
      <c r="D1151" s="1">
        <v>44432</v>
      </c>
      <c r="E1151">
        <v>14</v>
      </c>
      <c r="F1151">
        <v>15.744419465422901</v>
      </c>
      <c r="G1151" s="1">
        <v>44442</v>
      </c>
      <c r="H1151" s="1">
        <v>44442</v>
      </c>
      <c r="I1151">
        <v>220.42187251592</v>
      </c>
      <c r="J1151">
        <f t="shared" si="17"/>
        <v>0</v>
      </c>
    </row>
    <row r="1152" spans="1:10" x14ac:dyDescent="0.25">
      <c r="A1152" t="s">
        <v>1459</v>
      </c>
      <c r="B1152" t="s">
        <v>169</v>
      </c>
      <c r="C1152" t="s">
        <v>391</v>
      </c>
      <c r="D1152" s="1">
        <v>45065</v>
      </c>
      <c r="E1152">
        <v>10</v>
      </c>
      <c r="F1152">
        <v>11.0976617084313</v>
      </c>
      <c r="G1152" s="1">
        <v>45077</v>
      </c>
      <c r="H1152" s="1">
        <v>45075</v>
      </c>
      <c r="I1152">
        <v>110.97661708431301</v>
      </c>
      <c r="J1152">
        <f t="shared" si="17"/>
        <v>-2</v>
      </c>
    </row>
    <row r="1153" spans="1:10" x14ac:dyDescent="0.25">
      <c r="A1153" t="s">
        <v>1460</v>
      </c>
      <c r="B1153" t="s">
        <v>124</v>
      </c>
      <c r="C1153" t="s">
        <v>437</v>
      </c>
      <c r="D1153" s="1">
        <v>44338</v>
      </c>
      <c r="E1153">
        <v>11</v>
      </c>
      <c r="F1153">
        <v>52.474596979124698</v>
      </c>
      <c r="G1153" s="1">
        <v>44353</v>
      </c>
      <c r="H1153" s="1">
        <v>44358</v>
      </c>
      <c r="I1153">
        <v>577.22056677037199</v>
      </c>
      <c r="J1153">
        <f t="shared" si="17"/>
        <v>5</v>
      </c>
    </row>
    <row r="1154" spans="1:10" x14ac:dyDescent="0.25">
      <c r="A1154" t="s">
        <v>1461</v>
      </c>
      <c r="B1154" t="s">
        <v>76</v>
      </c>
      <c r="C1154" t="s">
        <v>425</v>
      </c>
      <c r="D1154" s="1">
        <v>45201</v>
      </c>
      <c r="E1154">
        <v>12</v>
      </c>
      <c r="F1154">
        <v>17.128522593001101</v>
      </c>
      <c r="G1154" s="1">
        <v>45218</v>
      </c>
      <c r="H1154" s="1">
        <v>45221</v>
      </c>
      <c r="I1154">
        <v>205.54227111601401</v>
      </c>
      <c r="J1154">
        <f t="shared" si="17"/>
        <v>3</v>
      </c>
    </row>
    <row r="1155" spans="1:10" x14ac:dyDescent="0.25">
      <c r="A1155" t="s">
        <v>1462</v>
      </c>
      <c r="B1155" t="s">
        <v>64</v>
      </c>
      <c r="C1155" t="s">
        <v>391</v>
      </c>
      <c r="D1155" s="1">
        <v>44635</v>
      </c>
      <c r="E1155">
        <v>15</v>
      </c>
      <c r="F1155">
        <v>40.991858971995597</v>
      </c>
      <c r="G1155" s="1">
        <v>44646</v>
      </c>
      <c r="H1155" s="1">
        <v>44650</v>
      </c>
      <c r="I1155">
        <v>614.87788457993395</v>
      </c>
      <c r="J1155">
        <f t="shared" ref="J1155:J1218" si="18">H1155-G1155</f>
        <v>4</v>
      </c>
    </row>
    <row r="1156" spans="1:10" x14ac:dyDescent="0.25">
      <c r="A1156" t="s">
        <v>1463</v>
      </c>
      <c r="B1156" t="s">
        <v>493</v>
      </c>
      <c r="C1156" t="s">
        <v>581</v>
      </c>
      <c r="D1156" s="1">
        <v>45159</v>
      </c>
      <c r="E1156">
        <v>12</v>
      </c>
      <c r="F1156">
        <v>37.036179499662197</v>
      </c>
      <c r="G1156" s="1">
        <v>45181</v>
      </c>
      <c r="H1156" s="1">
        <v>45183</v>
      </c>
      <c r="I1156">
        <v>444.43415399594699</v>
      </c>
      <c r="J1156">
        <f t="shared" si="18"/>
        <v>2</v>
      </c>
    </row>
    <row r="1157" spans="1:10" x14ac:dyDescent="0.25">
      <c r="A1157" t="s">
        <v>1464</v>
      </c>
      <c r="B1157" t="s">
        <v>288</v>
      </c>
      <c r="C1157" t="s">
        <v>421</v>
      </c>
      <c r="D1157" s="1">
        <v>44473</v>
      </c>
      <c r="E1157">
        <v>8</v>
      </c>
      <c r="F1157">
        <v>35.280625900839297</v>
      </c>
      <c r="G1157" s="1">
        <v>44493</v>
      </c>
      <c r="H1157" s="1">
        <v>44499</v>
      </c>
      <c r="I1157">
        <v>282.24500720671398</v>
      </c>
      <c r="J1157">
        <f t="shared" si="18"/>
        <v>6</v>
      </c>
    </row>
    <row r="1158" spans="1:10" x14ac:dyDescent="0.25">
      <c r="A1158" t="s">
        <v>1465</v>
      </c>
      <c r="B1158" t="s">
        <v>43</v>
      </c>
      <c r="C1158" t="s">
        <v>65</v>
      </c>
      <c r="D1158" s="1">
        <v>44881</v>
      </c>
      <c r="E1158">
        <v>10</v>
      </c>
      <c r="F1158">
        <v>15.8027879612074</v>
      </c>
      <c r="G1158" s="1">
        <v>44900</v>
      </c>
      <c r="H1158" s="1">
        <v>44903</v>
      </c>
      <c r="I1158">
        <v>158.027879612074</v>
      </c>
      <c r="J1158">
        <f t="shared" si="18"/>
        <v>3</v>
      </c>
    </row>
    <row r="1159" spans="1:10" x14ac:dyDescent="0.25">
      <c r="A1159" t="s">
        <v>1466</v>
      </c>
      <c r="B1159" t="s">
        <v>174</v>
      </c>
      <c r="C1159" t="s">
        <v>1108</v>
      </c>
      <c r="D1159" s="1">
        <v>44772</v>
      </c>
      <c r="E1159">
        <v>11</v>
      </c>
      <c r="F1159">
        <v>39.005884149739003</v>
      </c>
      <c r="G1159" s="1">
        <v>44789</v>
      </c>
      <c r="H1159" s="1">
        <v>44788</v>
      </c>
      <c r="I1159">
        <v>429.06472564712902</v>
      </c>
      <c r="J1159">
        <f t="shared" si="18"/>
        <v>-1</v>
      </c>
    </row>
    <row r="1160" spans="1:10" x14ac:dyDescent="0.25">
      <c r="A1160" t="s">
        <v>1467</v>
      </c>
      <c r="B1160" t="s">
        <v>46</v>
      </c>
      <c r="C1160" t="s">
        <v>11</v>
      </c>
      <c r="D1160" s="1">
        <v>44677</v>
      </c>
      <c r="E1160">
        <v>12</v>
      </c>
      <c r="F1160">
        <v>77.612573997385795</v>
      </c>
      <c r="G1160" s="1">
        <v>44690</v>
      </c>
      <c r="H1160" s="1">
        <v>44694</v>
      </c>
      <c r="I1160">
        <v>931.35088796862999</v>
      </c>
      <c r="J1160">
        <f t="shared" si="18"/>
        <v>4</v>
      </c>
    </row>
    <row r="1161" spans="1:10" x14ac:dyDescent="0.25">
      <c r="A1161" t="s">
        <v>1468</v>
      </c>
      <c r="B1161" t="s">
        <v>52</v>
      </c>
      <c r="C1161" t="s">
        <v>310</v>
      </c>
      <c r="D1161" s="1">
        <v>44461</v>
      </c>
      <c r="E1161">
        <v>11</v>
      </c>
      <c r="F1161">
        <v>64.690572415060402</v>
      </c>
      <c r="G1161" s="1">
        <v>44472</v>
      </c>
      <c r="H1161" s="1">
        <v>44470</v>
      </c>
      <c r="I1161">
        <v>711.59629656566403</v>
      </c>
      <c r="J1161">
        <f t="shared" si="18"/>
        <v>-2</v>
      </c>
    </row>
    <row r="1162" spans="1:10" x14ac:dyDescent="0.25">
      <c r="A1162" t="s">
        <v>1469</v>
      </c>
      <c r="B1162" t="s">
        <v>169</v>
      </c>
      <c r="C1162" t="s">
        <v>290</v>
      </c>
      <c r="D1162" s="1">
        <v>44204</v>
      </c>
      <c r="E1162">
        <v>12</v>
      </c>
      <c r="F1162">
        <v>6.06392884456932</v>
      </c>
      <c r="G1162" s="1">
        <v>44225</v>
      </c>
      <c r="H1162" s="1">
        <v>44229</v>
      </c>
      <c r="I1162">
        <v>72.767146134831805</v>
      </c>
      <c r="J1162">
        <f t="shared" si="18"/>
        <v>4</v>
      </c>
    </row>
    <row r="1163" spans="1:10" x14ac:dyDescent="0.25">
      <c r="A1163" t="s">
        <v>1470</v>
      </c>
      <c r="B1163" t="s">
        <v>127</v>
      </c>
      <c r="C1163" t="s">
        <v>547</v>
      </c>
      <c r="D1163" s="1">
        <v>44623</v>
      </c>
      <c r="E1163">
        <v>8</v>
      </c>
      <c r="F1163">
        <v>13.552297165799001</v>
      </c>
      <c r="G1163" s="1">
        <v>44635</v>
      </c>
      <c r="H1163" s="1">
        <v>44636</v>
      </c>
      <c r="I1163">
        <v>108.418377326392</v>
      </c>
      <c r="J1163">
        <f t="shared" si="18"/>
        <v>1</v>
      </c>
    </row>
    <row r="1164" spans="1:10" x14ac:dyDescent="0.25">
      <c r="A1164" t="s">
        <v>1471</v>
      </c>
      <c r="B1164" t="s">
        <v>157</v>
      </c>
      <c r="C1164" t="s">
        <v>661</v>
      </c>
      <c r="D1164" s="1">
        <v>45179</v>
      </c>
      <c r="E1164">
        <v>9</v>
      </c>
      <c r="F1164">
        <v>16.329817855320901</v>
      </c>
      <c r="G1164" s="1">
        <v>45201</v>
      </c>
      <c r="H1164" s="1">
        <v>45202</v>
      </c>
      <c r="I1164">
        <v>146.96836069788799</v>
      </c>
      <c r="J1164">
        <f t="shared" si="18"/>
        <v>1</v>
      </c>
    </row>
    <row r="1165" spans="1:10" x14ac:dyDescent="0.25">
      <c r="A1165" t="s">
        <v>1472</v>
      </c>
      <c r="B1165" t="s">
        <v>186</v>
      </c>
      <c r="C1165" t="s">
        <v>363</v>
      </c>
      <c r="D1165" s="1">
        <v>45148</v>
      </c>
      <c r="E1165">
        <v>9</v>
      </c>
      <c r="F1165">
        <v>9.3916367604198694</v>
      </c>
      <c r="G1165" s="1">
        <v>45163</v>
      </c>
      <c r="H1165" s="1">
        <v>45161</v>
      </c>
      <c r="I1165">
        <v>84.524730843778798</v>
      </c>
      <c r="J1165">
        <f t="shared" si="18"/>
        <v>-2</v>
      </c>
    </row>
    <row r="1166" spans="1:10" x14ac:dyDescent="0.25">
      <c r="A1166" t="s">
        <v>1473</v>
      </c>
      <c r="B1166" t="s">
        <v>253</v>
      </c>
      <c r="C1166" t="s">
        <v>243</v>
      </c>
      <c r="D1166" s="1">
        <v>44547</v>
      </c>
      <c r="E1166">
        <v>9</v>
      </c>
      <c r="F1166">
        <v>54.0254361865777</v>
      </c>
      <c r="G1166" s="1">
        <v>44568</v>
      </c>
      <c r="H1166" s="1">
        <v>44572</v>
      </c>
      <c r="I1166">
        <v>486.22892567919899</v>
      </c>
      <c r="J1166">
        <f t="shared" si="18"/>
        <v>4</v>
      </c>
    </row>
    <row r="1167" spans="1:10" x14ac:dyDescent="0.25">
      <c r="A1167" t="s">
        <v>1474</v>
      </c>
      <c r="B1167" t="s">
        <v>203</v>
      </c>
      <c r="C1167" t="s">
        <v>136</v>
      </c>
      <c r="D1167" s="1">
        <v>44991</v>
      </c>
      <c r="E1167">
        <v>10</v>
      </c>
      <c r="F1167">
        <v>6.6948299775411897</v>
      </c>
      <c r="G1167" s="1">
        <v>45002</v>
      </c>
      <c r="H1167" s="1">
        <v>45004</v>
      </c>
      <c r="I1167">
        <v>66.948299775411897</v>
      </c>
      <c r="J1167">
        <f t="shared" si="18"/>
        <v>2</v>
      </c>
    </row>
    <row r="1168" spans="1:10" x14ac:dyDescent="0.25">
      <c r="A1168" t="s">
        <v>1475</v>
      </c>
      <c r="B1168" t="s">
        <v>19</v>
      </c>
      <c r="C1168" t="s">
        <v>290</v>
      </c>
      <c r="D1168" s="1">
        <v>45189</v>
      </c>
      <c r="E1168">
        <v>11</v>
      </c>
      <c r="F1168">
        <v>79.797278151538606</v>
      </c>
      <c r="G1168" s="1">
        <v>45200</v>
      </c>
      <c r="H1168" s="1">
        <v>45198</v>
      </c>
      <c r="I1168">
        <v>877.77005966692502</v>
      </c>
      <c r="J1168">
        <f t="shared" si="18"/>
        <v>-2</v>
      </c>
    </row>
    <row r="1169" spans="1:10" x14ac:dyDescent="0.25">
      <c r="A1169" t="s">
        <v>1476</v>
      </c>
      <c r="B1169" t="s">
        <v>70</v>
      </c>
      <c r="C1169" t="s">
        <v>283</v>
      </c>
      <c r="D1169" s="1">
        <v>44382</v>
      </c>
      <c r="E1169">
        <v>17</v>
      </c>
      <c r="F1169">
        <v>40.876541890506999</v>
      </c>
      <c r="G1169" s="1">
        <v>44401</v>
      </c>
      <c r="H1169" s="1">
        <v>44406</v>
      </c>
      <c r="I1169">
        <v>694.90121213861903</v>
      </c>
      <c r="J1169">
        <f t="shared" si="18"/>
        <v>5</v>
      </c>
    </row>
    <row r="1170" spans="1:10" x14ac:dyDescent="0.25">
      <c r="A1170" t="s">
        <v>1477</v>
      </c>
      <c r="B1170" t="s">
        <v>124</v>
      </c>
      <c r="C1170" t="s">
        <v>187</v>
      </c>
      <c r="D1170" s="1">
        <v>44693</v>
      </c>
      <c r="E1170">
        <v>19</v>
      </c>
      <c r="F1170">
        <v>40.340214684562099</v>
      </c>
      <c r="G1170" s="1">
        <v>44710</v>
      </c>
      <c r="H1170" s="1">
        <v>44712</v>
      </c>
      <c r="I1170">
        <v>766.46407900667998</v>
      </c>
      <c r="J1170">
        <f t="shared" si="18"/>
        <v>2</v>
      </c>
    </row>
    <row r="1171" spans="1:10" x14ac:dyDescent="0.25">
      <c r="A1171" t="s">
        <v>1478</v>
      </c>
      <c r="B1171" t="s">
        <v>130</v>
      </c>
      <c r="C1171" t="s">
        <v>254</v>
      </c>
      <c r="D1171" s="1">
        <v>44593</v>
      </c>
      <c r="E1171">
        <v>12</v>
      </c>
      <c r="F1171">
        <v>15.7234969850802</v>
      </c>
      <c r="G1171" s="1">
        <v>44606</v>
      </c>
      <c r="H1171" s="1">
        <v>44606</v>
      </c>
      <c r="I1171">
        <v>188.68196382096301</v>
      </c>
      <c r="J1171">
        <f t="shared" si="18"/>
        <v>0</v>
      </c>
    </row>
    <row r="1172" spans="1:10" x14ac:dyDescent="0.25">
      <c r="A1172" t="s">
        <v>1479</v>
      </c>
      <c r="B1172" t="s">
        <v>37</v>
      </c>
      <c r="C1172" t="s">
        <v>383</v>
      </c>
      <c r="D1172" s="1">
        <v>44687</v>
      </c>
      <c r="E1172">
        <v>12</v>
      </c>
      <c r="F1172">
        <v>18.721015347875198</v>
      </c>
      <c r="G1172" s="1">
        <v>44700</v>
      </c>
      <c r="H1172" s="1">
        <v>44705</v>
      </c>
      <c r="I1172">
        <v>224.652184174502</v>
      </c>
      <c r="J1172">
        <f t="shared" si="18"/>
        <v>5</v>
      </c>
    </row>
    <row r="1173" spans="1:10" x14ac:dyDescent="0.25">
      <c r="A1173" t="s">
        <v>1480</v>
      </c>
      <c r="B1173" t="s">
        <v>261</v>
      </c>
      <c r="C1173" t="s">
        <v>228</v>
      </c>
      <c r="D1173" s="1">
        <v>44737</v>
      </c>
      <c r="E1173">
        <v>16</v>
      </c>
      <c r="F1173">
        <v>24.7473687385977</v>
      </c>
      <c r="G1173" s="1">
        <v>44753</v>
      </c>
      <c r="H1173" s="1">
        <v>44754</v>
      </c>
      <c r="I1173">
        <v>395.95789981756297</v>
      </c>
      <c r="J1173">
        <f t="shared" si="18"/>
        <v>1</v>
      </c>
    </row>
    <row r="1174" spans="1:10" x14ac:dyDescent="0.25">
      <c r="A1174" t="s">
        <v>1481</v>
      </c>
      <c r="B1174" t="s">
        <v>686</v>
      </c>
      <c r="C1174" t="s">
        <v>53</v>
      </c>
      <c r="D1174" s="1">
        <v>44346</v>
      </c>
      <c r="E1174">
        <v>17</v>
      </c>
      <c r="F1174">
        <v>74.212131074353096</v>
      </c>
      <c r="G1174" s="1">
        <v>44362</v>
      </c>
      <c r="H1174" s="1">
        <v>44360</v>
      </c>
      <c r="I1174">
        <v>1261.606228264</v>
      </c>
      <c r="J1174">
        <f t="shared" si="18"/>
        <v>-2</v>
      </c>
    </row>
    <row r="1175" spans="1:10" x14ac:dyDescent="0.25">
      <c r="A1175" t="s">
        <v>1482</v>
      </c>
      <c r="B1175" t="s">
        <v>205</v>
      </c>
      <c r="C1175" t="s">
        <v>32</v>
      </c>
      <c r="D1175" s="1">
        <v>44788</v>
      </c>
      <c r="E1175">
        <v>11</v>
      </c>
      <c r="F1175">
        <v>36.606625998270601</v>
      </c>
      <c r="G1175" s="1">
        <v>44805</v>
      </c>
      <c r="H1175" s="1">
        <v>44808</v>
      </c>
      <c r="I1175">
        <v>402.67288598097701</v>
      </c>
      <c r="J1175">
        <f t="shared" si="18"/>
        <v>3</v>
      </c>
    </row>
    <row r="1176" spans="1:10" x14ac:dyDescent="0.25">
      <c r="A1176" t="s">
        <v>1483</v>
      </c>
      <c r="B1176" t="s">
        <v>82</v>
      </c>
      <c r="C1176" t="s">
        <v>594</v>
      </c>
      <c r="D1176" s="1">
        <v>45097</v>
      </c>
      <c r="E1176">
        <v>13</v>
      </c>
      <c r="F1176">
        <v>54.591936609088201</v>
      </c>
      <c r="G1176" s="1">
        <v>45111</v>
      </c>
      <c r="H1176" s="1">
        <v>45110</v>
      </c>
      <c r="I1176">
        <v>709.69517591814702</v>
      </c>
      <c r="J1176">
        <f t="shared" si="18"/>
        <v>-1</v>
      </c>
    </row>
    <row r="1177" spans="1:10" x14ac:dyDescent="0.25">
      <c r="A1177" t="s">
        <v>1484</v>
      </c>
      <c r="B1177" t="s">
        <v>295</v>
      </c>
      <c r="C1177" t="s">
        <v>136</v>
      </c>
      <c r="D1177" s="1">
        <v>44634</v>
      </c>
      <c r="E1177">
        <v>10</v>
      </c>
      <c r="F1177">
        <v>22.1592969595116</v>
      </c>
      <c r="G1177" s="1">
        <v>44654</v>
      </c>
      <c r="H1177" s="1">
        <v>44656</v>
      </c>
      <c r="I1177">
        <v>221.59296959511599</v>
      </c>
      <c r="J1177">
        <f t="shared" si="18"/>
        <v>2</v>
      </c>
    </row>
    <row r="1178" spans="1:10" x14ac:dyDescent="0.25">
      <c r="A1178" t="s">
        <v>1485</v>
      </c>
      <c r="B1178" t="s">
        <v>104</v>
      </c>
      <c r="C1178" t="s">
        <v>421</v>
      </c>
      <c r="D1178" s="1">
        <v>45388</v>
      </c>
      <c r="E1178">
        <v>6</v>
      </c>
      <c r="F1178">
        <v>32.657749876910202</v>
      </c>
      <c r="G1178" s="1">
        <v>45401</v>
      </c>
      <c r="H1178" s="1">
        <v>45400</v>
      </c>
      <c r="I1178">
        <v>195.94649926146101</v>
      </c>
      <c r="J1178">
        <f t="shared" si="18"/>
        <v>-1</v>
      </c>
    </row>
    <row r="1179" spans="1:10" x14ac:dyDescent="0.25">
      <c r="A1179" t="s">
        <v>1486</v>
      </c>
      <c r="B1179" t="s">
        <v>96</v>
      </c>
      <c r="C1179" t="s">
        <v>100</v>
      </c>
      <c r="D1179" s="1">
        <v>44889</v>
      </c>
      <c r="E1179">
        <v>10</v>
      </c>
      <c r="F1179">
        <v>8.3506137361375803</v>
      </c>
      <c r="G1179" s="1">
        <v>44905</v>
      </c>
      <c r="H1179" s="1">
        <v>44904</v>
      </c>
      <c r="I1179">
        <v>83.506137361375806</v>
      </c>
      <c r="J1179">
        <f t="shared" si="18"/>
        <v>-1</v>
      </c>
    </row>
    <row r="1180" spans="1:10" x14ac:dyDescent="0.25">
      <c r="A1180" t="s">
        <v>1487</v>
      </c>
      <c r="B1180" t="s">
        <v>686</v>
      </c>
      <c r="C1180" t="s">
        <v>396</v>
      </c>
      <c r="D1180" s="1">
        <v>44596</v>
      </c>
      <c r="E1180">
        <v>9</v>
      </c>
      <c r="F1180">
        <v>73.941827150674499</v>
      </c>
      <c r="G1180" s="1">
        <v>44611</v>
      </c>
      <c r="H1180" s="1">
        <v>44614</v>
      </c>
      <c r="I1180">
        <v>665.47644435607106</v>
      </c>
      <c r="J1180">
        <f t="shared" si="18"/>
        <v>3</v>
      </c>
    </row>
    <row r="1181" spans="1:10" x14ac:dyDescent="0.25">
      <c r="A1181" t="s">
        <v>1488</v>
      </c>
      <c r="B1181" t="s">
        <v>179</v>
      </c>
      <c r="C1181" t="s">
        <v>155</v>
      </c>
      <c r="D1181" s="1">
        <v>44816</v>
      </c>
      <c r="E1181">
        <v>12</v>
      </c>
      <c r="F1181">
        <v>53.672544115136198</v>
      </c>
      <c r="G1181" s="1">
        <v>44833</v>
      </c>
      <c r="H1181" s="1">
        <v>44839</v>
      </c>
      <c r="I1181">
        <v>644.07052938163497</v>
      </c>
      <c r="J1181">
        <f t="shared" si="18"/>
        <v>6</v>
      </c>
    </row>
    <row r="1182" spans="1:10" x14ac:dyDescent="0.25">
      <c r="A1182" t="s">
        <v>1489</v>
      </c>
      <c r="B1182" t="s">
        <v>411</v>
      </c>
      <c r="C1182" t="s">
        <v>92</v>
      </c>
      <c r="D1182" s="1">
        <v>44783</v>
      </c>
      <c r="E1182">
        <v>10</v>
      </c>
      <c r="F1182">
        <v>3.0479058126465999</v>
      </c>
      <c r="G1182" s="1">
        <v>44804</v>
      </c>
      <c r="H1182" s="1">
        <v>44808</v>
      </c>
      <c r="I1182">
        <v>30.479058126466001</v>
      </c>
      <c r="J1182">
        <f t="shared" si="18"/>
        <v>4</v>
      </c>
    </row>
    <row r="1183" spans="1:10" x14ac:dyDescent="0.25">
      <c r="A1183" t="s">
        <v>1490</v>
      </c>
      <c r="B1183" t="s">
        <v>340</v>
      </c>
      <c r="C1183" t="s">
        <v>353</v>
      </c>
      <c r="D1183" s="1">
        <v>45303</v>
      </c>
      <c r="E1183">
        <v>15</v>
      </c>
      <c r="F1183">
        <v>49.124843797526701</v>
      </c>
      <c r="G1183" s="1">
        <v>45320</v>
      </c>
      <c r="H1183" s="1">
        <v>45323</v>
      </c>
      <c r="I1183">
        <v>736.87265696290001</v>
      </c>
      <c r="J1183">
        <f t="shared" si="18"/>
        <v>3</v>
      </c>
    </row>
    <row r="1184" spans="1:10" x14ac:dyDescent="0.25">
      <c r="A1184" t="s">
        <v>1491</v>
      </c>
      <c r="B1184" t="s">
        <v>751</v>
      </c>
      <c r="C1184" t="s">
        <v>380</v>
      </c>
      <c r="D1184" s="1">
        <v>45330</v>
      </c>
      <c r="E1184">
        <v>14</v>
      </c>
      <c r="F1184">
        <v>12.8595876764279</v>
      </c>
      <c r="G1184" s="1">
        <v>45340</v>
      </c>
      <c r="H1184" s="1">
        <v>45346</v>
      </c>
      <c r="I1184">
        <v>180.03422746998999</v>
      </c>
      <c r="J1184">
        <f t="shared" si="18"/>
        <v>6</v>
      </c>
    </row>
    <row r="1185" spans="1:10" x14ac:dyDescent="0.25">
      <c r="A1185" t="s">
        <v>1492</v>
      </c>
      <c r="B1185" t="s">
        <v>67</v>
      </c>
      <c r="C1185" t="s">
        <v>110</v>
      </c>
      <c r="D1185" s="1">
        <v>44233</v>
      </c>
      <c r="E1185">
        <v>11</v>
      </c>
      <c r="F1185">
        <v>66.712734200092996</v>
      </c>
      <c r="G1185" s="1">
        <v>44245</v>
      </c>
      <c r="H1185" s="1">
        <v>44245</v>
      </c>
      <c r="I1185">
        <v>733.84007620102295</v>
      </c>
      <c r="J1185">
        <f t="shared" si="18"/>
        <v>0</v>
      </c>
    </row>
    <row r="1186" spans="1:10" x14ac:dyDescent="0.25">
      <c r="A1186" t="s">
        <v>1493</v>
      </c>
      <c r="B1186" t="s">
        <v>96</v>
      </c>
      <c r="C1186" t="s">
        <v>80</v>
      </c>
      <c r="D1186" s="1">
        <v>44267</v>
      </c>
      <c r="E1186">
        <v>3</v>
      </c>
      <c r="F1186">
        <v>40.490329606607801</v>
      </c>
      <c r="G1186" s="1">
        <v>44278</v>
      </c>
      <c r="H1186" s="1">
        <v>44283</v>
      </c>
      <c r="I1186">
        <v>121.47098881982301</v>
      </c>
      <c r="J1186">
        <f t="shared" si="18"/>
        <v>5</v>
      </c>
    </row>
    <row r="1187" spans="1:10" x14ac:dyDescent="0.25">
      <c r="A1187" t="s">
        <v>1494</v>
      </c>
      <c r="B1187" t="s">
        <v>79</v>
      </c>
      <c r="C1187" t="s">
        <v>86</v>
      </c>
      <c r="D1187" s="1">
        <v>44528</v>
      </c>
      <c r="E1187">
        <v>12</v>
      </c>
      <c r="F1187">
        <v>16.953590460409199</v>
      </c>
      <c r="G1187" s="1">
        <v>44550</v>
      </c>
      <c r="H1187" s="1">
        <v>44555</v>
      </c>
      <c r="I1187">
        <v>203.443085524911</v>
      </c>
      <c r="J1187">
        <f t="shared" si="18"/>
        <v>5</v>
      </c>
    </row>
    <row r="1188" spans="1:10" x14ac:dyDescent="0.25">
      <c r="A1188" t="s">
        <v>1495</v>
      </c>
      <c r="B1188" t="s">
        <v>154</v>
      </c>
      <c r="C1188" t="s">
        <v>187</v>
      </c>
      <c r="D1188" s="1">
        <v>44460</v>
      </c>
      <c r="E1188">
        <v>6</v>
      </c>
      <c r="F1188">
        <v>3.2362247800969</v>
      </c>
      <c r="G1188" s="1">
        <v>44478</v>
      </c>
      <c r="H1188" s="1">
        <v>44480</v>
      </c>
      <c r="I1188">
        <v>19.417348680581402</v>
      </c>
      <c r="J1188">
        <f t="shared" si="18"/>
        <v>2</v>
      </c>
    </row>
    <row r="1189" spans="1:10" x14ac:dyDescent="0.25">
      <c r="A1189" t="s">
        <v>1496</v>
      </c>
      <c r="B1189" t="s">
        <v>411</v>
      </c>
      <c r="C1189" t="s">
        <v>83</v>
      </c>
      <c r="D1189" s="1">
        <v>44236</v>
      </c>
      <c r="E1189">
        <v>10</v>
      </c>
      <c r="F1189">
        <v>63.601378683407198</v>
      </c>
      <c r="G1189" s="1">
        <v>44251</v>
      </c>
      <c r="H1189" s="1">
        <v>44250</v>
      </c>
      <c r="I1189">
        <v>636.01378683407199</v>
      </c>
      <c r="J1189">
        <f t="shared" si="18"/>
        <v>-1</v>
      </c>
    </row>
    <row r="1190" spans="1:10" x14ac:dyDescent="0.25">
      <c r="A1190" t="s">
        <v>1497</v>
      </c>
      <c r="B1190" t="s">
        <v>539</v>
      </c>
      <c r="C1190" t="s">
        <v>466</v>
      </c>
      <c r="D1190" s="1">
        <v>45040</v>
      </c>
      <c r="E1190">
        <v>9</v>
      </c>
      <c r="F1190">
        <v>63.155606970870501</v>
      </c>
      <c r="G1190" s="1">
        <v>45054</v>
      </c>
      <c r="H1190" s="1">
        <v>45060</v>
      </c>
      <c r="I1190">
        <v>568.40046273783503</v>
      </c>
      <c r="J1190">
        <f t="shared" si="18"/>
        <v>6</v>
      </c>
    </row>
    <row r="1191" spans="1:10" x14ac:dyDescent="0.25">
      <c r="A1191" t="s">
        <v>1498</v>
      </c>
      <c r="B1191" t="s">
        <v>261</v>
      </c>
      <c r="C1191" t="s">
        <v>161</v>
      </c>
      <c r="D1191" s="1">
        <v>44712</v>
      </c>
      <c r="E1191">
        <v>10</v>
      </c>
      <c r="F1191">
        <v>8.0569052450018592</v>
      </c>
      <c r="G1191" s="1">
        <v>44728</v>
      </c>
      <c r="H1191" s="1">
        <v>44731</v>
      </c>
      <c r="I1191">
        <v>80.569052450018603</v>
      </c>
      <c r="J1191">
        <f t="shared" si="18"/>
        <v>3</v>
      </c>
    </row>
    <row r="1192" spans="1:10" x14ac:dyDescent="0.25">
      <c r="A1192" t="s">
        <v>1499</v>
      </c>
      <c r="B1192" t="s">
        <v>10</v>
      </c>
      <c r="C1192" t="s">
        <v>668</v>
      </c>
      <c r="D1192" s="1">
        <v>45192</v>
      </c>
      <c r="E1192">
        <v>15</v>
      </c>
      <c r="F1192">
        <v>42.1489672816979</v>
      </c>
      <c r="G1192" s="1">
        <v>45203</v>
      </c>
      <c r="H1192" s="1">
        <v>45204</v>
      </c>
      <c r="I1192">
        <v>632.23450922546897</v>
      </c>
      <c r="J1192">
        <f t="shared" si="18"/>
        <v>1</v>
      </c>
    </row>
    <row r="1193" spans="1:10" x14ac:dyDescent="0.25">
      <c r="A1193" t="s">
        <v>1500</v>
      </c>
      <c r="B1193" t="s">
        <v>19</v>
      </c>
      <c r="C1193" t="s">
        <v>370</v>
      </c>
      <c r="D1193" s="1">
        <v>44842</v>
      </c>
      <c r="E1193">
        <v>14</v>
      </c>
      <c r="F1193">
        <v>66.5642351977353</v>
      </c>
      <c r="G1193" s="1">
        <v>44860</v>
      </c>
      <c r="H1193" s="1">
        <v>44866</v>
      </c>
      <c r="I1193">
        <v>931.89929276829503</v>
      </c>
      <c r="J1193">
        <f t="shared" si="18"/>
        <v>6</v>
      </c>
    </row>
    <row r="1194" spans="1:10" x14ac:dyDescent="0.25">
      <c r="A1194" t="s">
        <v>1501</v>
      </c>
      <c r="B1194" t="s">
        <v>379</v>
      </c>
      <c r="C1194" t="s">
        <v>489</v>
      </c>
      <c r="D1194" s="1">
        <v>44983</v>
      </c>
      <c r="E1194">
        <v>12</v>
      </c>
      <c r="F1194">
        <v>21.849057973472799</v>
      </c>
      <c r="G1194" s="1">
        <v>45005</v>
      </c>
      <c r="H1194" s="1">
        <v>45004</v>
      </c>
      <c r="I1194">
        <v>262.18869568167401</v>
      </c>
      <c r="J1194">
        <f t="shared" si="18"/>
        <v>-1</v>
      </c>
    </row>
    <row r="1195" spans="1:10" x14ac:dyDescent="0.25">
      <c r="A1195" t="s">
        <v>1502</v>
      </c>
      <c r="B1195" t="s">
        <v>216</v>
      </c>
      <c r="C1195" t="s">
        <v>765</v>
      </c>
      <c r="D1195" s="1">
        <v>44967</v>
      </c>
      <c r="E1195">
        <v>12</v>
      </c>
      <c r="F1195">
        <v>17.9575130194415</v>
      </c>
      <c r="G1195" s="1">
        <v>44981</v>
      </c>
      <c r="H1195" s="1">
        <v>44982</v>
      </c>
      <c r="I1195">
        <v>215.49015623329799</v>
      </c>
      <c r="J1195">
        <f t="shared" si="18"/>
        <v>1</v>
      </c>
    </row>
    <row r="1196" spans="1:10" x14ac:dyDescent="0.25">
      <c r="A1196" t="s">
        <v>1503</v>
      </c>
      <c r="B1196" t="s">
        <v>617</v>
      </c>
      <c r="C1196" t="s">
        <v>748</v>
      </c>
      <c r="D1196" s="1">
        <v>44211</v>
      </c>
      <c r="E1196">
        <v>16</v>
      </c>
      <c r="F1196">
        <v>32.309280856139203</v>
      </c>
      <c r="G1196" s="1">
        <v>44229</v>
      </c>
      <c r="H1196" s="1">
        <v>44228</v>
      </c>
      <c r="I1196">
        <v>516.94849369822703</v>
      </c>
      <c r="J1196">
        <f t="shared" si="18"/>
        <v>-1</v>
      </c>
    </row>
    <row r="1197" spans="1:10" x14ac:dyDescent="0.25">
      <c r="A1197" t="s">
        <v>1504</v>
      </c>
      <c r="B1197" t="s">
        <v>76</v>
      </c>
      <c r="C1197" t="s">
        <v>281</v>
      </c>
      <c r="D1197" s="1">
        <v>44300</v>
      </c>
      <c r="E1197">
        <v>12</v>
      </c>
      <c r="F1197">
        <v>19.929219864458702</v>
      </c>
      <c r="G1197" s="1">
        <v>44320</v>
      </c>
      <c r="H1197" s="1">
        <v>44318</v>
      </c>
      <c r="I1197">
        <v>239.15063837350499</v>
      </c>
      <c r="J1197">
        <f t="shared" si="18"/>
        <v>-2</v>
      </c>
    </row>
    <row r="1198" spans="1:10" x14ac:dyDescent="0.25">
      <c r="A1198" t="s">
        <v>1505</v>
      </c>
      <c r="B1198" t="s">
        <v>194</v>
      </c>
      <c r="C1198" t="s">
        <v>217</v>
      </c>
      <c r="D1198" s="1">
        <v>44205</v>
      </c>
      <c r="E1198">
        <v>5</v>
      </c>
      <c r="F1198">
        <v>50.011031040354403</v>
      </c>
      <c r="G1198" s="1">
        <v>44222</v>
      </c>
      <c r="H1198" s="1">
        <v>44225</v>
      </c>
      <c r="I1198">
        <v>250.05515520177201</v>
      </c>
      <c r="J1198">
        <f t="shared" si="18"/>
        <v>3</v>
      </c>
    </row>
    <row r="1199" spans="1:10" x14ac:dyDescent="0.25">
      <c r="A1199" t="s">
        <v>1506</v>
      </c>
      <c r="B1199" t="s">
        <v>301</v>
      </c>
      <c r="C1199" t="s">
        <v>718</v>
      </c>
      <c r="D1199" s="1">
        <v>45311</v>
      </c>
      <c r="E1199">
        <v>6</v>
      </c>
      <c r="F1199">
        <v>69.235403612393995</v>
      </c>
      <c r="G1199" s="1">
        <v>45322</v>
      </c>
      <c r="H1199" s="1">
        <v>45319</v>
      </c>
      <c r="I1199">
        <v>415.41242167436297</v>
      </c>
      <c r="J1199">
        <f t="shared" si="18"/>
        <v>-3</v>
      </c>
    </row>
    <row r="1200" spans="1:10" x14ac:dyDescent="0.25">
      <c r="A1200" t="s">
        <v>1507</v>
      </c>
      <c r="B1200" t="s">
        <v>326</v>
      </c>
      <c r="C1200" t="s">
        <v>623</v>
      </c>
      <c r="D1200" s="1">
        <v>45187</v>
      </c>
      <c r="E1200">
        <v>9</v>
      </c>
      <c r="F1200">
        <v>43.704897971002602</v>
      </c>
      <c r="G1200" s="1">
        <v>45203</v>
      </c>
      <c r="H1200" s="1">
        <v>45209</v>
      </c>
      <c r="I1200">
        <v>393.34408173902301</v>
      </c>
      <c r="J1200">
        <f t="shared" si="18"/>
        <v>6</v>
      </c>
    </row>
    <row r="1201" spans="1:10" x14ac:dyDescent="0.25">
      <c r="A1201" t="s">
        <v>1508</v>
      </c>
      <c r="B1201" t="s">
        <v>10</v>
      </c>
      <c r="C1201" t="s">
        <v>107</v>
      </c>
      <c r="D1201" s="1">
        <v>45192</v>
      </c>
      <c r="E1201">
        <v>10</v>
      </c>
      <c r="F1201">
        <v>26.1193426387184</v>
      </c>
      <c r="G1201" s="1">
        <v>45209</v>
      </c>
      <c r="H1201" s="1">
        <v>45213</v>
      </c>
      <c r="I1201">
        <v>261.19342638718399</v>
      </c>
      <c r="J1201">
        <f t="shared" si="18"/>
        <v>4</v>
      </c>
    </row>
    <row r="1202" spans="1:10" x14ac:dyDescent="0.25">
      <c r="A1202" t="s">
        <v>1509</v>
      </c>
      <c r="B1202" t="s">
        <v>189</v>
      </c>
      <c r="C1202" t="s">
        <v>208</v>
      </c>
      <c r="D1202" s="1">
        <v>44986</v>
      </c>
      <c r="E1202">
        <v>10</v>
      </c>
      <c r="F1202">
        <v>4.1078171044251102</v>
      </c>
      <c r="G1202" s="1">
        <v>44997</v>
      </c>
      <c r="H1202" s="1">
        <v>45002</v>
      </c>
      <c r="I1202">
        <v>41.0781710442511</v>
      </c>
      <c r="J1202">
        <f t="shared" si="18"/>
        <v>5</v>
      </c>
    </row>
    <row r="1203" spans="1:10" x14ac:dyDescent="0.25">
      <c r="A1203" t="s">
        <v>1510</v>
      </c>
      <c r="B1203" t="s">
        <v>564</v>
      </c>
      <c r="C1203" t="s">
        <v>462</v>
      </c>
      <c r="D1203" s="1">
        <v>44471</v>
      </c>
      <c r="E1203">
        <v>12</v>
      </c>
      <c r="F1203">
        <v>30.484638119086501</v>
      </c>
      <c r="G1203" s="1">
        <v>44484</v>
      </c>
      <c r="H1203" s="1">
        <v>44486</v>
      </c>
      <c r="I1203">
        <v>365.81565742903803</v>
      </c>
      <c r="J1203">
        <f t="shared" si="18"/>
        <v>2</v>
      </c>
    </row>
    <row r="1204" spans="1:10" x14ac:dyDescent="0.25">
      <c r="A1204" t="s">
        <v>1511</v>
      </c>
      <c r="B1204" t="s">
        <v>293</v>
      </c>
      <c r="C1204" t="s">
        <v>177</v>
      </c>
      <c r="D1204" s="1">
        <v>45102</v>
      </c>
      <c r="E1204">
        <v>11</v>
      </c>
      <c r="F1204">
        <v>53.299813604122498</v>
      </c>
      <c r="G1204" s="1">
        <v>45118</v>
      </c>
      <c r="H1204" s="1">
        <v>45119</v>
      </c>
      <c r="I1204">
        <v>586.29794964534801</v>
      </c>
      <c r="J1204">
        <f t="shared" si="18"/>
        <v>1</v>
      </c>
    </row>
    <row r="1205" spans="1:10" x14ac:dyDescent="0.25">
      <c r="A1205" t="s">
        <v>1512</v>
      </c>
      <c r="B1205" t="s">
        <v>219</v>
      </c>
      <c r="C1205" t="s">
        <v>228</v>
      </c>
      <c r="D1205" s="1">
        <v>44952</v>
      </c>
      <c r="E1205">
        <v>14</v>
      </c>
      <c r="F1205">
        <v>74.260050175564103</v>
      </c>
      <c r="G1205" s="1">
        <v>44975</v>
      </c>
      <c r="H1205" s="1">
        <v>44980</v>
      </c>
      <c r="I1205">
        <v>1039.64070245789</v>
      </c>
      <c r="J1205">
        <f t="shared" si="18"/>
        <v>5</v>
      </c>
    </row>
    <row r="1206" spans="1:10" x14ac:dyDescent="0.25">
      <c r="A1206" t="s">
        <v>1513</v>
      </c>
      <c r="B1206" t="s">
        <v>207</v>
      </c>
      <c r="C1206" t="s">
        <v>100</v>
      </c>
      <c r="D1206" s="1">
        <v>45356</v>
      </c>
      <c r="E1206">
        <v>8</v>
      </c>
      <c r="F1206">
        <v>66.7997209378901</v>
      </c>
      <c r="G1206" s="1">
        <v>45367</v>
      </c>
      <c r="H1206" s="1">
        <v>45367</v>
      </c>
      <c r="I1206">
        <v>534.39776750312001</v>
      </c>
      <c r="J1206">
        <f t="shared" si="18"/>
        <v>0</v>
      </c>
    </row>
    <row r="1207" spans="1:10" x14ac:dyDescent="0.25">
      <c r="A1207" t="s">
        <v>1514</v>
      </c>
      <c r="B1207" t="s">
        <v>237</v>
      </c>
      <c r="C1207" t="s">
        <v>748</v>
      </c>
      <c r="D1207" s="1">
        <v>44354</v>
      </c>
      <c r="E1207">
        <v>8</v>
      </c>
      <c r="F1207">
        <v>15.939703510510499</v>
      </c>
      <c r="G1207" s="1">
        <v>44374</v>
      </c>
      <c r="H1207" s="1">
        <v>44372</v>
      </c>
      <c r="I1207">
        <v>127.517628084084</v>
      </c>
      <c r="J1207">
        <f t="shared" si="18"/>
        <v>-2</v>
      </c>
    </row>
    <row r="1208" spans="1:10" x14ac:dyDescent="0.25">
      <c r="A1208" t="s">
        <v>1515</v>
      </c>
      <c r="B1208" t="s">
        <v>40</v>
      </c>
      <c r="C1208" t="s">
        <v>112</v>
      </c>
      <c r="D1208" s="1">
        <v>44611</v>
      </c>
      <c r="E1208">
        <v>12</v>
      </c>
      <c r="F1208">
        <v>35.741358321095902</v>
      </c>
      <c r="G1208" s="1">
        <v>44630</v>
      </c>
      <c r="H1208" s="1">
        <v>44630</v>
      </c>
      <c r="I1208">
        <v>428.89629985315099</v>
      </c>
      <c r="J1208">
        <f t="shared" si="18"/>
        <v>0</v>
      </c>
    </row>
    <row r="1209" spans="1:10" x14ac:dyDescent="0.25">
      <c r="A1209" t="s">
        <v>1516</v>
      </c>
      <c r="B1209" t="s">
        <v>475</v>
      </c>
      <c r="C1209" t="s">
        <v>654</v>
      </c>
      <c r="D1209" s="1">
        <v>45391</v>
      </c>
      <c r="E1209">
        <v>14</v>
      </c>
      <c r="F1209">
        <v>60.372341447688598</v>
      </c>
      <c r="G1209" s="1">
        <v>45406</v>
      </c>
      <c r="H1209" s="1">
        <v>45408</v>
      </c>
      <c r="I1209">
        <v>845.21278026764105</v>
      </c>
      <c r="J1209">
        <f t="shared" si="18"/>
        <v>2</v>
      </c>
    </row>
    <row r="1210" spans="1:10" x14ac:dyDescent="0.25">
      <c r="A1210" t="s">
        <v>1517</v>
      </c>
      <c r="B1210" t="s">
        <v>70</v>
      </c>
      <c r="C1210" t="s">
        <v>29</v>
      </c>
      <c r="D1210" s="1">
        <v>45007</v>
      </c>
      <c r="E1210">
        <v>11</v>
      </c>
      <c r="F1210">
        <v>17.5379781383153</v>
      </c>
      <c r="G1210" s="1">
        <v>45024</v>
      </c>
      <c r="H1210" s="1">
        <v>45027</v>
      </c>
      <c r="I1210">
        <v>192.91775952146801</v>
      </c>
      <c r="J1210">
        <f t="shared" si="18"/>
        <v>3</v>
      </c>
    </row>
    <row r="1211" spans="1:10" x14ac:dyDescent="0.25">
      <c r="A1211" t="s">
        <v>1518</v>
      </c>
      <c r="B1211" t="s">
        <v>247</v>
      </c>
      <c r="C1211" t="s">
        <v>233</v>
      </c>
      <c r="D1211" s="1">
        <v>44888</v>
      </c>
      <c r="E1211">
        <v>6</v>
      </c>
      <c r="F1211">
        <v>49.595615294231202</v>
      </c>
      <c r="G1211" s="1">
        <v>44905</v>
      </c>
      <c r="H1211" s="1">
        <v>44909</v>
      </c>
      <c r="I1211">
        <v>297.57369176538703</v>
      </c>
      <c r="J1211">
        <f t="shared" si="18"/>
        <v>4</v>
      </c>
    </row>
    <row r="1212" spans="1:10" x14ac:dyDescent="0.25">
      <c r="A1212" t="s">
        <v>1519</v>
      </c>
      <c r="B1212" t="s">
        <v>382</v>
      </c>
      <c r="C1212" t="s">
        <v>527</v>
      </c>
      <c r="D1212" s="1">
        <v>44304</v>
      </c>
      <c r="E1212">
        <v>11</v>
      </c>
      <c r="F1212">
        <v>34.719485552320201</v>
      </c>
      <c r="G1212" s="1">
        <v>44322</v>
      </c>
      <c r="H1212" s="1">
        <v>44325</v>
      </c>
      <c r="I1212">
        <v>381.91434107552197</v>
      </c>
      <c r="J1212">
        <f t="shared" si="18"/>
        <v>3</v>
      </c>
    </row>
    <row r="1213" spans="1:10" x14ac:dyDescent="0.25">
      <c r="A1213" t="s">
        <v>1520</v>
      </c>
      <c r="B1213" t="s">
        <v>104</v>
      </c>
      <c r="C1213" t="s">
        <v>1362</v>
      </c>
      <c r="D1213" s="1">
        <v>45391</v>
      </c>
      <c r="E1213">
        <v>16</v>
      </c>
      <c r="F1213">
        <v>17.6817434472736</v>
      </c>
      <c r="G1213" s="1">
        <v>45415</v>
      </c>
      <c r="H1213" s="1">
        <v>45420</v>
      </c>
      <c r="I1213">
        <v>282.907895156378</v>
      </c>
      <c r="J1213">
        <f t="shared" si="18"/>
        <v>5</v>
      </c>
    </row>
    <row r="1214" spans="1:10" x14ac:dyDescent="0.25">
      <c r="A1214" t="s">
        <v>1521</v>
      </c>
      <c r="B1214" t="s">
        <v>176</v>
      </c>
      <c r="C1214" t="s">
        <v>158</v>
      </c>
      <c r="D1214" s="1">
        <v>44261</v>
      </c>
      <c r="E1214">
        <v>9</v>
      </c>
      <c r="F1214">
        <v>22.523986668211599</v>
      </c>
      <c r="G1214" s="1">
        <v>44271</v>
      </c>
      <c r="H1214" s="1">
        <v>44275</v>
      </c>
      <c r="I1214">
        <v>202.71588001390401</v>
      </c>
      <c r="J1214">
        <f t="shared" si="18"/>
        <v>4</v>
      </c>
    </row>
    <row r="1215" spans="1:10" x14ac:dyDescent="0.25">
      <c r="A1215" t="s">
        <v>1522</v>
      </c>
      <c r="B1215" t="s">
        <v>539</v>
      </c>
      <c r="C1215" t="s">
        <v>133</v>
      </c>
      <c r="D1215" s="1">
        <v>44808</v>
      </c>
      <c r="E1215">
        <v>12</v>
      </c>
      <c r="F1215">
        <v>6.0326537719406002</v>
      </c>
      <c r="G1215" s="1">
        <v>44822</v>
      </c>
      <c r="H1215" s="1">
        <v>44828</v>
      </c>
      <c r="I1215">
        <v>72.391845263287294</v>
      </c>
      <c r="J1215">
        <f t="shared" si="18"/>
        <v>6</v>
      </c>
    </row>
    <row r="1216" spans="1:10" x14ac:dyDescent="0.25">
      <c r="A1216" t="s">
        <v>1523</v>
      </c>
      <c r="B1216" t="s">
        <v>37</v>
      </c>
      <c r="C1216" t="s">
        <v>353</v>
      </c>
      <c r="D1216" s="1">
        <v>44447</v>
      </c>
      <c r="E1216">
        <v>10</v>
      </c>
      <c r="F1216">
        <v>31.785042111796098</v>
      </c>
      <c r="G1216" s="1">
        <v>44467</v>
      </c>
      <c r="H1216" s="1">
        <v>44465</v>
      </c>
      <c r="I1216">
        <v>317.85042111796099</v>
      </c>
      <c r="J1216">
        <f t="shared" si="18"/>
        <v>-2</v>
      </c>
    </row>
    <row r="1217" spans="1:10" x14ac:dyDescent="0.25">
      <c r="A1217" t="s">
        <v>1524</v>
      </c>
      <c r="B1217" t="s">
        <v>314</v>
      </c>
      <c r="C1217" t="s">
        <v>434</v>
      </c>
      <c r="D1217" s="1">
        <v>45130</v>
      </c>
      <c r="E1217">
        <v>10</v>
      </c>
      <c r="F1217">
        <v>74.065691352715206</v>
      </c>
      <c r="G1217" s="1">
        <v>45148</v>
      </c>
      <c r="H1217" s="1">
        <v>45146</v>
      </c>
      <c r="I1217">
        <v>740.65691352715203</v>
      </c>
      <c r="J1217">
        <f t="shared" si="18"/>
        <v>-2</v>
      </c>
    </row>
    <row r="1218" spans="1:10" x14ac:dyDescent="0.25">
      <c r="A1218" t="s">
        <v>1525</v>
      </c>
      <c r="B1218" t="s">
        <v>43</v>
      </c>
      <c r="C1218" t="s">
        <v>192</v>
      </c>
      <c r="D1218" s="1">
        <v>44959</v>
      </c>
      <c r="E1218">
        <v>5</v>
      </c>
      <c r="F1218">
        <v>45.382594630313797</v>
      </c>
      <c r="G1218" s="1">
        <v>44980</v>
      </c>
      <c r="H1218" s="1">
        <v>44982</v>
      </c>
      <c r="I1218">
        <v>226.91297315156899</v>
      </c>
      <c r="J1218">
        <f t="shared" si="18"/>
        <v>2</v>
      </c>
    </row>
    <row r="1219" spans="1:10" x14ac:dyDescent="0.25">
      <c r="A1219" t="s">
        <v>1526</v>
      </c>
      <c r="B1219" t="s">
        <v>564</v>
      </c>
      <c r="C1219" t="s">
        <v>117</v>
      </c>
      <c r="D1219" s="1">
        <v>44886</v>
      </c>
      <c r="E1219">
        <v>17</v>
      </c>
      <c r="F1219">
        <v>65.948241060610002</v>
      </c>
      <c r="G1219" s="1">
        <v>44898</v>
      </c>
      <c r="H1219" s="1">
        <v>44899</v>
      </c>
      <c r="I1219">
        <v>1121.1200980303699</v>
      </c>
      <c r="J1219">
        <f t="shared" ref="J1219:J1282" si="19">H1219-G1219</f>
        <v>1</v>
      </c>
    </row>
    <row r="1220" spans="1:10" x14ac:dyDescent="0.25">
      <c r="A1220" t="s">
        <v>1527</v>
      </c>
      <c r="B1220" t="s">
        <v>104</v>
      </c>
      <c r="C1220" t="s">
        <v>589</v>
      </c>
      <c r="D1220" s="1">
        <v>45145</v>
      </c>
      <c r="E1220">
        <v>7</v>
      </c>
      <c r="F1220">
        <v>31.6387277763593</v>
      </c>
      <c r="G1220" s="1">
        <v>45159</v>
      </c>
      <c r="H1220" s="1">
        <v>45159</v>
      </c>
      <c r="I1220">
        <v>221.47109443451501</v>
      </c>
      <c r="J1220">
        <f t="shared" si="19"/>
        <v>0</v>
      </c>
    </row>
    <row r="1221" spans="1:10" x14ac:dyDescent="0.25">
      <c r="A1221" t="s">
        <v>1528</v>
      </c>
      <c r="B1221" t="s">
        <v>121</v>
      </c>
      <c r="C1221" t="s">
        <v>245</v>
      </c>
      <c r="D1221" s="1">
        <v>44527</v>
      </c>
      <c r="E1221">
        <v>11</v>
      </c>
      <c r="F1221">
        <v>15.1105479601901</v>
      </c>
      <c r="G1221" s="1">
        <v>44537</v>
      </c>
      <c r="H1221" s="1">
        <v>44542</v>
      </c>
      <c r="I1221">
        <v>166.21602756209199</v>
      </c>
      <c r="J1221">
        <f t="shared" si="19"/>
        <v>5</v>
      </c>
    </row>
    <row r="1222" spans="1:10" x14ac:dyDescent="0.25">
      <c r="A1222" t="s">
        <v>1529</v>
      </c>
      <c r="B1222" t="s">
        <v>28</v>
      </c>
      <c r="C1222" t="s">
        <v>990</v>
      </c>
      <c r="D1222" s="1">
        <v>44375</v>
      </c>
      <c r="E1222">
        <v>14</v>
      </c>
      <c r="F1222">
        <v>56.792406062853999</v>
      </c>
      <c r="G1222" s="1">
        <v>44389</v>
      </c>
      <c r="H1222" s="1">
        <v>44389</v>
      </c>
      <c r="I1222">
        <v>795.09368487995596</v>
      </c>
      <c r="J1222">
        <f t="shared" si="19"/>
        <v>0</v>
      </c>
    </row>
    <row r="1223" spans="1:10" x14ac:dyDescent="0.25">
      <c r="A1223" t="s">
        <v>1530</v>
      </c>
      <c r="B1223" t="s">
        <v>37</v>
      </c>
      <c r="C1223" t="s">
        <v>380</v>
      </c>
      <c r="D1223" s="1">
        <v>44572</v>
      </c>
      <c r="E1223">
        <v>17</v>
      </c>
      <c r="F1223">
        <v>70.264011505417699</v>
      </c>
      <c r="G1223" s="1">
        <v>44594</v>
      </c>
      <c r="H1223" s="1">
        <v>44599</v>
      </c>
      <c r="I1223">
        <v>1194.4881955921001</v>
      </c>
      <c r="J1223">
        <f t="shared" si="19"/>
        <v>5</v>
      </c>
    </row>
    <row r="1224" spans="1:10" x14ac:dyDescent="0.25">
      <c r="A1224" t="s">
        <v>1531</v>
      </c>
      <c r="B1224" t="s">
        <v>350</v>
      </c>
      <c r="C1224" t="s">
        <v>283</v>
      </c>
      <c r="D1224" s="1">
        <v>44373</v>
      </c>
      <c r="E1224">
        <v>9</v>
      </c>
      <c r="F1224">
        <v>61.957231152501201</v>
      </c>
      <c r="G1224" s="1">
        <v>44388</v>
      </c>
      <c r="H1224" s="1">
        <v>44388</v>
      </c>
      <c r="I1224">
        <v>557.61508037250996</v>
      </c>
      <c r="J1224">
        <f t="shared" si="19"/>
        <v>0</v>
      </c>
    </row>
    <row r="1225" spans="1:10" x14ac:dyDescent="0.25">
      <c r="A1225" t="s">
        <v>1532</v>
      </c>
      <c r="B1225" t="s">
        <v>617</v>
      </c>
      <c r="C1225" t="s">
        <v>1176</v>
      </c>
      <c r="D1225" s="1">
        <v>44306</v>
      </c>
      <c r="E1225">
        <v>11</v>
      </c>
      <c r="F1225">
        <v>53.554328694735702</v>
      </c>
      <c r="G1225" s="1">
        <v>44326</v>
      </c>
      <c r="H1225" s="1">
        <v>44329</v>
      </c>
      <c r="I1225">
        <v>589.09761564209305</v>
      </c>
      <c r="J1225">
        <f t="shared" si="19"/>
        <v>3</v>
      </c>
    </row>
    <row r="1226" spans="1:10" x14ac:dyDescent="0.25">
      <c r="A1226" t="s">
        <v>1533</v>
      </c>
      <c r="B1226" t="s">
        <v>34</v>
      </c>
      <c r="C1226" t="s">
        <v>353</v>
      </c>
      <c r="D1226" s="1">
        <v>45365</v>
      </c>
      <c r="E1226">
        <v>7</v>
      </c>
      <c r="F1226">
        <v>37.698600364941001</v>
      </c>
      <c r="G1226" s="1">
        <v>45378</v>
      </c>
      <c r="H1226" s="1">
        <v>45383</v>
      </c>
      <c r="I1226">
        <v>263.89020255458701</v>
      </c>
      <c r="J1226">
        <f t="shared" si="19"/>
        <v>5</v>
      </c>
    </row>
    <row r="1227" spans="1:10" x14ac:dyDescent="0.25">
      <c r="A1227" t="s">
        <v>1534</v>
      </c>
      <c r="B1227" t="s">
        <v>321</v>
      </c>
      <c r="C1227" t="s">
        <v>74</v>
      </c>
      <c r="D1227" s="1">
        <v>44348</v>
      </c>
      <c r="E1227">
        <v>7</v>
      </c>
      <c r="F1227">
        <v>61.351533920002304</v>
      </c>
      <c r="G1227" s="1">
        <v>44361</v>
      </c>
      <c r="H1227" s="1">
        <v>44364</v>
      </c>
      <c r="I1227">
        <v>429.46073744001598</v>
      </c>
      <c r="J1227">
        <f t="shared" si="19"/>
        <v>3</v>
      </c>
    </row>
    <row r="1228" spans="1:10" x14ac:dyDescent="0.25">
      <c r="A1228" t="s">
        <v>1535</v>
      </c>
      <c r="B1228" t="s">
        <v>127</v>
      </c>
      <c r="C1228" t="s">
        <v>344</v>
      </c>
      <c r="D1228" s="1">
        <v>45028</v>
      </c>
      <c r="E1228">
        <v>13</v>
      </c>
      <c r="F1228">
        <v>24.956333406273501</v>
      </c>
      <c r="G1228" s="1">
        <v>45052</v>
      </c>
      <c r="H1228" s="1">
        <v>45053</v>
      </c>
      <c r="I1228">
        <v>324.43233428155497</v>
      </c>
      <c r="J1228">
        <f t="shared" si="19"/>
        <v>1</v>
      </c>
    </row>
    <row r="1229" spans="1:10" x14ac:dyDescent="0.25">
      <c r="A1229" t="s">
        <v>1536</v>
      </c>
      <c r="B1229" t="s">
        <v>369</v>
      </c>
      <c r="C1229" t="s">
        <v>312</v>
      </c>
      <c r="D1229" s="1">
        <v>44800</v>
      </c>
      <c r="E1229">
        <v>12</v>
      </c>
      <c r="F1229">
        <v>3.3978266325375199</v>
      </c>
      <c r="G1229" s="1">
        <v>44816</v>
      </c>
      <c r="H1229" s="1">
        <v>44816</v>
      </c>
      <c r="I1229">
        <v>40.773919590450198</v>
      </c>
      <c r="J1229">
        <f t="shared" si="19"/>
        <v>0</v>
      </c>
    </row>
    <row r="1230" spans="1:10" x14ac:dyDescent="0.25">
      <c r="A1230" t="s">
        <v>1537</v>
      </c>
      <c r="B1230" t="s">
        <v>28</v>
      </c>
      <c r="C1230" t="s">
        <v>1362</v>
      </c>
      <c r="D1230" s="1">
        <v>44973</v>
      </c>
      <c r="E1230">
        <v>10</v>
      </c>
      <c r="F1230">
        <v>30.715221326197199</v>
      </c>
      <c r="G1230" s="1">
        <v>44996</v>
      </c>
      <c r="H1230" s="1">
        <v>44995</v>
      </c>
      <c r="I1230">
        <v>307.15221326197201</v>
      </c>
      <c r="J1230">
        <f t="shared" si="19"/>
        <v>-1</v>
      </c>
    </row>
    <row r="1231" spans="1:10" x14ac:dyDescent="0.25">
      <c r="A1231" t="s">
        <v>1538</v>
      </c>
      <c r="B1231" t="s">
        <v>22</v>
      </c>
      <c r="C1231" t="s">
        <v>446</v>
      </c>
      <c r="D1231" s="1">
        <v>44839</v>
      </c>
      <c r="E1231">
        <v>13</v>
      </c>
      <c r="F1231">
        <v>52.452560349716698</v>
      </c>
      <c r="G1231" s="1">
        <v>44863</v>
      </c>
      <c r="H1231" s="1">
        <v>44866</v>
      </c>
      <c r="I1231">
        <v>681.88328454631699</v>
      </c>
      <c r="J1231">
        <f t="shared" si="19"/>
        <v>3</v>
      </c>
    </row>
    <row r="1232" spans="1:10" x14ac:dyDescent="0.25">
      <c r="A1232" t="s">
        <v>1539</v>
      </c>
      <c r="B1232" t="s">
        <v>176</v>
      </c>
      <c r="C1232" t="s">
        <v>370</v>
      </c>
      <c r="D1232" s="1">
        <v>44386</v>
      </c>
      <c r="E1232">
        <v>9</v>
      </c>
      <c r="F1232">
        <v>79.812140175481105</v>
      </c>
      <c r="G1232" s="1">
        <v>44397</v>
      </c>
      <c r="H1232" s="1">
        <v>44394</v>
      </c>
      <c r="I1232">
        <v>718.30926157933004</v>
      </c>
      <c r="J1232">
        <f t="shared" si="19"/>
        <v>-3</v>
      </c>
    </row>
    <row r="1233" spans="1:10" x14ac:dyDescent="0.25">
      <c r="A1233" t="s">
        <v>1540</v>
      </c>
      <c r="B1233" t="s">
        <v>37</v>
      </c>
      <c r="C1233" t="s">
        <v>826</v>
      </c>
      <c r="D1233" s="1">
        <v>45324</v>
      </c>
      <c r="E1233">
        <v>12</v>
      </c>
      <c r="F1233">
        <v>9.3632196062662807</v>
      </c>
      <c r="G1233" s="1">
        <v>45340</v>
      </c>
      <c r="H1233" s="1">
        <v>45345</v>
      </c>
      <c r="I1233">
        <v>112.358635275195</v>
      </c>
      <c r="J1233">
        <f t="shared" si="19"/>
        <v>5</v>
      </c>
    </row>
    <row r="1234" spans="1:10" x14ac:dyDescent="0.25">
      <c r="A1234" t="s">
        <v>1541</v>
      </c>
      <c r="B1234" t="s">
        <v>10</v>
      </c>
      <c r="C1234" t="s">
        <v>190</v>
      </c>
      <c r="D1234" s="1">
        <v>44263</v>
      </c>
      <c r="E1234">
        <v>18</v>
      </c>
      <c r="F1234">
        <v>35.445280991241603</v>
      </c>
      <c r="G1234" s="1">
        <v>44283</v>
      </c>
      <c r="H1234" s="1">
        <v>44284</v>
      </c>
      <c r="I1234">
        <v>638.01505784234905</v>
      </c>
      <c r="J1234">
        <f t="shared" si="19"/>
        <v>1</v>
      </c>
    </row>
    <row r="1235" spans="1:10" x14ac:dyDescent="0.25">
      <c r="A1235" t="s">
        <v>1542</v>
      </c>
      <c r="B1235" t="s">
        <v>253</v>
      </c>
      <c r="C1235" t="s">
        <v>141</v>
      </c>
      <c r="D1235" s="1">
        <v>45013</v>
      </c>
      <c r="E1235">
        <v>9</v>
      </c>
      <c r="F1235">
        <v>66.232787255178195</v>
      </c>
      <c r="G1235" s="1">
        <v>45029</v>
      </c>
      <c r="H1235" s="1">
        <v>45030</v>
      </c>
      <c r="I1235">
        <v>596.095085296604</v>
      </c>
      <c r="J1235">
        <f t="shared" si="19"/>
        <v>1</v>
      </c>
    </row>
    <row r="1236" spans="1:10" x14ac:dyDescent="0.25">
      <c r="A1236" t="s">
        <v>1543</v>
      </c>
      <c r="B1236" t="s">
        <v>19</v>
      </c>
      <c r="C1236" t="s">
        <v>23</v>
      </c>
      <c r="D1236" s="1">
        <v>44572</v>
      </c>
      <c r="E1236">
        <v>8</v>
      </c>
      <c r="F1236">
        <v>69.048430975090398</v>
      </c>
      <c r="G1236" s="1">
        <v>44589</v>
      </c>
      <c r="H1236" s="1">
        <v>44592</v>
      </c>
      <c r="I1236">
        <v>552.38744780072295</v>
      </c>
      <c r="J1236">
        <f t="shared" si="19"/>
        <v>3</v>
      </c>
    </row>
    <row r="1237" spans="1:10" x14ac:dyDescent="0.25">
      <c r="A1237" t="s">
        <v>1544</v>
      </c>
      <c r="B1237" t="s">
        <v>174</v>
      </c>
      <c r="C1237" t="s">
        <v>100</v>
      </c>
      <c r="D1237" s="1">
        <v>44418</v>
      </c>
      <c r="E1237">
        <v>6</v>
      </c>
      <c r="F1237">
        <v>51.584725546233003</v>
      </c>
      <c r="G1237" s="1">
        <v>44436</v>
      </c>
      <c r="H1237" s="1">
        <v>44442</v>
      </c>
      <c r="I1237">
        <v>309.50835327739799</v>
      </c>
      <c r="J1237">
        <f t="shared" si="19"/>
        <v>6</v>
      </c>
    </row>
    <row r="1238" spans="1:10" x14ac:dyDescent="0.25">
      <c r="A1238" t="s">
        <v>1545</v>
      </c>
      <c r="B1238" t="s">
        <v>207</v>
      </c>
      <c r="C1238" t="s">
        <v>222</v>
      </c>
      <c r="D1238" s="1">
        <v>44578</v>
      </c>
      <c r="E1238">
        <v>8</v>
      </c>
      <c r="F1238">
        <v>63.107606135134297</v>
      </c>
      <c r="G1238" s="1">
        <v>44596</v>
      </c>
      <c r="H1238" s="1">
        <v>44598</v>
      </c>
      <c r="I1238">
        <v>504.86084908107398</v>
      </c>
      <c r="J1238">
        <f t="shared" si="19"/>
        <v>2</v>
      </c>
    </row>
    <row r="1239" spans="1:10" x14ac:dyDescent="0.25">
      <c r="A1239" t="s">
        <v>1546</v>
      </c>
      <c r="B1239" t="s">
        <v>160</v>
      </c>
      <c r="C1239" t="s">
        <v>346</v>
      </c>
      <c r="D1239" s="1">
        <v>44579</v>
      </c>
      <c r="E1239">
        <v>11</v>
      </c>
      <c r="F1239">
        <v>25.7641297402253</v>
      </c>
      <c r="G1239" s="1">
        <v>44590</v>
      </c>
      <c r="H1239" s="1">
        <v>44593</v>
      </c>
      <c r="I1239">
        <v>283.40542714247903</v>
      </c>
      <c r="J1239">
        <f t="shared" si="19"/>
        <v>3</v>
      </c>
    </row>
    <row r="1240" spans="1:10" x14ac:dyDescent="0.25">
      <c r="A1240" t="s">
        <v>1547</v>
      </c>
      <c r="B1240" t="s">
        <v>293</v>
      </c>
      <c r="C1240" t="s">
        <v>83</v>
      </c>
      <c r="D1240" s="1">
        <v>45385</v>
      </c>
      <c r="E1240">
        <v>8</v>
      </c>
      <c r="F1240">
        <v>76.888537529279901</v>
      </c>
      <c r="G1240" s="1">
        <v>45407</v>
      </c>
      <c r="H1240" s="1">
        <v>45409</v>
      </c>
      <c r="I1240">
        <v>615.10830023423898</v>
      </c>
      <c r="J1240">
        <f t="shared" si="19"/>
        <v>2</v>
      </c>
    </row>
    <row r="1241" spans="1:10" x14ac:dyDescent="0.25">
      <c r="A1241" t="s">
        <v>1548</v>
      </c>
      <c r="B1241" t="s">
        <v>411</v>
      </c>
      <c r="C1241" t="s">
        <v>540</v>
      </c>
      <c r="D1241" s="1">
        <v>45304</v>
      </c>
      <c r="E1241">
        <v>11</v>
      </c>
      <c r="F1241">
        <v>10.4790685836689</v>
      </c>
      <c r="G1241" s="1">
        <v>45321</v>
      </c>
      <c r="H1241" s="1">
        <v>45323</v>
      </c>
      <c r="I1241">
        <v>115.269754420357</v>
      </c>
      <c r="J1241">
        <f t="shared" si="19"/>
        <v>2</v>
      </c>
    </row>
    <row r="1242" spans="1:10" x14ac:dyDescent="0.25">
      <c r="A1242" t="s">
        <v>1549</v>
      </c>
      <c r="B1242" t="s">
        <v>169</v>
      </c>
      <c r="C1242" t="s">
        <v>600</v>
      </c>
      <c r="D1242" s="1">
        <v>45123</v>
      </c>
      <c r="E1242">
        <v>9</v>
      </c>
      <c r="F1242">
        <v>79.1272878037894</v>
      </c>
      <c r="G1242" s="1">
        <v>45137</v>
      </c>
      <c r="H1242" s="1">
        <v>45135</v>
      </c>
      <c r="I1242">
        <v>712.14559023410504</v>
      </c>
      <c r="J1242">
        <f t="shared" si="19"/>
        <v>-2</v>
      </c>
    </row>
    <row r="1243" spans="1:10" x14ac:dyDescent="0.25">
      <c r="A1243" t="s">
        <v>1550</v>
      </c>
      <c r="B1243" t="s">
        <v>475</v>
      </c>
      <c r="C1243" t="s">
        <v>400</v>
      </c>
      <c r="D1243" s="1">
        <v>44628</v>
      </c>
      <c r="E1243">
        <v>10</v>
      </c>
      <c r="F1243">
        <v>43.3371175982805</v>
      </c>
      <c r="G1243" s="1">
        <v>44648</v>
      </c>
      <c r="H1243" s="1">
        <v>44645</v>
      </c>
      <c r="I1243">
        <v>433.37117598280503</v>
      </c>
      <c r="J1243">
        <f t="shared" si="19"/>
        <v>-3</v>
      </c>
    </row>
    <row r="1244" spans="1:10" x14ac:dyDescent="0.25">
      <c r="A1244" t="s">
        <v>1551</v>
      </c>
      <c r="B1244" t="s">
        <v>179</v>
      </c>
      <c r="C1244" t="s">
        <v>172</v>
      </c>
      <c r="D1244" s="1">
        <v>45003</v>
      </c>
      <c r="E1244">
        <v>9</v>
      </c>
      <c r="F1244">
        <v>77.085454786984201</v>
      </c>
      <c r="G1244" s="1">
        <v>45018</v>
      </c>
      <c r="H1244" s="1">
        <v>45016</v>
      </c>
      <c r="I1244">
        <v>693.76909308285803</v>
      </c>
      <c r="J1244">
        <f t="shared" si="19"/>
        <v>-2</v>
      </c>
    </row>
    <row r="1245" spans="1:10" x14ac:dyDescent="0.25">
      <c r="A1245" t="s">
        <v>1552</v>
      </c>
      <c r="B1245" t="s">
        <v>242</v>
      </c>
      <c r="C1245" t="s">
        <v>71</v>
      </c>
      <c r="D1245" s="1">
        <v>45308</v>
      </c>
      <c r="E1245">
        <v>14</v>
      </c>
      <c r="F1245">
        <v>8.6468191366630602</v>
      </c>
      <c r="G1245" s="1">
        <v>45328</v>
      </c>
      <c r="H1245" s="1">
        <v>45332</v>
      </c>
      <c r="I1245">
        <v>121.055467913282</v>
      </c>
      <c r="J1245">
        <f t="shared" si="19"/>
        <v>4</v>
      </c>
    </row>
    <row r="1246" spans="1:10" x14ac:dyDescent="0.25">
      <c r="A1246" t="s">
        <v>1553</v>
      </c>
      <c r="B1246" t="s">
        <v>79</v>
      </c>
      <c r="C1246" t="s">
        <v>131</v>
      </c>
      <c r="D1246" s="1">
        <v>44595</v>
      </c>
      <c r="E1246">
        <v>13</v>
      </c>
      <c r="F1246">
        <v>39.478356356943998</v>
      </c>
      <c r="G1246" s="1">
        <v>44619</v>
      </c>
      <c r="H1246" s="1">
        <v>44616</v>
      </c>
      <c r="I1246">
        <v>513.21863264027195</v>
      </c>
      <c r="J1246">
        <f t="shared" si="19"/>
        <v>-3</v>
      </c>
    </row>
    <row r="1247" spans="1:10" x14ac:dyDescent="0.25">
      <c r="A1247" t="s">
        <v>1554</v>
      </c>
      <c r="B1247" t="s">
        <v>135</v>
      </c>
      <c r="C1247" t="s">
        <v>594</v>
      </c>
      <c r="D1247" s="1">
        <v>45032</v>
      </c>
      <c r="E1247">
        <v>9</v>
      </c>
      <c r="F1247">
        <v>17.3117257722473</v>
      </c>
      <c r="G1247" s="1">
        <v>45050</v>
      </c>
      <c r="H1247" s="1">
        <v>45051</v>
      </c>
      <c r="I1247">
        <v>155.805531950226</v>
      </c>
      <c r="J1247">
        <f t="shared" si="19"/>
        <v>1</v>
      </c>
    </row>
    <row r="1248" spans="1:10" x14ac:dyDescent="0.25">
      <c r="A1248" t="s">
        <v>1555</v>
      </c>
      <c r="B1248" t="s">
        <v>22</v>
      </c>
      <c r="C1248" t="s">
        <v>112</v>
      </c>
      <c r="D1248" s="1">
        <v>44250</v>
      </c>
      <c r="E1248">
        <v>14</v>
      </c>
      <c r="F1248">
        <v>45.358628395581697</v>
      </c>
      <c r="G1248" s="1">
        <v>44264</v>
      </c>
      <c r="H1248" s="1">
        <v>44268</v>
      </c>
      <c r="I1248">
        <v>635.02079753814496</v>
      </c>
      <c r="J1248">
        <f t="shared" si="19"/>
        <v>4</v>
      </c>
    </row>
    <row r="1249" spans="1:10" x14ac:dyDescent="0.25">
      <c r="A1249" t="s">
        <v>1556</v>
      </c>
      <c r="B1249" t="s">
        <v>114</v>
      </c>
      <c r="C1249" t="s">
        <v>100</v>
      </c>
      <c r="D1249" s="1">
        <v>45164</v>
      </c>
      <c r="E1249">
        <v>9</v>
      </c>
      <c r="F1249">
        <v>75.663715848219894</v>
      </c>
      <c r="G1249" s="1">
        <v>45178</v>
      </c>
      <c r="H1249" s="1">
        <v>45181</v>
      </c>
      <c r="I1249">
        <v>680.97344263397895</v>
      </c>
      <c r="J1249">
        <f t="shared" si="19"/>
        <v>3</v>
      </c>
    </row>
    <row r="1250" spans="1:10" x14ac:dyDescent="0.25">
      <c r="A1250" t="s">
        <v>1557</v>
      </c>
      <c r="B1250" t="s">
        <v>96</v>
      </c>
      <c r="C1250" t="s">
        <v>136</v>
      </c>
      <c r="D1250" s="1">
        <v>44739</v>
      </c>
      <c r="E1250">
        <v>10</v>
      </c>
      <c r="F1250">
        <v>61.145079609602</v>
      </c>
      <c r="G1250" s="1">
        <v>44762</v>
      </c>
      <c r="H1250" s="1">
        <v>44760</v>
      </c>
      <c r="I1250">
        <v>611.45079609601999</v>
      </c>
      <c r="J1250">
        <f t="shared" si="19"/>
        <v>-2</v>
      </c>
    </row>
    <row r="1251" spans="1:10" x14ac:dyDescent="0.25">
      <c r="A1251" t="s">
        <v>1558</v>
      </c>
      <c r="B1251" t="s">
        <v>427</v>
      </c>
      <c r="C1251" t="s">
        <v>146</v>
      </c>
      <c r="D1251" s="1">
        <v>44978</v>
      </c>
      <c r="E1251">
        <v>7</v>
      </c>
      <c r="F1251">
        <v>47.650735226861102</v>
      </c>
      <c r="G1251" s="1">
        <v>44989</v>
      </c>
      <c r="H1251" s="1">
        <v>44994</v>
      </c>
      <c r="I1251">
        <v>333.55514658802798</v>
      </c>
      <c r="J1251">
        <f t="shared" si="19"/>
        <v>5</v>
      </c>
    </row>
    <row r="1252" spans="1:10" x14ac:dyDescent="0.25">
      <c r="A1252" t="s">
        <v>1559</v>
      </c>
      <c r="B1252" t="s">
        <v>52</v>
      </c>
      <c r="C1252" t="s">
        <v>155</v>
      </c>
      <c r="D1252" s="1">
        <v>44847</v>
      </c>
      <c r="E1252">
        <v>8</v>
      </c>
      <c r="F1252">
        <v>6.0607011472488104</v>
      </c>
      <c r="G1252" s="1">
        <v>44870</v>
      </c>
      <c r="H1252" s="1">
        <v>44870</v>
      </c>
      <c r="I1252">
        <v>48.485609177990497</v>
      </c>
      <c r="J1252">
        <f t="shared" si="19"/>
        <v>0</v>
      </c>
    </row>
    <row r="1253" spans="1:10" x14ac:dyDescent="0.25">
      <c r="A1253" t="s">
        <v>1560</v>
      </c>
      <c r="B1253" t="s">
        <v>121</v>
      </c>
      <c r="C1253" t="s">
        <v>152</v>
      </c>
      <c r="D1253" s="1">
        <v>45029</v>
      </c>
      <c r="E1253">
        <v>8</v>
      </c>
      <c r="F1253">
        <v>78.1517939468214</v>
      </c>
      <c r="G1253" s="1">
        <v>45052</v>
      </c>
      <c r="H1253" s="1">
        <v>45056</v>
      </c>
      <c r="I1253">
        <v>625.21435157457097</v>
      </c>
      <c r="J1253">
        <f t="shared" si="19"/>
        <v>4</v>
      </c>
    </row>
    <row r="1254" spans="1:10" x14ac:dyDescent="0.25">
      <c r="A1254" t="s">
        <v>1561</v>
      </c>
      <c r="B1254" t="s">
        <v>340</v>
      </c>
      <c r="C1254" t="s">
        <v>47</v>
      </c>
      <c r="D1254" s="1">
        <v>44202</v>
      </c>
      <c r="E1254">
        <v>11</v>
      </c>
      <c r="F1254">
        <v>47.053061695023302</v>
      </c>
      <c r="G1254" s="1">
        <v>44225</v>
      </c>
      <c r="H1254" s="1">
        <v>44230</v>
      </c>
      <c r="I1254">
        <v>517.58367864525701</v>
      </c>
      <c r="J1254">
        <f t="shared" si="19"/>
        <v>5</v>
      </c>
    </row>
    <row r="1255" spans="1:10" x14ac:dyDescent="0.25">
      <c r="A1255" t="s">
        <v>1562</v>
      </c>
      <c r="B1255" t="s">
        <v>261</v>
      </c>
      <c r="C1255" t="s">
        <v>146</v>
      </c>
      <c r="D1255" s="1">
        <v>44244</v>
      </c>
      <c r="E1255">
        <v>10</v>
      </c>
      <c r="F1255">
        <v>71.961619084179503</v>
      </c>
      <c r="G1255" s="1">
        <v>44257</v>
      </c>
      <c r="H1255" s="1">
        <v>44259</v>
      </c>
      <c r="I1255">
        <v>719.61619084179495</v>
      </c>
      <c r="J1255">
        <f t="shared" si="19"/>
        <v>2</v>
      </c>
    </row>
    <row r="1256" spans="1:10" x14ac:dyDescent="0.25">
      <c r="A1256" t="s">
        <v>1563</v>
      </c>
      <c r="B1256" t="s">
        <v>189</v>
      </c>
      <c r="C1256" t="s">
        <v>20</v>
      </c>
      <c r="D1256" s="1">
        <v>44355</v>
      </c>
      <c r="E1256">
        <v>9</v>
      </c>
      <c r="F1256">
        <v>58.237755303158103</v>
      </c>
      <c r="G1256" s="1">
        <v>44379</v>
      </c>
      <c r="H1256" s="1">
        <v>44376</v>
      </c>
      <c r="I1256">
        <v>524.13979772842299</v>
      </c>
      <c r="J1256">
        <f t="shared" si="19"/>
        <v>-3</v>
      </c>
    </row>
    <row r="1257" spans="1:10" x14ac:dyDescent="0.25">
      <c r="A1257" t="s">
        <v>1564</v>
      </c>
      <c r="B1257" t="s">
        <v>556</v>
      </c>
      <c r="C1257" t="s">
        <v>727</v>
      </c>
      <c r="D1257" s="1">
        <v>44470</v>
      </c>
      <c r="E1257">
        <v>7</v>
      </c>
      <c r="F1257">
        <v>32.684605538307501</v>
      </c>
      <c r="G1257" s="1">
        <v>44493</v>
      </c>
      <c r="H1257" s="1">
        <v>44493</v>
      </c>
      <c r="I1257">
        <v>228.792238768152</v>
      </c>
      <c r="J1257">
        <f t="shared" si="19"/>
        <v>0</v>
      </c>
    </row>
    <row r="1258" spans="1:10" x14ac:dyDescent="0.25">
      <c r="A1258" t="s">
        <v>1565</v>
      </c>
      <c r="B1258" t="s">
        <v>91</v>
      </c>
      <c r="C1258" t="s">
        <v>212</v>
      </c>
      <c r="D1258" s="1">
        <v>44306</v>
      </c>
      <c r="E1258">
        <v>3</v>
      </c>
      <c r="F1258">
        <v>33.088086089904102</v>
      </c>
      <c r="G1258" s="1">
        <v>44325</v>
      </c>
      <c r="H1258" s="1">
        <v>44327</v>
      </c>
      <c r="I1258">
        <v>99.2642582697124</v>
      </c>
      <c r="J1258">
        <f t="shared" si="19"/>
        <v>2</v>
      </c>
    </row>
    <row r="1259" spans="1:10" x14ac:dyDescent="0.25">
      <c r="A1259" t="s">
        <v>1566</v>
      </c>
      <c r="B1259" t="s">
        <v>28</v>
      </c>
      <c r="C1259" t="s">
        <v>504</v>
      </c>
      <c r="D1259" s="1">
        <v>44931</v>
      </c>
      <c r="E1259">
        <v>10</v>
      </c>
      <c r="F1259">
        <v>71.781079680661094</v>
      </c>
      <c r="G1259" s="1">
        <v>44944</v>
      </c>
      <c r="H1259" s="1">
        <v>44941</v>
      </c>
      <c r="I1259">
        <v>717.81079680661003</v>
      </c>
      <c r="J1259">
        <f t="shared" si="19"/>
        <v>-3</v>
      </c>
    </row>
    <row r="1260" spans="1:10" x14ac:dyDescent="0.25">
      <c r="A1260" t="s">
        <v>1567</v>
      </c>
      <c r="B1260" t="s">
        <v>288</v>
      </c>
      <c r="C1260" t="s">
        <v>701</v>
      </c>
      <c r="D1260" s="1">
        <v>45058</v>
      </c>
      <c r="E1260">
        <v>11</v>
      </c>
      <c r="F1260">
        <v>55.594730115304401</v>
      </c>
      <c r="G1260" s="1">
        <v>45071</v>
      </c>
      <c r="H1260" s="1">
        <v>45068</v>
      </c>
      <c r="I1260">
        <v>611.54203126834898</v>
      </c>
      <c r="J1260">
        <f t="shared" si="19"/>
        <v>-3</v>
      </c>
    </row>
    <row r="1261" spans="1:10" x14ac:dyDescent="0.25">
      <c r="A1261" t="s">
        <v>1568</v>
      </c>
      <c r="B1261" t="s">
        <v>52</v>
      </c>
      <c r="C1261" t="s">
        <v>336</v>
      </c>
      <c r="D1261" s="1">
        <v>45368</v>
      </c>
      <c r="E1261">
        <v>10</v>
      </c>
      <c r="F1261">
        <v>9.1071050929846908</v>
      </c>
      <c r="G1261" s="1">
        <v>45382</v>
      </c>
      <c r="H1261" s="1">
        <v>45388</v>
      </c>
      <c r="I1261">
        <v>91.071050929846905</v>
      </c>
      <c r="J1261">
        <f t="shared" si="19"/>
        <v>6</v>
      </c>
    </row>
    <row r="1262" spans="1:10" x14ac:dyDescent="0.25">
      <c r="A1262" t="s">
        <v>1569</v>
      </c>
      <c r="B1262" t="s">
        <v>350</v>
      </c>
      <c r="C1262" t="s">
        <v>527</v>
      </c>
      <c r="D1262" s="1">
        <v>45355</v>
      </c>
      <c r="E1262">
        <v>11</v>
      </c>
      <c r="F1262">
        <v>67.8213980893197</v>
      </c>
      <c r="G1262" s="1">
        <v>45378</v>
      </c>
      <c r="H1262" s="1">
        <v>45383</v>
      </c>
      <c r="I1262">
        <v>746.03537898251705</v>
      </c>
      <c r="J1262">
        <f t="shared" si="19"/>
        <v>5</v>
      </c>
    </row>
    <row r="1263" spans="1:10" x14ac:dyDescent="0.25">
      <c r="A1263" t="s">
        <v>1570</v>
      </c>
      <c r="B1263" t="s">
        <v>472</v>
      </c>
      <c r="C1263" t="s">
        <v>238</v>
      </c>
      <c r="D1263" s="1">
        <v>44796</v>
      </c>
      <c r="E1263">
        <v>5</v>
      </c>
      <c r="F1263">
        <v>24.054079814803899</v>
      </c>
      <c r="G1263" s="1">
        <v>44816</v>
      </c>
      <c r="H1263" s="1">
        <v>44818</v>
      </c>
      <c r="I1263">
        <v>120.270399074019</v>
      </c>
      <c r="J1263">
        <f t="shared" si="19"/>
        <v>2</v>
      </c>
    </row>
    <row r="1264" spans="1:10" x14ac:dyDescent="0.25">
      <c r="A1264" t="s">
        <v>1571</v>
      </c>
      <c r="B1264" t="s">
        <v>539</v>
      </c>
      <c r="C1264" t="s">
        <v>35</v>
      </c>
      <c r="D1264" s="1">
        <v>45395</v>
      </c>
      <c r="E1264">
        <v>7</v>
      </c>
      <c r="F1264">
        <v>45.092280504453498</v>
      </c>
      <c r="G1264" s="1">
        <v>45405</v>
      </c>
      <c r="H1264" s="1">
        <v>45404</v>
      </c>
      <c r="I1264">
        <v>315.64596353117503</v>
      </c>
      <c r="J1264">
        <f t="shared" si="19"/>
        <v>-1</v>
      </c>
    </row>
    <row r="1265" spans="1:10" x14ac:dyDescent="0.25">
      <c r="A1265" t="s">
        <v>1572</v>
      </c>
      <c r="B1265" t="s">
        <v>382</v>
      </c>
      <c r="C1265" t="s">
        <v>187</v>
      </c>
      <c r="D1265" s="1">
        <v>44834</v>
      </c>
      <c r="E1265">
        <v>20</v>
      </c>
      <c r="F1265">
        <v>12.5367301492322</v>
      </c>
      <c r="G1265" s="1">
        <v>44851</v>
      </c>
      <c r="H1265" s="1">
        <v>44853</v>
      </c>
      <c r="I1265">
        <v>250.734602984644</v>
      </c>
      <c r="J1265">
        <f t="shared" si="19"/>
        <v>2</v>
      </c>
    </row>
    <row r="1266" spans="1:10" x14ac:dyDescent="0.25">
      <c r="A1266" t="s">
        <v>1573</v>
      </c>
      <c r="B1266" t="s">
        <v>127</v>
      </c>
      <c r="C1266" t="s">
        <v>20</v>
      </c>
      <c r="D1266" s="1">
        <v>45207</v>
      </c>
      <c r="E1266">
        <v>21</v>
      </c>
      <c r="F1266">
        <v>27.013906544171501</v>
      </c>
      <c r="G1266" s="1">
        <v>45223</v>
      </c>
      <c r="H1266" s="1">
        <v>45223</v>
      </c>
      <c r="I1266">
        <v>567.29203742760296</v>
      </c>
      <c r="J1266">
        <f t="shared" si="19"/>
        <v>0</v>
      </c>
    </row>
    <row r="1267" spans="1:10" x14ac:dyDescent="0.25">
      <c r="A1267" t="s">
        <v>1574</v>
      </c>
      <c r="B1267" t="s">
        <v>207</v>
      </c>
      <c r="C1267" t="s">
        <v>172</v>
      </c>
      <c r="D1267" s="1">
        <v>44856</v>
      </c>
      <c r="E1267">
        <v>11</v>
      </c>
      <c r="F1267">
        <v>28.391199726030202</v>
      </c>
      <c r="G1267" s="1">
        <v>44873</v>
      </c>
      <c r="H1267" s="1">
        <v>44879</v>
      </c>
      <c r="I1267">
        <v>312.30319698633298</v>
      </c>
      <c r="J1267">
        <f t="shared" si="19"/>
        <v>6</v>
      </c>
    </row>
    <row r="1268" spans="1:10" x14ac:dyDescent="0.25">
      <c r="A1268" t="s">
        <v>1575</v>
      </c>
      <c r="B1268" t="s">
        <v>288</v>
      </c>
      <c r="C1268" t="s">
        <v>128</v>
      </c>
      <c r="D1268" s="1">
        <v>44910</v>
      </c>
      <c r="E1268">
        <v>18</v>
      </c>
      <c r="F1268">
        <v>72.634451472665802</v>
      </c>
      <c r="G1268" s="1">
        <v>44924</v>
      </c>
      <c r="H1268" s="1">
        <v>44922</v>
      </c>
      <c r="I1268">
        <v>1307.4201265079801</v>
      </c>
      <c r="J1268">
        <f t="shared" si="19"/>
        <v>-2</v>
      </c>
    </row>
    <row r="1269" spans="1:10" x14ac:dyDescent="0.25">
      <c r="A1269" t="s">
        <v>1576</v>
      </c>
      <c r="B1269" t="s">
        <v>485</v>
      </c>
      <c r="C1269" t="s">
        <v>184</v>
      </c>
      <c r="D1269" s="1">
        <v>44717</v>
      </c>
      <c r="E1269">
        <v>8</v>
      </c>
      <c r="F1269">
        <v>48.581532268355303</v>
      </c>
      <c r="G1269" s="1">
        <v>44734</v>
      </c>
      <c r="H1269" s="1">
        <v>44732</v>
      </c>
      <c r="I1269">
        <v>388.65225814684197</v>
      </c>
      <c r="J1269">
        <f t="shared" si="19"/>
        <v>-2</v>
      </c>
    </row>
    <row r="1270" spans="1:10" x14ac:dyDescent="0.25">
      <c r="A1270" t="s">
        <v>1577</v>
      </c>
      <c r="B1270" t="s">
        <v>288</v>
      </c>
      <c r="C1270" t="s">
        <v>559</v>
      </c>
      <c r="D1270" s="1">
        <v>44449</v>
      </c>
      <c r="E1270">
        <v>14</v>
      </c>
      <c r="F1270">
        <v>24.802781008981999</v>
      </c>
      <c r="G1270" s="1">
        <v>44467</v>
      </c>
      <c r="H1270" s="1">
        <v>44467</v>
      </c>
      <c r="I1270">
        <v>347.23893412574898</v>
      </c>
      <c r="J1270">
        <f t="shared" si="19"/>
        <v>0</v>
      </c>
    </row>
    <row r="1271" spans="1:10" x14ac:dyDescent="0.25">
      <c r="A1271" t="s">
        <v>1578</v>
      </c>
      <c r="B1271" t="s">
        <v>127</v>
      </c>
      <c r="C1271" t="s">
        <v>44</v>
      </c>
      <c r="D1271" s="1">
        <v>45019</v>
      </c>
      <c r="E1271">
        <v>14</v>
      </c>
      <c r="F1271">
        <v>55.777531163748399</v>
      </c>
      <c r="G1271" s="1">
        <v>45041</v>
      </c>
      <c r="H1271" s="1">
        <v>45047</v>
      </c>
      <c r="I1271">
        <v>780.88543629247795</v>
      </c>
      <c r="J1271">
        <f t="shared" si="19"/>
        <v>6</v>
      </c>
    </row>
    <row r="1272" spans="1:10" x14ac:dyDescent="0.25">
      <c r="A1272" t="s">
        <v>1579</v>
      </c>
      <c r="B1272" t="s">
        <v>127</v>
      </c>
      <c r="C1272" t="s">
        <v>413</v>
      </c>
      <c r="D1272" s="1">
        <v>44789</v>
      </c>
      <c r="E1272">
        <v>5</v>
      </c>
      <c r="F1272">
        <v>45.285042921990502</v>
      </c>
      <c r="G1272" s="1">
        <v>44801</v>
      </c>
      <c r="H1272" s="1">
        <v>44800</v>
      </c>
      <c r="I1272">
        <v>226.42521460995201</v>
      </c>
      <c r="J1272">
        <f t="shared" si="19"/>
        <v>-1</v>
      </c>
    </row>
    <row r="1273" spans="1:10" x14ac:dyDescent="0.25">
      <c r="A1273" t="s">
        <v>1580</v>
      </c>
      <c r="B1273" t="s">
        <v>288</v>
      </c>
      <c r="C1273" t="s">
        <v>17</v>
      </c>
      <c r="D1273" s="1">
        <v>44792</v>
      </c>
      <c r="E1273">
        <v>12</v>
      </c>
      <c r="F1273">
        <v>7.4769868614650896</v>
      </c>
      <c r="G1273" s="1">
        <v>44816</v>
      </c>
      <c r="H1273" s="1">
        <v>44815</v>
      </c>
      <c r="I1273">
        <v>89.723842337581004</v>
      </c>
      <c r="J1273">
        <f t="shared" si="19"/>
        <v>-1</v>
      </c>
    </row>
    <row r="1274" spans="1:10" x14ac:dyDescent="0.25">
      <c r="A1274" t="s">
        <v>1581</v>
      </c>
      <c r="B1274" t="s">
        <v>157</v>
      </c>
      <c r="C1274" t="s">
        <v>210</v>
      </c>
      <c r="D1274" s="1">
        <v>44249</v>
      </c>
      <c r="E1274">
        <v>11</v>
      </c>
      <c r="F1274">
        <v>29.9308846432452</v>
      </c>
      <c r="G1274" s="1">
        <v>44273</v>
      </c>
      <c r="H1274" s="1">
        <v>44275</v>
      </c>
      <c r="I1274">
        <v>329.23973107569702</v>
      </c>
      <c r="J1274">
        <f t="shared" si="19"/>
        <v>2</v>
      </c>
    </row>
    <row r="1275" spans="1:10" x14ac:dyDescent="0.25">
      <c r="A1275" t="s">
        <v>1582</v>
      </c>
      <c r="B1275" t="s">
        <v>160</v>
      </c>
      <c r="C1275" t="s">
        <v>71</v>
      </c>
      <c r="D1275" s="1">
        <v>44243</v>
      </c>
      <c r="E1275">
        <v>5</v>
      </c>
      <c r="F1275">
        <v>75.427274755408305</v>
      </c>
      <c r="G1275" s="1">
        <v>44257</v>
      </c>
      <c r="H1275" s="1">
        <v>44261</v>
      </c>
      <c r="I1275">
        <v>377.136373777041</v>
      </c>
      <c r="J1275">
        <f t="shared" si="19"/>
        <v>4</v>
      </c>
    </row>
    <row r="1276" spans="1:10" x14ac:dyDescent="0.25">
      <c r="A1276" t="s">
        <v>1583</v>
      </c>
      <c r="B1276" t="s">
        <v>198</v>
      </c>
      <c r="C1276" t="s">
        <v>1176</v>
      </c>
      <c r="D1276" s="1">
        <v>44875</v>
      </c>
      <c r="E1276">
        <v>17</v>
      </c>
      <c r="F1276">
        <v>58.795061678887997</v>
      </c>
      <c r="G1276" s="1">
        <v>44895</v>
      </c>
      <c r="H1276" s="1">
        <v>44894</v>
      </c>
      <c r="I1276">
        <v>999.51604854109598</v>
      </c>
      <c r="J1276">
        <f t="shared" si="19"/>
        <v>-1</v>
      </c>
    </row>
    <row r="1277" spans="1:10" x14ac:dyDescent="0.25">
      <c r="A1277" t="s">
        <v>1584</v>
      </c>
      <c r="B1277" t="s">
        <v>67</v>
      </c>
      <c r="C1277" t="s">
        <v>341</v>
      </c>
      <c r="D1277" s="1">
        <v>44980</v>
      </c>
      <c r="E1277">
        <v>9</v>
      </c>
      <c r="F1277">
        <v>62.363135209881897</v>
      </c>
      <c r="G1277" s="1">
        <v>45002</v>
      </c>
      <c r="H1277" s="1">
        <v>45007</v>
      </c>
      <c r="I1277">
        <v>561.26821688893699</v>
      </c>
      <c r="J1277">
        <f t="shared" si="19"/>
        <v>5</v>
      </c>
    </row>
    <row r="1278" spans="1:10" x14ac:dyDescent="0.25">
      <c r="A1278" t="s">
        <v>1585</v>
      </c>
      <c r="B1278" t="s">
        <v>140</v>
      </c>
      <c r="C1278" t="s">
        <v>559</v>
      </c>
      <c r="D1278" s="1">
        <v>44319</v>
      </c>
      <c r="E1278">
        <v>14</v>
      </c>
      <c r="F1278">
        <v>64.266578640387095</v>
      </c>
      <c r="G1278" s="1">
        <v>44331</v>
      </c>
      <c r="H1278" s="1">
        <v>44329</v>
      </c>
      <c r="I1278">
        <v>899.73210096542005</v>
      </c>
      <c r="J1278">
        <f t="shared" si="19"/>
        <v>-2</v>
      </c>
    </row>
    <row r="1279" spans="1:10" x14ac:dyDescent="0.25">
      <c r="A1279" t="s">
        <v>1586</v>
      </c>
      <c r="B1279" t="s">
        <v>240</v>
      </c>
      <c r="C1279" t="s">
        <v>245</v>
      </c>
      <c r="D1279" s="1">
        <v>44425</v>
      </c>
      <c r="E1279">
        <v>10</v>
      </c>
      <c r="F1279">
        <v>14.6253754249484</v>
      </c>
      <c r="G1279" s="1">
        <v>44440</v>
      </c>
      <c r="H1279" s="1">
        <v>44442</v>
      </c>
      <c r="I1279">
        <v>146.25375424948399</v>
      </c>
      <c r="J1279">
        <f t="shared" si="19"/>
        <v>2</v>
      </c>
    </row>
    <row r="1280" spans="1:10" x14ac:dyDescent="0.25">
      <c r="A1280" t="s">
        <v>1587</v>
      </c>
      <c r="B1280" t="s">
        <v>55</v>
      </c>
      <c r="C1280" t="s">
        <v>391</v>
      </c>
      <c r="D1280" s="1">
        <v>45125</v>
      </c>
      <c r="E1280">
        <v>9</v>
      </c>
      <c r="F1280">
        <v>38.662052659195098</v>
      </c>
      <c r="G1280" s="1">
        <v>45136</v>
      </c>
      <c r="H1280" s="1">
        <v>45140</v>
      </c>
      <c r="I1280">
        <v>347.95847393275602</v>
      </c>
      <c r="J1280">
        <f t="shared" si="19"/>
        <v>4</v>
      </c>
    </row>
    <row r="1281" spans="1:10" x14ac:dyDescent="0.25">
      <c r="A1281" t="s">
        <v>1588</v>
      </c>
      <c r="B1281" t="s">
        <v>135</v>
      </c>
      <c r="C1281" t="s">
        <v>235</v>
      </c>
      <c r="D1281" s="1">
        <v>44777</v>
      </c>
      <c r="E1281">
        <v>12</v>
      </c>
      <c r="F1281">
        <v>74.813839730903396</v>
      </c>
      <c r="G1281" s="1">
        <v>44801</v>
      </c>
      <c r="H1281" s="1">
        <v>44804</v>
      </c>
      <c r="I1281">
        <v>897.76607677084098</v>
      </c>
      <c r="J1281">
        <f t="shared" si="19"/>
        <v>3</v>
      </c>
    </row>
    <row r="1282" spans="1:10" x14ac:dyDescent="0.25">
      <c r="A1282" t="s">
        <v>1589</v>
      </c>
      <c r="B1282" t="s">
        <v>324</v>
      </c>
      <c r="C1282" t="s">
        <v>165</v>
      </c>
      <c r="D1282" s="1">
        <v>44543</v>
      </c>
      <c r="E1282">
        <v>7</v>
      </c>
      <c r="F1282">
        <v>53.060837160996499</v>
      </c>
      <c r="G1282" s="1">
        <v>44566</v>
      </c>
      <c r="H1282" s="1">
        <v>44571</v>
      </c>
      <c r="I1282">
        <v>371.42586012697501</v>
      </c>
      <c r="J1282">
        <f t="shared" si="19"/>
        <v>5</v>
      </c>
    </row>
    <row r="1283" spans="1:10" x14ac:dyDescent="0.25">
      <c r="A1283" t="s">
        <v>1590</v>
      </c>
      <c r="B1283" t="s">
        <v>174</v>
      </c>
      <c r="C1283" t="s">
        <v>80</v>
      </c>
      <c r="D1283" s="1">
        <v>44246</v>
      </c>
      <c r="E1283">
        <v>12</v>
      </c>
      <c r="F1283">
        <v>61.930499755443002</v>
      </c>
      <c r="G1283" s="1">
        <v>44269</v>
      </c>
      <c r="H1283" s="1">
        <v>44270</v>
      </c>
      <c r="I1283">
        <v>743.16599706531701</v>
      </c>
      <c r="J1283">
        <f t="shared" ref="J1283:J1346" si="20">H1283-G1283</f>
        <v>1</v>
      </c>
    </row>
    <row r="1284" spans="1:10" x14ac:dyDescent="0.25">
      <c r="A1284" t="s">
        <v>1591</v>
      </c>
      <c r="B1284" t="s">
        <v>205</v>
      </c>
      <c r="C1284" t="s">
        <v>38</v>
      </c>
      <c r="D1284" s="1">
        <v>44331</v>
      </c>
      <c r="E1284">
        <v>14</v>
      </c>
      <c r="F1284">
        <v>23.950098258557802</v>
      </c>
      <c r="G1284" s="1">
        <v>44341</v>
      </c>
      <c r="H1284" s="1">
        <v>44343</v>
      </c>
      <c r="I1284">
        <v>335.30137561981002</v>
      </c>
      <c r="J1284">
        <f t="shared" si="20"/>
        <v>2</v>
      </c>
    </row>
    <row r="1285" spans="1:10" x14ac:dyDescent="0.25">
      <c r="A1285" t="s">
        <v>1592</v>
      </c>
      <c r="B1285" t="s">
        <v>28</v>
      </c>
      <c r="C1285" t="s">
        <v>32</v>
      </c>
      <c r="D1285" s="1">
        <v>44390</v>
      </c>
      <c r="E1285">
        <v>14</v>
      </c>
      <c r="F1285">
        <v>64.399334982588996</v>
      </c>
      <c r="G1285" s="1">
        <v>44405</v>
      </c>
      <c r="H1285" s="1">
        <v>44406</v>
      </c>
      <c r="I1285">
        <v>901.59068975624598</v>
      </c>
      <c r="J1285">
        <f t="shared" si="20"/>
        <v>1</v>
      </c>
    </row>
    <row r="1286" spans="1:10" x14ac:dyDescent="0.25">
      <c r="A1286" t="s">
        <v>1593</v>
      </c>
      <c r="B1286" t="s">
        <v>340</v>
      </c>
      <c r="C1286" t="s">
        <v>722</v>
      </c>
      <c r="D1286" s="1">
        <v>44637</v>
      </c>
      <c r="E1286">
        <v>17</v>
      </c>
      <c r="F1286">
        <v>78.965594382321797</v>
      </c>
      <c r="G1286" s="1">
        <v>44655</v>
      </c>
      <c r="H1286" s="1">
        <v>44652</v>
      </c>
      <c r="I1286">
        <v>1342.4151044994701</v>
      </c>
      <c r="J1286">
        <f t="shared" si="20"/>
        <v>-3</v>
      </c>
    </row>
    <row r="1287" spans="1:10" x14ac:dyDescent="0.25">
      <c r="A1287" t="s">
        <v>1594</v>
      </c>
      <c r="B1287" t="s">
        <v>99</v>
      </c>
      <c r="C1287" t="s">
        <v>144</v>
      </c>
      <c r="D1287" s="1">
        <v>45337</v>
      </c>
      <c r="E1287">
        <v>5</v>
      </c>
      <c r="F1287">
        <v>8.2696253002163704</v>
      </c>
      <c r="G1287" s="1">
        <v>45359</v>
      </c>
      <c r="H1287" s="1">
        <v>45363</v>
      </c>
      <c r="I1287">
        <v>41.348126501081801</v>
      </c>
      <c r="J1287">
        <f t="shared" si="20"/>
        <v>4</v>
      </c>
    </row>
    <row r="1288" spans="1:10" x14ac:dyDescent="0.25">
      <c r="A1288" t="s">
        <v>1595</v>
      </c>
      <c r="B1288" t="s">
        <v>176</v>
      </c>
      <c r="C1288" t="s">
        <v>1129</v>
      </c>
      <c r="D1288" s="1">
        <v>44837</v>
      </c>
      <c r="E1288">
        <v>12</v>
      </c>
      <c r="F1288">
        <v>76.465551356556603</v>
      </c>
      <c r="G1288" s="1">
        <v>44857</v>
      </c>
      <c r="H1288" s="1">
        <v>44861</v>
      </c>
      <c r="I1288">
        <v>917.586616278679</v>
      </c>
      <c r="J1288">
        <f t="shared" si="20"/>
        <v>4</v>
      </c>
    </row>
    <row r="1289" spans="1:10" x14ac:dyDescent="0.25">
      <c r="A1289" t="s">
        <v>1596</v>
      </c>
      <c r="B1289" t="s">
        <v>359</v>
      </c>
      <c r="C1289" t="s">
        <v>396</v>
      </c>
      <c r="D1289" s="1">
        <v>44272</v>
      </c>
      <c r="E1289">
        <v>16</v>
      </c>
      <c r="F1289">
        <v>40.149554645937599</v>
      </c>
      <c r="G1289" s="1">
        <v>44284</v>
      </c>
      <c r="H1289" s="1">
        <v>44289</v>
      </c>
      <c r="I1289">
        <v>642.39287433500101</v>
      </c>
      <c r="J1289">
        <f t="shared" si="20"/>
        <v>5</v>
      </c>
    </row>
    <row r="1290" spans="1:10" x14ac:dyDescent="0.25">
      <c r="A1290" t="s">
        <v>1597</v>
      </c>
      <c r="B1290" t="s">
        <v>253</v>
      </c>
      <c r="C1290" t="s">
        <v>56</v>
      </c>
      <c r="D1290" s="1">
        <v>45386</v>
      </c>
      <c r="E1290">
        <v>17</v>
      </c>
      <c r="F1290">
        <v>9.9787202968687598</v>
      </c>
      <c r="G1290" s="1">
        <v>45398</v>
      </c>
      <c r="H1290" s="1">
        <v>45399</v>
      </c>
      <c r="I1290">
        <v>169.63824504676799</v>
      </c>
      <c r="J1290">
        <f t="shared" si="20"/>
        <v>1</v>
      </c>
    </row>
    <row r="1291" spans="1:10" x14ac:dyDescent="0.25">
      <c r="A1291" t="s">
        <v>1598</v>
      </c>
      <c r="B1291" t="s">
        <v>301</v>
      </c>
      <c r="C1291" t="s">
        <v>235</v>
      </c>
      <c r="D1291" s="1">
        <v>44366</v>
      </c>
      <c r="E1291">
        <v>13</v>
      </c>
      <c r="F1291">
        <v>29.671609423269199</v>
      </c>
      <c r="G1291" s="1">
        <v>44389</v>
      </c>
      <c r="H1291" s="1">
        <v>44395</v>
      </c>
      <c r="I1291">
        <v>385.73092250249999</v>
      </c>
      <c r="J1291">
        <f t="shared" si="20"/>
        <v>6</v>
      </c>
    </row>
    <row r="1292" spans="1:10" x14ac:dyDescent="0.25">
      <c r="A1292" t="s">
        <v>1599</v>
      </c>
      <c r="B1292" t="s">
        <v>411</v>
      </c>
      <c r="C1292" t="s">
        <v>220</v>
      </c>
      <c r="D1292" s="1">
        <v>45219</v>
      </c>
      <c r="E1292">
        <v>11</v>
      </c>
      <c r="F1292">
        <v>9.1089775661487202</v>
      </c>
      <c r="G1292" s="1">
        <v>45240</v>
      </c>
      <c r="H1292" s="1">
        <v>45246</v>
      </c>
      <c r="I1292">
        <v>100.198753227635</v>
      </c>
      <c r="J1292">
        <f t="shared" si="20"/>
        <v>6</v>
      </c>
    </row>
    <row r="1293" spans="1:10" x14ac:dyDescent="0.25">
      <c r="A1293" t="s">
        <v>1600</v>
      </c>
      <c r="B1293" t="s">
        <v>189</v>
      </c>
      <c r="C1293" t="s">
        <v>272</v>
      </c>
      <c r="D1293" s="1">
        <v>44330</v>
      </c>
      <c r="E1293">
        <v>14</v>
      </c>
      <c r="F1293">
        <v>51.691766458821199</v>
      </c>
      <c r="G1293" s="1">
        <v>44348</v>
      </c>
      <c r="H1293" s="1">
        <v>44354</v>
      </c>
      <c r="I1293">
        <v>723.68473042349797</v>
      </c>
      <c r="J1293">
        <f t="shared" si="20"/>
        <v>6</v>
      </c>
    </row>
    <row r="1294" spans="1:10" x14ac:dyDescent="0.25">
      <c r="A1294" t="s">
        <v>1601</v>
      </c>
      <c r="B1294" t="s">
        <v>751</v>
      </c>
      <c r="C1294" t="s">
        <v>201</v>
      </c>
      <c r="D1294" s="1">
        <v>44265</v>
      </c>
      <c r="E1294">
        <v>13</v>
      </c>
      <c r="F1294">
        <v>71.411682234778397</v>
      </c>
      <c r="G1294" s="1">
        <v>44278</v>
      </c>
      <c r="H1294" s="1">
        <v>44279</v>
      </c>
      <c r="I1294">
        <v>928.35186905211901</v>
      </c>
      <c r="J1294">
        <f t="shared" si="20"/>
        <v>1</v>
      </c>
    </row>
    <row r="1295" spans="1:10" x14ac:dyDescent="0.25">
      <c r="A1295" t="s">
        <v>1602</v>
      </c>
      <c r="B1295" t="s">
        <v>82</v>
      </c>
      <c r="C1295" t="s">
        <v>144</v>
      </c>
      <c r="D1295" s="1">
        <v>45375</v>
      </c>
      <c r="E1295">
        <v>18</v>
      </c>
      <c r="F1295">
        <v>75.308964770967293</v>
      </c>
      <c r="G1295" s="1">
        <v>45392</v>
      </c>
      <c r="H1295" s="1">
        <v>45395</v>
      </c>
      <c r="I1295">
        <v>1355.56136587741</v>
      </c>
      <c r="J1295">
        <f t="shared" si="20"/>
        <v>3</v>
      </c>
    </row>
    <row r="1296" spans="1:10" x14ac:dyDescent="0.25">
      <c r="A1296" t="s">
        <v>1603</v>
      </c>
      <c r="B1296" t="s">
        <v>472</v>
      </c>
      <c r="C1296" t="s">
        <v>562</v>
      </c>
      <c r="D1296" s="1">
        <v>44626</v>
      </c>
      <c r="E1296">
        <v>11</v>
      </c>
      <c r="F1296">
        <v>68.180413214725704</v>
      </c>
      <c r="G1296" s="1">
        <v>44645</v>
      </c>
      <c r="H1296" s="1">
        <v>44643</v>
      </c>
      <c r="I1296">
        <v>749.98454536198199</v>
      </c>
      <c r="J1296">
        <f t="shared" si="20"/>
        <v>-2</v>
      </c>
    </row>
    <row r="1297" spans="1:10" x14ac:dyDescent="0.25">
      <c r="A1297" t="s">
        <v>1604</v>
      </c>
      <c r="B1297" t="s">
        <v>194</v>
      </c>
      <c r="C1297" t="s">
        <v>477</v>
      </c>
      <c r="D1297" s="1">
        <v>44573</v>
      </c>
      <c r="E1297">
        <v>9</v>
      </c>
      <c r="F1297">
        <v>78.977207314706106</v>
      </c>
      <c r="G1297" s="1">
        <v>44586</v>
      </c>
      <c r="H1297" s="1">
        <v>44589</v>
      </c>
      <c r="I1297">
        <v>710.79486583235496</v>
      </c>
      <c r="J1297">
        <f t="shared" si="20"/>
        <v>3</v>
      </c>
    </row>
    <row r="1298" spans="1:10" x14ac:dyDescent="0.25">
      <c r="A1298" t="s">
        <v>1605</v>
      </c>
      <c r="B1298" t="s">
        <v>73</v>
      </c>
      <c r="C1298" t="s">
        <v>274</v>
      </c>
      <c r="D1298" s="1">
        <v>45278</v>
      </c>
      <c r="E1298">
        <v>18</v>
      </c>
      <c r="F1298">
        <v>74.609030713256402</v>
      </c>
      <c r="G1298" s="1">
        <v>45298</v>
      </c>
      <c r="H1298" s="1">
        <v>45304</v>
      </c>
      <c r="I1298">
        <v>1342.96255283861</v>
      </c>
      <c r="J1298">
        <f t="shared" si="20"/>
        <v>6</v>
      </c>
    </row>
    <row r="1299" spans="1:10" x14ac:dyDescent="0.25">
      <c r="A1299" t="s">
        <v>1606</v>
      </c>
      <c r="B1299" t="s">
        <v>359</v>
      </c>
      <c r="C1299" t="s">
        <v>136</v>
      </c>
      <c r="D1299" s="1">
        <v>44891</v>
      </c>
      <c r="E1299">
        <v>10</v>
      </c>
      <c r="F1299">
        <v>62.374985636378497</v>
      </c>
      <c r="G1299" s="1">
        <v>44915</v>
      </c>
      <c r="H1299" s="1">
        <v>44916</v>
      </c>
      <c r="I1299">
        <v>623.74985636378506</v>
      </c>
      <c r="J1299">
        <f t="shared" si="20"/>
        <v>1</v>
      </c>
    </row>
    <row r="1300" spans="1:10" x14ac:dyDescent="0.25">
      <c r="A1300" t="s">
        <v>1607</v>
      </c>
      <c r="B1300" t="s">
        <v>127</v>
      </c>
      <c r="C1300" t="s">
        <v>222</v>
      </c>
      <c r="D1300" s="1">
        <v>44342</v>
      </c>
      <c r="E1300">
        <v>9</v>
      </c>
      <c r="F1300">
        <v>45.352443504023697</v>
      </c>
      <c r="G1300" s="1">
        <v>44354</v>
      </c>
      <c r="H1300" s="1">
        <v>44353</v>
      </c>
      <c r="I1300">
        <v>408.171991536213</v>
      </c>
      <c r="J1300">
        <f t="shared" si="20"/>
        <v>-1</v>
      </c>
    </row>
    <row r="1301" spans="1:10" x14ac:dyDescent="0.25">
      <c r="A1301" t="s">
        <v>1608</v>
      </c>
      <c r="B1301" t="s">
        <v>154</v>
      </c>
      <c r="C1301" t="s">
        <v>56</v>
      </c>
      <c r="D1301" s="1">
        <v>44754</v>
      </c>
      <c r="E1301">
        <v>12</v>
      </c>
      <c r="F1301">
        <v>66.420680665821294</v>
      </c>
      <c r="G1301" s="1">
        <v>44770</v>
      </c>
      <c r="H1301" s="1">
        <v>44776</v>
      </c>
      <c r="I1301">
        <v>797.04816798985496</v>
      </c>
      <c r="J1301">
        <f t="shared" si="20"/>
        <v>6</v>
      </c>
    </row>
    <row r="1302" spans="1:10" x14ac:dyDescent="0.25">
      <c r="A1302" t="s">
        <v>1609</v>
      </c>
      <c r="B1302" t="s">
        <v>154</v>
      </c>
      <c r="C1302" t="s">
        <v>230</v>
      </c>
      <c r="D1302" s="1">
        <v>44692</v>
      </c>
      <c r="E1302">
        <v>15</v>
      </c>
      <c r="F1302">
        <v>20.576082397926399</v>
      </c>
      <c r="G1302" s="1">
        <v>44704</v>
      </c>
      <c r="H1302" s="1">
        <v>44701</v>
      </c>
      <c r="I1302">
        <v>308.64123596889698</v>
      </c>
      <c r="J1302">
        <f t="shared" si="20"/>
        <v>-3</v>
      </c>
    </row>
    <row r="1303" spans="1:10" x14ac:dyDescent="0.25">
      <c r="A1303" t="s">
        <v>1610</v>
      </c>
      <c r="B1303" t="s">
        <v>130</v>
      </c>
      <c r="C1303" t="s">
        <v>581</v>
      </c>
      <c r="D1303" s="1">
        <v>45021</v>
      </c>
      <c r="E1303">
        <v>9</v>
      </c>
      <c r="F1303">
        <v>52.651888654826998</v>
      </c>
      <c r="G1303" s="1">
        <v>45043</v>
      </c>
      <c r="H1303" s="1">
        <v>45042</v>
      </c>
      <c r="I1303">
        <v>473.866997893443</v>
      </c>
      <c r="J1303">
        <f t="shared" si="20"/>
        <v>-1</v>
      </c>
    </row>
    <row r="1304" spans="1:10" x14ac:dyDescent="0.25">
      <c r="A1304" t="s">
        <v>1611</v>
      </c>
      <c r="B1304" t="s">
        <v>326</v>
      </c>
      <c r="C1304" t="s">
        <v>581</v>
      </c>
      <c r="D1304" s="1">
        <v>44989</v>
      </c>
      <c r="E1304">
        <v>8</v>
      </c>
      <c r="F1304">
        <v>28.345787657490099</v>
      </c>
      <c r="G1304" s="1">
        <v>45001</v>
      </c>
      <c r="H1304" s="1">
        <v>44999</v>
      </c>
      <c r="I1304">
        <v>226.76630125992</v>
      </c>
      <c r="J1304">
        <f t="shared" si="20"/>
        <v>-2</v>
      </c>
    </row>
    <row r="1305" spans="1:10" x14ac:dyDescent="0.25">
      <c r="A1305" t="s">
        <v>1612</v>
      </c>
      <c r="B1305" t="s">
        <v>250</v>
      </c>
      <c r="C1305" t="s">
        <v>1259</v>
      </c>
      <c r="D1305" s="1">
        <v>44924</v>
      </c>
      <c r="E1305">
        <v>12</v>
      </c>
      <c r="F1305">
        <v>42.309645702595503</v>
      </c>
      <c r="G1305" s="1">
        <v>44944</v>
      </c>
      <c r="H1305" s="1">
        <v>44948</v>
      </c>
      <c r="I1305">
        <v>507.71574843114598</v>
      </c>
      <c r="J1305">
        <f t="shared" si="20"/>
        <v>4</v>
      </c>
    </row>
    <row r="1306" spans="1:10" x14ac:dyDescent="0.25">
      <c r="A1306" t="s">
        <v>1613</v>
      </c>
      <c r="B1306" t="s">
        <v>237</v>
      </c>
      <c r="C1306" t="s">
        <v>540</v>
      </c>
      <c r="D1306" s="1">
        <v>45049</v>
      </c>
      <c r="E1306">
        <v>13</v>
      </c>
      <c r="F1306">
        <v>78.599575961147707</v>
      </c>
      <c r="G1306" s="1">
        <v>45066</v>
      </c>
      <c r="H1306" s="1">
        <v>45072</v>
      </c>
      <c r="I1306">
        <v>1021.79448749492</v>
      </c>
      <c r="J1306">
        <f t="shared" si="20"/>
        <v>6</v>
      </c>
    </row>
    <row r="1307" spans="1:10" x14ac:dyDescent="0.25">
      <c r="A1307" t="s">
        <v>1614</v>
      </c>
      <c r="B1307" t="s">
        <v>19</v>
      </c>
      <c r="C1307" t="s">
        <v>56</v>
      </c>
      <c r="D1307" s="1">
        <v>45107</v>
      </c>
      <c r="E1307">
        <v>18</v>
      </c>
      <c r="F1307">
        <v>7.7156397604386697</v>
      </c>
      <c r="G1307" s="1">
        <v>45125</v>
      </c>
      <c r="H1307" s="1">
        <v>45129</v>
      </c>
      <c r="I1307">
        <v>138.88151568789601</v>
      </c>
      <c r="J1307">
        <f t="shared" si="20"/>
        <v>4</v>
      </c>
    </row>
    <row r="1308" spans="1:10" x14ac:dyDescent="0.25">
      <c r="A1308" t="s">
        <v>1615</v>
      </c>
      <c r="B1308" t="s">
        <v>321</v>
      </c>
      <c r="C1308" t="s">
        <v>453</v>
      </c>
      <c r="D1308" s="1">
        <v>45297</v>
      </c>
      <c r="E1308">
        <v>9</v>
      </c>
      <c r="F1308">
        <v>14.0035494180319</v>
      </c>
      <c r="G1308" s="1">
        <v>45310</v>
      </c>
      <c r="H1308" s="1">
        <v>45314</v>
      </c>
      <c r="I1308">
        <v>126.031944762287</v>
      </c>
      <c r="J1308">
        <f t="shared" si="20"/>
        <v>4</v>
      </c>
    </row>
    <row r="1309" spans="1:10" x14ac:dyDescent="0.25">
      <c r="A1309" t="s">
        <v>1616</v>
      </c>
      <c r="B1309" t="s">
        <v>140</v>
      </c>
      <c r="C1309" t="s">
        <v>138</v>
      </c>
      <c r="D1309" s="1">
        <v>44512</v>
      </c>
      <c r="E1309">
        <v>9</v>
      </c>
      <c r="F1309">
        <v>62.317693127283299</v>
      </c>
      <c r="G1309" s="1">
        <v>44528</v>
      </c>
      <c r="H1309" s="1">
        <v>44532</v>
      </c>
      <c r="I1309">
        <v>560.85923814554997</v>
      </c>
      <c r="J1309">
        <f t="shared" si="20"/>
        <v>4</v>
      </c>
    </row>
    <row r="1310" spans="1:10" x14ac:dyDescent="0.25">
      <c r="A1310" t="s">
        <v>1617</v>
      </c>
      <c r="B1310" t="s">
        <v>301</v>
      </c>
      <c r="C1310" t="s">
        <v>71</v>
      </c>
      <c r="D1310" s="1">
        <v>44720</v>
      </c>
      <c r="E1310">
        <v>10</v>
      </c>
      <c r="F1310">
        <v>38.719941251136902</v>
      </c>
      <c r="G1310" s="1">
        <v>44742</v>
      </c>
      <c r="H1310" s="1">
        <v>44742</v>
      </c>
      <c r="I1310">
        <v>387.19941251136902</v>
      </c>
      <c r="J1310">
        <f t="shared" si="20"/>
        <v>0</v>
      </c>
    </row>
    <row r="1311" spans="1:10" x14ac:dyDescent="0.25">
      <c r="A1311" t="s">
        <v>1618</v>
      </c>
      <c r="B1311" t="s">
        <v>13</v>
      </c>
      <c r="C1311" t="s">
        <v>418</v>
      </c>
      <c r="D1311" s="1">
        <v>44691</v>
      </c>
      <c r="E1311">
        <v>16</v>
      </c>
      <c r="F1311">
        <v>27.0081492753073</v>
      </c>
      <c r="G1311" s="1">
        <v>44706</v>
      </c>
      <c r="H1311" s="1">
        <v>44707</v>
      </c>
      <c r="I1311">
        <v>432.13038840491703</v>
      </c>
      <c r="J1311">
        <f t="shared" si="20"/>
        <v>1</v>
      </c>
    </row>
    <row r="1312" spans="1:10" x14ac:dyDescent="0.25">
      <c r="A1312" t="s">
        <v>1619</v>
      </c>
      <c r="B1312" t="s">
        <v>13</v>
      </c>
      <c r="C1312" t="s">
        <v>170</v>
      </c>
      <c r="D1312" s="1">
        <v>44716</v>
      </c>
      <c r="E1312">
        <v>10</v>
      </c>
      <c r="F1312">
        <v>71.996588052412605</v>
      </c>
      <c r="G1312" s="1">
        <v>44740</v>
      </c>
      <c r="H1312" s="1">
        <v>44742</v>
      </c>
      <c r="I1312">
        <v>719.96588052412596</v>
      </c>
      <c r="J1312">
        <f t="shared" si="20"/>
        <v>2</v>
      </c>
    </row>
    <row r="1313" spans="1:10" x14ac:dyDescent="0.25">
      <c r="A1313" t="s">
        <v>1620</v>
      </c>
      <c r="B1313" t="s">
        <v>219</v>
      </c>
      <c r="C1313" t="s">
        <v>259</v>
      </c>
      <c r="D1313" s="1">
        <v>44551</v>
      </c>
      <c r="E1313">
        <v>13</v>
      </c>
      <c r="F1313">
        <v>6.8199995975249497</v>
      </c>
      <c r="G1313" s="1">
        <v>44571</v>
      </c>
      <c r="H1313" s="1">
        <v>44572</v>
      </c>
      <c r="I1313">
        <v>88.659994767824401</v>
      </c>
      <c r="J1313">
        <f t="shared" si="20"/>
        <v>1</v>
      </c>
    </row>
    <row r="1314" spans="1:10" x14ac:dyDescent="0.25">
      <c r="A1314" t="s">
        <v>1621</v>
      </c>
      <c r="B1314" t="s">
        <v>475</v>
      </c>
      <c r="C1314" t="s">
        <v>380</v>
      </c>
      <c r="D1314" s="1">
        <v>44787</v>
      </c>
      <c r="E1314">
        <v>7</v>
      </c>
      <c r="F1314">
        <v>73.351775725083698</v>
      </c>
      <c r="G1314" s="1">
        <v>44799</v>
      </c>
      <c r="H1314" s="1">
        <v>44802</v>
      </c>
      <c r="I1314">
        <v>513.46243007558598</v>
      </c>
      <c r="J1314">
        <f t="shared" si="20"/>
        <v>3</v>
      </c>
    </row>
    <row r="1315" spans="1:10" x14ac:dyDescent="0.25">
      <c r="A1315" t="s">
        <v>1622</v>
      </c>
      <c r="B1315" t="s">
        <v>556</v>
      </c>
      <c r="C1315" t="s">
        <v>184</v>
      </c>
      <c r="D1315" s="1">
        <v>44824</v>
      </c>
      <c r="E1315">
        <v>13</v>
      </c>
      <c r="F1315">
        <v>54.878470507975798</v>
      </c>
      <c r="G1315" s="1">
        <v>44837</v>
      </c>
      <c r="H1315" s="1">
        <v>44841</v>
      </c>
      <c r="I1315">
        <v>713.42011660368496</v>
      </c>
      <c r="J1315">
        <f t="shared" si="20"/>
        <v>4</v>
      </c>
    </row>
    <row r="1316" spans="1:10" x14ac:dyDescent="0.25">
      <c r="A1316" t="s">
        <v>1623</v>
      </c>
      <c r="B1316" t="s">
        <v>237</v>
      </c>
      <c r="C1316" t="s">
        <v>105</v>
      </c>
      <c r="D1316" s="1">
        <v>44390</v>
      </c>
      <c r="E1316">
        <v>11</v>
      </c>
      <c r="F1316">
        <v>36.137102027521699</v>
      </c>
      <c r="G1316" s="1">
        <v>44408</v>
      </c>
      <c r="H1316" s="1">
        <v>44411</v>
      </c>
      <c r="I1316">
        <v>397.50812230273903</v>
      </c>
      <c r="J1316">
        <f t="shared" si="20"/>
        <v>3</v>
      </c>
    </row>
    <row r="1317" spans="1:10" x14ac:dyDescent="0.25">
      <c r="A1317" t="s">
        <v>1624</v>
      </c>
      <c r="B1317" t="s">
        <v>52</v>
      </c>
      <c r="C1317" t="s">
        <v>328</v>
      </c>
      <c r="D1317" s="1">
        <v>45064</v>
      </c>
      <c r="E1317">
        <v>10</v>
      </c>
      <c r="F1317">
        <v>15.055422141307901</v>
      </c>
      <c r="G1317" s="1">
        <v>45082</v>
      </c>
      <c r="H1317" s="1">
        <v>45088</v>
      </c>
      <c r="I1317">
        <v>150.55422141307901</v>
      </c>
      <c r="J1317">
        <f t="shared" si="20"/>
        <v>6</v>
      </c>
    </row>
    <row r="1318" spans="1:10" x14ac:dyDescent="0.25">
      <c r="A1318" t="s">
        <v>1625</v>
      </c>
      <c r="B1318" t="s">
        <v>203</v>
      </c>
      <c r="C1318" t="s">
        <v>302</v>
      </c>
      <c r="D1318" s="1">
        <v>44212</v>
      </c>
      <c r="E1318">
        <v>9</v>
      </c>
      <c r="F1318">
        <v>28.3527844896206</v>
      </c>
      <c r="G1318" s="1">
        <v>44235</v>
      </c>
      <c r="H1318" s="1">
        <v>44241</v>
      </c>
      <c r="I1318">
        <v>255.175060406585</v>
      </c>
      <c r="J1318">
        <f t="shared" si="20"/>
        <v>6</v>
      </c>
    </row>
    <row r="1319" spans="1:10" x14ac:dyDescent="0.25">
      <c r="A1319" t="s">
        <v>1626</v>
      </c>
      <c r="B1319" t="s">
        <v>288</v>
      </c>
      <c r="C1319" t="s">
        <v>136</v>
      </c>
      <c r="D1319" s="1">
        <v>44638</v>
      </c>
      <c r="E1319">
        <v>9</v>
      </c>
      <c r="F1319">
        <v>62.445008554635002</v>
      </c>
      <c r="G1319" s="1">
        <v>44650</v>
      </c>
      <c r="H1319" s="1">
        <v>44650</v>
      </c>
      <c r="I1319">
        <v>562.00507699171499</v>
      </c>
      <c r="J1319">
        <f t="shared" si="20"/>
        <v>0</v>
      </c>
    </row>
    <row r="1320" spans="1:10" x14ac:dyDescent="0.25">
      <c r="A1320" t="s">
        <v>1627</v>
      </c>
      <c r="B1320" t="s">
        <v>160</v>
      </c>
      <c r="C1320" t="s">
        <v>44</v>
      </c>
      <c r="D1320" s="1">
        <v>44625</v>
      </c>
      <c r="E1320">
        <v>14</v>
      </c>
      <c r="F1320">
        <v>28.005590621128999</v>
      </c>
      <c r="G1320" s="1">
        <v>44637</v>
      </c>
      <c r="H1320" s="1">
        <v>44642</v>
      </c>
      <c r="I1320">
        <v>392.07826869580703</v>
      </c>
      <c r="J1320">
        <f t="shared" si="20"/>
        <v>5</v>
      </c>
    </row>
    <row r="1321" spans="1:10" x14ac:dyDescent="0.25">
      <c r="A1321" t="s">
        <v>1628</v>
      </c>
      <c r="B1321" t="s">
        <v>369</v>
      </c>
      <c r="C1321" t="s">
        <v>763</v>
      </c>
      <c r="D1321" s="1">
        <v>45097</v>
      </c>
      <c r="E1321">
        <v>6</v>
      </c>
      <c r="F1321">
        <v>59.231004516506502</v>
      </c>
      <c r="G1321" s="1">
        <v>45118</v>
      </c>
      <c r="H1321" s="1">
        <v>45115</v>
      </c>
      <c r="I1321">
        <v>355.38602709903898</v>
      </c>
      <c r="J1321">
        <f t="shared" si="20"/>
        <v>-3</v>
      </c>
    </row>
    <row r="1322" spans="1:10" x14ac:dyDescent="0.25">
      <c r="A1322" t="s">
        <v>1629</v>
      </c>
      <c r="B1322" t="s">
        <v>451</v>
      </c>
      <c r="C1322" t="s">
        <v>112</v>
      </c>
      <c r="D1322" s="1">
        <v>44437</v>
      </c>
      <c r="E1322">
        <v>7</v>
      </c>
      <c r="F1322">
        <v>9.0441255139341692</v>
      </c>
      <c r="G1322" s="1">
        <v>44458</v>
      </c>
      <c r="H1322" s="1">
        <v>44457</v>
      </c>
      <c r="I1322">
        <v>63.308878597539199</v>
      </c>
      <c r="J1322">
        <f t="shared" si="20"/>
        <v>-1</v>
      </c>
    </row>
    <row r="1323" spans="1:10" x14ac:dyDescent="0.25">
      <c r="A1323" t="s">
        <v>1630</v>
      </c>
      <c r="B1323" t="s">
        <v>256</v>
      </c>
      <c r="C1323" t="s">
        <v>77</v>
      </c>
      <c r="D1323" s="1">
        <v>44282</v>
      </c>
      <c r="E1323">
        <v>9</v>
      </c>
      <c r="F1323">
        <v>29.273857516530999</v>
      </c>
      <c r="G1323" s="1">
        <v>44292</v>
      </c>
      <c r="H1323" s="1">
        <v>44297</v>
      </c>
      <c r="I1323">
        <v>263.46471764877901</v>
      </c>
      <c r="J1323">
        <f t="shared" si="20"/>
        <v>5</v>
      </c>
    </row>
    <row r="1324" spans="1:10" x14ac:dyDescent="0.25">
      <c r="A1324" t="s">
        <v>1631</v>
      </c>
      <c r="B1324" t="s">
        <v>205</v>
      </c>
      <c r="C1324" t="s">
        <v>233</v>
      </c>
      <c r="D1324" s="1">
        <v>45324</v>
      </c>
      <c r="E1324">
        <v>11</v>
      </c>
      <c r="F1324">
        <v>42.258278526199099</v>
      </c>
      <c r="G1324" s="1">
        <v>45335</v>
      </c>
      <c r="H1324" s="1">
        <v>45336</v>
      </c>
      <c r="I1324">
        <v>464.84106378819001</v>
      </c>
      <c r="J1324">
        <f t="shared" si="20"/>
        <v>1</v>
      </c>
    </row>
    <row r="1325" spans="1:10" x14ac:dyDescent="0.25">
      <c r="A1325" t="s">
        <v>1632</v>
      </c>
      <c r="B1325" t="s">
        <v>73</v>
      </c>
      <c r="C1325" t="s">
        <v>571</v>
      </c>
      <c r="D1325" s="1">
        <v>44881</v>
      </c>
      <c r="E1325">
        <v>6</v>
      </c>
      <c r="F1325">
        <v>61.882863684708802</v>
      </c>
      <c r="G1325" s="1">
        <v>44897</v>
      </c>
      <c r="H1325" s="1">
        <v>44899</v>
      </c>
      <c r="I1325">
        <v>371.297182108252</v>
      </c>
      <c r="J1325">
        <f t="shared" si="20"/>
        <v>2</v>
      </c>
    </row>
    <row r="1326" spans="1:10" x14ac:dyDescent="0.25">
      <c r="A1326" t="s">
        <v>1633</v>
      </c>
      <c r="B1326" t="s">
        <v>76</v>
      </c>
      <c r="C1326" t="s">
        <v>128</v>
      </c>
      <c r="D1326" s="1">
        <v>44794</v>
      </c>
      <c r="E1326">
        <v>8</v>
      </c>
      <c r="F1326">
        <v>29.0856390294826</v>
      </c>
      <c r="G1326" s="1">
        <v>44818</v>
      </c>
      <c r="H1326" s="1">
        <v>44821</v>
      </c>
      <c r="I1326">
        <v>232.68511223586</v>
      </c>
      <c r="J1326">
        <f t="shared" si="20"/>
        <v>3</v>
      </c>
    </row>
    <row r="1327" spans="1:10" x14ac:dyDescent="0.25">
      <c r="A1327" t="s">
        <v>1634</v>
      </c>
      <c r="B1327" t="s">
        <v>203</v>
      </c>
      <c r="C1327" t="s">
        <v>587</v>
      </c>
      <c r="D1327" s="1">
        <v>45071</v>
      </c>
      <c r="E1327">
        <v>7</v>
      </c>
      <c r="F1327">
        <v>22.141679479632</v>
      </c>
      <c r="G1327" s="1">
        <v>45081</v>
      </c>
      <c r="H1327" s="1">
        <v>45084</v>
      </c>
      <c r="I1327">
        <v>154.99175635742401</v>
      </c>
      <c r="J1327">
        <f t="shared" si="20"/>
        <v>3</v>
      </c>
    </row>
    <row r="1328" spans="1:10" x14ac:dyDescent="0.25">
      <c r="A1328" t="s">
        <v>1635</v>
      </c>
      <c r="B1328" t="s">
        <v>411</v>
      </c>
      <c r="C1328" t="s">
        <v>270</v>
      </c>
      <c r="D1328" s="1">
        <v>45355</v>
      </c>
      <c r="E1328">
        <v>10</v>
      </c>
      <c r="F1328">
        <v>25.9188403217012</v>
      </c>
      <c r="G1328" s="1">
        <v>45373</v>
      </c>
      <c r="H1328" s="1">
        <v>45379</v>
      </c>
      <c r="I1328">
        <v>259.18840321701202</v>
      </c>
      <c r="J1328">
        <f t="shared" si="20"/>
        <v>6</v>
      </c>
    </row>
    <row r="1329" spans="1:10" x14ac:dyDescent="0.25">
      <c r="A1329" t="s">
        <v>1636</v>
      </c>
      <c r="B1329" t="s">
        <v>55</v>
      </c>
      <c r="C1329" t="s">
        <v>214</v>
      </c>
      <c r="D1329" s="1">
        <v>44611</v>
      </c>
      <c r="E1329">
        <v>9</v>
      </c>
      <c r="F1329">
        <v>52.983704701886701</v>
      </c>
      <c r="G1329" s="1">
        <v>44634</v>
      </c>
      <c r="H1329" s="1">
        <v>44634</v>
      </c>
      <c r="I1329">
        <v>476.85334231697999</v>
      </c>
      <c r="J1329">
        <f t="shared" si="20"/>
        <v>0</v>
      </c>
    </row>
    <row r="1330" spans="1:10" x14ac:dyDescent="0.25">
      <c r="A1330" t="s">
        <v>1637</v>
      </c>
      <c r="B1330" t="s">
        <v>124</v>
      </c>
      <c r="C1330" t="s">
        <v>473</v>
      </c>
      <c r="D1330" s="1">
        <v>44511</v>
      </c>
      <c r="E1330">
        <v>13</v>
      </c>
      <c r="F1330">
        <v>17.735034663120999</v>
      </c>
      <c r="G1330" s="1">
        <v>44533</v>
      </c>
      <c r="H1330" s="1">
        <v>44530</v>
      </c>
      <c r="I1330">
        <v>230.555450620573</v>
      </c>
      <c r="J1330">
        <f t="shared" si="20"/>
        <v>-3</v>
      </c>
    </row>
    <row r="1331" spans="1:10" x14ac:dyDescent="0.25">
      <c r="A1331" t="s">
        <v>1638</v>
      </c>
      <c r="B1331" t="s">
        <v>104</v>
      </c>
      <c r="C1331" t="s">
        <v>290</v>
      </c>
      <c r="D1331" s="1">
        <v>45220</v>
      </c>
      <c r="E1331">
        <v>11</v>
      </c>
      <c r="F1331">
        <v>67.056875893301694</v>
      </c>
      <c r="G1331" s="1">
        <v>45242</v>
      </c>
      <c r="H1331" s="1">
        <v>45241</v>
      </c>
      <c r="I1331">
        <v>737.62563482631901</v>
      </c>
      <c r="J1331">
        <f t="shared" si="20"/>
        <v>-1</v>
      </c>
    </row>
    <row r="1332" spans="1:10" x14ac:dyDescent="0.25">
      <c r="A1332" t="s">
        <v>1639</v>
      </c>
      <c r="B1332" t="s">
        <v>451</v>
      </c>
      <c r="C1332" t="s">
        <v>610</v>
      </c>
      <c r="D1332" s="1">
        <v>44916</v>
      </c>
      <c r="E1332">
        <v>14</v>
      </c>
      <c r="F1332">
        <v>56.972846042618002</v>
      </c>
      <c r="G1332" s="1">
        <v>44934</v>
      </c>
      <c r="H1332" s="1">
        <v>44931</v>
      </c>
      <c r="I1332">
        <v>797.619844596652</v>
      </c>
      <c r="J1332">
        <f t="shared" si="20"/>
        <v>-3</v>
      </c>
    </row>
    <row r="1333" spans="1:10" x14ac:dyDescent="0.25">
      <c r="A1333" t="s">
        <v>1640</v>
      </c>
      <c r="B1333" t="s">
        <v>37</v>
      </c>
      <c r="C1333" t="s">
        <v>235</v>
      </c>
      <c r="D1333" s="1">
        <v>45014</v>
      </c>
      <c r="E1333">
        <v>11</v>
      </c>
      <c r="F1333">
        <v>41.602199136204497</v>
      </c>
      <c r="G1333" s="1">
        <v>45026</v>
      </c>
      <c r="H1333" s="1">
        <v>45030</v>
      </c>
      <c r="I1333">
        <v>457.62419049825002</v>
      </c>
      <c r="J1333">
        <f t="shared" si="20"/>
        <v>4</v>
      </c>
    </row>
    <row r="1334" spans="1:10" x14ac:dyDescent="0.25">
      <c r="A1334" t="s">
        <v>1641</v>
      </c>
      <c r="B1334" t="s">
        <v>88</v>
      </c>
      <c r="C1334" t="s">
        <v>336</v>
      </c>
      <c r="D1334" s="1">
        <v>44748</v>
      </c>
      <c r="E1334">
        <v>12</v>
      </c>
      <c r="F1334">
        <v>53.7635220630644</v>
      </c>
      <c r="G1334" s="1">
        <v>44769</v>
      </c>
      <c r="H1334" s="1">
        <v>44774</v>
      </c>
      <c r="I1334">
        <v>645.16226475677297</v>
      </c>
      <c r="J1334">
        <f t="shared" si="20"/>
        <v>5</v>
      </c>
    </row>
    <row r="1335" spans="1:10" x14ac:dyDescent="0.25">
      <c r="A1335" t="s">
        <v>1642</v>
      </c>
      <c r="B1335" t="s">
        <v>127</v>
      </c>
      <c r="C1335" t="s">
        <v>165</v>
      </c>
      <c r="D1335" s="1">
        <v>44289</v>
      </c>
      <c r="E1335">
        <v>12</v>
      </c>
      <c r="F1335">
        <v>41.847632439263897</v>
      </c>
      <c r="G1335" s="1">
        <v>44301</v>
      </c>
      <c r="H1335" s="1">
        <v>44307</v>
      </c>
      <c r="I1335">
        <v>502.17158927116702</v>
      </c>
      <c r="J1335">
        <f t="shared" si="20"/>
        <v>6</v>
      </c>
    </row>
    <row r="1336" spans="1:10" x14ac:dyDescent="0.25">
      <c r="A1336" t="s">
        <v>1643</v>
      </c>
      <c r="B1336" t="s">
        <v>205</v>
      </c>
      <c r="C1336" t="s">
        <v>353</v>
      </c>
      <c r="D1336" s="1">
        <v>44575</v>
      </c>
      <c r="E1336">
        <v>10</v>
      </c>
      <c r="F1336">
        <v>41.433302706884398</v>
      </c>
      <c r="G1336" s="1">
        <v>44595</v>
      </c>
      <c r="H1336" s="1">
        <v>44598</v>
      </c>
      <c r="I1336">
        <v>414.33302706884399</v>
      </c>
      <c r="J1336">
        <f t="shared" si="20"/>
        <v>3</v>
      </c>
    </row>
    <row r="1337" spans="1:10" x14ac:dyDescent="0.25">
      <c r="A1337" t="s">
        <v>1644</v>
      </c>
      <c r="B1337" t="s">
        <v>295</v>
      </c>
      <c r="C1337" t="s">
        <v>53</v>
      </c>
      <c r="D1337" s="1">
        <v>44538</v>
      </c>
      <c r="E1337">
        <v>11</v>
      </c>
      <c r="F1337">
        <v>13.0234103289455</v>
      </c>
      <c r="G1337" s="1">
        <v>44557</v>
      </c>
      <c r="H1337" s="1">
        <v>44558</v>
      </c>
      <c r="I1337">
        <v>143.2575136184</v>
      </c>
      <c r="J1337">
        <f t="shared" si="20"/>
        <v>1</v>
      </c>
    </row>
    <row r="1338" spans="1:10" x14ac:dyDescent="0.25">
      <c r="A1338" t="s">
        <v>1645</v>
      </c>
      <c r="B1338" t="s">
        <v>64</v>
      </c>
      <c r="C1338" t="s">
        <v>62</v>
      </c>
      <c r="D1338" s="1">
        <v>44371</v>
      </c>
      <c r="E1338">
        <v>14</v>
      </c>
      <c r="F1338">
        <v>36.3124492687922</v>
      </c>
      <c r="G1338" s="1">
        <v>44394</v>
      </c>
      <c r="H1338" s="1">
        <v>44400</v>
      </c>
      <c r="I1338">
        <v>508.37428976309099</v>
      </c>
      <c r="J1338">
        <f t="shared" si="20"/>
        <v>6</v>
      </c>
    </row>
    <row r="1339" spans="1:10" x14ac:dyDescent="0.25">
      <c r="A1339" t="s">
        <v>1646</v>
      </c>
      <c r="B1339" t="s">
        <v>237</v>
      </c>
      <c r="C1339" t="s">
        <v>251</v>
      </c>
      <c r="D1339" s="1">
        <v>44686</v>
      </c>
      <c r="E1339">
        <v>12</v>
      </c>
      <c r="F1339">
        <v>10.918689269878399</v>
      </c>
      <c r="G1339" s="1">
        <v>44697</v>
      </c>
      <c r="H1339" s="1">
        <v>44699</v>
      </c>
      <c r="I1339">
        <v>131.02427123854099</v>
      </c>
      <c r="J1339">
        <f t="shared" si="20"/>
        <v>2</v>
      </c>
    </row>
    <row r="1340" spans="1:10" x14ac:dyDescent="0.25">
      <c r="A1340" t="s">
        <v>1647</v>
      </c>
      <c r="B1340" t="s">
        <v>194</v>
      </c>
      <c r="C1340" t="s">
        <v>765</v>
      </c>
      <c r="D1340" s="1">
        <v>45382</v>
      </c>
      <c r="E1340">
        <v>12</v>
      </c>
      <c r="F1340">
        <v>5.0106996675569704</v>
      </c>
      <c r="G1340" s="1">
        <v>45403</v>
      </c>
      <c r="H1340" s="1">
        <v>45406</v>
      </c>
      <c r="I1340">
        <v>60.128396010683701</v>
      </c>
      <c r="J1340">
        <f t="shared" si="20"/>
        <v>3</v>
      </c>
    </row>
    <row r="1341" spans="1:10" x14ac:dyDescent="0.25">
      <c r="A1341" t="s">
        <v>1648</v>
      </c>
      <c r="B1341" t="s">
        <v>91</v>
      </c>
      <c r="C1341" t="s">
        <v>190</v>
      </c>
      <c r="D1341" s="1">
        <v>44710</v>
      </c>
      <c r="E1341">
        <v>8</v>
      </c>
      <c r="F1341">
        <v>47.367683256906098</v>
      </c>
      <c r="G1341" s="1">
        <v>44725</v>
      </c>
      <c r="H1341" s="1">
        <v>44723</v>
      </c>
      <c r="I1341">
        <v>378.94146605524901</v>
      </c>
      <c r="J1341">
        <f t="shared" si="20"/>
        <v>-2</v>
      </c>
    </row>
    <row r="1342" spans="1:10" x14ac:dyDescent="0.25">
      <c r="A1342" t="s">
        <v>1649</v>
      </c>
      <c r="B1342" t="s">
        <v>411</v>
      </c>
      <c r="C1342" t="s">
        <v>195</v>
      </c>
      <c r="D1342" s="1">
        <v>44814</v>
      </c>
      <c r="E1342">
        <v>9</v>
      </c>
      <c r="F1342">
        <v>23.545395141698702</v>
      </c>
      <c r="G1342" s="1">
        <v>44828</v>
      </c>
      <c r="H1342" s="1">
        <v>44830</v>
      </c>
      <c r="I1342">
        <v>211.90855627528899</v>
      </c>
      <c r="J1342">
        <f t="shared" si="20"/>
        <v>2</v>
      </c>
    </row>
    <row r="1343" spans="1:10" x14ac:dyDescent="0.25">
      <c r="A1343" t="s">
        <v>1650</v>
      </c>
      <c r="B1343" t="s">
        <v>326</v>
      </c>
      <c r="C1343" t="s">
        <v>47</v>
      </c>
      <c r="D1343" s="1">
        <v>45180</v>
      </c>
      <c r="E1343">
        <v>14</v>
      </c>
      <c r="F1343">
        <v>14.704801462433601</v>
      </c>
      <c r="G1343" s="1">
        <v>45196</v>
      </c>
      <c r="H1343" s="1">
        <v>45194</v>
      </c>
      <c r="I1343">
        <v>205.86722047407</v>
      </c>
      <c r="J1343">
        <f t="shared" si="20"/>
        <v>-2</v>
      </c>
    </row>
    <row r="1344" spans="1:10" x14ac:dyDescent="0.25">
      <c r="A1344" t="s">
        <v>1651</v>
      </c>
      <c r="B1344" t="s">
        <v>321</v>
      </c>
      <c r="C1344" t="s">
        <v>177</v>
      </c>
      <c r="D1344" s="1">
        <v>45354</v>
      </c>
      <c r="E1344">
        <v>8</v>
      </c>
      <c r="F1344">
        <v>42.430359349764203</v>
      </c>
      <c r="G1344" s="1">
        <v>45373</v>
      </c>
      <c r="H1344" s="1">
        <v>45370</v>
      </c>
      <c r="I1344">
        <v>339.44287479811402</v>
      </c>
      <c r="J1344">
        <f t="shared" si="20"/>
        <v>-3</v>
      </c>
    </row>
    <row r="1345" spans="1:10" x14ac:dyDescent="0.25">
      <c r="A1345" t="s">
        <v>1652</v>
      </c>
      <c r="B1345" t="s">
        <v>13</v>
      </c>
      <c r="C1345" t="s">
        <v>112</v>
      </c>
      <c r="D1345" s="1">
        <v>45073</v>
      </c>
      <c r="E1345">
        <v>12</v>
      </c>
      <c r="F1345">
        <v>27.319701565110702</v>
      </c>
      <c r="G1345" s="1">
        <v>45090</v>
      </c>
      <c r="H1345" s="1">
        <v>45087</v>
      </c>
      <c r="I1345">
        <v>327.83641878132897</v>
      </c>
      <c r="J1345">
        <f t="shared" si="20"/>
        <v>-3</v>
      </c>
    </row>
    <row r="1346" spans="1:10" x14ac:dyDescent="0.25">
      <c r="A1346" t="s">
        <v>1653</v>
      </c>
      <c r="B1346" t="s">
        <v>227</v>
      </c>
      <c r="C1346" t="s">
        <v>290</v>
      </c>
      <c r="D1346" s="1">
        <v>44795</v>
      </c>
      <c r="E1346">
        <v>7</v>
      </c>
      <c r="F1346">
        <v>74.215412328520301</v>
      </c>
      <c r="G1346" s="1">
        <v>44816</v>
      </c>
      <c r="H1346" s="1">
        <v>44816</v>
      </c>
      <c r="I1346">
        <v>519.507886299642</v>
      </c>
      <c r="J1346">
        <f t="shared" si="20"/>
        <v>0</v>
      </c>
    </row>
    <row r="1347" spans="1:10" x14ac:dyDescent="0.25">
      <c r="A1347" t="s">
        <v>1654</v>
      </c>
      <c r="B1347" t="s">
        <v>324</v>
      </c>
      <c r="C1347" t="s">
        <v>1259</v>
      </c>
      <c r="D1347" s="1">
        <v>45299</v>
      </c>
      <c r="E1347">
        <v>9</v>
      </c>
      <c r="F1347">
        <v>62.406366265901603</v>
      </c>
      <c r="G1347" s="1">
        <v>45312</v>
      </c>
      <c r="H1347" s="1">
        <v>45317</v>
      </c>
      <c r="I1347">
        <v>561.65729639311405</v>
      </c>
      <c r="J1347">
        <f t="shared" ref="J1347:J1410" si="21">H1347-G1347</f>
        <v>5</v>
      </c>
    </row>
    <row r="1348" spans="1:10" x14ac:dyDescent="0.25">
      <c r="A1348" t="s">
        <v>1655</v>
      </c>
      <c r="B1348" t="s">
        <v>399</v>
      </c>
      <c r="C1348" t="s">
        <v>195</v>
      </c>
      <c r="D1348" s="1">
        <v>44931</v>
      </c>
      <c r="E1348">
        <v>12</v>
      </c>
      <c r="F1348">
        <v>61.7251170218669</v>
      </c>
      <c r="G1348" s="1">
        <v>44952</v>
      </c>
      <c r="H1348" s="1">
        <v>44952</v>
      </c>
      <c r="I1348">
        <v>740.701404262403</v>
      </c>
      <c r="J1348">
        <f t="shared" si="21"/>
        <v>0</v>
      </c>
    </row>
    <row r="1349" spans="1:10" x14ac:dyDescent="0.25">
      <c r="A1349" t="s">
        <v>1656</v>
      </c>
      <c r="B1349" t="s">
        <v>751</v>
      </c>
      <c r="C1349" t="s">
        <v>26</v>
      </c>
      <c r="D1349" s="1">
        <v>44209</v>
      </c>
      <c r="E1349">
        <v>8</v>
      </c>
      <c r="F1349">
        <v>11.3908389548195</v>
      </c>
      <c r="G1349" s="1">
        <v>44226</v>
      </c>
      <c r="H1349" s="1">
        <v>44225</v>
      </c>
      <c r="I1349">
        <v>91.126711638556003</v>
      </c>
      <c r="J1349">
        <f t="shared" si="21"/>
        <v>-1</v>
      </c>
    </row>
    <row r="1350" spans="1:10" x14ac:dyDescent="0.25">
      <c r="A1350" t="s">
        <v>1657</v>
      </c>
      <c r="B1350" t="s">
        <v>427</v>
      </c>
      <c r="C1350" t="s">
        <v>38</v>
      </c>
      <c r="D1350" s="1">
        <v>44939</v>
      </c>
      <c r="E1350">
        <v>13</v>
      </c>
      <c r="F1350">
        <v>63.413216128417901</v>
      </c>
      <c r="G1350" s="1">
        <v>44950</v>
      </c>
      <c r="H1350" s="1">
        <v>44956</v>
      </c>
      <c r="I1350">
        <v>824.37180966943299</v>
      </c>
      <c r="J1350">
        <f t="shared" si="21"/>
        <v>6</v>
      </c>
    </row>
    <row r="1351" spans="1:10" x14ac:dyDescent="0.25">
      <c r="A1351" t="s">
        <v>1658</v>
      </c>
      <c r="B1351" t="s">
        <v>242</v>
      </c>
      <c r="C1351" t="s">
        <v>228</v>
      </c>
      <c r="D1351" s="1">
        <v>45253</v>
      </c>
      <c r="E1351">
        <v>14</v>
      </c>
      <c r="F1351">
        <v>30.471357458742801</v>
      </c>
      <c r="G1351" s="1">
        <v>45272</v>
      </c>
      <c r="H1351" s="1">
        <v>45277</v>
      </c>
      <c r="I1351">
        <v>426.59900442239899</v>
      </c>
      <c r="J1351">
        <f t="shared" si="21"/>
        <v>5</v>
      </c>
    </row>
    <row r="1352" spans="1:10" x14ac:dyDescent="0.25">
      <c r="A1352" t="s">
        <v>1659</v>
      </c>
      <c r="B1352" t="s">
        <v>73</v>
      </c>
      <c r="C1352" t="s">
        <v>462</v>
      </c>
      <c r="D1352" s="1">
        <v>44904</v>
      </c>
      <c r="E1352">
        <v>11</v>
      </c>
      <c r="F1352">
        <v>79.447128537975004</v>
      </c>
      <c r="G1352" s="1">
        <v>44922</v>
      </c>
      <c r="H1352" s="1">
        <v>44927</v>
      </c>
      <c r="I1352">
        <v>873.91841391772505</v>
      </c>
      <c r="J1352">
        <f t="shared" si="21"/>
        <v>5</v>
      </c>
    </row>
    <row r="1353" spans="1:10" x14ac:dyDescent="0.25">
      <c r="A1353" t="s">
        <v>1660</v>
      </c>
      <c r="B1353" t="s">
        <v>451</v>
      </c>
      <c r="C1353" t="s">
        <v>23</v>
      </c>
      <c r="D1353" s="1">
        <v>44797</v>
      </c>
      <c r="E1353">
        <v>7</v>
      </c>
      <c r="F1353">
        <v>41.338164521100403</v>
      </c>
      <c r="G1353" s="1">
        <v>44819</v>
      </c>
      <c r="H1353" s="1">
        <v>44819</v>
      </c>
      <c r="I1353">
        <v>289.367151647703</v>
      </c>
      <c r="J1353">
        <f t="shared" si="21"/>
        <v>0</v>
      </c>
    </row>
    <row r="1354" spans="1:10" x14ac:dyDescent="0.25">
      <c r="A1354" t="s">
        <v>1661</v>
      </c>
      <c r="B1354" t="s">
        <v>475</v>
      </c>
      <c r="C1354" t="s">
        <v>380</v>
      </c>
      <c r="D1354" s="1">
        <v>44692</v>
      </c>
      <c r="E1354">
        <v>12</v>
      </c>
      <c r="F1354">
        <v>3.2109819305038401</v>
      </c>
      <c r="G1354" s="1">
        <v>44711</v>
      </c>
      <c r="H1354" s="1">
        <v>44710</v>
      </c>
      <c r="I1354">
        <v>38.531783166046097</v>
      </c>
      <c r="J1354">
        <f t="shared" si="21"/>
        <v>-1</v>
      </c>
    </row>
    <row r="1355" spans="1:10" x14ac:dyDescent="0.25">
      <c r="A1355" t="s">
        <v>1662</v>
      </c>
      <c r="B1355" t="s">
        <v>411</v>
      </c>
      <c r="C1355" t="s">
        <v>117</v>
      </c>
      <c r="D1355" s="1">
        <v>44623</v>
      </c>
      <c r="E1355">
        <v>16</v>
      </c>
      <c r="F1355">
        <v>75.0830136377256</v>
      </c>
      <c r="G1355" s="1">
        <v>44635</v>
      </c>
      <c r="H1355" s="1">
        <v>44639</v>
      </c>
      <c r="I1355">
        <v>1201.32821820361</v>
      </c>
      <c r="J1355">
        <f t="shared" si="21"/>
        <v>4</v>
      </c>
    </row>
    <row r="1356" spans="1:10" x14ac:dyDescent="0.25">
      <c r="A1356" t="s">
        <v>1663</v>
      </c>
      <c r="B1356" t="s">
        <v>49</v>
      </c>
      <c r="C1356" t="s">
        <v>691</v>
      </c>
      <c r="D1356" s="1">
        <v>44773</v>
      </c>
      <c r="E1356">
        <v>20</v>
      </c>
      <c r="F1356">
        <v>40.728325654877899</v>
      </c>
      <c r="G1356" s="1">
        <v>44796</v>
      </c>
      <c r="H1356" s="1">
        <v>44793</v>
      </c>
      <c r="I1356">
        <v>814.56651309755898</v>
      </c>
      <c r="J1356">
        <f t="shared" si="21"/>
        <v>-3</v>
      </c>
    </row>
    <row r="1357" spans="1:10" x14ac:dyDescent="0.25">
      <c r="A1357" t="s">
        <v>1664</v>
      </c>
      <c r="B1357" t="s">
        <v>247</v>
      </c>
      <c r="C1357" t="s">
        <v>383</v>
      </c>
      <c r="D1357" s="1">
        <v>44779</v>
      </c>
      <c r="E1357">
        <v>10</v>
      </c>
      <c r="F1357">
        <v>46.490504428629997</v>
      </c>
      <c r="G1357" s="1">
        <v>44792</v>
      </c>
      <c r="H1357" s="1">
        <v>44797</v>
      </c>
      <c r="I1357">
        <v>464.90504428629998</v>
      </c>
      <c r="J1357">
        <f t="shared" si="21"/>
        <v>5</v>
      </c>
    </row>
    <row r="1358" spans="1:10" x14ac:dyDescent="0.25">
      <c r="A1358" t="s">
        <v>1665</v>
      </c>
      <c r="B1358" t="s">
        <v>394</v>
      </c>
      <c r="C1358" t="s">
        <v>413</v>
      </c>
      <c r="D1358" s="1">
        <v>45324</v>
      </c>
      <c r="E1358">
        <v>10</v>
      </c>
      <c r="F1358">
        <v>7.5946994263204699</v>
      </c>
      <c r="G1358" s="1">
        <v>45334</v>
      </c>
      <c r="H1358" s="1">
        <v>45337</v>
      </c>
      <c r="I1358">
        <v>75.946994263204701</v>
      </c>
      <c r="J1358">
        <f t="shared" si="21"/>
        <v>3</v>
      </c>
    </row>
    <row r="1359" spans="1:10" x14ac:dyDescent="0.25">
      <c r="A1359" t="s">
        <v>1666</v>
      </c>
      <c r="B1359" t="s">
        <v>31</v>
      </c>
      <c r="C1359" t="s">
        <v>68</v>
      </c>
      <c r="D1359" s="1">
        <v>44744</v>
      </c>
      <c r="E1359">
        <v>12</v>
      </c>
      <c r="F1359">
        <v>39.912417614107198</v>
      </c>
      <c r="G1359" s="1">
        <v>44757</v>
      </c>
      <c r="H1359" s="1">
        <v>44755</v>
      </c>
      <c r="I1359">
        <v>478.94901136928598</v>
      </c>
      <c r="J1359">
        <f t="shared" si="21"/>
        <v>-2</v>
      </c>
    </row>
    <row r="1360" spans="1:10" x14ac:dyDescent="0.25">
      <c r="A1360" t="s">
        <v>1667</v>
      </c>
      <c r="B1360" t="s">
        <v>82</v>
      </c>
      <c r="C1360" t="s">
        <v>86</v>
      </c>
      <c r="D1360" s="1">
        <v>45235</v>
      </c>
      <c r="E1360">
        <v>11</v>
      </c>
      <c r="F1360">
        <v>31.657352984551199</v>
      </c>
      <c r="G1360" s="1">
        <v>45250</v>
      </c>
      <c r="H1360" s="1">
        <v>45253</v>
      </c>
      <c r="I1360">
        <v>348.23088283006399</v>
      </c>
      <c r="J1360">
        <f t="shared" si="21"/>
        <v>3</v>
      </c>
    </row>
    <row r="1361" spans="1:10" x14ac:dyDescent="0.25">
      <c r="A1361" t="s">
        <v>1668</v>
      </c>
      <c r="B1361" t="s">
        <v>28</v>
      </c>
      <c r="C1361" t="s">
        <v>224</v>
      </c>
      <c r="D1361" s="1">
        <v>44892</v>
      </c>
      <c r="E1361">
        <v>13</v>
      </c>
      <c r="F1361">
        <v>72.512917065646505</v>
      </c>
      <c r="G1361" s="1">
        <v>44902</v>
      </c>
      <c r="H1361" s="1">
        <v>44905</v>
      </c>
      <c r="I1361">
        <v>942.66792185340501</v>
      </c>
      <c r="J1361">
        <f t="shared" si="21"/>
        <v>3</v>
      </c>
    </row>
    <row r="1362" spans="1:10" x14ac:dyDescent="0.25">
      <c r="A1362" t="s">
        <v>1669</v>
      </c>
      <c r="B1362" t="s">
        <v>379</v>
      </c>
      <c r="C1362" t="s">
        <v>346</v>
      </c>
      <c r="D1362" s="1">
        <v>44544</v>
      </c>
      <c r="E1362">
        <v>10</v>
      </c>
      <c r="F1362">
        <v>70.225962227351005</v>
      </c>
      <c r="G1362" s="1">
        <v>44560</v>
      </c>
      <c r="H1362" s="1">
        <v>44562</v>
      </c>
      <c r="I1362">
        <v>702.25962227350999</v>
      </c>
      <c r="J1362">
        <f t="shared" si="21"/>
        <v>2</v>
      </c>
    </row>
    <row r="1363" spans="1:10" x14ac:dyDescent="0.25">
      <c r="A1363" t="s">
        <v>1670</v>
      </c>
      <c r="B1363" t="s">
        <v>121</v>
      </c>
      <c r="C1363" t="s">
        <v>396</v>
      </c>
      <c r="D1363" s="1">
        <v>44302</v>
      </c>
      <c r="E1363">
        <v>12</v>
      </c>
      <c r="F1363">
        <v>37.283731481274003</v>
      </c>
      <c r="G1363" s="1">
        <v>44326</v>
      </c>
      <c r="H1363" s="1">
        <v>44325</v>
      </c>
      <c r="I1363">
        <v>447.40477777528798</v>
      </c>
      <c r="J1363">
        <f t="shared" si="21"/>
        <v>-1</v>
      </c>
    </row>
    <row r="1364" spans="1:10" x14ac:dyDescent="0.25">
      <c r="A1364" t="s">
        <v>1671</v>
      </c>
      <c r="B1364" t="s">
        <v>686</v>
      </c>
      <c r="C1364" t="s">
        <v>701</v>
      </c>
      <c r="D1364" s="1">
        <v>45328</v>
      </c>
      <c r="E1364">
        <v>10</v>
      </c>
      <c r="F1364">
        <v>63.525971159392697</v>
      </c>
      <c r="G1364" s="1">
        <v>45346</v>
      </c>
      <c r="H1364" s="1">
        <v>45345</v>
      </c>
      <c r="I1364">
        <v>635.25971159392702</v>
      </c>
      <c r="J1364">
        <f t="shared" si="21"/>
        <v>-1</v>
      </c>
    </row>
    <row r="1365" spans="1:10" x14ac:dyDescent="0.25">
      <c r="A1365" t="s">
        <v>1672</v>
      </c>
      <c r="B1365" t="s">
        <v>34</v>
      </c>
      <c r="C1365" t="s">
        <v>432</v>
      </c>
      <c r="D1365" s="1">
        <v>44567</v>
      </c>
      <c r="E1365">
        <v>11</v>
      </c>
      <c r="F1365">
        <v>37.568346471567601</v>
      </c>
      <c r="G1365" s="1">
        <v>44582</v>
      </c>
      <c r="H1365" s="1">
        <v>44582</v>
      </c>
      <c r="I1365">
        <v>413.25181118724402</v>
      </c>
      <c r="J1365">
        <f t="shared" si="21"/>
        <v>0</v>
      </c>
    </row>
    <row r="1366" spans="1:10" x14ac:dyDescent="0.25">
      <c r="A1366" t="s">
        <v>1673</v>
      </c>
      <c r="B1366" t="s">
        <v>119</v>
      </c>
      <c r="C1366" t="s">
        <v>818</v>
      </c>
      <c r="D1366" s="1">
        <v>44898</v>
      </c>
      <c r="E1366">
        <v>15</v>
      </c>
      <c r="F1366">
        <v>74.288360605538401</v>
      </c>
      <c r="G1366" s="1">
        <v>44922</v>
      </c>
      <c r="H1366" s="1">
        <v>44920</v>
      </c>
      <c r="I1366">
        <v>1114.3254090830701</v>
      </c>
      <c r="J1366">
        <f t="shared" si="21"/>
        <v>-2</v>
      </c>
    </row>
    <row r="1367" spans="1:10" x14ac:dyDescent="0.25">
      <c r="A1367" t="s">
        <v>1674</v>
      </c>
      <c r="B1367" t="s">
        <v>58</v>
      </c>
      <c r="C1367" t="s">
        <v>117</v>
      </c>
      <c r="D1367" s="1">
        <v>44708</v>
      </c>
      <c r="E1367">
        <v>8</v>
      </c>
      <c r="F1367">
        <v>54.647194381151898</v>
      </c>
      <c r="G1367" s="1">
        <v>44718</v>
      </c>
      <c r="H1367" s="1">
        <v>44716</v>
      </c>
      <c r="I1367">
        <v>437.17755504921502</v>
      </c>
      <c r="J1367">
        <f t="shared" si="21"/>
        <v>-2</v>
      </c>
    </row>
    <row r="1368" spans="1:10" x14ac:dyDescent="0.25">
      <c r="A1368" t="s">
        <v>1675</v>
      </c>
      <c r="B1368" t="s">
        <v>472</v>
      </c>
      <c r="C1368" t="s">
        <v>144</v>
      </c>
      <c r="D1368" s="1">
        <v>45142</v>
      </c>
      <c r="E1368">
        <v>11</v>
      </c>
      <c r="F1368">
        <v>55.786705333379899</v>
      </c>
      <c r="G1368" s="1">
        <v>45152</v>
      </c>
      <c r="H1368" s="1">
        <v>45151</v>
      </c>
      <c r="I1368">
        <v>613.65375866717898</v>
      </c>
      <c r="J1368">
        <f t="shared" si="21"/>
        <v>-1</v>
      </c>
    </row>
    <row r="1369" spans="1:10" x14ac:dyDescent="0.25">
      <c r="A1369" t="s">
        <v>1676</v>
      </c>
      <c r="B1369" t="s">
        <v>16</v>
      </c>
      <c r="C1369" t="s">
        <v>71</v>
      </c>
      <c r="D1369" s="1">
        <v>44856</v>
      </c>
      <c r="E1369">
        <v>15</v>
      </c>
      <c r="F1369">
        <v>58.167978174453303</v>
      </c>
      <c r="G1369" s="1">
        <v>44869</v>
      </c>
      <c r="H1369" s="1">
        <v>44875</v>
      </c>
      <c r="I1369">
        <v>872.51967261679999</v>
      </c>
      <c r="J1369">
        <f t="shared" si="21"/>
        <v>6</v>
      </c>
    </row>
    <row r="1370" spans="1:10" x14ac:dyDescent="0.25">
      <c r="A1370" t="s">
        <v>1677</v>
      </c>
      <c r="B1370" t="s">
        <v>247</v>
      </c>
      <c r="C1370" t="s">
        <v>1051</v>
      </c>
      <c r="D1370" s="1">
        <v>45289</v>
      </c>
      <c r="E1370">
        <v>8</v>
      </c>
      <c r="F1370">
        <v>46.410083988097298</v>
      </c>
      <c r="G1370" s="1">
        <v>45313</v>
      </c>
      <c r="H1370" s="1">
        <v>45314</v>
      </c>
      <c r="I1370">
        <v>371.28067190477901</v>
      </c>
      <c r="J1370">
        <f t="shared" si="21"/>
        <v>1</v>
      </c>
    </row>
    <row r="1371" spans="1:10" x14ac:dyDescent="0.25">
      <c r="A1371" t="s">
        <v>1678</v>
      </c>
      <c r="B1371" t="s">
        <v>25</v>
      </c>
      <c r="C1371" t="s">
        <v>521</v>
      </c>
      <c r="D1371" s="1">
        <v>44635</v>
      </c>
      <c r="E1371">
        <v>13</v>
      </c>
      <c r="F1371">
        <v>39.074459051402002</v>
      </c>
      <c r="G1371" s="1">
        <v>44645</v>
      </c>
      <c r="H1371" s="1">
        <v>44645</v>
      </c>
      <c r="I1371">
        <v>507.96796766822598</v>
      </c>
      <c r="J1371">
        <f t="shared" si="21"/>
        <v>0</v>
      </c>
    </row>
    <row r="1372" spans="1:10" x14ac:dyDescent="0.25">
      <c r="A1372" t="s">
        <v>1679</v>
      </c>
      <c r="B1372" t="s">
        <v>256</v>
      </c>
      <c r="C1372" t="s">
        <v>62</v>
      </c>
      <c r="D1372" s="1">
        <v>44645</v>
      </c>
      <c r="E1372">
        <v>8</v>
      </c>
      <c r="F1372">
        <v>16.694601665531501</v>
      </c>
      <c r="G1372" s="1">
        <v>44663</v>
      </c>
      <c r="H1372" s="1">
        <v>44665</v>
      </c>
      <c r="I1372">
        <v>133.556813324252</v>
      </c>
      <c r="J1372">
        <f t="shared" si="21"/>
        <v>2</v>
      </c>
    </row>
    <row r="1373" spans="1:10" x14ac:dyDescent="0.25">
      <c r="A1373" t="s">
        <v>1680</v>
      </c>
      <c r="B1373" t="s">
        <v>46</v>
      </c>
      <c r="C1373" t="s">
        <v>74</v>
      </c>
      <c r="D1373" s="1">
        <v>45080</v>
      </c>
      <c r="E1373">
        <v>8</v>
      </c>
      <c r="F1373">
        <v>62.759888928552897</v>
      </c>
      <c r="G1373" s="1">
        <v>45090</v>
      </c>
      <c r="H1373" s="1">
        <v>45087</v>
      </c>
      <c r="I1373">
        <v>502.079111428423</v>
      </c>
      <c r="J1373">
        <f t="shared" si="21"/>
        <v>-3</v>
      </c>
    </row>
    <row r="1374" spans="1:10" x14ac:dyDescent="0.25">
      <c r="A1374" t="s">
        <v>1681</v>
      </c>
      <c r="B1374" t="s">
        <v>58</v>
      </c>
      <c r="C1374" t="s">
        <v>718</v>
      </c>
      <c r="D1374" s="1">
        <v>44593</v>
      </c>
      <c r="E1374">
        <v>12</v>
      </c>
      <c r="F1374">
        <v>27.6598588464411</v>
      </c>
      <c r="G1374" s="1">
        <v>44611</v>
      </c>
      <c r="H1374" s="1">
        <v>44613</v>
      </c>
      <c r="I1374">
        <v>331.91830615729401</v>
      </c>
      <c r="J1374">
        <f t="shared" si="21"/>
        <v>2</v>
      </c>
    </row>
    <row r="1375" spans="1:10" x14ac:dyDescent="0.25">
      <c r="A1375" t="s">
        <v>1682</v>
      </c>
      <c r="B1375" t="s">
        <v>109</v>
      </c>
      <c r="C1375" t="s">
        <v>102</v>
      </c>
      <c r="D1375" s="1">
        <v>44810</v>
      </c>
      <c r="E1375">
        <v>17</v>
      </c>
      <c r="F1375">
        <v>79.405589274618293</v>
      </c>
      <c r="G1375" s="1">
        <v>44831</v>
      </c>
      <c r="H1375" s="1">
        <v>44832</v>
      </c>
      <c r="I1375">
        <v>1349.89501766851</v>
      </c>
      <c r="J1375">
        <f t="shared" si="21"/>
        <v>1</v>
      </c>
    </row>
    <row r="1376" spans="1:10" x14ac:dyDescent="0.25">
      <c r="A1376" t="s">
        <v>1683</v>
      </c>
      <c r="B1376" t="s">
        <v>70</v>
      </c>
      <c r="C1376" t="s">
        <v>312</v>
      </c>
      <c r="D1376" s="1">
        <v>44755</v>
      </c>
      <c r="E1376">
        <v>5</v>
      </c>
      <c r="F1376">
        <v>43.345534294064898</v>
      </c>
      <c r="G1376" s="1">
        <v>44766</v>
      </c>
      <c r="H1376" s="1">
        <v>44766</v>
      </c>
      <c r="I1376">
        <v>216.727671470324</v>
      </c>
      <c r="J1376">
        <f t="shared" si="21"/>
        <v>0</v>
      </c>
    </row>
    <row r="1377" spans="1:10" x14ac:dyDescent="0.25">
      <c r="A1377" t="s">
        <v>1684</v>
      </c>
      <c r="B1377" t="s">
        <v>442</v>
      </c>
      <c r="C1377" t="s">
        <v>44</v>
      </c>
      <c r="D1377" s="1">
        <v>45156</v>
      </c>
      <c r="E1377">
        <v>8</v>
      </c>
      <c r="F1377">
        <v>3.9130017716348</v>
      </c>
      <c r="G1377" s="1">
        <v>45169</v>
      </c>
      <c r="H1377" s="1">
        <v>45174</v>
      </c>
      <c r="I1377">
        <v>31.3040141730784</v>
      </c>
      <c r="J1377">
        <f t="shared" si="21"/>
        <v>5</v>
      </c>
    </row>
    <row r="1378" spans="1:10" x14ac:dyDescent="0.25">
      <c r="A1378" t="s">
        <v>1685</v>
      </c>
      <c r="B1378" t="s">
        <v>58</v>
      </c>
      <c r="C1378" t="s">
        <v>495</v>
      </c>
      <c r="D1378" s="1">
        <v>44788</v>
      </c>
      <c r="E1378">
        <v>15</v>
      </c>
      <c r="F1378">
        <v>34.0456365655388</v>
      </c>
      <c r="G1378" s="1">
        <v>44800</v>
      </c>
      <c r="H1378" s="1">
        <v>44802</v>
      </c>
      <c r="I1378">
        <v>510.68454848308198</v>
      </c>
      <c r="J1378">
        <f t="shared" si="21"/>
        <v>2</v>
      </c>
    </row>
    <row r="1379" spans="1:10" x14ac:dyDescent="0.25">
      <c r="A1379" t="s">
        <v>1686</v>
      </c>
      <c r="B1379" t="s">
        <v>472</v>
      </c>
      <c r="C1379" t="s">
        <v>283</v>
      </c>
      <c r="D1379" s="1">
        <v>44733</v>
      </c>
      <c r="E1379">
        <v>12</v>
      </c>
      <c r="F1379">
        <v>39.527993464775498</v>
      </c>
      <c r="G1379" s="1">
        <v>44749</v>
      </c>
      <c r="H1379" s="1">
        <v>44753</v>
      </c>
      <c r="I1379">
        <v>474.33592157730601</v>
      </c>
      <c r="J1379">
        <f t="shared" si="21"/>
        <v>4</v>
      </c>
    </row>
    <row r="1380" spans="1:10" x14ac:dyDescent="0.25">
      <c r="A1380" t="s">
        <v>1687</v>
      </c>
      <c r="B1380" t="s">
        <v>85</v>
      </c>
      <c r="C1380" t="s">
        <v>430</v>
      </c>
      <c r="D1380" s="1">
        <v>45043</v>
      </c>
      <c r="E1380">
        <v>12</v>
      </c>
      <c r="F1380">
        <v>41.320361187393601</v>
      </c>
      <c r="G1380" s="1">
        <v>45053</v>
      </c>
      <c r="H1380" s="1">
        <v>45056</v>
      </c>
      <c r="I1380">
        <v>495.84433424872299</v>
      </c>
      <c r="J1380">
        <f t="shared" si="21"/>
        <v>3</v>
      </c>
    </row>
    <row r="1381" spans="1:10" x14ac:dyDescent="0.25">
      <c r="A1381" t="s">
        <v>1688</v>
      </c>
      <c r="B1381" t="s">
        <v>16</v>
      </c>
      <c r="C1381" t="s">
        <v>80</v>
      </c>
      <c r="D1381" s="1">
        <v>45275</v>
      </c>
      <c r="E1381">
        <v>5</v>
      </c>
      <c r="F1381">
        <v>77.231261828942294</v>
      </c>
      <c r="G1381" s="1">
        <v>45287</v>
      </c>
      <c r="H1381" s="1">
        <v>45286</v>
      </c>
      <c r="I1381">
        <v>386.15630914471097</v>
      </c>
      <c r="J1381">
        <f t="shared" si="21"/>
        <v>-1</v>
      </c>
    </row>
    <row r="1382" spans="1:10" x14ac:dyDescent="0.25">
      <c r="A1382" t="s">
        <v>1689</v>
      </c>
      <c r="B1382" t="s">
        <v>475</v>
      </c>
      <c r="C1382" t="s">
        <v>722</v>
      </c>
      <c r="D1382" s="1">
        <v>44867</v>
      </c>
      <c r="E1382">
        <v>13</v>
      </c>
      <c r="F1382">
        <v>54.788530678509801</v>
      </c>
      <c r="G1382" s="1">
        <v>44877</v>
      </c>
      <c r="H1382" s="1">
        <v>44879</v>
      </c>
      <c r="I1382">
        <v>712.25089882062696</v>
      </c>
      <c r="J1382">
        <f t="shared" si="21"/>
        <v>2</v>
      </c>
    </row>
    <row r="1383" spans="1:10" x14ac:dyDescent="0.25">
      <c r="A1383" t="s">
        <v>1690</v>
      </c>
      <c r="B1383" t="s">
        <v>442</v>
      </c>
      <c r="C1383" t="s">
        <v>693</v>
      </c>
      <c r="D1383" s="1">
        <v>45053</v>
      </c>
      <c r="E1383">
        <v>12</v>
      </c>
      <c r="F1383">
        <v>59.951207101458401</v>
      </c>
      <c r="G1383" s="1">
        <v>45069</v>
      </c>
      <c r="H1383" s="1">
        <v>45068</v>
      </c>
      <c r="I1383">
        <v>719.41448521750101</v>
      </c>
      <c r="J1383">
        <f t="shared" si="21"/>
        <v>-1</v>
      </c>
    </row>
    <row r="1384" spans="1:10" x14ac:dyDescent="0.25">
      <c r="A1384" t="s">
        <v>1691</v>
      </c>
      <c r="B1384" t="s">
        <v>369</v>
      </c>
      <c r="C1384" t="s">
        <v>133</v>
      </c>
      <c r="D1384" s="1">
        <v>45040</v>
      </c>
      <c r="E1384">
        <v>9</v>
      </c>
      <c r="F1384">
        <v>51.782150935891799</v>
      </c>
      <c r="G1384" s="1">
        <v>45064</v>
      </c>
      <c r="H1384" s="1">
        <v>45066</v>
      </c>
      <c r="I1384">
        <v>466.03935842302599</v>
      </c>
      <c r="J1384">
        <f t="shared" si="21"/>
        <v>2</v>
      </c>
    </row>
    <row r="1385" spans="1:10" x14ac:dyDescent="0.25">
      <c r="A1385" t="s">
        <v>1692</v>
      </c>
      <c r="B1385" t="s">
        <v>198</v>
      </c>
      <c r="C1385" t="s">
        <v>336</v>
      </c>
      <c r="D1385" s="1">
        <v>45309</v>
      </c>
      <c r="E1385">
        <v>15</v>
      </c>
      <c r="F1385">
        <v>59.653543898530401</v>
      </c>
      <c r="G1385" s="1">
        <v>45326</v>
      </c>
      <c r="H1385" s="1">
        <v>45327</v>
      </c>
      <c r="I1385">
        <v>894.80315847795703</v>
      </c>
      <c r="J1385">
        <f t="shared" si="21"/>
        <v>1</v>
      </c>
    </row>
    <row r="1386" spans="1:10" x14ac:dyDescent="0.25">
      <c r="A1386" t="s">
        <v>1693</v>
      </c>
      <c r="B1386" t="s">
        <v>247</v>
      </c>
      <c r="C1386" t="s">
        <v>302</v>
      </c>
      <c r="D1386" s="1">
        <v>44565</v>
      </c>
      <c r="E1386">
        <v>7</v>
      </c>
      <c r="F1386">
        <v>12.7964182143358</v>
      </c>
      <c r="G1386" s="1">
        <v>44588</v>
      </c>
      <c r="H1386" s="1">
        <v>44586</v>
      </c>
      <c r="I1386">
        <v>89.574927500351095</v>
      </c>
      <c r="J1386">
        <f t="shared" si="21"/>
        <v>-2</v>
      </c>
    </row>
    <row r="1387" spans="1:10" x14ac:dyDescent="0.25">
      <c r="A1387" t="s">
        <v>1694</v>
      </c>
      <c r="B1387" t="s">
        <v>240</v>
      </c>
      <c r="C1387" t="s">
        <v>446</v>
      </c>
      <c r="D1387" s="1">
        <v>45042</v>
      </c>
      <c r="E1387">
        <v>16</v>
      </c>
      <c r="F1387">
        <v>73.129608431898504</v>
      </c>
      <c r="G1387" s="1">
        <v>45062</v>
      </c>
      <c r="H1387" s="1">
        <v>45059</v>
      </c>
      <c r="I1387">
        <v>1170.0737349103699</v>
      </c>
      <c r="J1387">
        <f t="shared" si="21"/>
        <v>-3</v>
      </c>
    </row>
    <row r="1388" spans="1:10" x14ac:dyDescent="0.25">
      <c r="A1388" t="s">
        <v>1695</v>
      </c>
      <c r="B1388" t="s">
        <v>34</v>
      </c>
      <c r="C1388" t="s">
        <v>20</v>
      </c>
      <c r="D1388" s="1">
        <v>45390</v>
      </c>
      <c r="E1388">
        <v>8</v>
      </c>
      <c r="F1388">
        <v>46.609824826135799</v>
      </c>
      <c r="G1388" s="1">
        <v>45403</v>
      </c>
      <c r="H1388" s="1">
        <v>45404</v>
      </c>
      <c r="I1388">
        <v>372.878598609086</v>
      </c>
      <c r="J1388">
        <f t="shared" si="21"/>
        <v>1</v>
      </c>
    </row>
    <row r="1389" spans="1:10" x14ac:dyDescent="0.25">
      <c r="A1389" t="s">
        <v>1696</v>
      </c>
      <c r="B1389" t="s">
        <v>442</v>
      </c>
      <c r="C1389" t="s">
        <v>230</v>
      </c>
      <c r="D1389" s="1">
        <v>44396</v>
      </c>
      <c r="E1389">
        <v>8</v>
      </c>
      <c r="F1389">
        <v>60.527086290548198</v>
      </c>
      <c r="G1389" s="1">
        <v>44413</v>
      </c>
      <c r="H1389" s="1">
        <v>44415</v>
      </c>
      <c r="I1389">
        <v>484.21669032438501</v>
      </c>
      <c r="J1389">
        <f t="shared" si="21"/>
        <v>2</v>
      </c>
    </row>
    <row r="1390" spans="1:10" x14ac:dyDescent="0.25">
      <c r="A1390" t="s">
        <v>1697</v>
      </c>
      <c r="B1390" t="s">
        <v>114</v>
      </c>
      <c r="C1390" t="s">
        <v>214</v>
      </c>
      <c r="D1390" s="1">
        <v>44716</v>
      </c>
      <c r="E1390">
        <v>11</v>
      </c>
      <c r="F1390">
        <v>4.9890454458705804</v>
      </c>
      <c r="G1390" s="1">
        <v>44726</v>
      </c>
      <c r="H1390" s="1">
        <v>44730</v>
      </c>
      <c r="I1390">
        <v>54.879499904576399</v>
      </c>
      <c r="J1390">
        <f t="shared" si="21"/>
        <v>4</v>
      </c>
    </row>
    <row r="1391" spans="1:10" x14ac:dyDescent="0.25">
      <c r="A1391" t="s">
        <v>1698</v>
      </c>
      <c r="B1391" t="s">
        <v>539</v>
      </c>
      <c r="C1391" t="s">
        <v>1108</v>
      </c>
      <c r="D1391" s="1">
        <v>44814</v>
      </c>
      <c r="E1391">
        <v>11</v>
      </c>
      <c r="F1391">
        <v>33.636636622644303</v>
      </c>
      <c r="G1391" s="1">
        <v>44824</v>
      </c>
      <c r="H1391" s="1">
        <v>44828</v>
      </c>
      <c r="I1391">
        <v>370.00300284908701</v>
      </c>
      <c r="J1391">
        <f t="shared" si="21"/>
        <v>4</v>
      </c>
    </row>
    <row r="1392" spans="1:10" x14ac:dyDescent="0.25">
      <c r="A1392" t="s">
        <v>1699</v>
      </c>
      <c r="B1392" t="s">
        <v>64</v>
      </c>
      <c r="C1392" t="s">
        <v>165</v>
      </c>
      <c r="D1392" s="1">
        <v>44257</v>
      </c>
      <c r="E1392">
        <v>14</v>
      </c>
      <c r="F1392">
        <v>39.663511406532599</v>
      </c>
      <c r="G1392" s="1">
        <v>44281</v>
      </c>
      <c r="H1392" s="1">
        <v>44287</v>
      </c>
      <c r="I1392">
        <v>555.28915969145703</v>
      </c>
      <c r="J1392">
        <f t="shared" si="21"/>
        <v>6</v>
      </c>
    </row>
    <row r="1393" spans="1:10" x14ac:dyDescent="0.25">
      <c r="A1393" t="s">
        <v>1700</v>
      </c>
      <c r="B1393" t="s">
        <v>31</v>
      </c>
      <c r="C1393" t="s">
        <v>748</v>
      </c>
      <c r="D1393" s="1">
        <v>44537</v>
      </c>
      <c r="E1393">
        <v>12</v>
      </c>
      <c r="F1393">
        <v>47.331897029377203</v>
      </c>
      <c r="G1393" s="1">
        <v>44550</v>
      </c>
      <c r="H1393" s="1">
        <v>44553</v>
      </c>
      <c r="I1393">
        <v>567.98276435252603</v>
      </c>
      <c r="J1393">
        <f t="shared" si="21"/>
        <v>3</v>
      </c>
    </row>
    <row r="1394" spans="1:10" x14ac:dyDescent="0.25">
      <c r="A1394" t="s">
        <v>1701</v>
      </c>
      <c r="B1394" t="s">
        <v>617</v>
      </c>
      <c r="C1394" t="s">
        <v>214</v>
      </c>
      <c r="D1394" s="1">
        <v>44967</v>
      </c>
      <c r="E1394">
        <v>8</v>
      </c>
      <c r="F1394">
        <v>28.172802177379602</v>
      </c>
      <c r="G1394" s="1">
        <v>44984</v>
      </c>
      <c r="H1394" s="1">
        <v>44984</v>
      </c>
      <c r="I1394">
        <v>225.38241741903599</v>
      </c>
      <c r="J1394">
        <f t="shared" si="21"/>
        <v>0</v>
      </c>
    </row>
    <row r="1395" spans="1:10" x14ac:dyDescent="0.25">
      <c r="A1395" t="s">
        <v>1702</v>
      </c>
      <c r="B1395" t="s">
        <v>127</v>
      </c>
      <c r="C1395" t="s">
        <v>385</v>
      </c>
      <c r="D1395" s="1">
        <v>44934</v>
      </c>
      <c r="E1395">
        <v>12</v>
      </c>
      <c r="F1395">
        <v>16.789653282179401</v>
      </c>
      <c r="G1395" s="1">
        <v>44947</v>
      </c>
      <c r="H1395" s="1">
        <v>44948</v>
      </c>
      <c r="I1395">
        <v>201.47583938615199</v>
      </c>
      <c r="J1395">
        <f t="shared" si="21"/>
        <v>1</v>
      </c>
    </row>
    <row r="1396" spans="1:10" x14ac:dyDescent="0.25">
      <c r="A1396" t="s">
        <v>1703</v>
      </c>
      <c r="B1396" t="s">
        <v>578</v>
      </c>
      <c r="C1396" t="s">
        <v>402</v>
      </c>
      <c r="D1396" s="1">
        <v>44774</v>
      </c>
      <c r="E1396">
        <v>7</v>
      </c>
      <c r="F1396">
        <v>14.5353561475243</v>
      </c>
      <c r="G1396" s="1">
        <v>44787</v>
      </c>
      <c r="H1396" s="1">
        <v>44785</v>
      </c>
      <c r="I1396">
        <v>101.74749303266999</v>
      </c>
      <c r="J1396">
        <f t="shared" si="21"/>
        <v>-2</v>
      </c>
    </row>
    <row r="1397" spans="1:10" x14ac:dyDescent="0.25">
      <c r="A1397" t="s">
        <v>1704</v>
      </c>
      <c r="B1397" t="s">
        <v>43</v>
      </c>
      <c r="C1397" t="s">
        <v>23</v>
      </c>
      <c r="D1397" s="1">
        <v>45191</v>
      </c>
      <c r="E1397">
        <v>12</v>
      </c>
      <c r="F1397">
        <v>63.434612941441202</v>
      </c>
      <c r="G1397" s="1">
        <v>45203</v>
      </c>
      <c r="H1397" s="1">
        <v>45209</v>
      </c>
      <c r="I1397">
        <v>761.21535529729499</v>
      </c>
      <c r="J1397">
        <f t="shared" si="21"/>
        <v>6</v>
      </c>
    </row>
    <row r="1398" spans="1:10" x14ac:dyDescent="0.25">
      <c r="A1398" t="s">
        <v>1705</v>
      </c>
      <c r="B1398" t="s">
        <v>10</v>
      </c>
      <c r="C1398" t="s">
        <v>74</v>
      </c>
      <c r="D1398" s="1">
        <v>45042</v>
      </c>
      <c r="E1398">
        <v>8</v>
      </c>
      <c r="F1398">
        <v>71.949943204215302</v>
      </c>
      <c r="G1398" s="1">
        <v>45065</v>
      </c>
      <c r="H1398" s="1">
        <v>45062</v>
      </c>
      <c r="I1398">
        <v>575.59954563372196</v>
      </c>
      <c r="J1398">
        <f t="shared" si="21"/>
        <v>-3</v>
      </c>
    </row>
    <row r="1399" spans="1:10" x14ac:dyDescent="0.25">
      <c r="A1399" t="s">
        <v>1706</v>
      </c>
      <c r="B1399" t="s">
        <v>301</v>
      </c>
      <c r="C1399" t="s">
        <v>115</v>
      </c>
      <c r="D1399" s="1">
        <v>44395</v>
      </c>
      <c r="E1399">
        <v>10</v>
      </c>
      <c r="F1399">
        <v>42.955083655617699</v>
      </c>
      <c r="G1399" s="1">
        <v>44415</v>
      </c>
      <c r="H1399" s="1">
        <v>44418</v>
      </c>
      <c r="I1399">
        <v>429.55083655617699</v>
      </c>
      <c r="J1399">
        <f t="shared" si="21"/>
        <v>3</v>
      </c>
    </row>
    <row r="1400" spans="1:10" x14ac:dyDescent="0.25">
      <c r="A1400" t="s">
        <v>1707</v>
      </c>
      <c r="B1400" t="s">
        <v>326</v>
      </c>
      <c r="C1400" t="s">
        <v>430</v>
      </c>
      <c r="D1400" s="1">
        <v>45089</v>
      </c>
      <c r="E1400">
        <v>10</v>
      </c>
      <c r="F1400">
        <v>55.019463279045702</v>
      </c>
      <c r="G1400" s="1">
        <v>45101</v>
      </c>
      <c r="H1400" s="1">
        <v>45101</v>
      </c>
      <c r="I1400">
        <v>550.19463279045704</v>
      </c>
      <c r="J1400">
        <f t="shared" si="21"/>
        <v>0</v>
      </c>
    </row>
    <row r="1401" spans="1:10" x14ac:dyDescent="0.25">
      <c r="A1401" t="s">
        <v>1708</v>
      </c>
      <c r="B1401" t="s">
        <v>96</v>
      </c>
      <c r="C1401" t="s">
        <v>759</v>
      </c>
      <c r="D1401" s="1">
        <v>45208</v>
      </c>
      <c r="E1401">
        <v>18</v>
      </c>
      <c r="F1401">
        <v>39.314548289557997</v>
      </c>
      <c r="G1401" s="1">
        <v>45224</v>
      </c>
      <c r="H1401" s="1">
        <v>45229</v>
      </c>
      <c r="I1401">
        <v>707.66186921204496</v>
      </c>
      <c r="J1401">
        <f t="shared" si="21"/>
        <v>5</v>
      </c>
    </row>
    <row r="1402" spans="1:10" x14ac:dyDescent="0.25">
      <c r="A1402" t="s">
        <v>1709</v>
      </c>
      <c r="B1402" t="s">
        <v>169</v>
      </c>
      <c r="C1402" t="s">
        <v>230</v>
      </c>
      <c r="D1402" s="1">
        <v>44575</v>
      </c>
      <c r="E1402">
        <v>9</v>
      </c>
      <c r="F1402">
        <v>24.743531235629099</v>
      </c>
      <c r="G1402" s="1">
        <v>44595</v>
      </c>
      <c r="H1402" s="1">
        <v>44597</v>
      </c>
      <c r="I1402">
        <v>222.691781120662</v>
      </c>
      <c r="J1402">
        <f t="shared" si="21"/>
        <v>2</v>
      </c>
    </row>
    <row r="1403" spans="1:10" x14ac:dyDescent="0.25">
      <c r="A1403" t="s">
        <v>1710</v>
      </c>
      <c r="B1403" t="s">
        <v>442</v>
      </c>
      <c r="C1403" t="s">
        <v>400</v>
      </c>
      <c r="D1403" s="1">
        <v>45129</v>
      </c>
      <c r="E1403">
        <v>13</v>
      </c>
      <c r="F1403">
        <v>25.190390607041198</v>
      </c>
      <c r="G1403" s="1">
        <v>45153</v>
      </c>
      <c r="H1403" s="1">
        <v>45156</v>
      </c>
      <c r="I1403">
        <v>327.47507789153502</v>
      </c>
      <c r="J1403">
        <f t="shared" si="21"/>
        <v>3</v>
      </c>
    </row>
    <row r="1404" spans="1:10" x14ac:dyDescent="0.25">
      <c r="A1404" t="s">
        <v>1711</v>
      </c>
      <c r="B1404" t="s">
        <v>394</v>
      </c>
      <c r="C1404" t="s">
        <v>1129</v>
      </c>
      <c r="D1404" s="1">
        <v>45304</v>
      </c>
      <c r="E1404">
        <v>17</v>
      </c>
      <c r="F1404">
        <v>22.437737672944898</v>
      </c>
      <c r="G1404" s="1">
        <v>45317</v>
      </c>
      <c r="H1404" s="1">
        <v>45314</v>
      </c>
      <c r="I1404">
        <v>381.44154044006302</v>
      </c>
      <c r="J1404">
        <f t="shared" si="21"/>
        <v>-3</v>
      </c>
    </row>
    <row r="1405" spans="1:10" x14ac:dyDescent="0.25">
      <c r="A1405" t="s">
        <v>1712</v>
      </c>
      <c r="B1405" t="s">
        <v>205</v>
      </c>
      <c r="C1405" t="s">
        <v>795</v>
      </c>
      <c r="D1405" s="1">
        <v>44802</v>
      </c>
      <c r="E1405">
        <v>12</v>
      </c>
      <c r="F1405">
        <v>50.585584090943797</v>
      </c>
      <c r="G1405" s="1">
        <v>44818</v>
      </c>
      <c r="H1405" s="1">
        <v>44821</v>
      </c>
      <c r="I1405">
        <v>607.02700909132602</v>
      </c>
      <c r="J1405">
        <f t="shared" si="21"/>
        <v>3</v>
      </c>
    </row>
    <row r="1406" spans="1:10" x14ac:dyDescent="0.25">
      <c r="A1406" t="s">
        <v>1713</v>
      </c>
      <c r="B1406" t="s">
        <v>130</v>
      </c>
      <c r="C1406" t="s">
        <v>818</v>
      </c>
      <c r="D1406" s="1">
        <v>44295</v>
      </c>
      <c r="E1406">
        <v>10</v>
      </c>
      <c r="F1406">
        <v>31.583640815433899</v>
      </c>
      <c r="G1406" s="1">
        <v>44317</v>
      </c>
      <c r="H1406" s="1">
        <v>44323</v>
      </c>
      <c r="I1406">
        <v>315.83640815433898</v>
      </c>
      <c r="J1406">
        <f t="shared" si="21"/>
        <v>6</v>
      </c>
    </row>
    <row r="1407" spans="1:10" x14ac:dyDescent="0.25">
      <c r="A1407" t="s">
        <v>1714</v>
      </c>
      <c r="B1407" t="s">
        <v>176</v>
      </c>
      <c r="C1407" t="s">
        <v>428</v>
      </c>
      <c r="D1407" s="1">
        <v>45001</v>
      </c>
      <c r="E1407">
        <v>12</v>
      </c>
      <c r="F1407">
        <v>24.156574199426998</v>
      </c>
      <c r="G1407" s="1">
        <v>45022</v>
      </c>
      <c r="H1407" s="1">
        <v>45024</v>
      </c>
      <c r="I1407">
        <v>289.87889039312398</v>
      </c>
      <c r="J1407">
        <f t="shared" si="21"/>
        <v>2</v>
      </c>
    </row>
    <row r="1408" spans="1:10" x14ac:dyDescent="0.25">
      <c r="A1408" t="s">
        <v>1715</v>
      </c>
      <c r="B1408" t="s">
        <v>578</v>
      </c>
      <c r="C1408" t="s">
        <v>1051</v>
      </c>
      <c r="D1408" s="1">
        <v>44890</v>
      </c>
      <c r="E1408">
        <v>9</v>
      </c>
      <c r="F1408">
        <v>25.6011499987547</v>
      </c>
      <c r="G1408" s="1">
        <v>44914</v>
      </c>
      <c r="H1408" s="1">
        <v>44916</v>
      </c>
      <c r="I1408">
        <v>230.41034998879201</v>
      </c>
      <c r="J1408">
        <f t="shared" si="21"/>
        <v>2</v>
      </c>
    </row>
    <row r="1409" spans="1:10" x14ac:dyDescent="0.25">
      <c r="A1409" t="s">
        <v>1716</v>
      </c>
      <c r="B1409" t="s">
        <v>16</v>
      </c>
      <c r="C1409" t="s">
        <v>415</v>
      </c>
      <c r="D1409" s="1">
        <v>44894</v>
      </c>
      <c r="E1409">
        <v>11</v>
      </c>
      <c r="F1409">
        <v>64.182658793275905</v>
      </c>
      <c r="G1409" s="1">
        <v>44912</v>
      </c>
      <c r="H1409" s="1">
        <v>44917</v>
      </c>
      <c r="I1409">
        <v>706.00924672603503</v>
      </c>
      <c r="J1409">
        <f t="shared" si="21"/>
        <v>5</v>
      </c>
    </row>
    <row r="1410" spans="1:10" x14ac:dyDescent="0.25">
      <c r="A1410" t="s">
        <v>1717</v>
      </c>
      <c r="B1410" t="s">
        <v>299</v>
      </c>
      <c r="C1410" t="s">
        <v>167</v>
      </c>
      <c r="D1410" s="1">
        <v>45377</v>
      </c>
      <c r="E1410">
        <v>11</v>
      </c>
      <c r="F1410">
        <v>33.632038938297697</v>
      </c>
      <c r="G1410" s="1">
        <v>45401</v>
      </c>
      <c r="H1410" s="1">
        <v>45406</v>
      </c>
      <c r="I1410">
        <v>369.952428321274</v>
      </c>
      <c r="J1410">
        <f t="shared" si="21"/>
        <v>5</v>
      </c>
    </row>
    <row r="1411" spans="1:10" x14ac:dyDescent="0.25">
      <c r="A1411" t="s">
        <v>1718</v>
      </c>
      <c r="B1411" t="s">
        <v>299</v>
      </c>
      <c r="C1411" t="s">
        <v>759</v>
      </c>
      <c r="D1411" s="1">
        <v>44215</v>
      </c>
      <c r="E1411">
        <v>6</v>
      </c>
      <c r="F1411">
        <v>13.954517751493601</v>
      </c>
      <c r="G1411" s="1">
        <v>44231</v>
      </c>
      <c r="H1411" s="1">
        <v>44237</v>
      </c>
      <c r="I1411">
        <v>83.727106508961896</v>
      </c>
      <c r="J1411">
        <f t="shared" ref="J1411:J1474" si="22">H1411-G1411</f>
        <v>6</v>
      </c>
    </row>
    <row r="1412" spans="1:10" x14ac:dyDescent="0.25">
      <c r="A1412" t="s">
        <v>1719</v>
      </c>
      <c r="B1412" t="s">
        <v>686</v>
      </c>
      <c r="C1412" t="s">
        <v>693</v>
      </c>
      <c r="D1412" s="1">
        <v>44234</v>
      </c>
      <c r="E1412">
        <v>8</v>
      </c>
      <c r="F1412">
        <v>66.999543227100006</v>
      </c>
      <c r="G1412" s="1">
        <v>44245</v>
      </c>
      <c r="H1412" s="1">
        <v>44247</v>
      </c>
      <c r="I1412">
        <v>535.99634581680004</v>
      </c>
      <c r="J1412">
        <f t="shared" si="22"/>
        <v>2</v>
      </c>
    </row>
    <row r="1413" spans="1:10" x14ac:dyDescent="0.25">
      <c r="A1413" t="s">
        <v>1720</v>
      </c>
      <c r="B1413" t="s">
        <v>49</v>
      </c>
      <c r="C1413" t="s">
        <v>80</v>
      </c>
      <c r="D1413" s="1">
        <v>44414</v>
      </c>
      <c r="E1413">
        <v>6</v>
      </c>
      <c r="F1413">
        <v>60.769133880971303</v>
      </c>
      <c r="G1413" s="1">
        <v>44425</v>
      </c>
      <c r="H1413" s="1">
        <v>44423</v>
      </c>
      <c r="I1413">
        <v>364.61480328582701</v>
      </c>
      <c r="J1413">
        <f t="shared" si="22"/>
        <v>-2</v>
      </c>
    </row>
    <row r="1414" spans="1:10" x14ac:dyDescent="0.25">
      <c r="A1414" t="s">
        <v>1721</v>
      </c>
      <c r="B1414" t="s">
        <v>13</v>
      </c>
      <c r="C1414" t="s">
        <v>117</v>
      </c>
      <c r="D1414" s="1">
        <v>44895</v>
      </c>
      <c r="E1414">
        <v>9</v>
      </c>
      <c r="F1414">
        <v>79.155577293160903</v>
      </c>
      <c r="G1414" s="1">
        <v>44911</v>
      </c>
      <c r="H1414" s="1">
        <v>44913</v>
      </c>
      <c r="I1414">
        <v>712.40019563844805</v>
      </c>
      <c r="J1414">
        <f t="shared" si="22"/>
        <v>2</v>
      </c>
    </row>
    <row r="1415" spans="1:10" x14ac:dyDescent="0.25">
      <c r="A1415" t="s">
        <v>1722</v>
      </c>
      <c r="B1415" t="s">
        <v>58</v>
      </c>
      <c r="C1415" t="s">
        <v>290</v>
      </c>
      <c r="D1415" s="1">
        <v>44329</v>
      </c>
      <c r="E1415">
        <v>18</v>
      </c>
      <c r="F1415">
        <v>55.371359924797702</v>
      </c>
      <c r="G1415" s="1">
        <v>44343</v>
      </c>
      <c r="H1415" s="1">
        <v>44345</v>
      </c>
      <c r="I1415">
        <v>996.68447864635903</v>
      </c>
      <c r="J1415">
        <f t="shared" si="22"/>
        <v>2</v>
      </c>
    </row>
    <row r="1416" spans="1:10" x14ac:dyDescent="0.25">
      <c r="A1416" t="s">
        <v>1723</v>
      </c>
      <c r="B1416" t="s">
        <v>394</v>
      </c>
      <c r="C1416" t="s">
        <v>115</v>
      </c>
      <c r="D1416" s="1">
        <v>44605</v>
      </c>
      <c r="E1416">
        <v>12</v>
      </c>
      <c r="F1416">
        <v>40.882847108514</v>
      </c>
      <c r="G1416" s="1">
        <v>44615</v>
      </c>
      <c r="H1416" s="1">
        <v>44621</v>
      </c>
      <c r="I1416">
        <v>490.59416530216799</v>
      </c>
      <c r="J1416">
        <f t="shared" si="22"/>
        <v>6</v>
      </c>
    </row>
    <row r="1417" spans="1:10" x14ac:dyDescent="0.25">
      <c r="A1417" t="s">
        <v>1724</v>
      </c>
      <c r="B1417" t="s">
        <v>475</v>
      </c>
      <c r="C1417" t="s">
        <v>11</v>
      </c>
      <c r="D1417" s="1">
        <v>44474</v>
      </c>
      <c r="E1417">
        <v>8</v>
      </c>
      <c r="F1417">
        <v>21.7928848958719</v>
      </c>
      <c r="G1417" s="1">
        <v>44494</v>
      </c>
      <c r="H1417" s="1">
        <v>44499</v>
      </c>
      <c r="I1417">
        <v>174.343079166975</v>
      </c>
      <c r="J1417">
        <f t="shared" si="22"/>
        <v>5</v>
      </c>
    </row>
    <row r="1418" spans="1:10" x14ac:dyDescent="0.25">
      <c r="A1418" t="s">
        <v>1725</v>
      </c>
      <c r="B1418" t="s">
        <v>216</v>
      </c>
      <c r="C1418" t="s">
        <v>210</v>
      </c>
      <c r="D1418" s="1">
        <v>44515</v>
      </c>
      <c r="E1418">
        <v>17</v>
      </c>
      <c r="F1418">
        <v>66.467850443654299</v>
      </c>
      <c r="G1418" s="1">
        <v>44538</v>
      </c>
      <c r="H1418" s="1">
        <v>44543</v>
      </c>
      <c r="I1418">
        <v>1129.9534575421201</v>
      </c>
      <c r="J1418">
        <f t="shared" si="22"/>
        <v>5</v>
      </c>
    </row>
    <row r="1419" spans="1:10" x14ac:dyDescent="0.25">
      <c r="A1419" t="s">
        <v>1726</v>
      </c>
      <c r="B1419" t="s">
        <v>216</v>
      </c>
      <c r="C1419" t="s">
        <v>44</v>
      </c>
      <c r="D1419" s="1">
        <v>45391</v>
      </c>
      <c r="E1419">
        <v>10</v>
      </c>
      <c r="F1419">
        <v>11.6777114795233</v>
      </c>
      <c r="G1419" s="1">
        <v>45408</v>
      </c>
      <c r="H1419" s="1">
        <v>45409</v>
      </c>
      <c r="I1419">
        <v>116.777114795233</v>
      </c>
      <c r="J1419">
        <f t="shared" si="22"/>
        <v>1</v>
      </c>
    </row>
    <row r="1420" spans="1:10" x14ac:dyDescent="0.25">
      <c r="A1420" t="s">
        <v>1727</v>
      </c>
      <c r="B1420" t="s">
        <v>135</v>
      </c>
      <c r="C1420" t="s">
        <v>257</v>
      </c>
      <c r="D1420" s="1">
        <v>45162</v>
      </c>
      <c r="E1420">
        <v>15</v>
      </c>
      <c r="F1420">
        <v>23.0211981658999</v>
      </c>
      <c r="G1420" s="1">
        <v>45178</v>
      </c>
      <c r="H1420" s="1">
        <v>45180</v>
      </c>
      <c r="I1420">
        <v>345.31797248849801</v>
      </c>
      <c r="J1420">
        <f t="shared" si="22"/>
        <v>2</v>
      </c>
    </row>
    <row r="1421" spans="1:10" x14ac:dyDescent="0.25">
      <c r="A1421" t="s">
        <v>1728</v>
      </c>
      <c r="B1421" t="s">
        <v>10</v>
      </c>
      <c r="C1421" t="s">
        <v>400</v>
      </c>
      <c r="D1421" s="1">
        <v>45111</v>
      </c>
      <c r="E1421">
        <v>9</v>
      </c>
      <c r="F1421">
        <v>28.007243966185001</v>
      </c>
      <c r="G1421" s="1">
        <v>45129</v>
      </c>
      <c r="H1421" s="1">
        <v>45135</v>
      </c>
      <c r="I1421">
        <v>252.06519569566501</v>
      </c>
      <c r="J1421">
        <f t="shared" si="22"/>
        <v>6</v>
      </c>
    </row>
    <row r="1422" spans="1:10" x14ac:dyDescent="0.25">
      <c r="A1422" t="s">
        <v>1729</v>
      </c>
      <c r="B1422" t="s">
        <v>37</v>
      </c>
      <c r="C1422" t="s">
        <v>718</v>
      </c>
      <c r="D1422" s="1">
        <v>44429</v>
      </c>
      <c r="E1422">
        <v>14</v>
      </c>
      <c r="F1422">
        <v>20.412213386241302</v>
      </c>
      <c r="G1422" s="1">
        <v>44443</v>
      </c>
      <c r="H1422" s="1">
        <v>44442</v>
      </c>
      <c r="I1422">
        <v>285.77098740737898</v>
      </c>
      <c r="J1422">
        <f t="shared" si="22"/>
        <v>-1</v>
      </c>
    </row>
    <row r="1423" spans="1:10" x14ac:dyDescent="0.25">
      <c r="A1423" t="s">
        <v>1730</v>
      </c>
      <c r="B1423" t="s">
        <v>219</v>
      </c>
      <c r="C1423" t="s">
        <v>297</v>
      </c>
      <c r="D1423" s="1">
        <v>45203</v>
      </c>
      <c r="E1423">
        <v>7</v>
      </c>
      <c r="F1423">
        <v>53.657222762253497</v>
      </c>
      <c r="G1423" s="1">
        <v>45226</v>
      </c>
      <c r="H1423" s="1">
        <v>45228</v>
      </c>
      <c r="I1423">
        <v>375.60055933577502</v>
      </c>
      <c r="J1423">
        <f t="shared" si="22"/>
        <v>2</v>
      </c>
    </row>
    <row r="1424" spans="1:10" x14ac:dyDescent="0.25">
      <c r="A1424" t="s">
        <v>1731</v>
      </c>
      <c r="B1424" t="s">
        <v>256</v>
      </c>
      <c r="C1424" t="s">
        <v>110</v>
      </c>
      <c r="D1424" s="1">
        <v>44812</v>
      </c>
      <c r="E1424">
        <v>9</v>
      </c>
      <c r="F1424">
        <v>47.002487630424703</v>
      </c>
      <c r="G1424" s="1">
        <v>44823</v>
      </c>
      <c r="H1424" s="1">
        <v>44827</v>
      </c>
      <c r="I1424">
        <v>423.02238867382198</v>
      </c>
      <c r="J1424">
        <f t="shared" si="22"/>
        <v>4</v>
      </c>
    </row>
    <row r="1425" spans="1:10" x14ac:dyDescent="0.25">
      <c r="A1425" t="s">
        <v>1732</v>
      </c>
      <c r="B1425" t="s">
        <v>442</v>
      </c>
      <c r="C1425" t="s">
        <v>170</v>
      </c>
      <c r="D1425" s="1">
        <v>44999</v>
      </c>
      <c r="E1425">
        <v>14</v>
      </c>
      <c r="F1425">
        <v>66.386453591938505</v>
      </c>
      <c r="G1425" s="1">
        <v>45017</v>
      </c>
      <c r="H1425" s="1">
        <v>45015</v>
      </c>
      <c r="I1425">
        <v>929.41035028713895</v>
      </c>
      <c r="J1425">
        <f t="shared" si="22"/>
        <v>-2</v>
      </c>
    </row>
    <row r="1426" spans="1:10" x14ac:dyDescent="0.25">
      <c r="A1426" t="s">
        <v>1733</v>
      </c>
      <c r="B1426" t="s">
        <v>130</v>
      </c>
      <c r="C1426" t="s">
        <v>477</v>
      </c>
      <c r="D1426" s="1">
        <v>44830</v>
      </c>
      <c r="E1426">
        <v>12</v>
      </c>
      <c r="F1426">
        <v>79.6506105066033</v>
      </c>
      <c r="G1426" s="1">
        <v>44854</v>
      </c>
      <c r="H1426" s="1">
        <v>44852</v>
      </c>
      <c r="I1426">
        <v>955.80732607924006</v>
      </c>
      <c r="J1426">
        <f t="shared" si="22"/>
        <v>-2</v>
      </c>
    </row>
    <row r="1427" spans="1:10" x14ac:dyDescent="0.25">
      <c r="A1427" t="s">
        <v>1734</v>
      </c>
      <c r="B1427" t="s">
        <v>340</v>
      </c>
      <c r="C1427" t="s">
        <v>453</v>
      </c>
      <c r="D1427" s="1">
        <v>44893</v>
      </c>
      <c r="E1427">
        <v>11</v>
      </c>
      <c r="F1427">
        <v>13.031721555796199</v>
      </c>
      <c r="G1427" s="1">
        <v>44905</v>
      </c>
      <c r="H1427" s="1">
        <v>44909</v>
      </c>
      <c r="I1427">
        <v>143.34893711375801</v>
      </c>
      <c r="J1427">
        <f t="shared" si="22"/>
        <v>4</v>
      </c>
    </row>
    <row r="1428" spans="1:10" x14ac:dyDescent="0.25">
      <c r="A1428" t="s">
        <v>1735</v>
      </c>
      <c r="B1428" t="s">
        <v>493</v>
      </c>
      <c r="C1428" t="s">
        <v>627</v>
      </c>
      <c r="D1428" s="1">
        <v>44301</v>
      </c>
      <c r="E1428">
        <v>10</v>
      </c>
      <c r="F1428">
        <v>53.442340567353902</v>
      </c>
      <c r="G1428" s="1">
        <v>44313</v>
      </c>
      <c r="H1428" s="1">
        <v>44314</v>
      </c>
      <c r="I1428">
        <v>534.42340567353904</v>
      </c>
      <c r="J1428">
        <f t="shared" si="22"/>
        <v>1</v>
      </c>
    </row>
    <row r="1429" spans="1:10" x14ac:dyDescent="0.25">
      <c r="A1429" t="s">
        <v>1736</v>
      </c>
      <c r="B1429" t="s">
        <v>109</v>
      </c>
      <c r="C1429" t="s">
        <v>881</v>
      </c>
      <c r="D1429" s="1">
        <v>44516</v>
      </c>
      <c r="E1429">
        <v>17</v>
      </c>
      <c r="F1429">
        <v>36.857321925478402</v>
      </c>
      <c r="G1429" s="1">
        <v>44540</v>
      </c>
      <c r="H1429" s="1">
        <v>44540</v>
      </c>
      <c r="I1429">
        <v>626.57447273313301</v>
      </c>
      <c r="J1429">
        <f t="shared" si="22"/>
        <v>0</v>
      </c>
    </row>
    <row r="1430" spans="1:10" x14ac:dyDescent="0.25">
      <c r="A1430" t="s">
        <v>1737</v>
      </c>
      <c r="B1430" t="s">
        <v>556</v>
      </c>
      <c r="C1430" t="s">
        <v>425</v>
      </c>
      <c r="D1430" s="1">
        <v>44250</v>
      </c>
      <c r="E1430">
        <v>15</v>
      </c>
      <c r="F1430">
        <v>59.377853745411201</v>
      </c>
      <c r="G1430" s="1">
        <v>44262</v>
      </c>
      <c r="H1430" s="1">
        <v>44263</v>
      </c>
      <c r="I1430">
        <v>890.667806181169</v>
      </c>
      <c r="J1430">
        <f t="shared" si="22"/>
        <v>1</v>
      </c>
    </row>
    <row r="1431" spans="1:10" x14ac:dyDescent="0.25">
      <c r="A1431" t="s">
        <v>1738</v>
      </c>
      <c r="B1431" t="s">
        <v>157</v>
      </c>
      <c r="C1431" t="s">
        <v>587</v>
      </c>
      <c r="D1431" s="1">
        <v>45393</v>
      </c>
      <c r="E1431">
        <v>11</v>
      </c>
      <c r="F1431">
        <v>64.037650548161494</v>
      </c>
      <c r="G1431" s="1">
        <v>45413</v>
      </c>
      <c r="H1431" s="1">
        <v>45410</v>
      </c>
      <c r="I1431">
        <v>704.414156029776</v>
      </c>
      <c r="J1431">
        <f t="shared" si="22"/>
        <v>-3</v>
      </c>
    </row>
    <row r="1432" spans="1:10" x14ac:dyDescent="0.25">
      <c r="A1432" t="s">
        <v>1739</v>
      </c>
      <c r="B1432" t="s">
        <v>394</v>
      </c>
      <c r="C1432" t="s">
        <v>26</v>
      </c>
      <c r="D1432" s="1">
        <v>44912</v>
      </c>
      <c r="E1432">
        <v>15</v>
      </c>
      <c r="F1432">
        <v>43.655313822645098</v>
      </c>
      <c r="G1432" s="1">
        <v>44928</v>
      </c>
      <c r="H1432" s="1">
        <v>44925</v>
      </c>
      <c r="I1432">
        <v>654.82970733967602</v>
      </c>
      <c r="J1432">
        <f t="shared" si="22"/>
        <v>-3</v>
      </c>
    </row>
    <row r="1433" spans="1:10" x14ac:dyDescent="0.25">
      <c r="A1433" t="s">
        <v>1740</v>
      </c>
      <c r="B1433" t="s">
        <v>55</v>
      </c>
      <c r="C1433" t="s">
        <v>177</v>
      </c>
      <c r="D1433" s="1">
        <v>45233</v>
      </c>
      <c r="E1433">
        <v>12</v>
      </c>
      <c r="F1433">
        <v>73.751183147136004</v>
      </c>
      <c r="G1433" s="1">
        <v>45244</v>
      </c>
      <c r="H1433" s="1">
        <v>45243</v>
      </c>
      <c r="I1433">
        <v>885.01419776563205</v>
      </c>
      <c r="J1433">
        <f t="shared" si="22"/>
        <v>-1</v>
      </c>
    </row>
    <row r="1434" spans="1:10" x14ac:dyDescent="0.25">
      <c r="A1434" t="s">
        <v>1741</v>
      </c>
      <c r="B1434" t="s">
        <v>82</v>
      </c>
      <c r="C1434" t="s">
        <v>400</v>
      </c>
      <c r="D1434" s="1">
        <v>44450</v>
      </c>
      <c r="E1434">
        <v>10</v>
      </c>
      <c r="F1434">
        <v>39.759981686407102</v>
      </c>
      <c r="G1434" s="1">
        <v>44466</v>
      </c>
      <c r="H1434" s="1">
        <v>44465</v>
      </c>
      <c r="I1434">
        <v>397.59981686407099</v>
      </c>
      <c r="J1434">
        <f t="shared" si="22"/>
        <v>-1</v>
      </c>
    </row>
    <row r="1435" spans="1:10" x14ac:dyDescent="0.25">
      <c r="A1435" t="s">
        <v>1742</v>
      </c>
      <c r="B1435" t="s">
        <v>485</v>
      </c>
      <c r="C1435" t="s">
        <v>155</v>
      </c>
      <c r="D1435" s="1">
        <v>44848</v>
      </c>
      <c r="E1435">
        <v>9</v>
      </c>
      <c r="F1435">
        <v>63.373492145621803</v>
      </c>
      <c r="G1435" s="1">
        <v>44870</v>
      </c>
      <c r="H1435" s="1">
        <v>44876</v>
      </c>
      <c r="I1435">
        <v>570.36142931059703</v>
      </c>
      <c r="J1435">
        <f t="shared" si="22"/>
        <v>6</v>
      </c>
    </row>
    <row r="1436" spans="1:10" x14ac:dyDescent="0.25">
      <c r="A1436" t="s">
        <v>1743</v>
      </c>
      <c r="B1436" t="s">
        <v>88</v>
      </c>
      <c r="C1436" t="s">
        <v>97</v>
      </c>
      <c r="D1436" s="1">
        <v>44662</v>
      </c>
      <c r="E1436">
        <v>9</v>
      </c>
      <c r="F1436">
        <v>71.672088814265805</v>
      </c>
      <c r="G1436" s="1">
        <v>44675</v>
      </c>
      <c r="H1436" s="1">
        <v>44680</v>
      </c>
      <c r="I1436">
        <v>645.04879932839196</v>
      </c>
      <c r="J1436">
        <f t="shared" si="22"/>
        <v>5</v>
      </c>
    </row>
    <row r="1437" spans="1:10" x14ac:dyDescent="0.25">
      <c r="A1437" t="s">
        <v>1744</v>
      </c>
      <c r="B1437" t="s">
        <v>37</v>
      </c>
      <c r="C1437" t="s">
        <v>727</v>
      </c>
      <c r="D1437" s="1">
        <v>44217</v>
      </c>
      <c r="E1437">
        <v>11</v>
      </c>
      <c r="F1437">
        <v>50.020585587486799</v>
      </c>
      <c r="G1437" s="1">
        <v>44235</v>
      </c>
      <c r="H1437" s="1">
        <v>44235</v>
      </c>
      <c r="I1437">
        <v>550.22644146235496</v>
      </c>
      <c r="J1437">
        <f t="shared" si="22"/>
        <v>0</v>
      </c>
    </row>
    <row r="1438" spans="1:10" x14ac:dyDescent="0.25">
      <c r="A1438" t="s">
        <v>1745</v>
      </c>
      <c r="B1438" t="s">
        <v>475</v>
      </c>
      <c r="C1438" t="s">
        <v>274</v>
      </c>
      <c r="D1438" s="1">
        <v>45175</v>
      </c>
      <c r="E1438">
        <v>14</v>
      </c>
      <c r="F1438">
        <v>72.050873734084107</v>
      </c>
      <c r="G1438" s="1">
        <v>45197</v>
      </c>
      <c r="H1438" s="1">
        <v>45197</v>
      </c>
      <c r="I1438">
        <v>1008.71223227717</v>
      </c>
      <c r="J1438">
        <f t="shared" si="22"/>
        <v>0</v>
      </c>
    </row>
    <row r="1439" spans="1:10" x14ac:dyDescent="0.25">
      <c r="A1439" t="s">
        <v>1746</v>
      </c>
      <c r="B1439" t="s">
        <v>451</v>
      </c>
      <c r="C1439" t="s">
        <v>654</v>
      </c>
      <c r="D1439" s="1">
        <v>44356</v>
      </c>
      <c r="E1439">
        <v>11</v>
      </c>
      <c r="F1439">
        <v>45.608898495559899</v>
      </c>
      <c r="G1439" s="1">
        <v>44379</v>
      </c>
      <c r="H1439" s="1">
        <v>44382</v>
      </c>
      <c r="I1439">
        <v>501.69788345115899</v>
      </c>
      <c r="J1439">
        <f t="shared" si="22"/>
        <v>3</v>
      </c>
    </row>
    <row r="1440" spans="1:10" x14ac:dyDescent="0.25">
      <c r="A1440" t="s">
        <v>1747</v>
      </c>
      <c r="B1440" t="s">
        <v>219</v>
      </c>
      <c r="C1440" t="s">
        <v>238</v>
      </c>
      <c r="D1440" s="1">
        <v>45147</v>
      </c>
      <c r="E1440">
        <v>11</v>
      </c>
      <c r="F1440">
        <v>75.488679084144906</v>
      </c>
      <c r="G1440" s="1">
        <v>45157</v>
      </c>
      <c r="H1440" s="1">
        <v>45159</v>
      </c>
      <c r="I1440">
        <v>830.37546992559396</v>
      </c>
      <c r="J1440">
        <f t="shared" si="22"/>
        <v>2</v>
      </c>
    </row>
    <row r="1441" spans="1:10" x14ac:dyDescent="0.25">
      <c r="A1441" t="s">
        <v>1748</v>
      </c>
      <c r="B1441" t="s">
        <v>359</v>
      </c>
      <c r="C1441" t="s">
        <v>262</v>
      </c>
      <c r="D1441" s="1">
        <v>44758</v>
      </c>
      <c r="E1441">
        <v>8</v>
      </c>
      <c r="F1441">
        <v>50.272002025882301</v>
      </c>
      <c r="G1441" s="1">
        <v>44779</v>
      </c>
      <c r="H1441" s="1">
        <v>44778</v>
      </c>
      <c r="I1441">
        <v>402.17601620705801</v>
      </c>
      <c r="J1441">
        <f t="shared" si="22"/>
        <v>-1</v>
      </c>
    </row>
    <row r="1442" spans="1:10" x14ac:dyDescent="0.25">
      <c r="A1442" t="s">
        <v>1749</v>
      </c>
      <c r="B1442" t="s">
        <v>22</v>
      </c>
      <c r="C1442" t="s">
        <v>899</v>
      </c>
      <c r="D1442" s="1">
        <v>44396</v>
      </c>
      <c r="E1442">
        <v>10</v>
      </c>
      <c r="F1442">
        <v>48.3613638507776</v>
      </c>
      <c r="G1442" s="1">
        <v>44416</v>
      </c>
      <c r="H1442" s="1">
        <v>44415</v>
      </c>
      <c r="I1442">
        <v>483.61363850777599</v>
      </c>
      <c r="J1442">
        <f t="shared" si="22"/>
        <v>-1</v>
      </c>
    </row>
    <row r="1443" spans="1:10" x14ac:dyDescent="0.25">
      <c r="A1443" t="s">
        <v>1750</v>
      </c>
      <c r="B1443" t="s">
        <v>124</v>
      </c>
      <c r="C1443" t="s">
        <v>402</v>
      </c>
      <c r="D1443" s="1">
        <v>44761</v>
      </c>
      <c r="E1443">
        <v>8</v>
      </c>
      <c r="F1443">
        <v>21.971102415049099</v>
      </c>
      <c r="G1443" s="1">
        <v>44782</v>
      </c>
      <c r="H1443" s="1">
        <v>44788</v>
      </c>
      <c r="I1443">
        <v>175.768819320392</v>
      </c>
      <c r="J1443">
        <f t="shared" si="22"/>
        <v>6</v>
      </c>
    </row>
    <row r="1444" spans="1:10" x14ac:dyDescent="0.25">
      <c r="A1444" t="s">
        <v>1751</v>
      </c>
      <c r="B1444" t="s">
        <v>135</v>
      </c>
      <c r="C1444" t="s">
        <v>391</v>
      </c>
      <c r="D1444" s="1">
        <v>45375</v>
      </c>
      <c r="E1444">
        <v>9</v>
      </c>
      <c r="F1444">
        <v>43.521670180145797</v>
      </c>
      <c r="G1444" s="1">
        <v>45395</v>
      </c>
      <c r="H1444" s="1">
        <v>45393</v>
      </c>
      <c r="I1444">
        <v>391.69503162131201</v>
      </c>
      <c r="J1444">
        <f t="shared" si="22"/>
        <v>-2</v>
      </c>
    </row>
    <row r="1445" spans="1:10" x14ac:dyDescent="0.25">
      <c r="A1445" t="s">
        <v>1752</v>
      </c>
      <c r="B1445" t="s">
        <v>482</v>
      </c>
      <c r="C1445" t="s">
        <v>23</v>
      </c>
      <c r="D1445" s="1">
        <v>44985</v>
      </c>
      <c r="E1445">
        <v>7</v>
      </c>
      <c r="F1445">
        <v>62.074992630392003</v>
      </c>
      <c r="G1445" s="1">
        <v>45002</v>
      </c>
      <c r="H1445" s="1">
        <v>45007</v>
      </c>
      <c r="I1445">
        <v>434.52494841274398</v>
      </c>
      <c r="J1445">
        <f t="shared" si="22"/>
        <v>5</v>
      </c>
    </row>
    <row r="1446" spans="1:10" x14ac:dyDescent="0.25">
      <c r="A1446" t="s">
        <v>1753</v>
      </c>
      <c r="B1446" t="s">
        <v>64</v>
      </c>
      <c r="C1446" t="s">
        <v>23</v>
      </c>
      <c r="D1446" s="1">
        <v>45388</v>
      </c>
      <c r="E1446">
        <v>12</v>
      </c>
      <c r="F1446">
        <v>73.701016160614003</v>
      </c>
      <c r="G1446" s="1">
        <v>45399</v>
      </c>
      <c r="H1446" s="1">
        <v>45405</v>
      </c>
      <c r="I1446">
        <v>884.41219392736798</v>
      </c>
      <c r="J1446">
        <f t="shared" si="22"/>
        <v>6</v>
      </c>
    </row>
    <row r="1447" spans="1:10" x14ac:dyDescent="0.25">
      <c r="A1447" t="s">
        <v>1754</v>
      </c>
      <c r="B1447" t="s">
        <v>314</v>
      </c>
      <c r="C1447" t="s">
        <v>629</v>
      </c>
      <c r="D1447" s="1">
        <v>45198</v>
      </c>
      <c r="E1447">
        <v>11</v>
      </c>
      <c r="F1447">
        <v>67.131756025726006</v>
      </c>
      <c r="G1447" s="1">
        <v>45208</v>
      </c>
      <c r="H1447" s="1">
        <v>45212</v>
      </c>
      <c r="I1447">
        <v>738.44931628298696</v>
      </c>
      <c r="J1447">
        <f t="shared" si="22"/>
        <v>4</v>
      </c>
    </row>
    <row r="1448" spans="1:10" x14ac:dyDescent="0.25">
      <c r="A1448" t="s">
        <v>1755</v>
      </c>
      <c r="B1448" t="s">
        <v>43</v>
      </c>
      <c r="C1448" t="s">
        <v>77</v>
      </c>
      <c r="D1448" s="1">
        <v>45090</v>
      </c>
      <c r="E1448">
        <v>11</v>
      </c>
      <c r="F1448">
        <v>56.9787270253534</v>
      </c>
      <c r="G1448" s="1">
        <v>45110</v>
      </c>
      <c r="H1448" s="1">
        <v>45114</v>
      </c>
      <c r="I1448">
        <v>626.76599727888799</v>
      </c>
      <c r="J1448">
        <f t="shared" si="22"/>
        <v>4</v>
      </c>
    </row>
    <row r="1449" spans="1:10" x14ac:dyDescent="0.25">
      <c r="A1449" t="s">
        <v>1756</v>
      </c>
      <c r="B1449" t="s">
        <v>121</v>
      </c>
      <c r="C1449" t="s">
        <v>297</v>
      </c>
      <c r="D1449" s="1">
        <v>44765</v>
      </c>
      <c r="E1449">
        <v>18</v>
      </c>
      <c r="F1449">
        <v>51.3568591913129</v>
      </c>
      <c r="G1449" s="1">
        <v>44784</v>
      </c>
      <c r="H1449" s="1">
        <v>44787</v>
      </c>
      <c r="I1449">
        <v>924.42346544363204</v>
      </c>
      <c r="J1449">
        <f t="shared" si="22"/>
        <v>3</v>
      </c>
    </row>
    <row r="1450" spans="1:10" x14ac:dyDescent="0.25">
      <c r="A1450" t="s">
        <v>1757</v>
      </c>
      <c r="B1450" t="s">
        <v>359</v>
      </c>
      <c r="C1450" t="s">
        <v>268</v>
      </c>
      <c r="D1450" s="1">
        <v>44877</v>
      </c>
      <c r="E1450">
        <v>16</v>
      </c>
      <c r="F1450">
        <v>64.365162518546001</v>
      </c>
      <c r="G1450" s="1">
        <v>44892</v>
      </c>
      <c r="H1450" s="1">
        <v>44891</v>
      </c>
      <c r="I1450">
        <v>1029.8426002967301</v>
      </c>
      <c r="J1450">
        <f t="shared" si="22"/>
        <v>-1</v>
      </c>
    </row>
    <row r="1451" spans="1:10" x14ac:dyDescent="0.25">
      <c r="A1451" t="s">
        <v>1758</v>
      </c>
      <c r="B1451" t="s">
        <v>340</v>
      </c>
      <c r="C1451" t="s">
        <v>11</v>
      </c>
      <c r="D1451" s="1">
        <v>44369</v>
      </c>
      <c r="E1451">
        <v>10</v>
      </c>
      <c r="F1451">
        <v>9.3936976271575805</v>
      </c>
      <c r="G1451" s="1">
        <v>44384</v>
      </c>
      <c r="H1451" s="1">
        <v>44387</v>
      </c>
      <c r="I1451">
        <v>93.936976271575801</v>
      </c>
      <c r="J1451">
        <f t="shared" si="22"/>
        <v>3</v>
      </c>
    </row>
    <row r="1452" spans="1:10" x14ac:dyDescent="0.25">
      <c r="A1452" t="s">
        <v>1759</v>
      </c>
      <c r="B1452" t="s">
        <v>493</v>
      </c>
      <c r="C1452" t="s">
        <v>304</v>
      </c>
      <c r="D1452" s="1">
        <v>44715</v>
      </c>
      <c r="E1452">
        <v>16</v>
      </c>
      <c r="F1452">
        <v>39.360157904399799</v>
      </c>
      <c r="G1452" s="1">
        <v>44732</v>
      </c>
      <c r="H1452" s="1">
        <v>44732</v>
      </c>
      <c r="I1452">
        <v>629.76252647039701</v>
      </c>
      <c r="J1452">
        <f t="shared" si="22"/>
        <v>0</v>
      </c>
    </row>
    <row r="1453" spans="1:10" x14ac:dyDescent="0.25">
      <c r="A1453" t="s">
        <v>1760</v>
      </c>
      <c r="B1453" t="s">
        <v>34</v>
      </c>
      <c r="C1453" t="s">
        <v>380</v>
      </c>
      <c r="D1453" s="1">
        <v>44662</v>
      </c>
      <c r="E1453">
        <v>12</v>
      </c>
      <c r="F1453">
        <v>42.865119636349597</v>
      </c>
      <c r="G1453" s="1">
        <v>44673</v>
      </c>
      <c r="H1453" s="1">
        <v>44676</v>
      </c>
      <c r="I1453">
        <v>514.38143563619496</v>
      </c>
      <c r="J1453">
        <f t="shared" si="22"/>
        <v>3</v>
      </c>
    </row>
    <row r="1454" spans="1:10" x14ac:dyDescent="0.25">
      <c r="A1454" t="s">
        <v>1761</v>
      </c>
      <c r="B1454" t="s">
        <v>88</v>
      </c>
      <c r="C1454" t="s">
        <v>245</v>
      </c>
      <c r="D1454" s="1">
        <v>44803</v>
      </c>
      <c r="E1454">
        <v>14</v>
      </c>
      <c r="F1454">
        <v>7.43709683802975</v>
      </c>
      <c r="G1454" s="1">
        <v>44816</v>
      </c>
      <c r="H1454" s="1">
        <v>44813</v>
      </c>
      <c r="I1454">
        <v>104.119355732416</v>
      </c>
      <c r="J1454">
        <f t="shared" si="22"/>
        <v>-3</v>
      </c>
    </row>
    <row r="1455" spans="1:10" x14ac:dyDescent="0.25">
      <c r="A1455" t="s">
        <v>1762</v>
      </c>
      <c r="B1455" t="s">
        <v>394</v>
      </c>
      <c r="C1455" t="s">
        <v>20</v>
      </c>
      <c r="D1455" s="1">
        <v>44253</v>
      </c>
      <c r="E1455">
        <v>9</v>
      </c>
      <c r="F1455">
        <v>25.354489744046699</v>
      </c>
      <c r="G1455" s="1">
        <v>44263</v>
      </c>
      <c r="H1455" s="1">
        <v>44268</v>
      </c>
      <c r="I1455">
        <v>228.190407696421</v>
      </c>
      <c r="J1455">
        <f t="shared" si="22"/>
        <v>5</v>
      </c>
    </row>
    <row r="1456" spans="1:10" x14ac:dyDescent="0.25">
      <c r="A1456" t="s">
        <v>1763</v>
      </c>
      <c r="B1456" t="s">
        <v>751</v>
      </c>
      <c r="C1456" t="s">
        <v>763</v>
      </c>
      <c r="D1456" s="1">
        <v>44270</v>
      </c>
      <c r="E1456">
        <v>9</v>
      </c>
      <c r="F1456">
        <v>16.319929128671699</v>
      </c>
      <c r="G1456" s="1">
        <v>44289</v>
      </c>
      <c r="H1456" s="1">
        <v>44293</v>
      </c>
      <c r="I1456">
        <v>146.87936215804501</v>
      </c>
      <c r="J1456">
        <f t="shared" si="22"/>
        <v>4</v>
      </c>
    </row>
    <row r="1457" spans="1:10" x14ac:dyDescent="0.25">
      <c r="A1457" t="s">
        <v>1764</v>
      </c>
      <c r="B1457" t="s">
        <v>482</v>
      </c>
      <c r="C1457" t="s">
        <v>23</v>
      </c>
      <c r="D1457" s="1">
        <v>45236</v>
      </c>
      <c r="E1457">
        <v>13</v>
      </c>
      <c r="F1457">
        <v>53.638430235015797</v>
      </c>
      <c r="G1457" s="1">
        <v>45257</v>
      </c>
      <c r="H1457" s="1">
        <v>45257</v>
      </c>
      <c r="I1457">
        <v>697.29959305520504</v>
      </c>
      <c r="J1457">
        <f t="shared" si="22"/>
        <v>0</v>
      </c>
    </row>
    <row r="1458" spans="1:10" x14ac:dyDescent="0.25">
      <c r="A1458" t="s">
        <v>1765</v>
      </c>
      <c r="B1458" t="s">
        <v>267</v>
      </c>
      <c r="C1458" t="s">
        <v>444</v>
      </c>
      <c r="D1458" s="1">
        <v>45167</v>
      </c>
      <c r="E1458">
        <v>12</v>
      </c>
      <c r="F1458">
        <v>64.616809639543902</v>
      </c>
      <c r="G1458" s="1">
        <v>45185</v>
      </c>
      <c r="H1458" s="1">
        <v>45186</v>
      </c>
      <c r="I1458">
        <v>775.40171567452603</v>
      </c>
      <c r="J1458">
        <f t="shared" si="22"/>
        <v>1</v>
      </c>
    </row>
    <row r="1459" spans="1:10" x14ac:dyDescent="0.25">
      <c r="A1459" t="s">
        <v>1766</v>
      </c>
      <c r="B1459" t="s">
        <v>227</v>
      </c>
      <c r="C1459" t="s">
        <v>71</v>
      </c>
      <c r="D1459" s="1">
        <v>44580</v>
      </c>
      <c r="E1459">
        <v>8</v>
      </c>
      <c r="F1459">
        <v>54.460881031760202</v>
      </c>
      <c r="G1459" s="1">
        <v>44603</v>
      </c>
      <c r="H1459" s="1">
        <v>44602</v>
      </c>
      <c r="I1459">
        <v>435.68704825408099</v>
      </c>
      <c r="J1459">
        <f t="shared" si="22"/>
        <v>-1</v>
      </c>
    </row>
    <row r="1460" spans="1:10" x14ac:dyDescent="0.25">
      <c r="A1460" t="s">
        <v>1767</v>
      </c>
      <c r="B1460" t="s">
        <v>301</v>
      </c>
      <c r="C1460" t="s">
        <v>177</v>
      </c>
      <c r="D1460" s="1">
        <v>45173</v>
      </c>
      <c r="E1460">
        <v>12</v>
      </c>
      <c r="F1460">
        <v>73.323046272091304</v>
      </c>
      <c r="G1460" s="1">
        <v>45186</v>
      </c>
      <c r="H1460" s="1">
        <v>45188</v>
      </c>
      <c r="I1460">
        <v>879.87655526509604</v>
      </c>
      <c r="J1460">
        <f t="shared" si="22"/>
        <v>2</v>
      </c>
    </row>
    <row r="1461" spans="1:10" x14ac:dyDescent="0.25">
      <c r="A1461" t="s">
        <v>1768</v>
      </c>
      <c r="B1461" t="s">
        <v>119</v>
      </c>
      <c r="C1461" t="s">
        <v>759</v>
      </c>
      <c r="D1461" s="1">
        <v>45153</v>
      </c>
      <c r="E1461">
        <v>19</v>
      </c>
      <c r="F1461">
        <v>58.859678192971103</v>
      </c>
      <c r="G1461" s="1">
        <v>45168</v>
      </c>
      <c r="H1461" s="1">
        <v>45170</v>
      </c>
      <c r="I1461">
        <v>1118.33388566645</v>
      </c>
      <c r="J1461">
        <f t="shared" si="22"/>
        <v>2</v>
      </c>
    </row>
    <row r="1462" spans="1:10" x14ac:dyDescent="0.25">
      <c r="A1462" t="s">
        <v>1769</v>
      </c>
      <c r="B1462" t="s">
        <v>556</v>
      </c>
      <c r="C1462" t="s">
        <v>187</v>
      </c>
      <c r="D1462" s="1">
        <v>44588</v>
      </c>
      <c r="E1462">
        <v>13</v>
      </c>
      <c r="F1462">
        <v>56.413602005694798</v>
      </c>
      <c r="G1462" s="1">
        <v>44602</v>
      </c>
      <c r="H1462" s="1">
        <v>44605</v>
      </c>
      <c r="I1462">
        <v>733.37682607403303</v>
      </c>
      <c r="J1462">
        <f t="shared" si="22"/>
        <v>3</v>
      </c>
    </row>
    <row r="1463" spans="1:10" x14ac:dyDescent="0.25">
      <c r="A1463" t="s">
        <v>1770</v>
      </c>
      <c r="B1463" t="s">
        <v>124</v>
      </c>
      <c r="C1463" t="s">
        <v>627</v>
      </c>
      <c r="D1463" s="1">
        <v>45159</v>
      </c>
      <c r="E1463">
        <v>9</v>
      </c>
      <c r="F1463">
        <v>21.878442724355398</v>
      </c>
      <c r="G1463" s="1">
        <v>45175</v>
      </c>
      <c r="H1463" s="1">
        <v>45176</v>
      </c>
      <c r="I1463">
        <v>196.905984519198</v>
      </c>
      <c r="J1463">
        <f t="shared" si="22"/>
        <v>1</v>
      </c>
    </row>
    <row r="1464" spans="1:10" x14ac:dyDescent="0.25">
      <c r="A1464" t="s">
        <v>1771</v>
      </c>
      <c r="B1464" t="s">
        <v>198</v>
      </c>
      <c r="C1464" t="s">
        <v>220</v>
      </c>
      <c r="D1464" s="1">
        <v>44342</v>
      </c>
      <c r="E1464">
        <v>4</v>
      </c>
      <c r="F1464">
        <v>71.553076330738605</v>
      </c>
      <c r="G1464" s="1">
        <v>44358</v>
      </c>
      <c r="H1464" s="1">
        <v>44360</v>
      </c>
      <c r="I1464">
        <v>286.21230532295402</v>
      </c>
      <c r="J1464">
        <f t="shared" si="22"/>
        <v>2</v>
      </c>
    </row>
    <row r="1465" spans="1:10" x14ac:dyDescent="0.25">
      <c r="A1465" t="s">
        <v>1772</v>
      </c>
      <c r="B1465" t="s">
        <v>321</v>
      </c>
      <c r="C1465" t="s">
        <v>182</v>
      </c>
      <c r="D1465" s="1">
        <v>44441</v>
      </c>
      <c r="E1465">
        <v>9</v>
      </c>
      <c r="F1465">
        <v>25.963106009767898</v>
      </c>
      <c r="G1465" s="1">
        <v>44451</v>
      </c>
      <c r="H1465" s="1">
        <v>44448</v>
      </c>
      <c r="I1465">
        <v>233.66795408791199</v>
      </c>
      <c r="J1465">
        <f t="shared" si="22"/>
        <v>-3</v>
      </c>
    </row>
    <row r="1466" spans="1:10" x14ac:dyDescent="0.25">
      <c r="A1466" t="s">
        <v>1773</v>
      </c>
      <c r="B1466" t="s">
        <v>295</v>
      </c>
      <c r="C1466" t="s">
        <v>276</v>
      </c>
      <c r="D1466" s="1">
        <v>45041</v>
      </c>
      <c r="E1466">
        <v>15</v>
      </c>
      <c r="F1466">
        <v>64.178722828741499</v>
      </c>
      <c r="G1466" s="1">
        <v>45061</v>
      </c>
      <c r="H1466" s="1">
        <v>45065</v>
      </c>
      <c r="I1466">
        <v>962.68084243112298</v>
      </c>
      <c r="J1466">
        <f t="shared" si="22"/>
        <v>4</v>
      </c>
    </row>
    <row r="1467" spans="1:10" x14ac:dyDescent="0.25">
      <c r="A1467" t="s">
        <v>1774</v>
      </c>
      <c r="B1467" t="s">
        <v>250</v>
      </c>
      <c r="C1467" t="s">
        <v>208</v>
      </c>
      <c r="D1467" s="1">
        <v>45124</v>
      </c>
      <c r="E1467">
        <v>11</v>
      </c>
      <c r="F1467">
        <v>30.1859985092754</v>
      </c>
      <c r="G1467" s="1">
        <v>45137</v>
      </c>
      <c r="H1467" s="1">
        <v>45138</v>
      </c>
      <c r="I1467">
        <v>332.04598360202903</v>
      </c>
      <c r="J1467">
        <f t="shared" si="22"/>
        <v>1</v>
      </c>
    </row>
    <row r="1468" spans="1:10" x14ac:dyDescent="0.25">
      <c r="A1468" t="s">
        <v>1775</v>
      </c>
      <c r="B1468" t="s">
        <v>379</v>
      </c>
      <c r="C1468" t="s">
        <v>220</v>
      </c>
      <c r="D1468" s="1">
        <v>44568</v>
      </c>
      <c r="E1468">
        <v>15</v>
      </c>
      <c r="F1468">
        <v>52.052918015514699</v>
      </c>
      <c r="G1468" s="1">
        <v>44581</v>
      </c>
      <c r="H1468" s="1">
        <v>44584</v>
      </c>
      <c r="I1468">
        <v>780.79377023272002</v>
      </c>
      <c r="J1468">
        <f t="shared" si="22"/>
        <v>3</v>
      </c>
    </row>
    <row r="1469" spans="1:10" x14ac:dyDescent="0.25">
      <c r="A1469" t="s">
        <v>1776</v>
      </c>
      <c r="B1469" t="s">
        <v>556</v>
      </c>
      <c r="C1469" t="s">
        <v>581</v>
      </c>
      <c r="D1469" s="1">
        <v>44934</v>
      </c>
      <c r="E1469">
        <v>16</v>
      </c>
      <c r="F1469">
        <v>13.0722328174847</v>
      </c>
      <c r="G1469" s="1">
        <v>44944</v>
      </c>
      <c r="H1469" s="1">
        <v>44941</v>
      </c>
      <c r="I1469">
        <v>209.155725079756</v>
      </c>
      <c r="J1469">
        <f t="shared" si="22"/>
        <v>-3</v>
      </c>
    </row>
    <row r="1470" spans="1:10" x14ac:dyDescent="0.25">
      <c r="A1470" t="s">
        <v>1777</v>
      </c>
      <c r="B1470" t="s">
        <v>179</v>
      </c>
      <c r="C1470" t="s">
        <v>268</v>
      </c>
      <c r="D1470" s="1">
        <v>45273</v>
      </c>
      <c r="E1470">
        <v>6</v>
      </c>
      <c r="F1470">
        <v>78.814290531283703</v>
      </c>
      <c r="G1470" s="1">
        <v>45294</v>
      </c>
      <c r="H1470" s="1">
        <v>45293</v>
      </c>
      <c r="I1470">
        <v>472.88574318770202</v>
      </c>
      <c r="J1470">
        <f t="shared" si="22"/>
        <v>-1</v>
      </c>
    </row>
    <row r="1471" spans="1:10" x14ac:dyDescent="0.25">
      <c r="A1471" t="s">
        <v>1778</v>
      </c>
      <c r="B1471" t="s">
        <v>314</v>
      </c>
      <c r="C1471" t="s">
        <v>547</v>
      </c>
      <c r="D1471" s="1">
        <v>45384</v>
      </c>
      <c r="E1471">
        <v>10</v>
      </c>
      <c r="F1471">
        <v>73.908711507441495</v>
      </c>
      <c r="G1471" s="1">
        <v>45400</v>
      </c>
      <c r="H1471" s="1">
        <v>45406</v>
      </c>
      <c r="I1471">
        <v>739.08711507441501</v>
      </c>
      <c r="J1471">
        <f t="shared" si="22"/>
        <v>6</v>
      </c>
    </row>
    <row r="1472" spans="1:10" x14ac:dyDescent="0.25">
      <c r="A1472" t="s">
        <v>1779</v>
      </c>
      <c r="B1472" t="s">
        <v>198</v>
      </c>
      <c r="C1472" t="s">
        <v>304</v>
      </c>
      <c r="D1472" s="1">
        <v>44780</v>
      </c>
      <c r="E1472">
        <v>9</v>
      </c>
      <c r="F1472">
        <v>15.8917453297628</v>
      </c>
      <c r="G1472" s="1">
        <v>44800</v>
      </c>
      <c r="H1472" s="1">
        <v>44804</v>
      </c>
      <c r="I1472">
        <v>143.025707967865</v>
      </c>
      <c r="J1472">
        <f t="shared" si="22"/>
        <v>4</v>
      </c>
    </row>
    <row r="1473" spans="1:10" x14ac:dyDescent="0.25">
      <c r="A1473" t="s">
        <v>1780</v>
      </c>
      <c r="B1473" t="s">
        <v>242</v>
      </c>
      <c r="C1473" t="s">
        <v>540</v>
      </c>
      <c r="D1473" s="1">
        <v>44205</v>
      </c>
      <c r="E1473">
        <v>13</v>
      </c>
      <c r="F1473">
        <v>4.99719448630381</v>
      </c>
      <c r="G1473" s="1">
        <v>44228</v>
      </c>
      <c r="H1473" s="1">
        <v>44233</v>
      </c>
      <c r="I1473">
        <v>64.963528321949596</v>
      </c>
      <c r="J1473">
        <f t="shared" si="22"/>
        <v>5</v>
      </c>
    </row>
    <row r="1474" spans="1:10" x14ac:dyDescent="0.25">
      <c r="A1474" t="s">
        <v>1781</v>
      </c>
      <c r="B1474" t="s">
        <v>25</v>
      </c>
      <c r="C1474" t="s">
        <v>344</v>
      </c>
      <c r="D1474" s="1">
        <v>44988</v>
      </c>
      <c r="E1474">
        <v>7</v>
      </c>
      <c r="F1474">
        <v>9.9700847622080797</v>
      </c>
      <c r="G1474" s="1">
        <v>45009</v>
      </c>
      <c r="H1474" s="1">
        <v>45011</v>
      </c>
      <c r="I1474">
        <v>69.790593335456506</v>
      </c>
      <c r="J1474">
        <f t="shared" si="22"/>
        <v>2</v>
      </c>
    </row>
    <row r="1475" spans="1:10" x14ac:dyDescent="0.25">
      <c r="A1475" t="s">
        <v>1782</v>
      </c>
      <c r="B1475" t="s">
        <v>295</v>
      </c>
      <c r="C1475" t="s">
        <v>238</v>
      </c>
      <c r="D1475" s="1">
        <v>45258</v>
      </c>
      <c r="E1475">
        <v>4</v>
      </c>
      <c r="F1475">
        <v>11.5788285408495</v>
      </c>
      <c r="G1475" s="1">
        <v>45270</v>
      </c>
      <c r="H1475" s="1">
        <v>45269</v>
      </c>
      <c r="I1475">
        <v>46.315314163398</v>
      </c>
      <c r="J1475">
        <f t="shared" ref="J1475:J1538" si="23">H1475-G1475</f>
        <v>-1</v>
      </c>
    </row>
    <row r="1476" spans="1:10" x14ac:dyDescent="0.25">
      <c r="A1476" t="s">
        <v>1783</v>
      </c>
      <c r="B1476" t="s">
        <v>64</v>
      </c>
      <c r="C1476" t="s">
        <v>195</v>
      </c>
      <c r="D1476" s="1">
        <v>44278</v>
      </c>
      <c r="E1476">
        <v>13</v>
      </c>
      <c r="F1476">
        <v>61.313199129231997</v>
      </c>
      <c r="G1476" s="1">
        <v>44294</v>
      </c>
      <c r="H1476" s="1">
        <v>44293</v>
      </c>
      <c r="I1476">
        <v>797.07158868001602</v>
      </c>
      <c r="J1476">
        <f t="shared" si="23"/>
        <v>-1</v>
      </c>
    </row>
    <row r="1477" spans="1:10" x14ac:dyDescent="0.25">
      <c r="A1477" t="s">
        <v>1784</v>
      </c>
      <c r="B1477" t="s">
        <v>135</v>
      </c>
      <c r="C1477" t="s">
        <v>177</v>
      </c>
      <c r="D1477" s="1">
        <v>45008</v>
      </c>
      <c r="E1477">
        <v>14</v>
      </c>
      <c r="F1477">
        <v>41.210957612129903</v>
      </c>
      <c r="G1477" s="1">
        <v>45026</v>
      </c>
      <c r="H1477" s="1">
        <v>45030</v>
      </c>
      <c r="I1477">
        <v>576.95340656981898</v>
      </c>
      <c r="J1477">
        <f t="shared" si="23"/>
        <v>4</v>
      </c>
    </row>
    <row r="1478" spans="1:10" x14ac:dyDescent="0.25">
      <c r="A1478" t="s">
        <v>1785</v>
      </c>
      <c r="B1478" t="s">
        <v>399</v>
      </c>
      <c r="C1478" t="s">
        <v>192</v>
      </c>
      <c r="D1478" s="1">
        <v>44667</v>
      </c>
      <c r="E1478">
        <v>16</v>
      </c>
      <c r="F1478">
        <v>61.204205220523399</v>
      </c>
      <c r="G1478" s="1">
        <v>44687</v>
      </c>
      <c r="H1478" s="1">
        <v>44692</v>
      </c>
      <c r="I1478">
        <v>979.26728352837404</v>
      </c>
      <c r="J1478">
        <f t="shared" si="23"/>
        <v>5</v>
      </c>
    </row>
    <row r="1479" spans="1:10" x14ac:dyDescent="0.25">
      <c r="A1479" t="s">
        <v>1786</v>
      </c>
      <c r="B1479" t="s">
        <v>205</v>
      </c>
      <c r="C1479" t="s">
        <v>661</v>
      </c>
      <c r="D1479" s="1">
        <v>44521</v>
      </c>
      <c r="E1479">
        <v>10</v>
      </c>
      <c r="F1479">
        <v>70.015481780485501</v>
      </c>
      <c r="G1479" s="1">
        <v>44531</v>
      </c>
      <c r="H1479" s="1">
        <v>44532</v>
      </c>
      <c r="I1479">
        <v>700.15481780485504</v>
      </c>
      <c r="J1479">
        <f t="shared" si="23"/>
        <v>1</v>
      </c>
    </row>
    <row r="1480" spans="1:10" x14ac:dyDescent="0.25">
      <c r="A1480" t="s">
        <v>1787</v>
      </c>
      <c r="B1480" t="s">
        <v>399</v>
      </c>
      <c r="C1480" t="s">
        <v>302</v>
      </c>
      <c r="D1480" s="1">
        <v>45131</v>
      </c>
      <c r="E1480">
        <v>12</v>
      </c>
      <c r="F1480">
        <v>61.6509381453914</v>
      </c>
      <c r="G1480" s="1">
        <v>45152</v>
      </c>
      <c r="H1480" s="1">
        <v>45154</v>
      </c>
      <c r="I1480">
        <v>739.81125774469695</v>
      </c>
      <c r="J1480">
        <f t="shared" si="23"/>
        <v>2</v>
      </c>
    </row>
    <row r="1481" spans="1:10" x14ac:dyDescent="0.25">
      <c r="A1481" t="s">
        <v>1788</v>
      </c>
      <c r="B1481" t="s">
        <v>135</v>
      </c>
      <c r="C1481" t="s">
        <v>170</v>
      </c>
      <c r="D1481" s="1">
        <v>44405</v>
      </c>
      <c r="E1481">
        <v>11</v>
      </c>
      <c r="F1481">
        <v>66.120531865760498</v>
      </c>
      <c r="G1481" s="1">
        <v>44425</v>
      </c>
      <c r="H1481" s="1">
        <v>44423</v>
      </c>
      <c r="I1481">
        <v>727.32585052336594</v>
      </c>
      <c r="J1481">
        <f t="shared" si="23"/>
        <v>-2</v>
      </c>
    </row>
    <row r="1482" spans="1:10" x14ac:dyDescent="0.25">
      <c r="A1482" t="s">
        <v>1789</v>
      </c>
      <c r="B1482" t="s">
        <v>556</v>
      </c>
      <c r="C1482" t="s">
        <v>489</v>
      </c>
      <c r="D1482" s="1">
        <v>45223</v>
      </c>
      <c r="E1482">
        <v>9</v>
      </c>
      <c r="F1482">
        <v>25.975859243969399</v>
      </c>
      <c r="G1482" s="1">
        <v>45244</v>
      </c>
      <c r="H1482" s="1">
        <v>45246</v>
      </c>
      <c r="I1482">
        <v>233.782733195725</v>
      </c>
      <c r="J1482">
        <f t="shared" si="23"/>
        <v>2</v>
      </c>
    </row>
    <row r="1483" spans="1:10" x14ac:dyDescent="0.25">
      <c r="A1483" t="s">
        <v>1790</v>
      </c>
      <c r="B1483" t="s">
        <v>143</v>
      </c>
      <c r="C1483" t="s">
        <v>437</v>
      </c>
      <c r="D1483" s="1">
        <v>44606</v>
      </c>
      <c r="E1483">
        <v>17</v>
      </c>
      <c r="F1483">
        <v>53.166592377103903</v>
      </c>
      <c r="G1483" s="1">
        <v>44628</v>
      </c>
      <c r="H1483" s="1">
        <v>44631</v>
      </c>
      <c r="I1483">
        <v>903.83207041076696</v>
      </c>
      <c r="J1483">
        <f t="shared" si="23"/>
        <v>3</v>
      </c>
    </row>
    <row r="1484" spans="1:10" x14ac:dyDescent="0.25">
      <c r="A1484" t="s">
        <v>1791</v>
      </c>
      <c r="B1484" t="s">
        <v>37</v>
      </c>
      <c r="C1484" t="s">
        <v>489</v>
      </c>
      <c r="D1484" s="1">
        <v>44238</v>
      </c>
      <c r="E1484">
        <v>11</v>
      </c>
      <c r="F1484">
        <v>76.741292202984198</v>
      </c>
      <c r="G1484" s="1">
        <v>44259</v>
      </c>
      <c r="H1484" s="1">
        <v>44263</v>
      </c>
      <c r="I1484">
        <v>844.15421423282601</v>
      </c>
      <c r="J1484">
        <f t="shared" si="23"/>
        <v>4</v>
      </c>
    </row>
    <row r="1485" spans="1:10" x14ac:dyDescent="0.25">
      <c r="A1485" t="s">
        <v>1792</v>
      </c>
      <c r="B1485" t="s">
        <v>247</v>
      </c>
      <c r="C1485" t="s">
        <v>274</v>
      </c>
      <c r="D1485" s="1">
        <v>44710</v>
      </c>
      <c r="E1485">
        <v>12</v>
      </c>
      <c r="F1485">
        <v>6.0287813740533203</v>
      </c>
      <c r="G1485" s="1">
        <v>44730</v>
      </c>
      <c r="H1485" s="1">
        <v>44735</v>
      </c>
      <c r="I1485">
        <v>72.3453764886399</v>
      </c>
      <c r="J1485">
        <f t="shared" si="23"/>
        <v>5</v>
      </c>
    </row>
    <row r="1486" spans="1:10" x14ac:dyDescent="0.25">
      <c r="A1486" t="s">
        <v>1793</v>
      </c>
      <c r="B1486" t="s">
        <v>61</v>
      </c>
      <c r="C1486" t="s">
        <v>415</v>
      </c>
      <c r="D1486" s="1">
        <v>44199</v>
      </c>
      <c r="E1486">
        <v>10</v>
      </c>
      <c r="F1486">
        <v>5.6077980261942901</v>
      </c>
      <c r="G1486" s="1">
        <v>44216</v>
      </c>
      <c r="H1486" s="1">
        <v>44213</v>
      </c>
      <c r="I1486">
        <v>56.077980261942898</v>
      </c>
      <c r="J1486">
        <f t="shared" si="23"/>
        <v>-3</v>
      </c>
    </row>
    <row r="1487" spans="1:10" x14ac:dyDescent="0.25">
      <c r="A1487" t="s">
        <v>1794</v>
      </c>
      <c r="B1487" t="s">
        <v>340</v>
      </c>
      <c r="C1487" t="s">
        <v>172</v>
      </c>
      <c r="D1487" s="1">
        <v>44924</v>
      </c>
      <c r="E1487">
        <v>7</v>
      </c>
      <c r="F1487">
        <v>38.094171493635002</v>
      </c>
      <c r="G1487" s="1">
        <v>44937</v>
      </c>
      <c r="H1487" s="1">
        <v>44934</v>
      </c>
      <c r="I1487">
        <v>266.65920045544499</v>
      </c>
      <c r="J1487">
        <f t="shared" si="23"/>
        <v>-3</v>
      </c>
    </row>
    <row r="1488" spans="1:10" x14ac:dyDescent="0.25">
      <c r="A1488" t="s">
        <v>1795</v>
      </c>
      <c r="B1488" t="s">
        <v>121</v>
      </c>
      <c r="C1488" t="s">
        <v>385</v>
      </c>
      <c r="D1488" s="1">
        <v>44490</v>
      </c>
      <c r="E1488">
        <v>12</v>
      </c>
      <c r="F1488">
        <v>48.715541847691298</v>
      </c>
      <c r="G1488" s="1">
        <v>44506</v>
      </c>
      <c r="H1488" s="1">
        <v>44507</v>
      </c>
      <c r="I1488">
        <v>584.58650217229604</v>
      </c>
      <c r="J1488">
        <f t="shared" si="23"/>
        <v>1</v>
      </c>
    </row>
    <row r="1489" spans="1:10" x14ac:dyDescent="0.25">
      <c r="A1489" t="s">
        <v>1796</v>
      </c>
      <c r="B1489" t="s">
        <v>22</v>
      </c>
      <c r="C1489" t="s">
        <v>400</v>
      </c>
      <c r="D1489" s="1">
        <v>44812</v>
      </c>
      <c r="E1489">
        <v>11</v>
      </c>
      <c r="F1489">
        <v>50.112755315122399</v>
      </c>
      <c r="G1489" s="1">
        <v>44831</v>
      </c>
      <c r="H1489" s="1">
        <v>44833</v>
      </c>
      <c r="I1489">
        <v>551.24030846634605</v>
      </c>
      <c r="J1489">
        <f t="shared" si="23"/>
        <v>2</v>
      </c>
    </row>
    <row r="1490" spans="1:10" x14ac:dyDescent="0.25">
      <c r="A1490" t="s">
        <v>1797</v>
      </c>
      <c r="B1490" t="s">
        <v>104</v>
      </c>
      <c r="C1490" t="s">
        <v>235</v>
      </c>
      <c r="D1490" s="1">
        <v>45274</v>
      </c>
      <c r="E1490">
        <v>6</v>
      </c>
      <c r="F1490">
        <v>25.559257714444801</v>
      </c>
      <c r="G1490" s="1">
        <v>45290</v>
      </c>
      <c r="H1490" s="1">
        <v>45293</v>
      </c>
      <c r="I1490">
        <v>153.35554628666901</v>
      </c>
      <c r="J1490">
        <f t="shared" si="23"/>
        <v>3</v>
      </c>
    </row>
    <row r="1491" spans="1:10" x14ac:dyDescent="0.25">
      <c r="A1491" t="s">
        <v>1798</v>
      </c>
      <c r="B1491" t="s">
        <v>31</v>
      </c>
      <c r="C1491" t="s">
        <v>262</v>
      </c>
      <c r="D1491" s="1">
        <v>45187</v>
      </c>
      <c r="E1491">
        <v>14</v>
      </c>
      <c r="F1491">
        <v>77.008535120746501</v>
      </c>
      <c r="G1491" s="1">
        <v>45206</v>
      </c>
      <c r="H1491" s="1">
        <v>45205</v>
      </c>
      <c r="I1491">
        <v>1078.1194916904501</v>
      </c>
      <c r="J1491">
        <f t="shared" si="23"/>
        <v>-1</v>
      </c>
    </row>
    <row r="1492" spans="1:10" x14ac:dyDescent="0.25">
      <c r="A1492" t="s">
        <v>1799</v>
      </c>
      <c r="B1492" t="s">
        <v>82</v>
      </c>
      <c r="C1492" t="s">
        <v>818</v>
      </c>
      <c r="D1492" s="1">
        <v>44990</v>
      </c>
      <c r="E1492">
        <v>11</v>
      </c>
      <c r="F1492">
        <v>46.338600750965703</v>
      </c>
      <c r="G1492" s="1">
        <v>45010</v>
      </c>
      <c r="H1492" s="1">
        <v>45008</v>
      </c>
      <c r="I1492">
        <v>509.72460826062297</v>
      </c>
      <c r="J1492">
        <f t="shared" si="23"/>
        <v>-2</v>
      </c>
    </row>
    <row r="1493" spans="1:10" x14ac:dyDescent="0.25">
      <c r="A1493" t="s">
        <v>1800</v>
      </c>
      <c r="B1493" t="s">
        <v>250</v>
      </c>
      <c r="C1493" t="s">
        <v>141</v>
      </c>
      <c r="D1493" s="1">
        <v>44857</v>
      </c>
      <c r="E1493">
        <v>11</v>
      </c>
      <c r="F1493">
        <v>44.4644311775631</v>
      </c>
      <c r="G1493" s="1">
        <v>44868</v>
      </c>
      <c r="H1493" s="1">
        <v>44868</v>
      </c>
      <c r="I1493">
        <v>489.108742953194</v>
      </c>
      <c r="J1493">
        <f t="shared" si="23"/>
        <v>0</v>
      </c>
    </row>
    <row r="1494" spans="1:10" x14ac:dyDescent="0.25">
      <c r="A1494" t="s">
        <v>1801</v>
      </c>
      <c r="B1494" t="s">
        <v>482</v>
      </c>
      <c r="C1494" t="s">
        <v>228</v>
      </c>
      <c r="D1494" s="1">
        <v>45276</v>
      </c>
      <c r="E1494">
        <v>16</v>
      </c>
      <c r="F1494">
        <v>31.819932404489698</v>
      </c>
      <c r="G1494" s="1">
        <v>45289</v>
      </c>
      <c r="H1494" s="1">
        <v>45289</v>
      </c>
      <c r="I1494">
        <v>509.11891847183603</v>
      </c>
      <c r="J1494">
        <f t="shared" si="23"/>
        <v>0</v>
      </c>
    </row>
    <row r="1495" spans="1:10" x14ac:dyDescent="0.25">
      <c r="A1495" t="s">
        <v>1802</v>
      </c>
      <c r="B1495" t="s">
        <v>227</v>
      </c>
      <c r="C1495" t="s">
        <v>187</v>
      </c>
      <c r="D1495" s="1">
        <v>44389</v>
      </c>
      <c r="E1495">
        <v>12</v>
      </c>
      <c r="F1495">
        <v>49.831406950503599</v>
      </c>
      <c r="G1495" s="1">
        <v>44406</v>
      </c>
      <c r="H1495" s="1">
        <v>44411</v>
      </c>
      <c r="I1495">
        <v>597.97688340604304</v>
      </c>
      <c r="J1495">
        <f t="shared" si="23"/>
        <v>5</v>
      </c>
    </row>
    <row r="1496" spans="1:10" x14ac:dyDescent="0.25">
      <c r="A1496" t="s">
        <v>1803</v>
      </c>
      <c r="B1496" t="s">
        <v>176</v>
      </c>
      <c r="C1496" t="s">
        <v>77</v>
      </c>
      <c r="D1496" s="1">
        <v>44395</v>
      </c>
      <c r="E1496">
        <v>10</v>
      </c>
      <c r="F1496">
        <v>77.673725642799297</v>
      </c>
      <c r="G1496" s="1">
        <v>44417</v>
      </c>
      <c r="H1496" s="1">
        <v>44422</v>
      </c>
      <c r="I1496">
        <v>776.73725642799297</v>
      </c>
      <c r="J1496">
        <f t="shared" si="23"/>
        <v>5</v>
      </c>
    </row>
    <row r="1497" spans="1:10" x14ac:dyDescent="0.25">
      <c r="A1497" t="s">
        <v>1804</v>
      </c>
      <c r="B1497" t="s">
        <v>43</v>
      </c>
      <c r="C1497" t="s">
        <v>158</v>
      </c>
      <c r="D1497" s="1">
        <v>45286</v>
      </c>
      <c r="E1497">
        <v>12</v>
      </c>
      <c r="F1497">
        <v>63.8886537199283</v>
      </c>
      <c r="G1497" s="1">
        <v>45302</v>
      </c>
      <c r="H1497" s="1">
        <v>45306</v>
      </c>
      <c r="I1497">
        <v>766.66384463914005</v>
      </c>
      <c r="J1497">
        <f t="shared" si="23"/>
        <v>4</v>
      </c>
    </row>
    <row r="1498" spans="1:10" x14ac:dyDescent="0.25">
      <c r="A1498" t="s">
        <v>1805</v>
      </c>
      <c r="B1498" t="s">
        <v>564</v>
      </c>
      <c r="C1498" t="s">
        <v>190</v>
      </c>
      <c r="D1498" s="1">
        <v>44874</v>
      </c>
      <c r="E1498">
        <v>11</v>
      </c>
      <c r="F1498">
        <v>65.031921971550901</v>
      </c>
      <c r="G1498" s="1">
        <v>44894</v>
      </c>
      <c r="H1498" s="1">
        <v>44895</v>
      </c>
      <c r="I1498">
        <v>715.351141687059</v>
      </c>
      <c r="J1498">
        <f t="shared" si="23"/>
        <v>1</v>
      </c>
    </row>
    <row r="1499" spans="1:10" x14ac:dyDescent="0.25">
      <c r="A1499" t="s">
        <v>1806</v>
      </c>
      <c r="B1499" t="s">
        <v>73</v>
      </c>
      <c r="C1499" t="s">
        <v>759</v>
      </c>
      <c r="D1499" s="1">
        <v>44605</v>
      </c>
      <c r="E1499">
        <v>15</v>
      </c>
      <c r="F1499">
        <v>40.270489236921897</v>
      </c>
      <c r="G1499" s="1">
        <v>44619</v>
      </c>
      <c r="H1499" s="1">
        <v>44620</v>
      </c>
      <c r="I1499">
        <v>604.05733855382903</v>
      </c>
      <c r="J1499">
        <f t="shared" si="23"/>
        <v>1</v>
      </c>
    </row>
    <row r="1500" spans="1:10" x14ac:dyDescent="0.25">
      <c r="A1500" t="s">
        <v>1807</v>
      </c>
      <c r="B1500" t="s">
        <v>578</v>
      </c>
      <c r="C1500" t="s">
        <v>161</v>
      </c>
      <c r="D1500" s="1">
        <v>44587</v>
      </c>
      <c r="E1500">
        <v>7</v>
      </c>
      <c r="F1500">
        <v>11.8769588183553</v>
      </c>
      <c r="G1500" s="1">
        <v>44599</v>
      </c>
      <c r="H1500" s="1">
        <v>44597</v>
      </c>
      <c r="I1500">
        <v>83.138711728487394</v>
      </c>
      <c r="J1500">
        <f t="shared" si="23"/>
        <v>-2</v>
      </c>
    </row>
    <row r="1501" spans="1:10" x14ac:dyDescent="0.25">
      <c r="A1501" t="s">
        <v>1808</v>
      </c>
      <c r="B1501" t="s">
        <v>194</v>
      </c>
      <c r="C1501" t="s">
        <v>748</v>
      </c>
      <c r="D1501" s="1">
        <v>45320</v>
      </c>
      <c r="E1501">
        <v>17</v>
      </c>
      <c r="F1501">
        <v>50.158863297426201</v>
      </c>
      <c r="G1501" s="1">
        <v>45331</v>
      </c>
      <c r="H1501" s="1">
        <v>45333</v>
      </c>
      <c r="I1501">
        <v>852.70067605624695</v>
      </c>
      <c r="J1501">
        <f t="shared" si="23"/>
        <v>2</v>
      </c>
    </row>
    <row r="1502" spans="1:10" x14ac:dyDescent="0.25">
      <c r="A1502" t="s">
        <v>1809</v>
      </c>
      <c r="B1502" t="s">
        <v>49</v>
      </c>
      <c r="C1502" t="s">
        <v>279</v>
      </c>
      <c r="D1502" s="1">
        <v>45231</v>
      </c>
      <c r="E1502">
        <v>9</v>
      </c>
      <c r="F1502">
        <v>59.311099722244897</v>
      </c>
      <c r="G1502" s="1">
        <v>45250</v>
      </c>
      <c r="H1502" s="1">
        <v>45253</v>
      </c>
      <c r="I1502">
        <v>533.799897500204</v>
      </c>
      <c r="J1502">
        <f t="shared" si="23"/>
        <v>3</v>
      </c>
    </row>
    <row r="1503" spans="1:10" x14ac:dyDescent="0.25">
      <c r="A1503" t="s">
        <v>1810</v>
      </c>
      <c r="B1503" t="s">
        <v>261</v>
      </c>
      <c r="C1503" t="s">
        <v>689</v>
      </c>
      <c r="D1503" s="1">
        <v>44928</v>
      </c>
      <c r="E1503">
        <v>11</v>
      </c>
      <c r="F1503">
        <v>76.382934434890302</v>
      </c>
      <c r="G1503" s="1">
        <v>44952</v>
      </c>
      <c r="H1503" s="1">
        <v>44953</v>
      </c>
      <c r="I1503">
        <v>840.21227878379295</v>
      </c>
      <c r="J1503">
        <f t="shared" si="23"/>
        <v>1</v>
      </c>
    </row>
    <row r="1504" spans="1:10" x14ac:dyDescent="0.25">
      <c r="A1504" t="s">
        <v>1811</v>
      </c>
      <c r="B1504" t="s">
        <v>253</v>
      </c>
      <c r="C1504" t="s">
        <v>457</v>
      </c>
      <c r="D1504" s="1">
        <v>44855</v>
      </c>
      <c r="E1504">
        <v>13</v>
      </c>
      <c r="F1504">
        <v>7.9845418369173897</v>
      </c>
      <c r="G1504" s="1">
        <v>44875</v>
      </c>
      <c r="H1504" s="1">
        <v>44878</v>
      </c>
      <c r="I1504">
        <v>103.799043879926</v>
      </c>
      <c r="J1504">
        <f t="shared" si="23"/>
        <v>3</v>
      </c>
    </row>
    <row r="1505" spans="1:10" x14ac:dyDescent="0.25">
      <c r="A1505" t="s">
        <v>1812</v>
      </c>
      <c r="B1505" t="s">
        <v>43</v>
      </c>
      <c r="C1505" t="s">
        <v>14</v>
      </c>
      <c r="D1505" s="1">
        <v>45181</v>
      </c>
      <c r="E1505">
        <v>8</v>
      </c>
      <c r="F1505">
        <v>50.129778829088202</v>
      </c>
      <c r="G1505" s="1">
        <v>45192</v>
      </c>
      <c r="H1505" s="1">
        <v>45191</v>
      </c>
      <c r="I1505">
        <v>401.03823063270499</v>
      </c>
      <c r="J1505">
        <f t="shared" si="23"/>
        <v>-1</v>
      </c>
    </row>
    <row r="1506" spans="1:10" x14ac:dyDescent="0.25">
      <c r="A1506" t="s">
        <v>1813</v>
      </c>
      <c r="B1506" t="s">
        <v>25</v>
      </c>
      <c r="C1506" t="s">
        <v>304</v>
      </c>
      <c r="D1506" s="1">
        <v>45341</v>
      </c>
      <c r="E1506">
        <v>7</v>
      </c>
      <c r="F1506">
        <v>75.8484115308908</v>
      </c>
      <c r="G1506" s="1">
        <v>45359</v>
      </c>
      <c r="H1506" s="1">
        <v>45359</v>
      </c>
      <c r="I1506">
        <v>530.93888071623496</v>
      </c>
      <c r="J1506">
        <f t="shared" si="23"/>
        <v>0</v>
      </c>
    </row>
    <row r="1507" spans="1:10" x14ac:dyDescent="0.25">
      <c r="A1507" t="s">
        <v>1814</v>
      </c>
      <c r="B1507" t="s">
        <v>143</v>
      </c>
      <c r="C1507" t="s">
        <v>391</v>
      </c>
      <c r="D1507" s="1">
        <v>45028</v>
      </c>
      <c r="E1507">
        <v>16</v>
      </c>
      <c r="F1507">
        <v>58.811270998985897</v>
      </c>
      <c r="G1507" s="1">
        <v>45048</v>
      </c>
      <c r="H1507" s="1">
        <v>45054</v>
      </c>
      <c r="I1507">
        <v>940.98033598377503</v>
      </c>
      <c r="J1507">
        <f t="shared" si="23"/>
        <v>6</v>
      </c>
    </row>
    <row r="1508" spans="1:10" x14ac:dyDescent="0.25">
      <c r="A1508" t="s">
        <v>1815</v>
      </c>
      <c r="B1508" t="s">
        <v>88</v>
      </c>
      <c r="C1508" t="s">
        <v>470</v>
      </c>
      <c r="D1508" s="1">
        <v>44371</v>
      </c>
      <c r="E1508">
        <v>10</v>
      </c>
      <c r="F1508">
        <v>8.8512333610764191</v>
      </c>
      <c r="G1508" s="1">
        <v>44387</v>
      </c>
      <c r="H1508" s="1">
        <v>44389</v>
      </c>
      <c r="I1508">
        <v>88.512333610764202</v>
      </c>
      <c r="J1508">
        <f t="shared" si="23"/>
        <v>2</v>
      </c>
    </row>
    <row r="1509" spans="1:10" x14ac:dyDescent="0.25">
      <c r="A1509" t="s">
        <v>1816</v>
      </c>
      <c r="B1509" t="s">
        <v>121</v>
      </c>
      <c r="C1509" t="s">
        <v>547</v>
      </c>
      <c r="D1509" s="1">
        <v>44605</v>
      </c>
      <c r="E1509">
        <v>12</v>
      </c>
      <c r="F1509">
        <v>31.776635472037501</v>
      </c>
      <c r="G1509" s="1">
        <v>44623</v>
      </c>
      <c r="H1509" s="1">
        <v>44627</v>
      </c>
      <c r="I1509">
        <v>381.31962566444997</v>
      </c>
      <c r="J1509">
        <f t="shared" si="23"/>
        <v>4</v>
      </c>
    </row>
    <row r="1510" spans="1:10" x14ac:dyDescent="0.25">
      <c r="A1510" t="s">
        <v>1817</v>
      </c>
      <c r="B1510" t="s">
        <v>169</v>
      </c>
      <c r="C1510" t="s">
        <v>623</v>
      </c>
      <c r="D1510" s="1">
        <v>45275</v>
      </c>
      <c r="E1510">
        <v>10</v>
      </c>
      <c r="F1510">
        <v>74.580039659841702</v>
      </c>
      <c r="G1510" s="1">
        <v>45299</v>
      </c>
      <c r="H1510" s="1">
        <v>45301</v>
      </c>
      <c r="I1510">
        <v>745.80039659841702</v>
      </c>
      <c r="J1510">
        <f t="shared" si="23"/>
        <v>2</v>
      </c>
    </row>
    <row r="1511" spans="1:10" x14ac:dyDescent="0.25">
      <c r="A1511" t="s">
        <v>1818</v>
      </c>
      <c r="B1511" t="s">
        <v>324</v>
      </c>
      <c r="C1511" t="s">
        <v>62</v>
      </c>
      <c r="D1511" s="1">
        <v>44455</v>
      </c>
      <c r="E1511">
        <v>16</v>
      </c>
      <c r="F1511">
        <v>16.177271037576201</v>
      </c>
      <c r="G1511" s="1">
        <v>44474</v>
      </c>
      <c r="H1511" s="1">
        <v>44479</v>
      </c>
      <c r="I1511">
        <v>258.83633660122001</v>
      </c>
      <c r="J1511">
        <f t="shared" si="23"/>
        <v>5</v>
      </c>
    </row>
    <row r="1512" spans="1:10" x14ac:dyDescent="0.25">
      <c r="A1512" t="s">
        <v>1819</v>
      </c>
      <c r="B1512" t="s">
        <v>61</v>
      </c>
      <c r="C1512" t="s">
        <v>336</v>
      </c>
      <c r="D1512" s="1">
        <v>45287</v>
      </c>
      <c r="E1512">
        <v>15</v>
      </c>
      <c r="F1512">
        <v>11.8564011751325</v>
      </c>
      <c r="G1512" s="1">
        <v>45298</v>
      </c>
      <c r="H1512" s="1">
        <v>45304</v>
      </c>
      <c r="I1512">
        <v>177.84601762698799</v>
      </c>
      <c r="J1512">
        <f t="shared" si="23"/>
        <v>6</v>
      </c>
    </row>
    <row r="1513" spans="1:10" x14ac:dyDescent="0.25">
      <c r="A1513" t="s">
        <v>1820</v>
      </c>
      <c r="B1513" t="s">
        <v>539</v>
      </c>
      <c r="C1513" t="s">
        <v>71</v>
      </c>
      <c r="D1513" s="1">
        <v>45042</v>
      </c>
      <c r="E1513">
        <v>8</v>
      </c>
      <c r="F1513">
        <v>35.3874100191357</v>
      </c>
      <c r="G1513" s="1">
        <v>45063</v>
      </c>
      <c r="H1513" s="1">
        <v>45069</v>
      </c>
      <c r="I1513">
        <v>283.09928015308498</v>
      </c>
      <c r="J1513">
        <f t="shared" si="23"/>
        <v>6</v>
      </c>
    </row>
    <row r="1514" spans="1:10" x14ac:dyDescent="0.25">
      <c r="A1514" t="s">
        <v>1821</v>
      </c>
      <c r="B1514" t="s">
        <v>16</v>
      </c>
      <c r="C1514" t="s">
        <v>192</v>
      </c>
      <c r="D1514" s="1">
        <v>44796</v>
      </c>
      <c r="E1514">
        <v>13</v>
      </c>
      <c r="F1514">
        <v>29.468921333578901</v>
      </c>
      <c r="G1514" s="1">
        <v>44814</v>
      </c>
      <c r="H1514" s="1">
        <v>44819</v>
      </c>
      <c r="I1514">
        <v>383.09597733652498</v>
      </c>
      <c r="J1514">
        <f t="shared" si="23"/>
        <v>5</v>
      </c>
    </row>
    <row r="1515" spans="1:10" x14ac:dyDescent="0.25">
      <c r="A1515" t="s">
        <v>1822</v>
      </c>
      <c r="B1515" t="s">
        <v>135</v>
      </c>
      <c r="C1515" t="s">
        <v>276</v>
      </c>
      <c r="D1515" s="1">
        <v>45184</v>
      </c>
      <c r="E1515">
        <v>13</v>
      </c>
      <c r="F1515">
        <v>77.868361881781993</v>
      </c>
      <c r="G1515" s="1">
        <v>45200</v>
      </c>
      <c r="H1515" s="1">
        <v>45201</v>
      </c>
      <c r="I1515">
        <v>1012.28870446316</v>
      </c>
      <c r="J1515">
        <f t="shared" si="23"/>
        <v>1</v>
      </c>
    </row>
    <row r="1516" spans="1:10" x14ac:dyDescent="0.25">
      <c r="A1516" t="s">
        <v>1823</v>
      </c>
      <c r="B1516" t="s">
        <v>121</v>
      </c>
      <c r="C1516" t="s">
        <v>413</v>
      </c>
      <c r="D1516" s="1">
        <v>44383</v>
      </c>
      <c r="E1516">
        <v>9</v>
      </c>
      <c r="F1516">
        <v>62.752479931227398</v>
      </c>
      <c r="G1516" s="1">
        <v>44399</v>
      </c>
      <c r="H1516" s="1">
        <v>44396</v>
      </c>
      <c r="I1516">
        <v>564.77231938104603</v>
      </c>
      <c r="J1516">
        <f t="shared" si="23"/>
        <v>-3</v>
      </c>
    </row>
    <row r="1517" spans="1:10" x14ac:dyDescent="0.25">
      <c r="A1517" t="s">
        <v>1824</v>
      </c>
      <c r="B1517" t="s">
        <v>288</v>
      </c>
      <c r="C1517" t="s">
        <v>489</v>
      </c>
      <c r="D1517" s="1">
        <v>44640</v>
      </c>
      <c r="E1517">
        <v>9</v>
      </c>
      <c r="F1517">
        <v>69.341536098205907</v>
      </c>
      <c r="G1517" s="1">
        <v>44652</v>
      </c>
      <c r="H1517" s="1">
        <v>44656</v>
      </c>
      <c r="I1517">
        <v>624.07382488385394</v>
      </c>
      <c r="J1517">
        <f t="shared" si="23"/>
        <v>4</v>
      </c>
    </row>
    <row r="1518" spans="1:10" x14ac:dyDescent="0.25">
      <c r="A1518" t="s">
        <v>1825</v>
      </c>
      <c r="B1518" t="s">
        <v>482</v>
      </c>
      <c r="C1518" t="s">
        <v>693</v>
      </c>
      <c r="D1518" s="1">
        <v>44536</v>
      </c>
      <c r="E1518">
        <v>13</v>
      </c>
      <c r="F1518">
        <v>24.114484718924398</v>
      </c>
      <c r="G1518" s="1">
        <v>44546</v>
      </c>
      <c r="H1518" s="1">
        <v>44551</v>
      </c>
      <c r="I1518">
        <v>313.48830134601701</v>
      </c>
      <c r="J1518">
        <f t="shared" si="23"/>
        <v>5</v>
      </c>
    </row>
    <row r="1519" spans="1:10" x14ac:dyDescent="0.25">
      <c r="A1519" t="s">
        <v>1826</v>
      </c>
      <c r="B1519" t="s">
        <v>99</v>
      </c>
      <c r="C1519" t="s">
        <v>80</v>
      </c>
      <c r="D1519" s="1">
        <v>45345</v>
      </c>
      <c r="E1519">
        <v>10</v>
      </c>
      <c r="F1519">
        <v>38.399435863577601</v>
      </c>
      <c r="G1519" s="1">
        <v>45369</v>
      </c>
      <c r="H1519" s="1">
        <v>45373</v>
      </c>
      <c r="I1519">
        <v>383.994358635776</v>
      </c>
      <c r="J1519">
        <f t="shared" si="23"/>
        <v>4</v>
      </c>
    </row>
    <row r="1520" spans="1:10" x14ac:dyDescent="0.25">
      <c r="A1520" t="s">
        <v>1827</v>
      </c>
      <c r="B1520" t="s">
        <v>247</v>
      </c>
      <c r="C1520" t="s">
        <v>68</v>
      </c>
      <c r="D1520" s="1">
        <v>45378</v>
      </c>
      <c r="E1520">
        <v>10</v>
      </c>
      <c r="F1520">
        <v>73.1517898985404</v>
      </c>
      <c r="G1520" s="1">
        <v>45402</v>
      </c>
      <c r="H1520" s="1">
        <v>45400</v>
      </c>
      <c r="I1520">
        <v>731.51789898540403</v>
      </c>
      <c r="J1520">
        <f t="shared" si="23"/>
        <v>-2</v>
      </c>
    </row>
    <row r="1521" spans="1:10" x14ac:dyDescent="0.25">
      <c r="A1521" t="s">
        <v>1828</v>
      </c>
      <c r="B1521" t="s">
        <v>261</v>
      </c>
      <c r="C1521" t="s">
        <v>720</v>
      </c>
      <c r="D1521" s="1">
        <v>44327</v>
      </c>
      <c r="E1521">
        <v>5</v>
      </c>
      <c r="F1521">
        <v>26.913034375469799</v>
      </c>
      <c r="G1521" s="1">
        <v>44340</v>
      </c>
      <c r="H1521" s="1">
        <v>44340</v>
      </c>
      <c r="I1521">
        <v>134.565171877349</v>
      </c>
      <c r="J1521">
        <f t="shared" si="23"/>
        <v>0</v>
      </c>
    </row>
    <row r="1522" spans="1:10" x14ac:dyDescent="0.25">
      <c r="A1522" t="s">
        <v>1829</v>
      </c>
      <c r="B1522" t="s">
        <v>28</v>
      </c>
      <c r="C1522" t="s">
        <v>214</v>
      </c>
      <c r="D1522" s="1">
        <v>44932</v>
      </c>
      <c r="E1522">
        <v>11</v>
      </c>
      <c r="F1522">
        <v>4.9434334459924996</v>
      </c>
      <c r="G1522" s="1">
        <v>44948</v>
      </c>
      <c r="H1522" s="1">
        <v>44949</v>
      </c>
      <c r="I1522">
        <v>54.377767905917501</v>
      </c>
      <c r="J1522">
        <f t="shared" si="23"/>
        <v>1</v>
      </c>
    </row>
    <row r="1523" spans="1:10" x14ac:dyDescent="0.25">
      <c r="A1523" t="s">
        <v>1830</v>
      </c>
      <c r="B1523" t="s">
        <v>16</v>
      </c>
      <c r="C1523" t="s">
        <v>400</v>
      </c>
      <c r="D1523" s="1">
        <v>45384</v>
      </c>
      <c r="E1523">
        <v>14</v>
      </c>
      <c r="F1523">
        <v>65.342210857455896</v>
      </c>
      <c r="G1523" s="1">
        <v>45406</v>
      </c>
      <c r="H1523" s="1">
        <v>45406</v>
      </c>
      <c r="I1523">
        <v>914.79095200438201</v>
      </c>
      <c r="J1523">
        <f t="shared" si="23"/>
        <v>0</v>
      </c>
    </row>
    <row r="1524" spans="1:10" x14ac:dyDescent="0.25">
      <c r="A1524" t="s">
        <v>1831</v>
      </c>
      <c r="B1524" t="s">
        <v>293</v>
      </c>
      <c r="C1524" t="s">
        <v>391</v>
      </c>
      <c r="D1524" s="1">
        <v>45161</v>
      </c>
      <c r="E1524">
        <v>17</v>
      </c>
      <c r="F1524">
        <v>62.612269139025798</v>
      </c>
      <c r="G1524" s="1">
        <v>45171</v>
      </c>
      <c r="H1524" s="1">
        <v>45176</v>
      </c>
      <c r="I1524">
        <v>1064.4085753634299</v>
      </c>
      <c r="J1524">
        <f t="shared" si="23"/>
        <v>5</v>
      </c>
    </row>
    <row r="1525" spans="1:10" x14ac:dyDescent="0.25">
      <c r="A1525" t="s">
        <v>1832</v>
      </c>
      <c r="B1525" t="s">
        <v>22</v>
      </c>
      <c r="C1525" t="s">
        <v>434</v>
      </c>
      <c r="D1525" s="1">
        <v>44526</v>
      </c>
      <c r="E1525">
        <v>13</v>
      </c>
      <c r="F1525">
        <v>74.344472643230105</v>
      </c>
      <c r="G1525" s="1">
        <v>44540</v>
      </c>
      <c r="H1525" s="1">
        <v>44546</v>
      </c>
      <c r="I1525">
        <v>966.47814436199099</v>
      </c>
      <c r="J1525">
        <f t="shared" si="23"/>
        <v>6</v>
      </c>
    </row>
    <row r="1526" spans="1:10" x14ac:dyDescent="0.25">
      <c r="A1526" t="s">
        <v>1833</v>
      </c>
      <c r="B1526" t="s">
        <v>564</v>
      </c>
      <c r="C1526" t="s">
        <v>112</v>
      </c>
      <c r="D1526" s="1">
        <v>45264</v>
      </c>
      <c r="E1526">
        <v>8</v>
      </c>
      <c r="F1526">
        <v>53.072659126036001</v>
      </c>
      <c r="G1526" s="1">
        <v>45286</v>
      </c>
      <c r="H1526" s="1">
        <v>45290</v>
      </c>
      <c r="I1526">
        <v>424.58127300828801</v>
      </c>
      <c r="J1526">
        <f t="shared" si="23"/>
        <v>4</v>
      </c>
    </row>
    <row r="1527" spans="1:10" x14ac:dyDescent="0.25">
      <c r="A1527" t="s">
        <v>1834</v>
      </c>
      <c r="B1527" t="s">
        <v>485</v>
      </c>
      <c r="C1527" t="s">
        <v>338</v>
      </c>
      <c r="D1527" s="1">
        <v>44850</v>
      </c>
      <c r="E1527">
        <v>12</v>
      </c>
      <c r="F1527">
        <v>22.493777138393899</v>
      </c>
      <c r="G1527" s="1">
        <v>44868</v>
      </c>
      <c r="H1527" s="1">
        <v>44867</v>
      </c>
      <c r="I1527">
        <v>269.92532566072703</v>
      </c>
      <c r="J1527">
        <f t="shared" si="23"/>
        <v>-1</v>
      </c>
    </row>
    <row r="1528" spans="1:10" x14ac:dyDescent="0.25">
      <c r="A1528" t="s">
        <v>1835</v>
      </c>
      <c r="B1528" t="s">
        <v>556</v>
      </c>
      <c r="C1528" t="s">
        <v>152</v>
      </c>
      <c r="D1528" s="1">
        <v>45001</v>
      </c>
      <c r="E1528">
        <v>13</v>
      </c>
      <c r="F1528">
        <v>11.566258697614501</v>
      </c>
      <c r="G1528" s="1">
        <v>45019</v>
      </c>
      <c r="H1528" s="1">
        <v>45024</v>
      </c>
      <c r="I1528">
        <v>150.36136306898899</v>
      </c>
      <c r="J1528">
        <f t="shared" si="23"/>
        <v>5</v>
      </c>
    </row>
    <row r="1529" spans="1:10" x14ac:dyDescent="0.25">
      <c r="A1529" t="s">
        <v>1836</v>
      </c>
      <c r="B1529" t="s">
        <v>70</v>
      </c>
      <c r="C1529" t="s">
        <v>336</v>
      </c>
      <c r="D1529" s="1">
        <v>44730</v>
      </c>
      <c r="E1529">
        <v>16</v>
      </c>
      <c r="F1529">
        <v>33.566455887918998</v>
      </c>
      <c r="G1529" s="1">
        <v>44740</v>
      </c>
      <c r="H1529" s="1">
        <v>44738</v>
      </c>
      <c r="I1529">
        <v>537.06329420670397</v>
      </c>
      <c r="J1529">
        <f t="shared" si="23"/>
        <v>-2</v>
      </c>
    </row>
    <row r="1530" spans="1:10" x14ac:dyDescent="0.25">
      <c r="A1530" t="s">
        <v>1837</v>
      </c>
      <c r="B1530" t="s">
        <v>350</v>
      </c>
      <c r="C1530" t="s">
        <v>425</v>
      </c>
      <c r="D1530" s="1">
        <v>44633</v>
      </c>
      <c r="E1530">
        <v>12</v>
      </c>
      <c r="F1530">
        <v>35.882672226645397</v>
      </c>
      <c r="G1530" s="1">
        <v>44652</v>
      </c>
      <c r="H1530" s="1">
        <v>44653</v>
      </c>
      <c r="I1530">
        <v>430.59206671974499</v>
      </c>
      <c r="J1530">
        <f t="shared" si="23"/>
        <v>1</v>
      </c>
    </row>
    <row r="1531" spans="1:10" x14ac:dyDescent="0.25">
      <c r="A1531" t="s">
        <v>1838</v>
      </c>
      <c r="B1531" t="s">
        <v>176</v>
      </c>
      <c r="C1531" t="s">
        <v>470</v>
      </c>
      <c r="D1531" s="1">
        <v>45127</v>
      </c>
      <c r="E1531">
        <v>11</v>
      </c>
      <c r="F1531">
        <v>73.089818478634697</v>
      </c>
      <c r="G1531" s="1">
        <v>45137</v>
      </c>
      <c r="H1531" s="1">
        <v>45138</v>
      </c>
      <c r="I1531">
        <v>803.98800326498201</v>
      </c>
      <c r="J1531">
        <f t="shared" si="23"/>
        <v>1</v>
      </c>
    </row>
    <row r="1532" spans="1:10" x14ac:dyDescent="0.25">
      <c r="A1532" t="s">
        <v>1839</v>
      </c>
      <c r="B1532" t="s">
        <v>130</v>
      </c>
      <c r="C1532" t="s">
        <v>826</v>
      </c>
      <c r="D1532" s="1">
        <v>44320</v>
      </c>
      <c r="E1532">
        <v>9</v>
      </c>
      <c r="F1532">
        <v>77.633385999340206</v>
      </c>
      <c r="G1532" s="1">
        <v>44338</v>
      </c>
      <c r="H1532" s="1">
        <v>44342</v>
      </c>
      <c r="I1532">
        <v>698.70047399406201</v>
      </c>
      <c r="J1532">
        <f t="shared" si="23"/>
        <v>4</v>
      </c>
    </row>
    <row r="1533" spans="1:10" x14ac:dyDescent="0.25">
      <c r="A1533" t="s">
        <v>1840</v>
      </c>
      <c r="B1533" t="s">
        <v>247</v>
      </c>
      <c r="C1533" t="s">
        <v>623</v>
      </c>
      <c r="D1533" s="1">
        <v>44832</v>
      </c>
      <c r="E1533">
        <v>9</v>
      </c>
      <c r="F1533">
        <v>71.472871196071694</v>
      </c>
      <c r="G1533" s="1">
        <v>44853</v>
      </c>
      <c r="H1533" s="1">
        <v>44854</v>
      </c>
      <c r="I1533">
        <v>643.25584076464497</v>
      </c>
      <c r="J1533">
        <f t="shared" si="23"/>
        <v>1</v>
      </c>
    </row>
    <row r="1534" spans="1:10" x14ac:dyDescent="0.25">
      <c r="A1534" t="s">
        <v>1841</v>
      </c>
      <c r="B1534" t="s">
        <v>219</v>
      </c>
      <c r="C1534" t="s">
        <v>259</v>
      </c>
      <c r="D1534" s="1">
        <v>45193</v>
      </c>
      <c r="E1534">
        <v>11</v>
      </c>
      <c r="F1534">
        <v>55.8252003681826</v>
      </c>
      <c r="G1534" s="1">
        <v>45205</v>
      </c>
      <c r="H1534" s="1">
        <v>45206</v>
      </c>
      <c r="I1534">
        <v>614.07720405000805</v>
      </c>
      <c r="J1534">
        <f t="shared" si="23"/>
        <v>1</v>
      </c>
    </row>
    <row r="1535" spans="1:10" x14ac:dyDescent="0.25">
      <c r="A1535" t="s">
        <v>1842</v>
      </c>
      <c r="B1535" t="s">
        <v>293</v>
      </c>
      <c r="C1535" t="s">
        <v>136</v>
      </c>
      <c r="D1535" s="1">
        <v>45002</v>
      </c>
      <c r="E1535">
        <v>11</v>
      </c>
      <c r="F1535">
        <v>66.251104463119603</v>
      </c>
      <c r="G1535" s="1">
        <v>45022</v>
      </c>
      <c r="H1535" s="1">
        <v>45027</v>
      </c>
      <c r="I1535">
        <v>728.76214909431599</v>
      </c>
      <c r="J1535">
        <f t="shared" si="23"/>
        <v>5</v>
      </c>
    </row>
    <row r="1536" spans="1:10" x14ac:dyDescent="0.25">
      <c r="A1536" t="s">
        <v>1843</v>
      </c>
      <c r="B1536" t="s">
        <v>43</v>
      </c>
      <c r="C1536" t="s">
        <v>47</v>
      </c>
      <c r="D1536" s="1">
        <v>45015</v>
      </c>
      <c r="E1536">
        <v>10</v>
      </c>
      <c r="F1536">
        <v>19.610636805265099</v>
      </c>
      <c r="G1536" s="1">
        <v>45031</v>
      </c>
      <c r="H1536" s="1">
        <v>45030</v>
      </c>
      <c r="I1536">
        <v>196.10636805265099</v>
      </c>
      <c r="J1536">
        <f t="shared" si="23"/>
        <v>-1</v>
      </c>
    </row>
    <row r="1537" spans="1:10" x14ac:dyDescent="0.25">
      <c r="A1537" t="s">
        <v>1844</v>
      </c>
      <c r="B1537" t="s">
        <v>140</v>
      </c>
      <c r="C1537" t="s">
        <v>297</v>
      </c>
      <c r="D1537" s="1">
        <v>45064</v>
      </c>
      <c r="E1537">
        <v>10</v>
      </c>
      <c r="F1537">
        <v>43.684512522018302</v>
      </c>
      <c r="G1537" s="1">
        <v>45083</v>
      </c>
      <c r="H1537" s="1">
        <v>45084</v>
      </c>
      <c r="I1537">
        <v>436.84512522018298</v>
      </c>
      <c r="J1537">
        <f t="shared" si="23"/>
        <v>1</v>
      </c>
    </row>
    <row r="1538" spans="1:10" x14ac:dyDescent="0.25">
      <c r="A1538" t="s">
        <v>1845</v>
      </c>
      <c r="B1538" t="s">
        <v>176</v>
      </c>
      <c r="C1538" t="s">
        <v>167</v>
      </c>
      <c r="D1538" s="1">
        <v>44980</v>
      </c>
      <c r="E1538">
        <v>19</v>
      </c>
      <c r="F1538">
        <v>6.3226400779017196</v>
      </c>
      <c r="G1538" s="1">
        <v>45004</v>
      </c>
      <c r="H1538" s="1">
        <v>45005</v>
      </c>
      <c r="I1538">
        <v>120.130161480132</v>
      </c>
      <c r="J1538">
        <f t="shared" si="23"/>
        <v>1</v>
      </c>
    </row>
    <row r="1539" spans="1:10" x14ac:dyDescent="0.25">
      <c r="A1539" t="s">
        <v>1846</v>
      </c>
      <c r="B1539" t="s">
        <v>216</v>
      </c>
      <c r="C1539" t="s">
        <v>29</v>
      </c>
      <c r="D1539" s="1">
        <v>44757</v>
      </c>
      <c r="E1539">
        <v>8</v>
      </c>
      <c r="F1539">
        <v>60.414392513811698</v>
      </c>
      <c r="G1539" s="1">
        <v>44777</v>
      </c>
      <c r="H1539" s="1">
        <v>44778</v>
      </c>
      <c r="I1539">
        <v>483.31514011049399</v>
      </c>
      <c r="J1539">
        <f t="shared" ref="J1539:J1602" si="24">H1539-G1539</f>
        <v>1</v>
      </c>
    </row>
    <row r="1540" spans="1:10" x14ac:dyDescent="0.25">
      <c r="A1540" t="s">
        <v>1847</v>
      </c>
      <c r="B1540" t="s">
        <v>88</v>
      </c>
      <c r="C1540" t="s">
        <v>1362</v>
      </c>
      <c r="D1540" s="1">
        <v>44470</v>
      </c>
      <c r="E1540">
        <v>9</v>
      </c>
      <c r="F1540">
        <v>71.489123069432196</v>
      </c>
      <c r="G1540" s="1">
        <v>44488</v>
      </c>
      <c r="H1540" s="1">
        <v>44493</v>
      </c>
      <c r="I1540">
        <v>643.40210762489005</v>
      </c>
      <c r="J1540">
        <f t="shared" si="24"/>
        <v>5</v>
      </c>
    </row>
    <row r="1541" spans="1:10" x14ac:dyDescent="0.25">
      <c r="A1541" t="s">
        <v>1848</v>
      </c>
      <c r="B1541" t="s">
        <v>19</v>
      </c>
      <c r="C1541" t="s">
        <v>589</v>
      </c>
      <c r="D1541" s="1">
        <v>45288</v>
      </c>
      <c r="E1541">
        <v>12</v>
      </c>
      <c r="F1541">
        <v>15.0178011074356</v>
      </c>
      <c r="G1541" s="1">
        <v>45308</v>
      </c>
      <c r="H1541" s="1">
        <v>45308</v>
      </c>
      <c r="I1541">
        <v>180.21361328922799</v>
      </c>
      <c r="J1541">
        <f t="shared" si="24"/>
        <v>0</v>
      </c>
    </row>
    <row r="1542" spans="1:10" x14ac:dyDescent="0.25">
      <c r="A1542" t="s">
        <v>1849</v>
      </c>
      <c r="B1542" t="s">
        <v>52</v>
      </c>
      <c r="C1542" t="s">
        <v>763</v>
      </c>
      <c r="D1542" s="1">
        <v>44379</v>
      </c>
      <c r="E1542">
        <v>7</v>
      </c>
      <c r="F1542">
        <v>52.624284958041102</v>
      </c>
      <c r="G1542" s="1">
        <v>44401</v>
      </c>
      <c r="H1542" s="1">
        <v>44404</v>
      </c>
      <c r="I1542">
        <v>368.369994706287</v>
      </c>
      <c r="J1542">
        <f t="shared" si="24"/>
        <v>3</v>
      </c>
    </row>
    <row r="1543" spans="1:10" x14ac:dyDescent="0.25">
      <c r="A1543" t="s">
        <v>1850</v>
      </c>
      <c r="B1543" t="s">
        <v>186</v>
      </c>
      <c r="C1543" t="s">
        <v>212</v>
      </c>
      <c r="D1543" s="1">
        <v>44309</v>
      </c>
      <c r="E1543">
        <v>14</v>
      </c>
      <c r="F1543">
        <v>58.9262339102428</v>
      </c>
      <c r="G1543" s="1">
        <v>44329</v>
      </c>
      <c r="H1543" s="1">
        <v>44328</v>
      </c>
      <c r="I1543">
        <v>824.96727474340003</v>
      </c>
      <c r="J1543">
        <f t="shared" si="24"/>
        <v>-1</v>
      </c>
    </row>
    <row r="1544" spans="1:10" x14ac:dyDescent="0.25">
      <c r="A1544" t="s">
        <v>1851</v>
      </c>
      <c r="B1544" t="s">
        <v>240</v>
      </c>
      <c r="C1544" t="s">
        <v>243</v>
      </c>
      <c r="D1544" s="1">
        <v>44831</v>
      </c>
      <c r="E1544">
        <v>14</v>
      </c>
      <c r="F1544">
        <v>67.539122934773303</v>
      </c>
      <c r="G1544" s="1">
        <v>44854</v>
      </c>
      <c r="H1544" s="1">
        <v>44856</v>
      </c>
      <c r="I1544">
        <v>945.54772108682596</v>
      </c>
      <c r="J1544">
        <f t="shared" si="24"/>
        <v>2</v>
      </c>
    </row>
    <row r="1545" spans="1:10" x14ac:dyDescent="0.25">
      <c r="A1545" t="s">
        <v>1852</v>
      </c>
      <c r="B1545" t="s">
        <v>28</v>
      </c>
      <c r="C1545" t="s">
        <v>83</v>
      </c>
      <c r="D1545" s="1">
        <v>44872</v>
      </c>
      <c r="E1545">
        <v>11</v>
      </c>
      <c r="F1545">
        <v>36.500614959375099</v>
      </c>
      <c r="G1545" s="1">
        <v>44892</v>
      </c>
      <c r="H1545" s="1">
        <v>44896</v>
      </c>
      <c r="I1545">
        <v>401.50676455312703</v>
      </c>
      <c r="J1545">
        <f t="shared" si="24"/>
        <v>4</v>
      </c>
    </row>
    <row r="1546" spans="1:10" x14ac:dyDescent="0.25">
      <c r="A1546" t="s">
        <v>1853</v>
      </c>
      <c r="B1546" t="s">
        <v>301</v>
      </c>
      <c r="C1546" t="s">
        <v>86</v>
      </c>
      <c r="D1546" s="1">
        <v>44292</v>
      </c>
      <c r="E1546">
        <v>7</v>
      </c>
      <c r="F1546">
        <v>8.8590520862587105</v>
      </c>
      <c r="G1546" s="1">
        <v>44308</v>
      </c>
      <c r="H1546" s="1">
        <v>44310</v>
      </c>
      <c r="I1546">
        <v>62.013364603810999</v>
      </c>
      <c r="J1546">
        <f t="shared" si="24"/>
        <v>2</v>
      </c>
    </row>
    <row r="1547" spans="1:10" x14ac:dyDescent="0.25">
      <c r="A1547" t="s">
        <v>1854</v>
      </c>
      <c r="B1547" t="s">
        <v>189</v>
      </c>
      <c r="C1547" t="s">
        <v>262</v>
      </c>
      <c r="D1547" s="1">
        <v>44388</v>
      </c>
      <c r="E1547">
        <v>13</v>
      </c>
      <c r="F1547">
        <v>10.9548787963385</v>
      </c>
      <c r="G1547" s="1">
        <v>44401</v>
      </c>
      <c r="H1547" s="1">
        <v>44398</v>
      </c>
      <c r="I1547">
        <v>142.41342435240099</v>
      </c>
      <c r="J1547">
        <f t="shared" si="24"/>
        <v>-3</v>
      </c>
    </row>
    <row r="1548" spans="1:10" x14ac:dyDescent="0.25">
      <c r="A1548" t="s">
        <v>1855</v>
      </c>
      <c r="B1548" t="s">
        <v>114</v>
      </c>
      <c r="C1548" t="s">
        <v>190</v>
      </c>
      <c r="D1548" s="1">
        <v>44489</v>
      </c>
      <c r="E1548">
        <v>6</v>
      </c>
      <c r="F1548">
        <v>50.242513415648702</v>
      </c>
      <c r="G1548" s="1">
        <v>44500</v>
      </c>
      <c r="H1548" s="1">
        <v>44499</v>
      </c>
      <c r="I1548">
        <v>301.45508049389201</v>
      </c>
      <c r="J1548">
        <f t="shared" si="24"/>
        <v>-1</v>
      </c>
    </row>
    <row r="1549" spans="1:10" x14ac:dyDescent="0.25">
      <c r="A1549" t="s">
        <v>1856</v>
      </c>
      <c r="B1549" t="s">
        <v>13</v>
      </c>
      <c r="C1549" t="s">
        <v>689</v>
      </c>
      <c r="D1549" s="1">
        <v>44547</v>
      </c>
      <c r="E1549">
        <v>12</v>
      </c>
      <c r="F1549">
        <v>9.2437641515851201</v>
      </c>
      <c r="G1549" s="1">
        <v>44560</v>
      </c>
      <c r="H1549" s="1">
        <v>44564</v>
      </c>
      <c r="I1549">
        <v>110.92516981902099</v>
      </c>
      <c r="J1549">
        <f t="shared" si="24"/>
        <v>4</v>
      </c>
    </row>
    <row r="1550" spans="1:10" x14ac:dyDescent="0.25">
      <c r="A1550" t="s">
        <v>1857</v>
      </c>
      <c r="B1550" t="s">
        <v>154</v>
      </c>
      <c r="C1550" t="s">
        <v>792</v>
      </c>
      <c r="D1550" s="1">
        <v>44388</v>
      </c>
      <c r="E1550">
        <v>9</v>
      </c>
      <c r="F1550">
        <v>47.9597029007356</v>
      </c>
      <c r="G1550" s="1">
        <v>44403</v>
      </c>
      <c r="H1550" s="1">
        <v>44406</v>
      </c>
      <c r="I1550">
        <v>431.63732610661998</v>
      </c>
      <c r="J1550">
        <f t="shared" si="24"/>
        <v>3</v>
      </c>
    </row>
    <row r="1551" spans="1:10" x14ac:dyDescent="0.25">
      <c r="A1551" t="s">
        <v>1858</v>
      </c>
      <c r="B1551" t="s">
        <v>22</v>
      </c>
      <c r="C1551" t="s">
        <v>199</v>
      </c>
      <c r="D1551" s="1">
        <v>44412</v>
      </c>
      <c r="E1551">
        <v>9</v>
      </c>
      <c r="F1551">
        <v>72.765980586965597</v>
      </c>
      <c r="G1551" s="1">
        <v>44431</v>
      </c>
      <c r="H1551" s="1">
        <v>44430</v>
      </c>
      <c r="I1551">
        <v>654.89382528269095</v>
      </c>
      <c r="J1551">
        <f t="shared" si="24"/>
        <v>-1</v>
      </c>
    </row>
    <row r="1552" spans="1:10" x14ac:dyDescent="0.25">
      <c r="A1552" t="s">
        <v>1859</v>
      </c>
      <c r="B1552" t="s">
        <v>261</v>
      </c>
      <c r="C1552" t="s">
        <v>212</v>
      </c>
      <c r="D1552" s="1">
        <v>45238</v>
      </c>
      <c r="E1552">
        <v>9</v>
      </c>
      <c r="F1552">
        <v>22.798081859334701</v>
      </c>
      <c r="G1552" s="1">
        <v>45250</v>
      </c>
      <c r="H1552" s="1">
        <v>45248</v>
      </c>
      <c r="I1552">
        <v>205.182736734012</v>
      </c>
      <c r="J1552">
        <f t="shared" si="24"/>
        <v>-2</v>
      </c>
    </row>
    <row r="1553" spans="1:10" x14ac:dyDescent="0.25">
      <c r="A1553" t="s">
        <v>1860</v>
      </c>
      <c r="B1553" t="s">
        <v>16</v>
      </c>
      <c r="C1553" t="s">
        <v>276</v>
      </c>
      <c r="D1553" s="1">
        <v>44829</v>
      </c>
      <c r="E1553">
        <v>13</v>
      </c>
      <c r="F1553">
        <v>51.230348742227001</v>
      </c>
      <c r="G1553" s="1">
        <v>44852</v>
      </c>
      <c r="H1553" s="1">
        <v>44852</v>
      </c>
      <c r="I1553">
        <v>665.99453364895203</v>
      </c>
      <c r="J1553">
        <f t="shared" si="24"/>
        <v>0</v>
      </c>
    </row>
    <row r="1554" spans="1:10" x14ac:dyDescent="0.25">
      <c r="A1554" t="s">
        <v>1861</v>
      </c>
      <c r="B1554" t="s">
        <v>564</v>
      </c>
      <c r="C1554" t="s">
        <v>187</v>
      </c>
      <c r="D1554" s="1">
        <v>44830</v>
      </c>
      <c r="E1554">
        <v>11</v>
      </c>
      <c r="F1554">
        <v>55.859072705449798</v>
      </c>
      <c r="G1554" s="1">
        <v>44850</v>
      </c>
      <c r="H1554" s="1">
        <v>44854</v>
      </c>
      <c r="I1554">
        <v>614.44979975994795</v>
      </c>
      <c r="J1554">
        <f t="shared" si="24"/>
        <v>4</v>
      </c>
    </row>
    <row r="1555" spans="1:10" x14ac:dyDescent="0.25">
      <c r="A1555" t="s">
        <v>1862</v>
      </c>
      <c r="B1555" t="s">
        <v>451</v>
      </c>
      <c r="C1555" t="s">
        <v>230</v>
      </c>
      <c r="D1555" s="1">
        <v>44970</v>
      </c>
      <c r="E1555">
        <v>6</v>
      </c>
      <c r="F1555">
        <v>77.882999799212598</v>
      </c>
      <c r="G1555" s="1">
        <v>44987</v>
      </c>
      <c r="H1555" s="1">
        <v>44986</v>
      </c>
      <c r="I1555">
        <v>467.29799879527502</v>
      </c>
      <c r="J1555">
        <f t="shared" si="24"/>
        <v>-1</v>
      </c>
    </row>
    <row r="1556" spans="1:10" x14ac:dyDescent="0.25">
      <c r="A1556" t="s">
        <v>1863</v>
      </c>
      <c r="B1556" t="s">
        <v>22</v>
      </c>
      <c r="C1556" t="s">
        <v>720</v>
      </c>
      <c r="D1556" s="1">
        <v>45327</v>
      </c>
      <c r="E1556">
        <v>7</v>
      </c>
      <c r="F1556">
        <v>38.610703637328299</v>
      </c>
      <c r="G1556" s="1">
        <v>45338</v>
      </c>
      <c r="H1556" s="1">
        <v>45339</v>
      </c>
      <c r="I1556">
        <v>270.27492546129798</v>
      </c>
      <c r="J1556">
        <f t="shared" si="24"/>
        <v>1</v>
      </c>
    </row>
    <row r="1557" spans="1:10" x14ac:dyDescent="0.25">
      <c r="A1557" t="s">
        <v>1864</v>
      </c>
      <c r="B1557" t="s">
        <v>67</v>
      </c>
      <c r="C1557" t="s">
        <v>190</v>
      </c>
      <c r="D1557" s="1">
        <v>44518</v>
      </c>
      <c r="E1557">
        <v>7</v>
      </c>
      <c r="F1557">
        <v>56.404536245417802</v>
      </c>
      <c r="G1557" s="1">
        <v>44530</v>
      </c>
      <c r="H1557" s="1">
        <v>44536</v>
      </c>
      <c r="I1557">
        <v>394.83175371792402</v>
      </c>
      <c r="J1557">
        <f t="shared" si="24"/>
        <v>6</v>
      </c>
    </row>
    <row r="1558" spans="1:10" x14ac:dyDescent="0.25">
      <c r="A1558" t="s">
        <v>1865</v>
      </c>
      <c r="B1558" t="s">
        <v>130</v>
      </c>
      <c r="C1558" t="s">
        <v>110</v>
      </c>
      <c r="D1558" s="1">
        <v>44405</v>
      </c>
      <c r="E1558">
        <v>12</v>
      </c>
      <c r="F1558">
        <v>68.2497776438084</v>
      </c>
      <c r="G1558" s="1">
        <v>44420</v>
      </c>
      <c r="H1558" s="1">
        <v>44423</v>
      </c>
      <c r="I1558">
        <v>818.99733172569995</v>
      </c>
      <c r="J1558">
        <f t="shared" si="24"/>
        <v>3</v>
      </c>
    </row>
    <row r="1559" spans="1:10" x14ac:dyDescent="0.25">
      <c r="A1559" t="s">
        <v>1866</v>
      </c>
      <c r="B1559" t="s">
        <v>267</v>
      </c>
      <c r="C1559" t="s">
        <v>94</v>
      </c>
      <c r="D1559" s="1">
        <v>45160</v>
      </c>
      <c r="E1559">
        <v>12</v>
      </c>
      <c r="F1559">
        <v>12.5238147253243</v>
      </c>
      <c r="G1559" s="1">
        <v>45171</v>
      </c>
      <c r="H1559" s="1">
        <v>45170</v>
      </c>
      <c r="I1559">
        <v>150.285776703892</v>
      </c>
      <c r="J1559">
        <f t="shared" si="24"/>
        <v>-1</v>
      </c>
    </row>
    <row r="1560" spans="1:10" x14ac:dyDescent="0.25">
      <c r="A1560" t="s">
        <v>1867</v>
      </c>
      <c r="B1560" t="s">
        <v>169</v>
      </c>
      <c r="C1560" t="s">
        <v>44</v>
      </c>
      <c r="D1560" s="1">
        <v>44243</v>
      </c>
      <c r="E1560">
        <v>6</v>
      </c>
      <c r="F1560">
        <v>46.384969784431803</v>
      </c>
      <c r="G1560" s="1">
        <v>44259</v>
      </c>
      <c r="H1560" s="1">
        <v>44262</v>
      </c>
      <c r="I1560">
        <v>278.30981870659099</v>
      </c>
      <c r="J1560">
        <f t="shared" si="24"/>
        <v>3</v>
      </c>
    </row>
    <row r="1561" spans="1:10" x14ac:dyDescent="0.25">
      <c r="A1561" t="s">
        <v>1868</v>
      </c>
      <c r="B1561" t="s">
        <v>427</v>
      </c>
      <c r="C1561" t="s">
        <v>344</v>
      </c>
      <c r="D1561" s="1">
        <v>44841</v>
      </c>
      <c r="E1561">
        <v>8</v>
      </c>
      <c r="F1561">
        <v>35.7669050854362</v>
      </c>
      <c r="G1561" s="1">
        <v>44864</v>
      </c>
      <c r="H1561" s="1">
        <v>44862</v>
      </c>
      <c r="I1561">
        <v>286.13524068348897</v>
      </c>
      <c r="J1561">
        <f t="shared" si="24"/>
        <v>-2</v>
      </c>
    </row>
    <row r="1562" spans="1:10" x14ac:dyDescent="0.25">
      <c r="A1562" t="s">
        <v>1869</v>
      </c>
      <c r="B1562" t="s">
        <v>369</v>
      </c>
      <c r="C1562" t="s">
        <v>212</v>
      </c>
      <c r="D1562" s="1">
        <v>45133</v>
      </c>
      <c r="E1562">
        <v>15</v>
      </c>
      <c r="F1562">
        <v>30.482759345078701</v>
      </c>
      <c r="G1562" s="1">
        <v>45146</v>
      </c>
      <c r="H1562" s="1">
        <v>45144</v>
      </c>
      <c r="I1562">
        <v>457.24139017618</v>
      </c>
      <c r="J1562">
        <f t="shared" si="24"/>
        <v>-2</v>
      </c>
    </row>
    <row r="1563" spans="1:10" x14ac:dyDescent="0.25">
      <c r="A1563" t="s">
        <v>1870</v>
      </c>
      <c r="B1563" t="s">
        <v>427</v>
      </c>
      <c r="C1563" t="s">
        <v>279</v>
      </c>
      <c r="D1563" s="1">
        <v>44484</v>
      </c>
      <c r="E1563">
        <v>13</v>
      </c>
      <c r="F1563">
        <v>46.318902953067202</v>
      </c>
      <c r="G1563" s="1">
        <v>44499</v>
      </c>
      <c r="H1563" s="1">
        <v>44503</v>
      </c>
      <c r="I1563">
        <v>602.14573838987405</v>
      </c>
      <c r="J1563">
        <f t="shared" si="24"/>
        <v>4</v>
      </c>
    </row>
    <row r="1564" spans="1:10" x14ac:dyDescent="0.25">
      <c r="A1564" t="s">
        <v>1871</v>
      </c>
      <c r="B1564" t="s">
        <v>119</v>
      </c>
      <c r="C1564" t="s">
        <v>304</v>
      </c>
      <c r="D1564" s="1">
        <v>44322</v>
      </c>
      <c r="E1564">
        <v>12</v>
      </c>
      <c r="F1564">
        <v>58.207717736491198</v>
      </c>
      <c r="G1564" s="1">
        <v>44343</v>
      </c>
      <c r="H1564" s="1">
        <v>44349</v>
      </c>
      <c r="I1564">
        <v>698.49261283789394</v>
      </c>
      <c r="J1564">
        <f t="shared" si="24"/>
        <v>6</v>
      </c>
    </row>
    <row r="1565" spans="1:10" x14ac:dyDescent="0.25">
      <c r="A1565" t="s">
        <v>1872</v>
      </c>
      <c r="B1565" t="s">
        <v>46</v>
      </c>
      <c r="C1565" t="s">
        <v>701</v>
      </c>
      <c r="D1565" s="1">
        <v>45393</v>
      </c>
      <c r="E1565">
        <v>6</v>
      </c>
      <c r="F1565">
        <v>42.901208969641502</v>
      </c>
      <c r="G1565" s="1">
        <v>45413</v>
      </c>
      <c r="H1565" s="1">
        <v>45411</v>
      </c>
      <c r="I1565">
        <v>257.40725381784898</v>
      </c>
      <c r="J1565">
        <f t="shared" si="24"/>
        <v>-2</v>
      </c>
    </row>
    <row r="1566" spans="1:10" x14ac:dyDescent="0.25">
      <c r="A1566" t="s">
        <v>1873</v>
      </c>
      <c r="B1566" t="s">
        <v>22</v>
      </c>
      <c r="C1566" t="s">
        <v>97</v>
      </c>
      <c r="D1566" s="1">
        <v>45275</v>
      </c>
      <c r="E1566">
        <v>9</v>
      </c>
      <c r="F1566">
        <v>10.538295724469601</v>
      </c>
      <c r="G1566" s="1">
        <v>45298</v>
      </c>
      <c r="H1566" s="1">
        <v>45303</v>
      </c>
      <c r="I1566">
        <v>94.844661520227106</v>
      </c>
      <c r="J1566">
        <f t="shared" si="24"/>
        <v>5</v>
      </c>
    </row>
    <row r="1567" spans="1:10" x14ac:dyDescent="0.25">
      <c r="A1567" t="s">
        <v>1874</v>
      </c>
      <c r="B1567" t="s">
        <v>179</v>
      </c>
      <c r="C1567" t="s">
        <v>664</v>
      </c>
      <c r="D1567" s="1">
        <v>45187</v>
      </c>
      <c r="E1567">
        <v>15</v>
      </c>
      <c r="F1567">
        <v>73.896116560543504</v>
      </c>
      <c r="G1567" s="1">
        <v>45197</v>
      </c>
      <c r="H1567" s="1">
        <v>45198</v>
      </c>
      <c r="I1567">
        <v>1108.44174840815</v>
      </c>
      <c r="J1567">
        <f t="shared" si="24"/>
        <v>1</v>
      </c>
    </row>
    <row r="1568" spans="1:10" x14ac:dyDescent="0.25">
      <c r="A1568" t="s">
        <v>1875</v>
      </c>
      <c r="B1568" t="s">
        <v>326</v>
      </c>
      <c r="C1568" t="s">
        <v>279</v>
      </c>
      <c r="D1568" s="1">
        <v>45236</v>
      </c>
      <c r="E1568">
        <v>8</v>
      </c>
      <c r="F1568">
        <v>52.488354399817297</v>
      </c>
      <c r="G1568" s="1">
        <v>45258</v>
      </c>
      <c r="H1568" s="1">
        <v>45260</v>
      </c>
      <c r="I1568">
        <v>419.906835198539</v>
      </c>
      <c r="J1568">
        <f t="shared" si="24"/>
        <v>2</v>
      </c>
    </row>
    <row r="1569" spans="1:10" x14ac:dyDescent="0.25">
      <c r="A1569" t="s">
        <v>1876</v>
      </c>
      <c r="B1569" t="s">
        <v>324</v>
      </c>
      <c r="C1569" t="s">
        <v>268</v>
      </c>
      <c r="D1569" s="1">
        <v>45391</v>
      </c>
      <c r="E1569">
        <v>10</v>
      </c>
      <c r="F1569">
        <v>68.757829444169005</v>
      </c>
      <c r="G1569" s="1">
        <v>45410</v>
      </c>
      <c r="H1569" s="1">
        <v>45414</v>
      </c>
      <c r="I1569">
        <v>687.57829444168999</v>
      </c>
      <c r="J1569">
        <f t="shared" si="24"/>
        <v>4</v>
      </c>
    </row>
    <row r="1570" spans="1:10" x14ac:dyDescent="0.25">
      <c r="A1570" t="s">
        <v>1877</v>
      </c>
      <c r="B1570" t="s">
        <v>124</v>
      </c>
      <c r="C1570" t="s">
        <v>141</v>
      </c>
      <c r="D1570" s="1">
        <v>44955</v>
      </c>
      <c r="E1570">
        <v>11</v>
      </c>
      <c r="F1570">
        <v>64.086787914173897</v>
      </c>
      <c r="G1570" s="1">
        <v>44978</v>
      </c>
      <c r="H1570" s="1">
        <v>44984</v>
      </c>
      <c r="I1570">
        <v>704.95466705591298</v>
      </c>
      <c r="J1570">
        <f t="shared" si="24"/>
        <v>6</v>
      </c>
    </row>
    <row r="1571" spans="1:10" x14ac:dyDescent="0.25">
      <c r="A1571" t="s">
        <v>1878</v>
      </c>
      <c r="B1571" t="s">
        <v>96</v>
      </c>
      <c r="C1571" t="s">
        <v>489</v>
      </c>
      <c r="D1571" s="1">
        <v>44784</v>
      </c>
      <c r="E1571">
        <v>7</v>
      </c>
      <c r="F1571">
        <v>57.813082505199503</v>
      </c>
      <c r="G1571" s="1">
        <v>44801</v>
      </c>
      <c r="H1571" s="1">
        <v>44800</v>
      </c>
      <c r="I1571">
        <v>404.69157753639598</v>
      </c>
      <c r="J1571">
        <f t="shared" si="24"/>
        <v>-1</v>
      </c>
    </row>
    <row r="1572" spans="1:10" x14ac:dyDescent="0.25">
      <c r="A1572" t="s">
        <v>1879</v>
      </c>
      <c r="B1572" t="s">
        <v>326</v>
      </c>
      <c r="C1572" t="s">
        <v>190</v>
      </c>
      <c r="D1572" s="1">
        <v>44839</v>
      </c>
      <c r="E1572">
        <v>9</v>
      </c>
      <c r="F1572">
        <v>35.009741007135098</v>
      </c>
      <c r="G1572" s="1">
        <v>44863</v>
      </c>
      <c r="H1572" s="1">
        <v>44867</v>
      </c>
      <c r="I1572">
        <v>315.08766906421602</v>
      </c>
      <c r="J1572">
        <f t="shared" si="24"/>
        <v>4</v>
      </c>
    </row>
    <row r="1573" spans="1:10" x14ac:dyDescent="0.25">
      <c r="A1573" t="s">
        <v>1880</v>
      </c>
      <c r="B1573" t="s">
        <v>31</v>
      </c>
      <c r="C1573" t="s">
        <v>899</v>
      </c>
      <c r="D1573" s="1">
        <v>45076</v>
      </c>
      <c r="E1573">
        <v>9</v>
      </c>
      <c r="F1573">
        <v>11.9778766420037</v>
      </c>
      <c r="G1573" s="1">
        <v>45093</v>
      </c>
      <c r="H1573" s="1">
        <v>45095</v>
      </c>
      <c r="I1573">
        <v>107.800889778033</v>
      </c>
      <c r="J1573">
        <f t="shared" si="24"/>
        <v>2</v>
      </c>
    </row>
    <row r="1574" spans="1:10" x14ac:dyDescent="0.25">
      <c r="A1574" t="s">
        <v>1881</v>
      </c>
      <c r="B1574" t="s">
        <v>179</v>
      </c>
      <c r="C1574" t="s">
        <v>527</v>
      </c>
      <c r="D1574" s="1">
        <v>44923</v>
      </c>
      <c r="E1574">
        <v>10</v>
      </c>
      <c r="F1574">
        <v>47.510042630507897</v>
      </c>
      <c r="G1574" s="1">
        <v>44940</v>
      </c>
      <c r="H1574" s="1">
        <v>44944</v>
      </c>
      <c r="I1574">
        <v>475.100426305079</v>
      </c>
      <c r="J1574">
        <f t="shared" si="24"/>
        <v>4</v>
      </c>
    </row>
    <row r="1575" spans="1:10" x14ac:dyDescent="0.25">
      <c r="A1575" t="s">
        <v>1882</v>
      </c>
      <c r="B1575" t="s">
        <v>46</v>
      </c>
      <c r="C1575" t="s">
        <v>11</v>
      </c>
      <c r="D1575" s="1">
        <v>44823</v>
      </c>
      <c r="E1575">
        <v>15</v>
      </c>
      <c r="F1575">
        <v>19.2990481085208</v>
      </c>
      <c r="G1575" s="1">
        <v>44845</v>
      </c>
      <c r="H1575" s="1">
        <v>44842</v>
      </c>
      <c r="I1575">
        <v>289.48572162781198</v>
      </c>
      <c r="J1575">
        <f t="shared" si="24"/>
        <v>-3</v>
      </c>
    </row>
    <row r="1576" spans="1:10" x14ac:dyDescent="0.25">
      <c r="A1576" t="s">
        <v>1883</v>
      </c>
      <c r="B1576" t="s">
        <v>247</v>
      </c>
      <c r="C1576" t="s">
        <v>133</v>
      </c>
      <c r="D1576" s="1">
        <v>44795</v>
      </c>
      <c r="E1576">
        <v>14</v>
      </c>
      <c r="F1576">
        <v>70.030766392103004</v>
      </c>
      <c r="G1576" s="1">
        <v>44812</v>
      </c>
      <c r="H1576" s="1">
        <v>44816</v>
      </c>
      <c r="I1576">
        <v>980.430729489442</v>
      </c>
      <c r="J1576">
        <f t="shared" si="24"/>
        <v>4</v>
      </c>
    </row>
    <row r="1577" spans="1:10" x14ac:dyDescent="0.25">
      <c r="A1577" t="s">
        <v>1884</v>
      </c>
      <c r="B1577" t="s">
        <v>427</v>
      </c>
      <c r="C1577" t="s">
        <v>133</v>
      </c>
      <c r="D1577" s="1">
        <v>44300</v>
      </c>
      <c r="E1577">
        <v>16</v>
      </c>
      <c r="F1577">
        <v>28.256472791425001</v>
      </c>
      <c r="G1577" s="1">
        <v>44318</v>
      </c>
      <c r="H1577" s="1">
        <v>44324</v>
      </c>
      <c r="I1577">
        <v>452.10356466280001</v>
      </c>
      <c r="J1577">
        <f t="shared" si="24"/>
        <v>6</v>
      </c>
    </row>
    <row r="1578" spans="1:10" x14ac:dyDescent="0.25">
      <c r="A1578" t="s">
        <v>1885</v>
      </c>
      <c r="B1578" t="s">
        <v>295</v>
      </c>
      <c r="C1578" t="s">
        <v>363</v>
      </c>
      <c r="D1578" s="1">
        <v>44706</v>
      </c>
      <c r="E1578">
        <v>12</v>
      </c>
      <c r="F1578">
        <v>47.3378095150264</v>
      </c>
      <c r="G1578" s="1">
        <v>44721</v>
      </c>
      <c r="H1578" s="1">
        <v>44718</v>
      </c>
      <c r="I1578">
        <v>568.053714180317</v>
      </c>
      <c r="J1578">
        <f t="shared" si="24"/>
        <v>-3</v>
      </c>
    </row>
    <row r="1579" spans="1:10" x14ac:dyDescent="0.25">
      <c r="A1579" t="s">
        <v>1886</v>
      </c>
      <c r="B1579" t="s">
        <v>564</v>
      </c>
      <c r="C1579" t="s">
        <v>235</v>
      </c>
      <c r="D1579" s="1">
        <v>45252</v>
      </c>
      <c r="E1579">
        <v>10</v>
      </c>
      <c r="F1579">
        <v>67.189165812737002</v>
      </c>
      <c r="G1579" s="1">
        <v>45268</v>
      </c>
      <c r="H1579" s="1">
        <v>45269</v>
      </c>
      <c r="I1579">
        <v>671.89165812736996</v>
      </c>
      <c r="J1579">
        <f t="shared" si="24"/>
        <v>1</v>
      </c>
    </row>
    <row r="1580" spans="1:10" x14ac:dyDescent="0.25">
      <c r="A1580" t="s">
        <v>1887</v>
      </c>
      <c r="B1580" t="s">
        <v>82</v>
      </c>
      <c r="C1580" t="s">
        <v>547</v>
      </c>
      <c r="D1580" s="1">
        <v>44581</v>
      </c>
      <c r="E1580">
        <v>21</v>
      </c>
      <c r="F1580">
        <v>58.9316234670843</v>
      </c>
      <c r="G1580" s="1">
        <v>44591</v>
      </c>
      <c r="H1580" s="1">
        <v>44595</v>
      </c>
      <c r="I1580">
        <v>1237.5640928087701</v>
      </c>
      <c r="J1580">
        <f t="shared" si="24"/>
        <v>4</v>
      </c>
    </row>
    <row r="1581" spans="1:10" x14ac:dyDescent="0.25">
      <c r="A1581" t="s">
        <v>1888</v>
      </c>
      <c r="B1581" t="s">
        <v>109</v>
      </c>
      <c r="C1581" t="s">
        <v>466</v>
      </c>
      <c r="D1581" s="1">
        <v>44908</v>
      </c>
      <c r="E1581">
        <v>17</v>
      </c>
      <c r="F1581">
        <v>4.7189801050913198</v>
      </c>
      <c r="G1581" s="1">
        <v>44932</v>
      </c>
      <c r="H1581" s="1">
        <v>44932</v>
      </c>
      <c r="I1581">
        <v>80.222661786552493</v>
      </c>
      <c r="J1581">
        <f t="shared" si="24"/>
        <v>0</v>
      </c>
    </row>
    <row r="1582" spans="1:10" x14ac:dyDescent="0.25">
      <c r="A1582" t="s">
        <v>1889</v>
      </c>
      <c r="B1582" t="s">
        <v>55</v>
      </c>
      <c r="C1582" t="s">
        <v>328</v>
      </c>
      <c r="D1582" s="1">
        <v>44608</v>
      </c>
      <c r="E1582">
        <v>12</v>
      </c>
      <c r="F1582">
        <v>54.6502182098384</v>
      </c>
      <c r="G1582" s="1">
        <v>44623</v>
      </c>
      <c r="H1582" s="1">
        <v>44623</v>
      </c>
      <c r="I1582">
        <v>655.80261851806097</v>
      </c>
      <c r="J1582">
        <f t="shared" si="24"/>
        <v>0</v>
      </c>
    </row>
    <row r="1583" spans="1:10" x14ac:dyDescent="0.25">
      <c r="A1583" t="s">
        <v>1890</v>
      </c>
      <c r="B1583" t="s">
        <v>31</v>
      </c>
      <c r="C1583" t="s">
        <v>391</v>
      </c>
      <c r="D1583" s="1">
        <v>45137</v>
      </c>
      <c r="E1583">
        <v>11</v>
      </c>
      <c r="F1583">
        <v>74.050068575274494</v>
      </c>
      <c r="G1583" s="1">
        <v>45150</v>
      </c>
      <c r="H1583" s="1">
        <v>45152</v>
      </c>
      <c r="I1583">
        <v>814.55075432802005</v>
      </c>
      <c r="J1583">
        <f t="shared" si="24"/>
        <v>2</v>
      </c>
    </row>
    <row r="1584" spans="1:10" x14ac:dyDescent="0.25">
      <c r="A1584" t="s">
        <v>1891</v>
      </c>
      <c r="B1584" t="s">
        <v>482</v>
      </c>
      <c r="C1584" t="s">
        <v>489</v>
      </c>
      <c r="D1584" s="1">
        <v>44832</v>
      </c>
      <c r="E1584">
        <v>11</v>
      </c>
      <c r="F1584">
        <v>25.044935112929601</v>
      </c>
      <c r="G1584" s="1">
        <v>44844</v>
      </c>
      <c r="H1584" s="1">
        <v>44848</v>
      </c>
      <c r="I1584">
        <v>275.494286242226</v>
      </c>
      <c r="J1584">
        <f t="shared" si="24"/>
        <v>4</v>
      </c>
    </row>
    <row r="1585" spans="1:10" x14ac:dyDescent="0.25">
      <c r="A1585" t="s">
        <v>1892</v>
      </c>
      <c r="B1585" t="s">
        <v>43</v>
      </c>
      <c r="C1585" t="s">
        <v>899</v>
      </c>
      <c r="D1585" s="1">
        <v>44611</v>
      </c>
      <c r="E1585">
        <v>15</v>
      </c>
      <c r="F1585">
        <v>42.405919998985503</v>
      </c>
      <c r="G1585" s="1">
        <v>44632</v>
      </c>
      <c r="H1585" s="1">
        <v>44630</v>
      </c>
      <c r="I1585">
        <v>636.08879998478301</v>
      </c>
      <c r="J1585">
        <f t="shared" si="24"/>
        <v>-2</v>
      </c>
    </row>
    <row r="1586" spans="1:10" x14ac:dyDescent="0.25">
      <c r="A1586" t="s">
        <v>1893</v>
      </c>
      <c r="B1586" t="s">
        <v>130</v>
      </c>
      <c r="C1586" t="s">
        <v>571</v>
      </c>
      <c r="D1586" s="1">
        <v>44210</v>
      </c>
      <c r="E1586">
        <v>14</v>
      </c>
      <c r="F1586">
        <v>6.57623389866714</v>
      </c>
      <c r="G1586" s="1">
        <v>44231</v>
      </c>
      <c r="H1586" s="1">
        <v>44228</v>
      </c>
      <c r="I1586">
        <v>92.067274581339902</v>
      </c>
      <c r="J1586">
        <f t="shared" si="24"/>
        <v>-3</v>
      </c>
    </row>
    <row r="1587" spans="1:10" x14ac:dyDescent="0.25">
      <c r="A1587" t="s">
        <v>1894</v>
      </c>
      <c r="B1587" t="s">
        <v>482</v>
      </c>
      <c r="C1587" t="s">
        <v>163</v>
      </c>
      <c r="D1587" s="1">
        <v>45126</v>
      </c>
      <c r="E1587">
        <v>16</v>
      </c>
      <c r="F1587">
        <v>47.703011056265296</v>
      </c>
      <c r="G1587" s="1">
        <v>45138</v>
      </c>
      <c r="H1587" s="1">
        <v>45138</v>
      </c>
      <c r="I1587">
        <v>763.24817690024395</v>
      </c>
      <c r="J1587">
        <f t="shared" si="24"/>
        <v>0</v>
      </c>
    </row>
    <row r="1588" spans="1:10" x14ac:dyDescent="0.25">
      <c r="A1588" t="s">
        <v>1895</v>
      </c>
      <c r="B1588" t="s">
        <v>37</v>
      </c>
      <c r="C1588" t="s">
        <v>899</v>
      </c>
      <c r="D1588" s="1">
        <v>44808</v>
      </c>
      <c r="E1588">
        <v>12</v>
      </c>
      <c r="F1588">
        <v>24.029610445025</v>
      </c>
      <c r="G1588" s="1">
        <v>44830</v>
      </c>
      <c r="H1588" s="1">
        <v>44829</v>
      </c>
      <c r="I1588">
        <v>288.3553253403</v>
      </c>
      <c r="J1588">
        <f t="shared" si="24"/>
        <v>-1</v>
      </c>
    </row>
    <row r="1589" spans="1:10" x14ac:dyDescent="0.25">
      <c r="A1589" t="s">
        <v>1896</v>
      </c>
      <c r="B1589" t="s">
        <v>28</v>
      </c>
      <c r="C1589" t="s">
        <v>346</v>
      </c>
      <c r="D1589" s="1">
        <v>45091</v>
      </c>
      <c r="E1589">
        <v>11</v>
      </c>
      <c r="F1589">
        <v>22.536299721177301</v>
      </c>
      <c r="G1589" s="1">
        <v>45112</v>
      </c>
      <c r="H1589" s="1">
        <v>45112</v>
      </c>
      <c r="I1589">
        <v>247.89929693294999</v>
      </c>
      <c r="J1589">
        <f t="shared" si="24"/>
        <v>0</v>
      </c>
    </row>
    <row r="1590" spans="1:10" x14ac:dyDescent="0.25">
      <c r="A1590" t="s">
        <v>1897</v>
      </c>
      <c r="B1590" t="s">
        <v>314</v>
      </c>
      <c r="C1590" t="s">
        <v>161</v>
      </c>
      <c r="D1590" s="1">
        <v>45352</v>
      </c>
      <c r="E1590">
        <v>13</v>
      </c>
      <c r="F1590">
        <v>24.777720920784201</v>
      </c>
      <c r="G1590" s="1">
        <v>45365</v>
      </c>
      <c r="H1590" s="1">
        <v>45366</v>
      </c>
      <c r="I1590">
        <v>322.11037197019402</v>
      </c>
      <c r="J1590">
        <f t="shared" si="24"/>
        <v>1</v>
      </c>
    </row>
    <row r="1591" spans="1:10" x14ac:dyDescent="0.25">
      <c r="A1591" t="s">
        <v>1898</v>
      </c>
      <c r="B1591" t="s">
        <v>261</v>
      </c>
      <c r="C1591" t="s">
        <v>190</v>
      </c>
      <c r="D1591" s="1">
        <v>45040</v>
      </c>
      <c r="E1591">
        <v>9</v>
      </c>
      <c r="F1591">
        <v>79.987708117705395</v>
      </c>
      <c r="G1591" s="1">
        <v>45063</v>
      </c>
      <c r="H1591" s="1">
        <v>45067</v>
      </c>
      <c r="I1591">
        <v>719.88937305934803</v>
      </c>
      <c r="J1591">
        <f t="shared" si="24"/>
        <v>4</v>
      </c>
    </row>
    <row r="1592" spans="1:10" x14ac:dyDescent="0.25">
      <c r="A1592" t="s">
        <v>1899</v>
      </c>
      <c r="B1592" t="s">
        <v>130</v>
      </c>
      <c r="C1592" t="s">
        <v>71</v>
      </c>
      <c r="D1592" s="1">
        <v>45372</v>
      </c>
      <c r="E1592">
        <v>6</v>
      </c>
      <c r="F1592">
        <v>45.578211339053297</v>
      </c>
      <c r="G1592" s="1">
        <v>45385</v>
      </c>
      <c r="H1592" s="1">
        <v>45389</v>
      </c>
      <c r="I1592">
        <v>273.46926803431899</v>
      </c>
      <c r="J1592">
        <f t="shared" si="24"/>
        <v>4</v>
      </c>
    </row>
    <row r="1593" spans="1:10" x14ac:dyDescent="0.25">
      <c r="A1593" t="s">
        <v>1900</v>
      </c>
      <c r="B1593" t="s">
        <v>143</v>
      </c>
      <c r="C1593" t="s">
        <v>233</v>
      </c>
      <c r="D1593" s="1">
        <v>44916</v>
      </c>
      <c r="E1593">
        <v>6</v>
      </c>
      <c r="F1593">
        <v>3.7660942399925199</v>
      </c>
      <c r="G1593" s="1">
        <v>44937</v>
      </c>
      <c r="H1593" s="1">
        <v>44934</v>
      </c>
      <c r="I1593">
        <v>22.5965654399551</v>
      </c>
      <c r="J1593">
        <f t="shared" si="24"/>
        <v>-3</v>
      </c>
    </row>
    <row r="1594" spans="1:10" x14ac:dyDescent="0.25">
      <c r="A1594" t="s">
        <v>1901</v>
      </c>
      <c r="B1594" t="s">
        <v>119</v>
      </c>
      <c r="C1594" t="s">
        <v>543</v>
      </c>
      <c r="D1594" s="1">
        <v>44318</v>
      </c>
      <c r="E1594">
        <v>15</v>
      </c>
      <c r="F1594">
        <v>34.789336439042302</v>
      </c>
      <c r="G1594" s="1">
        <v>44332</v>
      </c>
      <c r="H1594" s="1">
        <v>44330</v>
      </c>
      <c r="I1594">
        <v>521.84004658563504</v>
      </c>
      <c r="J1594">
        <f t="shared" si="24"/>
        <v>-2</v>
      </c>
    </row>
    <row r="1595" spans="1:10" x14ac:dyDescent="0.25">
      <c r="A1595" t="s">
        <v>1902</v>
      </c>
      <c r="B1595" t="s">
        <v>46</v>
      </c>
      <c r="C1595" t="s">
        <v>20</v>
      </c>
      <c r="D1595" s="1">
        <v>44961</v>
      </c>
      <c r="E1595">
        <v>11</v>
      </c>
      <c r="F1595">
        <v>73.154977646393604</v>
      </c>
      <c r="G1595" s="1">
        <v>44977</v>
      </c>
      <c r="H1595" s="1">
        <v>44977</v>
      </c>
      <c r="I1595">
        <v>804.70475411032999</v>
      </c>
      <c r="J1595">
        <f t="shared" si="24"/>
        <v>0</v>
      </c>
    </row>
    <row r="1596" spans="1:10" x14ac:dyDescent="0.25">
      <c r="A1596" t="s">
        <v>1903</v>
      </c>
      <c r="B1596" t="s">
        <v>114</v>
      </c>
      <c r="C1596" t="s">
        <v>47</v>
      </c>
      <c r="D1596" s="1">
        <v>44765</v>
      </c>
      <c r="E1596">
        <v>10</v>
      </c>
      <c r="F1596">
        <v>53.568892984768802</v>
      </c>
      <c r="G1596" s="1">
        <v>44788</v>
      </c>
      <c r="H1596" s="1">
        <v>44793</v>
      </c>
      <c r="I1596">
        <v>535.68892984768797</v>
      </c>
      <c r="J1596">
        <f t="shared" si="24"/>
        <v>5</v>
      </c>
    </row>
    <row r="1597" spans="1:10" x14ac:dyDescent="0.25">
      <c r="A1597" t="s">
        <v>1904</v>
      </c>
      <c r="B1597" t="s">
        <v>91</v>
      </c>
      <c r="C1597" t="s">
        <v>102</v>
      </c>
      <c r="D1597" s="1">
        <v>44371</v>
      </c>
      <c r="E1597">
        <v>10</v>
      </c>
      <c r="F1597">
        <v>40.226383028589098</v>
      </c>
      <c r="G1597" s="1">
        <v>44383</v>
      </c>
      <c r="H1597" s="1">
        <v>44389</v>
      </c>
      <c r="I1597">
        <v>402.263830285891</v>
      </c>
      <c r="J1597">
        <f t="shared" si="24"/>
        <v>6</v>
      </c>
    </row>
    <row r="1598" spans="1:10" x14ac:dyDescent="0.25">
      <c r="A1598" t="s">
        <v>1905</v>
      </c>
      <c r="B1598" t="s">
        <v>493</v>
      </c>
      <c r="C1598" t="s">
        <v>356</v>
      </c>
      <c r="D1598" s="1">
        <v>45035</v>
      </c>
      <c r="E1598">
        <v>10</v>
      </c>
      <c r="F1598">
        <v>22.495097545144599</v>
      </c>
      <c r="G1598" s="1">
        <v>45045</v>
      </c>
      <c r="H1598" s="1">
        <v>45047</v>
      </c>
      <c r="I1598">
        <v>224.950975451446</v>
      </c>
      <c r="J1598">
        <f t="shared" si="24"/>
        <v>2</v>
      </c>
    </row>
    <row r="1599" spans="1:10" x14ac:dyDescent="0.25">
      <c r="A1599" t="s">
        <v>1906</v>
      </c>
      <c r="B1599" t="s">
        <v>85</v>
      </c>
      <c r="C1599" t="s">
        <v>133</v>
      </c>
      <c r="D1599" s="1">
        <v>44787</v>
      </c>
      <c r="E1599">
        <v>10</v>
      </c>
      <c r="F1599">
        <v>16.239075509546499</v>
      </c>
      <c r="G1599" s="1">
        <v>44807</v>
      </c>
      <c r="H1599" s="1">
        <v>44812</v>
      </c>
      <c r="I1599">
        <v>162.39075509546501</v>
      </c>
      <c r="J1599">
        <f t="shared" si="24"/>
        <v>5</v>
      </c>
    </row>
    <row r="1600" spans="1:10" x14ac:dyDescent="0.25">
      <c r="A1600" t="s">
        <v>1907</v>
      </c>
      <c r="B1600" t="s">
        <v>119</v>
      </c>
      <c r="C1600" t="s">
        <v>190</v>
      </c>
      <c r="D1600" s="1">
        <v>45291</v>
      </c>
      <c r="E1600">
        <v>16</v>
      </c>
      <c r="F1600">
        <v>55.857467410959202</v>
      </c>
      <c r="G1600" s="1">
        <v>45308</v>
      </c>
      <c r="H1600" s="1">
        <v>45314</v>
      </c>
      <c r="I1600">
        <v>893.71947857534701</v>
      </c>
      <c r="J1600">
        <f t="shared" si="24"/>
        <v>6</v>
      </c>
    </row>
    <row r="1601" spans="1:10" x14ac:dyDescent="0.25">
      <c r="A1601" t="s">
        <v>1908</v>
      </c>
      <c r="B1601" t="s">
        <v>61</v>
      </c>
      <c r="C1601" t="s">
        <v>112</v>
      </c>
      <c r="D1601" s="1">
        <v>45306</v>
      </c>
      <c r="E1601">
        <v>11</v>
      </c>
      <c r="F1601">
        <v>53.171571847065898</v>
      </c>
      <c r="G1601" s="1">
        <v>45320</v>
      </c>
      <c r="H1601" s="1">
        <v>45321</v>
      </c>
      <c r="I1601">
        <v>584.88729031772505</v>
      </c>
      <c r="J1601">
        <f t="shared" si="24"/>
        <v>1</v>
      </c>
    </row>
    <row r="1602" spans="1:10" x14ac:dyDescent="0.25">
      <c r="A1602" t="s">
        <v>1909</v>
      </c>
      <c r="B1602" t="s">
        <v>88</v>
      </c>
      <c r="C1602" t="s">
        <v>182</v>
      </c>
      <c r="D1602" s="1">
        <v>44302</v>
      </c>
      <c r="E1602">
        <v>13</v>
      </c>
      <c r="F1602">
        <v>31.5546901889394</v>
      </c>
      <c r="G1602" s="1">
        <v>44320</v>
      </c>
      <c r="H1602" s="1">
        <v>44318</v>
      </c>
      <c r="I1602">
        <v>410.210972456212</v>
      </c>
      <c r="J1602">
        <f t="shared" si="24"/>
        <v>-2</v>
      </c>
    </row>
    <row r="1603" spans="1:10" x14ac:dyDescent="0.25">
      <c r="A1603" t="s">
        <v>1910</v>
      </c>
      <c r="B1603" t="s">
        <v>198</v>
      </c>
      <c r="C1603" t="s">
        <v>170</v>
      </c>
      <c r="D1603" s="1">
        <v>44370</v>
      </c>
      <c r="E1603">
        <v>9</v>
      </c>
      <c r="F1603">
        <v>59.546875325867802</v>
      </c>
      <c r="G1603" s="1">
        <v>44388</v>
      </c>
      <c r="H1603" s="1">
        <v>44393</v>
      </c>
      <c r="I1603">
        <v>535.92187793281096</v>
      </c>
      <c r="J1603">
        <f t="shared" ref="J1603:J1666" si="25">H1603-G1603</f>
        <v>5</v>
      </c>
    </row>
    <row r="1604" spans="1:10" x14ac:dyDescent="0.25">
      <c r="A1604" t="s">
        <v>1911</v>
      </c>
      <c r="B1604" t="s">
        <v>314</v>
      </c>
      <c r="C1604" t="s">
        <v>693</v>
      </c>
      <c r="D1604" s="1">
        <v>45183</v>
      </c>
      <c r="E1604">
        <v>18</v>
      </c>
      <c r="F1604">
        <v>68.5913650024101</v>
      </c>
      <c r="G1604" s="1">
        <v>45207</v>
      </c>
      <c r="H1604" s="1">
        <v>45212</v>
      </c>
      <c r="I1604">
        <v>1234.6445700433801</v>
      </c>
      <c r="J1604">
        <f t="shared" si="25"/>
        <v>5</v>
      </c>
    </row>
    <row r="1605" spans="1:10" x14ac:dyDescent="0.25">
      <c r="A1605" t="s">
        <v>1912</v>
      </c>
      <c r="B1605" t="s">
        <v>485</v>
      </c>
      <c r="C1605" t="s">
        <v>56</v>
      </c>
      <c r="D1605" s="1">
        <v>45325</v>
      </c>
      <c r="E1605">
        <v>12</v>
      </c>
      <c r="F1605">
        <v>32.550490934008103</v>
      </c>
      <c r="G1605" s="1">
        <v>45339</v>
      </c>
      <c r="H1605" s="1">
        <v>45343</v>
      </c>
      <c r="I1605">
        <v>390.60589120809698</v>
      </c>
      <c r="J1605">
        <f t="shared" si="25"/>
        <v>4</v>
      </c>
    </row>
    <row r="1606" spans="1:10" x14ac:dyDescent="0.25">
      <c r="A1606" t="s">
        <v>1913</v>
      </c>
      <c r="B1606" t="s">
        <v>686</v>
      </c>
      <c r="C1606" t="s">
        <v>722</v>
      </c>
      <c r="D1606" s="1">
        <v>44979</v>
      </c>
      <c r="E1606">
        <v>10</v>
      </c>
      <c r="F1606">
        <v>72.236778674775294</v>
      </c>
      <c r="G1606" s="1">
        <v>44998</v>
      </c>
      <c r="H1606" s="1">
        <v>45000</v>
      </c>
      <c r="I1606">
        <v>722.36778674775303</v>
      </c>
      <c r="J1606">
        <f t="shared" si="25"/>
        <v>2</v>
      </c>
    </row>
    <row r="1607" spans="1:10" x14ac:dyDescent="0.25">
      <c r="A1607" t="s">
        <v>1914</v>
      </c>
      <c r="B1607" t="s">
        <v>493</v>
      </c>
      <c r="C1607" t="s">
        <v>105</v>
      </c>
      <c r="D1607" s="1">
        <v>45027</v>
      </c>
      <c r="E1607">
        <v>9</v>
      </c>
      <c r="F1607">
        <v>7.2870951843118599</v>
      </c>
      <c r="G1607" s="1">
        <v>45049</v>
      </c>
      <c r="H1607" s="1">
        <v>45055</v>
      </c>
      <c r="I1607">
        <v>65.583856658806695</v>
      </c>
      <c r="J1607">
        <f t="shared" si="25"/>
        <v>6</v>
      </c>
    </row>
    <row r="1608" spans="1:10" x14ac:dyDescent="0.25">
      <c r="A1608" t="s">
        <v>1915</v>
      </c>
      <c r="B1608" t="s">
        <v>242</v>
      </c>
      <c r="C1608" t="s">
        <v>661</v>
      </c>
      <c r="D1608" s="1">
        <v>45126</v>
      </c>
      <c r="E1608">
        <v>12</v>
      </c>
      <c r="F1608">
        <v>48.482645701840902</v>
      </c>
      <c r="G1608" s="1">
        <v>45141</v>
      </c>
      <c r="H1608" s="1">
        <v>45139</v>
      </c>
      <c r="I1608">
        <v>581.79174842209102</v>
      </c>
      <c r="J1608">
        <f t="shared" si="25"/>
        <v>-2</v>
      </c>
    </row>
    <row r="1609" spans="1:10" x14ac:dyDescent="0.25">
      <c r="A1609" t="s">
        <v>1916</v>
      </c>
      <c r="B1609" t="s">
        <v>82</v>
      </c>
      <c r="C1609" t="s">
        <v>432</v>
      </c>
      <c r="D1609" s="1">
        <v>44333</v>
      </c>
      <c r="E1609">
        <v>11</v>
      </c>
      <c r="F1609">
        <v>9.3870150436401705</v>
      </c>
      <c r="G1609" s="1">
        <v>44347</v>
      </c>
      <c r="H1609" s="1">
        <v>44350</v>
      </c>
      <c r="I1609">
        <v>103.257165480041</v>
      </c>
      <c r="J1609">
        <f t="shared" si="25"/>
        <v>3</v>
      </c>
    </row>
    <row r="1610" spans="1:10" x14ac:dyDescent="0.25">
      <c r="A1610" t="s">
        <v>1917</v>
      </c>
      <c r="B1610" t="s">
        <v>64</v>
      </c>
      <c r="C1610" t="s">
        <v>290</v>
      </c>
      <c r="D1610" s="1">
        <v>44838</v>
      </c>
      <c r="E1610">
        <v>14</v>
      </c>
      <c r="F1610">
        <v>41.348260728834703</v>
      </c>
      <c r="G1610" s="1">
        <v>44862</v>
      </c>
      <c r="H1610" s="1">
        <v>44862</v>
      </c>
      <c r="I1610">
        <v>578.87565020368697</v>
      </c>
      <c r="J1610">
        <f t="shared" si="25"/>
        <v>0</v>
      </c>
    </row>
    <row r="1611" spans="1:10" x14ac:dyDescent="0.25">
      <c r="A1611" t="s">
        <v>1918</v>
      </c>
      <c r="B1611" t="s">
        <v>82</v>
      </c>
      <c r="C1611" t="s">
        <v>283</v>
      </c>
      <c r="D1611" s="1">
        <v>44732</v>
      </c>
      <c r="E1611">
        <v>12</v>
      </c>
      <c r="F1611">
        <v>33.139159054120398</v>
      </c>
      <c r="G1611" s="1">
        <v>44742</v>
      </c>
      <c r="H1611" s="1">
        <v>44739</v>
      </c>
      <c r="I1611">
        <v>397.66990864944501</v>
      </c>
      <c r="J1611">
        <f t="shared" si="25"/>
        <v>-3</v>
      </c>
    </row>
    <row r="1612" spans="1:10" x14ac:dyDescent="0.25">
      <c r="A1612" t="s">
        <v>1919</v>
      </c>
      <c r="B1612" t="s">
        <v>240</v>
      </c>
      <c r="C1612" t="s">
        <v>243</v>
      </c>
      <c r="D1612" s="1">
        <v>44225</v>
      </c>
      <c r="E1612">
        <v>10</v>
      </c>
      <c r="F1612">
        <v>29.203539216228201</v>
      </c>
      <c r="G1612" s="1">
        <v>44249</v>
      </c>
      <c r="H1612" s="1">
        <v>44255</v>
      </c>
      <c r="I1612">
        <v>292.03539216228199</v>
      </c>
      <c r="J1612">
        <f t="shared" si="25"/>
        <v>6</v>
      </c>
    </row>
    <row r="1613" spans="1:10" x14ac:dyDescent="0.25">
      <c r="A1613" t="s">
        <v>1920</v>
      </c>
      <c r="B1613" t="s">
        <v>121</v>
      </c>
      <c r="C1613" t="s">
        <v>47</v>
      </c>
      <c r="D1613" s="1">
        <v>44368</v>
      </c>
      <c r="E1613">
        <v>6</v>
      </c>
      <c r="F1613">
        <v>40.052688623371999</v>
      </c>
      <c r="G1613" s="1">
        <v>44386</v>
      </c>
      <c r="H1613" s="1">
        <v>44390</v>
      </c>
      <c r="I1613">
        <v>240.31613174023201</v>
      </c>
      <c r="J1613">
        <f t="shared" si="25"/>
        <v>4</v>
      </c>
    </row>
    <row r="1614" spans="1:10" x14ac:dyDescent="0.25">
      <c r="A1614" t="s">
        <v>1921</v>
      </c>
      <c r="B1614" t="s">
        <v>119</v>
      </c>
      <c r="C1614" t="s">
        <v>1129</v>
      </c>
      <c r="D1614" s="1">
        <v>45333</v>
      </c>
      <c r="E1614">
        <v>14</v>
      </c>
      <c r="F1614">
        <v>47.341911304744002</v>
      </c>
      <c r="G1614" s="1">
        <v>45346</v>
      </c>
      <c r="H1614" s="1">
        <v>45350</v>
      </c>
      <c r="I1614">
        <v>662.786758266417</v>
      </c>
      <c r="J1614">
        <f t="shared" si="25"/>
        <v>4</v>
      </c>
    </row>
    <row r="1615" spans="1:10" x14ac:dyDescent="0.25">
      <c r="A1615" t="s">
        <v>1922</v>
      </c>
      <c r="B1615" t="s">
        <v>472</v>
      </c>
      <c r="C1615" t="s">
        <v>594</v>
      </c>
      <c r="D1615" s="1">
        <v>44214</v>
      </c>
      <c r="E1615">
        <v>13</v>
      </c>
      <c r="F1615">
        <v>4.1152476732088896</v>
      </c>
      <c r="G1615" s="1">
        <v>44232</v>
      </c>
      <c r="H1615" s="1">
        <v>44237</v>
      </c>
      <c r="I1615">
        <v>53.498219751715602</v>
      </c>
      <c r="J1615">
        <f t="shared" si="25"/>
        <v>5</v>
      </c>
    </row>
    <row r="1616" spans="1:10" x14ac:dyDescent="0.25">
      <c r="A1616" t="s">
        <v>1923</v>
      </c>
      <c r="B1616" t="s">
        <v>194</v>
      </c>
      <c r="C1616" t="s">
        <v>356</v>
      </c>
      <c r="D1616" s="1">
        <v>45375</v>
      </c>
      <c r="E1616">
        <v>8</v>
      </c>
      <c r="F1616">
        <v>40.794803204443497</v>
      </c>
      <c r="G1616" s="1">
        <v>45388</v>
      </c>
      <c r="H1616" s="1">
        <v>45388</v>
      </c>
      <c r="I1616">
        <v>326.35842563554797</v>
      </c>
      <c r="J1616">
        <f t="shared" si="25"/>
        <v>0</v>
      </c>
    </row>
    <row r="1617" spans="1:10" x14ac:dyDescent="0.25">
      <c r="A1617" t="s">
        <v>1924</v>
      </c>
      <c r="B1617" t="s">
        <v>321</v>
      </c>
      <c r="C1617" t="s">
        <v>661</v>
      </c>
      <c r="D1617" s="1">
        <v>44649</v>
      </c>
      <c r="E1617">
        <v>17</v>
      </c>
      <c r="F1617">
        <v>43.707797085476102</v>
      </c>
      <c r="G1617" s="1">
        <v>44665</v>
      </c>
      <c r="H1617" s="1">
        <v>44671</v>
      </c>
      <c r="I1617">
        <v>743.03255045309504</v>
      </c>
      <c r="J1617">
        <f t="shared" si="25"/>
        <v>6</v>
      </c>
    </row>
    <row r="1618" spans="1:10" x14ac:dyDescent="0.25">
      <c r="A1618" t="s">
        <v>1925</v>
      </c>
      <c r="B1618" t="s">
        <v>253</v>
      </c>
      <c r="C1618" t="s">
        <v>792</v>
      </c>
      <c r="D1618" s="1">
        <v>45152</v>
      </c>
      <c r="E1618">
        <v>7</v>
      </c>
      <c r="F1618">
        <v>14.964704103012799</v>
      </c>
      <c r="G1618" s="1">
        <v>45166</v>
      </c>
      <c r="H1618" s="1">
        <v>45167</v>
      </c>
      <c r="I1618">
        <v>104.75292872108901</v>
      </c>
      <c r="J1618">
        <f t="shared" si="25"/>
        <v>1</v>
      </c>
    </row>
    <row r="1619" spans="1:10" x14ac:dyDescent="0.25">
      <c r="A1619" t="s">
        <v>1926</v>
      </c>
      <c r="B1619" t="s">
        <v>451</v>
      </c>
      <c r="C1619" t="s">
        <v>691</v>
      </c>
      <c r="D1619" s="1">
        <v>45143</v>
      </c>
      <c r="E1619">
        <v>10</v>
      </c>
      <c r="F1619">
        <v>4.1691981316147499</v>
      </c>
      <c r="G1619" s="1">
        <v>45165</v>
      </c>
      <c r="H1619" s="1">
        <v>45170</v>
      </c>
      <c r="I1619">
        <v>41.691981316147498</v>
      </c>
      <c r="J1619">
        <f t="shared" si="25"/>
        <v>5</v>
      </c>
    </row>
    <row r="1620" spans="1:10" x14ac:dyDescent="0.25">
      <c r="A1620" t="s">
        <v>1927</v>
      </c>
      <c r="B1620" t="s">
        <v>379</v>
      </c>
      <c r="C1620" t="s">
        <v>477</v>
      </c>
      <c r="D1620" s="1">
        <v>44832</v>
      </c>
      <c r="E1620">
        <v>9</v>
      </c>
      <c r="F1620">
        <v>74.163325219458102</v>
      </c>
      <c r="G1620" s="1">
        <v>44847</v>
      </c>
      <c r="H1620" s="1">
        <v>44851</v>
      </c>
      <c r="I1620">
        <v>667.46992697512303</v>
      </c>
      <c r="J1620">
        <f t="shared" si="25"/>
        <v>4</v>
      </c>
    </row>
    <row r="1621" spans="1:10" x14ac:dyDescent="0.25">
      <c r="A1621" t="s">
        <v>1928</v>
      </c>
      <c r="B1621" t="s">
        <v>237</v>
      </c>
      <c r="C1621" t="s">
        <v>312</v>
      </c>
      <c r="D1621" s="1">
        <v>44449</v>
      </c>
      <c r="E1621">
        <v>8</v>
      </c>
      <c r="F1621">
        <v>28.672006717091101</v>
      </c>
      <c r="G1621" s="1">
        <v>44471</v>
      </c>
      <c r="H1621" s="1">
        <v>44472</v>
      </c>
      <c r="I1621">
        <v>229.37605373672901</v>
      </c>
      <c r="J1621">
        <f t="shared" si="25"/>
        <v>1</v>
      </c>
    </row>
    <row r="1622" spans="1:10" x14ac:dyDescent="0.25">
      <c r="A1622" t="s">
        <v>1929</v>
      </c>
      <c r="B1622" t="s">
        <v>157</v>
      </c>
      <c r="C1622" t="s">
        <v>547</v>
      </c>
      <c r="D1622" s="1">
        <v>45156</v>
      </c>
      <c r="E1622">
        <v>7</v>
      </c>
      <c r="F1622">
        <v>49.997170515085102</v>
      </c>
      <c r="G1622" s="1">
        <v>45174</v>
      </c>
      <c r="H1622" s="1">
        <v>45176</v>
      </c>
      <c r="I1622">
        <v>349.98019360559499</v>
      </c>
      <c r="J1622">
        <f t="shared" si="25"/>
        <v>2</v>
      </c>
    </row>
    <row r="1623" spans="1:10" x14ac:dyDescent="0.25">
      <c r="A1623" t="s">
        <v>1930</v>
      </c>
      <c r="B1623" t="s">
        <v>40</v>
      </c>
      <c r="C1623" t="s">
        <v>425</v>
      </c>
      <c r="D1623" s="1">
        <v>44595</v>
      </c>
      <c r="E1623">
        <v>15</v>
      </c>
      <c r="F1623">
        <v>26.073718971422501</v>
      </c>
      <c r="G1623" s="1">
        <v>44614</v>
      </c>
      <c r="H1623" s="1">
        <v>44617</v>
      </c>
      <c r="I1623">
        <v>391.10578457133698</v>
      </c>
      <c r="J1623">
        <f t="shared" si="25"/>
        <v>3</v>
      </c>
    </row>
    <row r="1624" spans="1:10" x14ac:dyDescent="0.25">
      <c r="A1624" t="s">
        <v>1931</v>
      </c>
      <c r="B1624" t="s">
        <v>43</v>
      </c>
      <c r="C1624" t="s">
        <v>396</v>
      </c>
      <c r="D1624" s="1">
        <v>44890</v>
      </c>
      <c r="E1624">
        <v>13</v>
      </c>
      <c r="F1624">
        <v>48.440083460165603</v>
      </c>
      <c r="G1624" s="1">
        <v>44900</v>
      </c>
      <c r="H1624" s="1">
        <v>44902</v>
      </c>
      <c r="I1624">
        <v>629.721084982153</v>
      </c>
      <c r="J1624">
        <f t="shared" si="25"/>
        <v>2</v>
      </c>
    </row>
    <row r="1625" spans="1:10" x14ac:dyDescent="0.25">
      <c r="A1625" t="s">
        <v>1932</v>
      </c>
      <c r="B1625" t="s">
        <v>340</v>
      </c>
      <c r="C1625" t="s">
        <v>587</v>
      </c>
      <c r="D1625" s="1">
        <v>45174</v>
      </c>
      <c r="E1625">
        <v>14</v>
      </c>
      <c r="F1625">
        <v>21.5115748567409</v>
      </c>
      <c r="G1625" s="1">
        <v>45193</v>
      </c>
      <c r="H1625" s="1">
        <v>45190</v>
      </c>
      <c r="I1625">
        <v>301.16204799437298</v>
      </c>
      <c r="J1625">
        <f t="shared" si="25"/>
        <v>-3</v>
      </c>
    </row>
    <row r="1626" spans="1:10" x14ac:dyDescent="0.25">
      <c r="A1626" t="s">
        <v>1933</v>
      </c>
      <c r="B1626" t="s">
        <v>340</v>
      </c>
      <c r="C1626" t="s">
        <v>720</v>
      </c>
      <c r="D1626" s="1">
        <v>44749</v>
      </c>
      <c r="E1626">
        <v>10</v>
      </c>
      <c r="F1626">
        <v>15.264139788124799</v>
      </c>
      <c r="G1626" s="1">
        <v>44761</v>
      </c>
      <c r="H1626" s="1">
        <v>44758</v>
      </c>
      <c r="I1626">
        <v>152.641397881248</v>
      </c>
      <c r="J1626">
        <f t="shared" si="25"/>
        <v>-3</v>
      </c>
    </row>
    <row r="1627" spans="1:10" x14ac:dyDescent="0.25">
      <c r="A1627" t="s">
        <v>1934</v>
      </c>
      <c r="B1627" t="s">
        <v>324</v>
      </c>
      <c r="C1627" t="s">
        <v>317</v>
      </c>
      <c r="D1627" s="1">
        <v>44799</v>
      </c>
      <c r="E1627">
        <v>9</v>
      </c>
      <c r="F1627">
        <v>79.360188357651793</v>
      </c>
      <c r="G1627" s="1">
        <v>44822</v>
      </c>
      <c r="H1627" s="1">
        <v>44819</v>
      </c>
      <c r="I1627">
        <v>714.24169521886597</v>
      </c>
      <c r="J1627">
        <f t="shared" si="25"/>
        <v>-3</v>
      </c>
    </row>
    <row r="1628" spans="1:10" x14ac:dyDescent="0.25">
      <c r="A1628" t="s">
        <v>1935</v>
      </c>
      <c r="B1628" t="s">
        <v>242</v>
      </c>
      <c r="C1628" t="s">
        <v>462</v>
      </c>
      <c r="D1628" s="1">
        <v>44809</v>
      </c>
      <c r="E1628">
        <v>9</v>
      </c>
      <c r="F1628">
        <v>15.170446866997599</v>
      </c>
      <c r="G1628" s="1">
        <v>44824</v>
      </c>
      <c r="H1628" s="1">
        <v>44830</v>
      </c>
      <c r="I1628">
        <v>136.534021802978</v>
      </c>
      <c r="J1628">
        <f t="shared" si="25"/>
        <v>6</v>
      </c>
    </row>
    <row r="1629" spans="1:10" x14ac:dyDescent="0.25">
      <c r="A1629" t="s">
        <v>1936</v>
      </c>
      <c r="B1629" t="s">
        <v>247</v>
      </c>
      <c r="C1629" t="s">
        <v>421</v>
      </c>
      <c r="D1629" s="1">
        <v>44548</v>
      </c>
      <c r="E1629">
        <v>10</v>
      </c>
      <c r="F1629">
        <v>74.810519451393503</v>
      </c>
      <c r="G1629" s="1">
        <v>44561</v>
      </c>
      <c r="H1629" s="1">
        <v>44565</v>
      </c>
      <c r="I1629">
        <v>748.10519451393498</v>
      </c>
      <c r="J1629">
        <f t="shared" si="25"/>
        <v>4</v>
      </c>
    </row>
    <row r="1630" spans="1:10" x14ac:dyDescent="0.25">
      <c r="A1630" t="s">
        <v>1937</v>
      </c>
      <c r="B1630" t="s">
        <v>564</v>
      </c>
      <c r="C1630" t="s">
        <v>238</v>
      </c>
      <c r="D1630" s="1">
        <v>45330</v>
      </c>
      <c r="E1630">
        <v>15</v>
      </c>
      <c r="F1630">
        <v>28.910205415494101</v>
      </c>
      <c r="G1630" s="1">
        <v>45348</v>
      </c>
      <c r="H1630" s="1">
        <v>45353</v>
      </c>
      <c r="I1630">
        <v>433.65308123241198</v>
      </c>
      <c r="J1630">
        <f t="shared" si="25"/>
        <v>5</v>
      </c>
    </row>
    <row r="1631" spans="1:10" x14ac:dyDescent="0.25">
      <c r="A1631" t="s">
        <v>1938</v>
      </c>
      <c r="B1631" t="s">
        <v>85</v>
      </c>
      <c r="C1631" t="s">
        <v>224</v>
      </c>
      <c r="D1631" s="1">
        <v>44534</v>
      </c>
      <c r="E1631">
        <v>15</v>
      </c>
      <c r="F1631">
        <v>31.084888436011401</v>
      </c>
      <c r="G1631" s="1">
        <v>44552</v>
      </c>
      <c r="H1631" s="1">
        <v>44558</v>
      </c>
      <c r="I1631">
        <v>466.27332654017198</v>
      </c>
      <c r="J1631">
        <f t="shared" si="25"/>
        <v>6</v>
      </c>
    </row>
    <row r="1632" spans="1:10" x14ac:dyDescent="0.25">
      <c r="A1632" t="s">
        <v>1939</v>
      </c>
      <c r="B1632" t="s">
        <v>359</v>
      </c>
      <c r="C1632" t="s">
        <v>59</v>
      </c>
      <c r="D1632" s="1">
        <v>44569</v>
      </c>
      <c r="E1632">
        <v>6</v>
      </c>
      <c r="F1632">
        <v>59.828505400206097</v>
      </c>
      <c r="G1632" s="1">
        <v>44581</v>
      </c>
      <c r="H1632" s="1">
        <v>44585</v>
      </c>
      <c r="I1632">
        <v>358.97103240123698</v>
      </c>
      <c r="J1632">
        <f t="shared" si="25"/>
        <v>4</v>
      </c>
    </row>
    <row r="1633" spans="1:10" x14ac:dyDescent="0.25">
      <c r="A1633" t="s">
        <v>1940</v>
      </c>
      <c r="B1633" t="s">
        <v>321</v>
      </c>
      <c r="C1633" t="s">
        <v>654</v>
      </c>
      <c r="D1633" s="1">
        <v>45159</v>
      </c>
      <c r="E1633">
        <v>12</v>
      </c>
      <c r="F1633">
        <v>32.188061720870003</v>
      </c>
      <c r="G1633" s="1">
        <v>45176</v>
      </c>
      <c r="H1633" s="1">
        <v>45181</v>
      </c>
      <c r="I1633">
        <v>386.25674065044097</v>
      </c>
      <c r="J1633">
        <f t="shared" si="25"/>
        <v>5</v>
      </c>
    </row>
    <row r="1634" spans="1:10" x14ac:dyDescent="0.25">
      <c r="A1634" t="s">
        <v>1941</v>
      </c>
      <c r="B1634" t="s">
        <v>43</v>
      </c>
      <c r="C1634" t="s">
        <v>245</v>
      </c>
      <c r="D1634" s="1">
        <v>44777</v>
      </c>
      <c r="E1634">
        <v>17</v>
      </c>
      <c r="F1634">
        <v>49.507331937926097</v>
      </c>
      <c r="G1634" s="1">
        <v>44799</v>
      </c>
      <c r="H1634" s="1">
        <v>44803</v>
      </c>
      <c r="I1634">
        <v>841.62464294474398</v>
      </c>
      <c r="J1634">
        <f t="shared" si="25"/>
        <v>4</v>
      </c>
    </row>
    <row r="1635" spans="1:10" x14ac:dyDescent="0.25">
      <c r="A1635" t="s">
        <v>1942</v>
      </c>
      <c r="B1635" t="s">
        <v>96</v>
      </c>
      <c r="C1635" t="s">
        <v>1176</v>
      </c>
      <c r="D1635" s="1">
        <v>44340</v>
      </c>
      <c r="E1635">
        <v>14</v>
      </c>
      <c r="F1635">
        <v>11.9080434062962</v>
      </c>
      <c r="G1635" s="1">
        <v>44359</v>
      </c>
      <c r="H1635" s="1">
        <v>44358</v>
      </c>
      <c r="I1635">
        <v>166.71260768814699</v>
      </c>
      <c r="J1635">
        <f t="shared" si="25"/>
        <v>-1</v>
      </c>
    </row>
    <row r="1636" spans="1:10" x14ac:dyDescent="0.25">
      <c r="A1636" t="s">
        <v>1943</v>
      </c>
      <c r="B1636" t="s">
        <v>96</v>
      </c>
      <c r="C1636" t="s">
        <v>763</v>
      </c>
      <c r="D1636" s="1">
        <v>44725</v>
      </c>
      <c r="E1636">
        <v>17</v>
      </c>
      <c r="F1636">
        <v>76.254981336500293</v>
      </c>
      <c r="G1636" s="1">
        <v>44741</v>
      </c>
      <c r="H1636" s="1">
        <v>44738</v>
      </c>
      <c r="I1636">
        <v>1296.3346827205</v>
      </c>
      <c r="J1636">
        <f t="shared" si="25"/>
        <v>-3</v>
      </c>
    </row>
    <row r="1637" spans="1:10" x14ac:dyDescent="0.25">
      <c r="A1637" t="s">
        <v>1944</v>
      </c>
      <c r="B1637" t="s">
        <v>52</v>
      </c>
      <c r="C1637" t="s">
        <v>50</v>
      </c>
      <c r="D1637" s="1">
        <v>44221</v>
      </c>
      <c r="E1637">
        <v>9</v>
      </c>
      <c r="F1637">
        <v>45.709008614654699</v>
      </c>
      <c r="G1637" s="1">
        <v>44234</v>
      </c>
      <c r="H1637" s="1">
        <v>44233</v>
      </c>
      <c r="I1637">
        <v>411.381077531892</v>
      </c>
      <c r="J1637">
        <f t="shared" si="25"/>
        <v>-1</v>
      </c>
    </row>
    <row r="1638" spans="1:10" x14ac:dyDescent="0.25">
      <c r="A1638" t="s">
        <v>1945</v>
      </c>
      <c r="B1638" t="s">
        <v>124</v>
      </c>
      <c r="C1638" t="s">
        <v>89</v>
      </c>
      <c r="D1638" s="1">
        <v>44472</v>
      </c>
      <c r="E1638">
        <v>14</v>
      </c>
      <c r="F1638">
        <v>31.5773768989235</v>
      </c>
      <c r="G1638" s="1">
        <v>44495</v>
      </c>
      <c r="H1638" s="1">
        <v>44499</v>
      </c>
      <c r="I1638">
        <v>442.08327658492902</v>
      </c>
      <c r="J1638">
        <f t="shared" si="25"/>
        <v>4</v>
      </c>
    </row>
    <row r="1639" spans="1:10" x14ac:dyDescent="0.25">
      <c r="A1639" t="s">
        <v>1946</v>
      </c>
      <c r="B1639" t="s">
        <v>82</v>
      </c>
      <c r="C1639" t="s">
        <v>80</v>
      </c>
      <c r="D1639" s="1">
        <v>44715</v>
      </c>
      <c r="E1639">
        <v>21</v>
      </c>
      <c r="F1639">
        <v>26.804712886130101</v>
      </c>
      <c r="G1639" s="1">
        <v>44729</v>
      </c>
      <c r="H1639" s="1">
        <v>44730</v>
      </c>
      <c r="I1639">
        <v>562.89897060873295</v>
      </c>
      <c r="J1639">
        <f t="shared" si="25"/>
        <v>1</v>
      </c>
    </row>
    <row r="1640" spans="1:10" x14ac:dyDescent="0.25">
      <c r="A1640" t="s">
        <v>1947</v>
      </c>
      <c r="B1640" t="s">
        <v>475</v>
      </c>
      <c r="C1640" t="s">
        <v>254</v>
      </c>
      <c r="D1640" s="1">
        <v>44227</v>
      </c>
      <c r="E1640">
        <v>8</v>
      </c>
      <c r="F1640">
        <v>27.6096236068962</v>
      </c>
      <c r="G1640" s="1">
        <v>44239</v>
      </c>
      <c r="H1640" s="1">
        <v>44242</v>
      </c>
      <c r="I1640">
        <v>220.876988855169</v>
      </c>
      <c r="J1640">
        <f t="shared" si="25"/>
        <v>3</v>
      </c>
    </row>
    <row r="1641" spans="1:10" x14ac:dyDescent="0.25">
      <c r="A1641" t="s">
        <v>1948</v>
      </c>
      <c r="B1641" t="s">
        <v>227</v>
      </c>
      <c r="C1641" t="s">
        <v>290</v>
      </c>
      <c r="D1641" s="1">
        <v>45079</v>
      </c>
      <c r="E1641">
        <v>10</v>
      </c>
      <c r="F1641">
        <v>54.535330298909798</v>
      </c>
      <c r="G1641" s="1">
        <v>45092</v>
      </c>
      <c r="H1641" s="1">
        <v>45090</v>
      </c>
      <c r="I1641">
        <v>545.35330298909798</v>
      </c>
      <c r="J1641">
        <f t="shared" si="25"/>
        <v>-2</v>
      </c>
    </row>
    <row r="1642" spans="1:10" x14ac:dyDescent="0.25">
      <c r="A1642" t="s">
        <v>1949</v>
      </c>
      <c r="B1642" t="s">
        <v>686</v>
      </c>
      <c r="C1642" t="s">
        <v>128</v>
      </c>
      <c r="D1642" s="1">
        <v>45310</v>
      </c>
      <c r="E1642">
        <v>5</v>
      </c>
      <c r="F1642">
        <v>47.1482453837897</v>
      </c>
      <c r="G1642" s="1">
        <v>45323</v>
      </c>
      <c r="H1642" s="1">
        <v>45323</v>
      </c>
      <c r="I1642">
        <v>235.741226918948</v>
      </c>
      <c r="J1642">
        <f t="shared" si="25"/>
        <v>0</v>
      </c>
    </row>
    <row r="1643" spans="1:10" x14ac:dyDescent="0.25">
      <c r="A1643" t="s">
        <v>1950</v>
      </c>
      <c r="B1643" t="s">
        <v>49</v>
      </c>
      <c r="C1643" t="s">
        <v>133</v>
      </c>
      <c r="D1643" s="1">
        <v>44724</v>
      </c>
      <c r="E1643">
        <v>12</v>
      </c>
      <c r="F1643">
        <v>24.710231706549301</v>
      </c>
      <c r="G1643" s="1">
        <v>44745</v>
      </c>
      <c r="H1643" s="1">
        <v>44745</v>
      </c>
      <c r="I1643">
        <v>296.52278047859102</v>
      </c>
      <c r="J1643">
        <f t="shared" si="25"/>
        <v>0</v>
      </c>
    </row>
    <row r="1644" spans="1:10" x14ac:dyDescent="0.25">
      <c r="A1644" t="s">
        <v>1951</v>
      </c>
      <c r="B1644" t="s">
        <v>237</v>
      </c>
      <c r="C1644" t="s">
        <v>165</v>
      </c>
      <c r="D1644" s="1">
        <v>44895</v>
      </c>
      <c r="E1644">
        <v>15</v>
      </c>
      <c r="F1644">
        <v>8.1604648131074295</v>
      </c>
      <c r="G1644" s="1">
        <v>44905</v>
      </c>
      <c r="H1644" s="1">
        <v>44910</v>
      </c>
      <c r="I1644">
        <v>122.40697219661099</v>
      </c>
      <c r="J1644">
        <f t="shared" si="25"/>
        <v>5</v>
      </c>
    </row>
    <row r="1645" spans="1:10" x14ac:dyDescent="0.25">
      <c r="A1645" t="s">
        <v>1952</v>
      </c>
      <c r="B1645" t="s">
        <v>295</v>
      </c>
      <c r="C1645" t="s">
        <v>415</v>
      </c>
      <c r="D1645" s="1">
        <v>45016</v>
      </c>
      <c r="E1645">
        <v>14</v>
      </c>
      <c r="F1645">
        <v>45.365750329073002</v>
      </c>
      <c r="G1645" s="1">
        <v>45026</v>
      </c>
      <c r="H1645" s="1">
        <v>45031</v>
      </c>
      <c r="I1645">
        <v>635.12050460702301</v>
      </c>
      <c r="J1645">
        <f t="shared" si="25"/>
        <v>5</v>
      </c>
    </row>
    <row r="1646" spans="1:10" x14ac:dyDescent="0.25">
      <c r="A1646" t="s">
        <v>1953</v>
      </c>
      <c r="B1646" t="s">
        <v>76</v>
      </c>
      <c r="C1646" t="s">
        <v>489</v>
      </c>
      <c r="D1646" s="1">
        <v>44968</v>
      </c>
      <c r="E1646">
        <v>12</v>
      </c>
      <c r="F1646">
        <v>15.0686819941095</v>
      </c>
      <c r="G1646" s="1">
        <v>44980</v>
      </c>
      <c r="H1646" s="1">
        <v>44978</v>
      </c>
      <c r="I1646">
        <v>180.82418392931501</v>
      </c>
      <c r="J1646">
        <f t="shared" si="25"/>
        <v>-2</v>
      </c>
    </row>
    <row r="1647" spans="1:10" x14ac:dyDescent="0.25">
      <c r="A1647" t="s">
        <v>1954</v>
      </c>
      <c r="B1647" t="s">
        <v>143</v>
      </c>
      <c r="C1647" t="s">
        <v>763</v>
      </c>
      <c r="D1647" s="1">
        <v>45118</v>
      </c>
      <c r="E1647">
        <v>11</v>
      </c>
      <c r="F1647">
        <v>77.897898968121197</v>
      </c>
      <c r="G1647" s="1">
        <v>45131</v>
      </c>
      <c r="H1647" s="1">
        <v>45136</v>
      </c>
      <c r="I1647">
        <v>856.87688864933398</v>
      </c>
      <c r="J1647">
        <f t="shared" si="25"/>
        <v>5</v>
      </c>
    </row>
    <row r="1648" spans="1:10" x14ac:dyDescent="0.25">
      <c r="A1648" t="s">
        <v>1955</v>
      </c>
      <c r="B1648" t="s">
        <v>96</v>
      </c>
      <c r="C1648" t="s">
        <v>228</v>
      </c>
      <c r="D1648" s="1">
        <v>44399</v>
      </c>
      <c r="E1648">
        <v>14</v>
      </c>
      <c r="F1648">
        <v>60.6397574760853</v>
      </c>
      <c r="G1648" s="1">
        <v>44422</v>
      </c>
      <c r="H1648" s="1">
        <v>44426</v>
      </c>
      <c r="I1648">
        <v>848.95660466519405</v>
      </c>
      <c r="J1648">
        <f t="shared" si="25"/>
        <v>4</v>
      </c>
    </row>
    <row r="1649" spans="1:10" x14ac:dyDescent="0.25">
      <c r="A1649" t="s">
        <v>1956</v>
      </c>
      <c r="B1649" t="s">
        <v>37</v>
      </c>
      <c r="C1649" t="s">
        <v>161</v>
      </c>
      <c r="D1649" s="1">
        <v>44852</v>
      </c>
      <c r="E1649">
        <v>12</v>
      </c>
      <c r="F1649">
        <v>8.3066276867424307</v>
      </c>
      <c r="G1649" s="1">
        <v>44862</v>
      </c>
      <c r="H1649" s="1">
        <v>44865</v>
      </c>
      <c r="I1649">
        <v>99.679532240909197</v>
      </c>
      <c r="J1649">
        <f t="shared" si="25"/>
        <v>3</v>
      </c>
    </row>
    <row r="1650" spans="1:10" x14ac:dyDescent="0.25">
      <c r="A1650" t="s">
        <v>1957</v>
      </c>
      <c r="B1650" t="s">
        <v>340</v>
      </c>
      <c r="C1650" t="s">
        <v>518</v>
      </c>
      <c r="D1650" s="1">
        <v>45051</v>
      </c>
      <c r="E1650">
        <v>15</v>
      </c>
      <c r="F1650">
        <v>55.349838335066003</v>
      </c>
      <c r="G1650" s="1">
        <v>45067</v>
      </c>
      <c r="H1650" s="1">
        <v>45070</v>
      </c>
      <c r="I1650">
        <v>830.24757502599005</v>
      </c>
      <c r="J1650">
        <f t="shared" si="25"/>
        <v>3</v>
      </c>
    </row>
    <row r="1651" spans="1:10" x14ac:dyDescent="0.25">
      <c r="A1651" t="s">
        <v>1958</v>
      </c>
      <c r="B1651" t="s">
        <v>85</v>
      </c>
      <c r="C1651" t="s">
        <v>703</v>
      </c>
      <c r="D1651" s="1">
        <v>44733</v>
      </c>
      <c r="E1651">
        <v>11</v>
      </c>
      <c r="F1651">
        <v>77.658186274770799</v>
      </c>
      <c r="G1651" s="1">
        <v>44751</v>
      </c>
      <c r="H1651" s="1">
        <v>44749</v>
      </c>
      <c r="I1651">
        <v>854.24004902247805</v>
      </c>
      <c r="J1651">
        <f t="shared" si="25"/>
        <v>-2</v>
      </c>
    </row>
    <row r="1652" spans="1:10" x14ac:dyDescent="0.25">
      <c r="A1652" t="s">
        <v>1959</v>
      </c>
      <c r="B1652" t="s">
        <v>88</v>
      </c>
      <c r="C1652" t="s">
        <v>65</v>
      </c>
      <c r="D1652" s="1">
        <v>44803</v>
      </c>
      <c r="E1652">
        <v>15</v>
      </c>
      <c r="F1652">
        <v>48.064211145138103</v>
      </c>
      <c r="G1652" s="1">
        <v>44813</v>
      </c>
      <c r="H1652" s="1">
        <v>44811</v>
      </c>
      <c r="I1652">
        <v>720.963167177071</v>
      </c>
      <c r="J1652">
        <f t="shared" si="25"/>
        <v>-2</v>
      </c>
    </row>
    <row r="1653" spans="1:10" x14ac:dyDescent="0.25">
      <c r="A1653" t="s">
        <v>1960</v>
      </c>
      <c r="B1653" t="s">
        <v>179</v>
      </c>
      <c r="C1653" t="s">
        <v>795</v>
      </c>
      <c r="D1653" s="1">
        <v>44226</v>
      </c>
      <c r="E1653">
        <v>11</v>
      </c>
      <c r="F1653">
        <v>41.779475934439098</v>
      </c>
      <c r="G1653" s="1">
        <v>44239</v>
      </c>
      <c r="H1653" s="1">
        <v>44236</v>
      </c>
      <c r="I1653">
        <v>459.57423527882997</v>
      </c>
      <c r="J1653">
        <f t="shared" si="25"/>
        <v>-3</v>
      </c>
    </row>
    <row r="1654" spans="1:10" x14ac:dyDescent="0.25">
      <c r="A1654" t="s">
        <v>1961</v>
      </c>
      <c r="B1654" t="s">
        <v>340</v>
      </c>
      <c r="C1654" t="s">
        <v>122</v>
      </c>
      <c r="D1654" s="1">
        <v>45114</v>
      </c>
      <c r="E1654">
        <v>11</v>
      </c>
      <c r="F1654">
        <v>78.957606443815195</v>
      </c>
      <c r="G1654" s="1">
        <v>45137</v>
      </c>
      <c r="H1654" s="1">
        <v>45140</v>
      </c>
      <c r="I1654">
        <v>868.53367088196705</v>
      </c>
      <c r="J1654">
        <f t="shared" si="25"/>
        <v>3</v>
      </c>
    </row>
    <row r="1655" spans="1:10" x14ac:dyDescent="0.25">
      <c r="A1655" t="s">
        <v>1962</v>
      </c>
      <c r="B1655" t="s">
        <v>324</v>
      </c>
      <c r="C1655" t="s">
        <v>400</v>
      </c>
      <c r="D1655" s="1">
        <v>44980</v>
      </c>
      <c r="E1655">
        <v>8</v>
      </c>
      <c r="F1655">
        <v>26.109657545443699</v>
      </c>
      <c r="G1655" s="1">
        <v>44996</v>
      </c>
      <c r="H1655" s="1">
        <v>44994</v>
      </c>
      <c r="I1655">
        <v>208.877260363549</v>
      </c>
      <c r="J1655">
        <f t="shared" si="25"/>
        <v>-2</v>
      </c>
    </row>
    <row r="1656" spans="1:10" x14ac:dyDescent="0.25">
      <c r="A1656" t="s">
        <v>1963</v>
      </c>
      <c r="B1656" t="s">
        <v>394</v>
      </c>
      <c r="C1656" t="s">
        <v>47</v>
      </c>
      <c r="D1656" s="1">
        <v>44351</v>
      </c>
      <c r="E1656">
        <v>11</v>
      </c>
      <c r="F1656">
        <v>51.903922922829103</v>
      </c>
      <c r="G1656" s="1">
        <v>44363</v>
      </c>
      <c r="H1656" s="1">
        <v>44363</v>
      </c>
      <c r="I1656">
        <v>570.94315215111999</v>
      </c>
      <c r="J1656">
        <f t="shared" si="25"/>
        <v>0</v>
      </c>
    </row>
    <row r="1657" spans="1:10" x14ac:dyDescent="0.25">
      <c r="A1657" t="s">
        <v>1964</v>
      </c>
      <c r="B1657" t="s">
        <v>88</v>
      </c>
      <c r="C1657" t="s">
        <v>17</v>
      </c>
      <c r="D1657" s="1">
        <v>44530</v>
      </c>
      <c r="E1657">
        <v>9</v>
      </c>
      <c r="F1657">
        <v>63.005231566307202</v>
      </c>
      <c r="G1657" s="1">
        <v>44550</v>
      </c>
      <c r="H1657" s="1">
        <v>44556</v>
      </c>
      <c r="I1657">
        <v>567.04708409676505</v>
      </c>
      <c r="J1657">
        <f t="shared" si="25"/>
        <v>6</v>
      </c>
    </row>
    <row r="1658" spans="1:10" x14ac:dyDescent="0.25">
      <c r="A1658" t="s">
        <v>1965</v>
      </c>
      <c r="B1658" t="s">
        <v>227</v>
      </c>
      <c r="C1658" t="s">
        <v>361</v>
      </c>
      <c r="D1658" s="1">
        <v>45037</v>
      </c>
      <c r="E1658">
        <v>17</v>
      </c>
      <c r="F1658">
        <v>59.7811398459041</v>
      </c>
      <c r="G1658" s="1">
        <v>45054</v>
      </c>
      <c r="H1658" s="1">
        <v>45051</v>
      </c>
      <c r="I1658">
        <v>1016.27937738037</v>
      </c>
      <c r="J1658">
        <f t="shared" si="25"/>
        <v>-3</v>
      </c>
    </row>
    <row r="1659" spans="1:10" x14ac:dyDescent="0.25">
      <c r="A1659" t="s">
        <v>1966</v>
      </c>
      <c r="B1659" t="s">
        <v>61</v>
      </c>
      <c r="C1659" t="s">
        <v>594</v>
      </c>
      <c r="D1659" s="1">
        <v>44416</v>
      </c>
      <c r="E1659">
        <v>10</v>
      </c>
      <c r="F1659">
        <v>24.253666224336801</v>
      </c>
      <c r="G1659" s="1">
        <v>44439</v>
      </c>
      <c r="H1659" s="1">
        <v>44438</v>
      </c>
      <c r="I1659">
        <v>242.536662243368</v>
      </c>
      <c r="J1659">
        <f t="shared" si="25"/>
        <v>-1</v>
      </c>
    </row>
    <row r="1660" spans="1:10" x14ac:dyDescent="0.25">
      <c r="A1660" t="s">
        <v>1967</v>
      </c>
      <c r="B1660" t="s">
        <v>189</v>
      </c>
      <c r="C1660" t="s">
        <v>473</v>
      </c>
      <c r="D1660" s="1">
        <v>44659</v>
      </c>
      <c r="E1660">
        <v>10</v>
      </c>
      <c r="F1660">
        <v>38.592398718540998</v>
      </c>
      <c r="G1660" s="1">
        <v>44683</v>
      </c>
      <c r="H1660" s="1">
        <v>44689</v>
      </c>
      <c r="I1660">
        <v>385.92398718541</v>
      </c>
      <c r="J1660">
        <f t="shared" si="25"/>
        <v>6</v>
      </c>
    </row>
    <row r="1661" spans="1:10" x14ac:dyDescent="0.25">
      <c r="A1661" t="s">
        <v>1968</v>
      </c>
      <c r="B1661" t="s">
        <v>299</v>
      </c>
      <c r="C1661" t="s">
        <v>562</v>
      </c>
      <c r="D1661" s="1">
        <v>44340</v>
      </c>
      <c r="E1661">
        <v>15</v>
      </c>
      <c r="F1661">
        <v>16.805091100496199</v>
      </c>
      <c r="G1661" s="1">
        <v>44362</v>
      </c>
      <c r="H1661" s="1">
        <v>44360</v>
      </c>
      <c r="I1661">
        <v>252.076366507443</v>
      </c>
      <c r="J1661">
        <f t="shared" si="25"/>
        <v>-2</v>
      </c>
    </row>
    <row r="1662" spans="1:10" x14ac:dyDescent="0.25">
      <c r="A1662" t="s">
        <v>1969</v>
      </c>
      <c r="B1662" t="s">
        <v>176</v>
      </c>
      <c r="C1662" t="s">
        <v>748</v>
      </c>
      <c r="D1662" s="1">
        <v>44597</v>
      </c>
      <c r="E1662">
        <v>7</v>
      </c>
      <c r="F1662">
        <v>9.0109324014189909</v>
      </c>
      <c r="G1662" s="1">
        <v>44616</v>
      </c>
      <c r="H1662" s="1">
        <v>44616</v>
      </c>
      <c r="I1662">
        <v>63.076526809932901</v>
      </c>
      <c r="J1662">
        <f t="shared" si="25"/>
        <v>0</v>
      </c>
    </row>
    <row r="1663" spans="1:10" x14ac:dyDescent="0.25">
      <c r="A1663" t="s">
        <v>1970</v>
      </c>
      <c r="B1663" t="s">
        <v>301</v>
      </c>
      <c r="C1663" t="s">
        <v>587</v>
      </c>
      <c r="D1663" s="1">
        <v>45295</v>
      </c>
      <c r="E1663">
        <v>5</v>
      </c>
      <c r="F1663">
        <v>23.633618725327398</v>
      </c>
      <c r="G1663" s="1">
        <v>45306</v>
      </c>
      <c r="H1663" s="1">
        <v>45310</v>
      </c>
      <c r="I1663">
        <v>118.168093626637</v>
      </c>
      <c r="J1663">
        <f t="shared" si="25"/>
        <v>4</v>
      </c>
    </row>
    <row r="1664" spans="1:10" x14ac:dyDescent="0.25">
      <c r="A1664" t="s">
        <v>1971</v>
      </c>
      <c r="B1664" t="s">
        <v>379</v>
      </c>
      <c r="C1664" t="s">
        <v>689</v>
      </c>
      <c r="D1664" s="1">
        <v>44989</v>
      </c>
      <c r="E1664">
        <v>7</v>
      </c>
      <c r="F1664">
        <v>13.310885056024</v>
      </c>
      <c r="G1664" s="1">
        <v>45000</v>
      </c>
      <c r="H1664" s="1">
        <v>45000</v>
      </c>
      <c r="I1664">
        <v>93.176195392167998</v>
      </c>
      <c r="J1664">
        <f t="shared" si="25"/>
        <v>0</v>
      </c>
    </row>
    <row r="1665" spans="1:10" x14ac:dyDescent="0.25">
      <c r="A1665" t="s">
        <v>1972</v>
      </c>
      <c r="B1665" t="s">
        <v>227</v>
      </c>
      <c r="C1665" t="s">
        <v>245</v>
      </c>
      <c r="D1665" s="1">
        <v>44566</v>
      </c>
      <c r="E1665">
        <v>6</v>
      </c>
      <c r="F1665">
        <v>14.7657614550956</v>
      </c>
      <c r="G1665" s="1">
        <v>44584</v>
      </c>
      <c r="H1665" s="1">
        <v>44583</v>
      </c>
      <c r="I1665">
        <v>88.594568730573997</v>
      </c>
      <c r="J1665">
        <f t="shared" si="25"/>
        <v>-1</v>
      </c>
    </row>
    <row r="1666" spans="1:10" x14ac:dyDescent="0.25">
      <c r="A1666" t="s">
        <v>1973</v>
      </c>
      <c r="B1666" t="s">
        <v>295</v>
      </c>
      <c r="C1666" t="s">
        <v>254</v>
      </c>
      <c r="D1666" s="1">
        <v>45131</v>
      </c>
      <c r="E1666">
        <v>14</v>
      </c>
      <c r="F1666">
        <v>38.115655389451199</v>
      </c>
      <c r="G1666" s="1">
        <v>45155</v>
      </c>
      <c r="H1666" s="1">
        <v>45161</v>
      </c>
      <c r="I1666">
        <v>533.61917545231699</v>
      </c>
      <c r="J1666">
        <f t="shared" si="25"/>
        <v>6</v>
      </c>
    </row>
    <row r="1667" spans="1:10" x14ac:dyDescent="0.25">
      <c r="A1667" t="s">
        <v>1974</v>
      </c>
      <c r="B1667" t="s">
        <v>169</v>
      </c>
      <c r="C1667" t="s">
        <v>430</v>
      </c>
      <c r="D1667" s="1">
        <v>45012</v>
      </c>
      <c r="E1667">
        <v>14</v>
      </c>
      <c r="F1667">
        <v>33.727313758875297</v>
      </c>
      <c r="G1667" s="1">
        <v>45028</v>
      </c>
      <c r="H1667" s="1">
        <v>45028</v>
      </c>
      <c r="I1667">
        <v>472.18239262425402</v>
      </c>
      <c r="J1667">
        <f t="shared" ref="J1667:J1730" si="26">H1667-G1667</f>
        <v>0</v>
      </c>
    </row>
    <row r="1668" spans="1:10" x14ac:dyDescent="0.25">
      <c r="A1668" t="s">
        <v>1975</v>
      </c>
      <c r="B1668" t="s">
        <v>179</v>
      </c>
      <c r="C1668" t="s">
        <v>763</v>
      </c>
      <c r="D1668" s="1">
        <v>44463</v>
      </c>
      <c r="E1668">
        <v>7</v>
      </c>
      <c r="F1668">
        <v>58.933142809311597</v>
      </c>
      <c r="G1668" s="1">
        <v>44475</v>
      </c>
      <c r="H1668" s="1">
        <v>44476</v>
      </c>
      <c r="I1668">
        <v>412.53199966518099</v>
      </c>
      <c r="J1668">
        <f t="shared" si="26"/>
        <v>1</v>
      </c>
    </row>
    <row r="1669" spans="1:10" x14ac:dyDescent="0.25">
      <c r="A1669" t="s">
        <v>1976</v>
      </c>
      <c r="B1669" t="s">
        <v>261</v>
      </c>
      <c r="C1669" t="s">
        <v>235</v>
      </c>
      <c r="D1669" s="1">
        <v>44515</v>
      </c>
      <c r="E1669">
        <v>12</v>
      </c>
      <c r="F1669">
        <v>64.202855803077895</v>
      </c>
      <c r="G1669" s="1">
        <v>44538</v>
      </c>
      <c r="H1669" s="1">
        <v>44539</v>
      </c>
      <c r="I1669">
        <v>770.434269636934</v>
      </c>
      <c r="J1669">
        <f t="shared" si="26"/>
        <v>1</v>
      </c>
    </row>
    <row r="1670" spans="1:10" x14ac:dyDescent="0.25">
      <c r="A1670" t="s">
        <v>1977</v>
      </c>
      <c r="B1670" t="s">
        <v>340</v>
      </c>
      <c r="C1670" t="s">
        <v>224</v>
      </c>
      <c r="D1670" s="1">
        <v>44479</v>
      </c>
      <c r="E1670">
        <v>7</v>
      </c>
      <c r="F1670">
        <v>8.2248843406608199</v>
      </c>
      <c r="G1670" s="1">
        <v>44492</v>
      </c>
      <c r="H1670" s="1">
        <v>44490</v>
      </c>
      <c r="I1670">
        <v>57.574190384625702</v>
      </c>
      <c r="J1670">
        <f t="shared" si="26"/>
        <v>-2</v>
      </c>
    </row>
    <row r="1671" spans="1:10" x14ac:dyDescent="0.25">
      <c r="A1671" t="s">
        <v>1978</v>
      </c>
      <c r="B1671" t="s">
        <v>326</v>
      </c>
      <c r="C1671" t="s">
        <v>413</v>
      </c>
      <c r="D1671" s="1">
        <v>44601</v>
      </c>
      <c r="E1671">
        <v>9</v>
      </c>
      <c r="F1671">
        <v>31.567424165133499</v>
      </c>
      <c r="G1671" s="1">
        <v>44615</v>
      </c>
      <c r="H1671" s="1">
        <v>44618</v>
      </c>
      <c r="I1671">
        <v>284.10681748620198</v>
      </c>
      <c r="J1671">
        <f t="shared" si="26"/>
        <v>3</v>
      </c>
    </row>
    <row r="1672" spans="1:10" x14ac:dyDescent="0.25">
      <c r="A1672" t="s">
        <v>1979</v>
      </c>
      <c r="B1672" t="s">
        <v>314</v>
      </c>
      <c r="C1672" t="s">
        <v>238</v>
      </c>
      <c r="D1672" s="1">
        <v>44885</v>
      </c>
      <c r="E1672">
        <v>7</v>
      </c>
      <c r="F1672">
        <v>15.564387869975301</v>
      </c>
      <c r="G1672" s="1">
        <v>44895</v>
      </c>
      <c r="H1672" s="1">
        <v>44894</v>
      </c>
      <c r="I1672">
        <v>108.950715089827</v>
      </c>
      <c r="J1672">
        <f t="shared" si="26"/>
        <v>-1</v>
      </c>
    </row>
    <row r="1673" spans="1:10" x14ac:dyDescent="0.25">
      <c r="A1673" t="s">
        <v>1980</v>
      </c>
      <c r="B1673" t="s">
        <v>88</v>
      </c>
      <c r="C1673" t="s">
        <v>199</v>
      </c>
      <c r="D1673" s="1">
        <v>44660</v>
      </c>
      <c r="E1673">
        <v>13</v>
      </c>
      <c r="F1673">
        <v>53.674989870230199</v>
      </c>
      <c r="G1673" s="1">
        <v>44670</v>
      </c>
      <c r="H1673" s="1">
        <v>44673</v>
      </c>
      <c r="I1673">
        <v>697.774868312992</v>
      </c>
      <c r="J1673">
        <f t="shared" si="26"/>
        <v>3</v>
      </c>
    </row>
    <row r="1674" spans="1:10" x14ac:dyDescent="0.25">
      <c r="A1674" t="s">
        <v>1981</v>
      </c>
      <c r="B1674" t="s">
        <v>394</v>
      </c>
      <c r="C1674" t="s">
        <v>623</v>
      </c>
      <c r="D1674" s="1">
        <v>44558</v>
      </c>
      <c r="E1674">
        <v>11</v>
      </c>
      <c r="F1674">
        <v>51.084041422435703</v>
      </c>
      <c r="G1674" s="1">
        <v>44571</v>
      </c>
      <c r="H1674" s="1">
        <v>44569</v>
      </c>
      <c r="I1674">
        <v>561.92445564679304</v>
      </c>
      <c r="J1674">
        <f t="shared" si="26"/>
        <v>-2</v>
      </c>
    </row>
    <row r="1675" spans="1:10" x14ac:dyDescent="0.25">
      <c r="A1675" t="s">
        <v>1982</v>
      </c>
      <c r="B1675" t="s">
        <v>539</v>
      </c>
      <c r="C1675" t="s">
        <v>881</v>
      </c>
      <c r="D1675" s="1">
        <v>45262</v>
      </c>
      <c r="E1675">
        <v>11</v>
      </c>
      <c r="F1675">
        <v>15.195235705912101</v>
      </c>
      <c r="G1675" s="1">
        <v>45284</v>
      </c>
      <c r="H1675" s="1">
        <v>45283</v>
      </c>
      <c r="I1675">
        <v>167.14759276503301</v>
      </c>
      <c r="J1675">
        <f t="shared" si="26"/>
        <v>-1</v>
      </c>
    </row>
    <row r="1676" spans="1:10" x14ac:dyDescent="0.25">
      <c r="A1676" t="s">
        <v>1983</v>
      </c>
      <c r="B1676" t="s">
        <v>314</v>
      </c>
      <c r="C1676" t="s">
        <v>336</v>
      </c>
      <c r="D1676" s="1">
        <v>45133</v>
      </c>
      <c r="E1676">
        <v>10</v>
      </c>
      <c r="F1676">
        <v>70.427994116134201</v>
      </c>
      <c r="G1676" s="1">
        <v>45145</v>
      </c>
      <c r="H1676" s="1">
        <v>45144</v>
      </c>
      <c r="I1676">
        <v>704.27994116134198</v>
      </c>
      <c r="J1676">
        <f t="shared" si="26"/>
        <v>-1</v>
      </c>
    </row>
    <row r="1677" spans="1:10" x14ac:dyDescent="0.25">
      <c r="A1677" t="s">
        <v>1984</v>
      </c>
      <c r="B1677" t="s">
        <v>442</v>
      </c>
      <c r="C1677" t="s">
        <v>224</v>
      </c>
      <c r="D1677" s="1">
        <v>44769</v>
      </c>
      <c r="E1677">
        <v>12</v>
      </c>
      <c r="F1677">
        <v>23.501504349444001</v>
      </c>
      <c r="G1677" s="1">
        <v>44781</v>
      </c>
      <c r="H1677" s="1">
        <v>44784</v>
      </c>
      <c r="I1677">
        <v>282.018052193328</v>
      </c>
      <c r="J1677">
        <f t="shared" si="26"/>
        <v>3</v>
      </c>
    </row>
    <row r="1678" spans="1:10" x14ac:dyDescent="0.25">
      <c r="A1678" t="s">
        <v>1985</v>
      </c>
      <c r="B1678" t="s">
        <v>359</v>
      </c>
      <c r="C1678" t="s">
        <v>370</v>
      </c>
      <c r="D1678" s="1">
        <v>44216</v>
      </c>
      <c r="E1678">
        <v>12</v>
      </c>
      <c r="F1678">
        <v>3.28935454678117</v>
      </c>
      <c r="G1678" s="1">
        <v>44231</v>
      </c>
      <c r="H1678" s="1">
        <v>44233</v>
      </c>
      <c r="I1678">
        <v>39.472254561374001</v>
      </c>
      <c r="J1678">
        <f t="shared" si="26"/>
        <v>2</v>
      </c>
    </row>
    <row r="1679" spans="1:10" x14ac:dyDescent="0.25">
      <c r="A1679" t="s">
        <v>1986</v>
      </c>
      <c r="B1679" t="s">
        <v>751</v>
      </c>
      <c r="C1679" t="s">
        <v>396</v>
      </c>
      <c r="D1679" s="1">
        <v>45054</v>
      </c>
      <c r="E1679">
        <v>13</v>
      </c>
      <c r="F1679">
        <v>58.546436856314699</v>
      </c>
      <c r="G1679" s="1">
        <v>45067</v>
      </c>
      <c r="H1679" s="1">
        <v>45073</v>
      </c>
      <c r="I1679">
        <v>761.10367913209097</v>
      </c>
      <c r="J1679">
        <f t="shared" si="26"/>
        <v>6</v>
      </c>
    </row>
    <row r="1680" spans="1:10" x14ac:dyDescent="0.25">
      <c r="A1680" t="s">
        <v>1987</v>
      </c>
      <c r="B1680" t="s">
        <v>127</v>
      </c>
      <c r="C1680" t="s">
        <v>727</v>
      </c>
      <c r="D1680" s="1">
        <v>45222</v>
      </c>
      <c r="E1680">
        <v>5</v>
      </c>
      <c r="F1680">
        <v>61.418827075058097</v>
      </c>
      <c r="G1680" s="1">
        <v>45246</v>
      </c>
      <c r="H1680" s="1">
        <v>45245</v>
      </c>
      <c r="I1680">
        <v>307.09413537529002</v>
      </c>
      <c r="J1680">
        <f t="shared" si="26"/>
        <v>-1</v>
      </c>
    </row>
    <row r="1681" spans="1:10" x14ac:dyDescent="0.25">
      <c r="A1681" t="s">
        <v>1988</v>
      </c>
      <c r="B1681" t="s">
        <v>267</v>
      </c>
      <c r="C1681" t="s">
        <v>20</v>
      </c>
      <c r="D1681" s="1">
        <v>44809</v>
      </c>
      <c r="E1681">
        <v>13</v>
      </c>
      <c r="F1681">
        <v>60.385328067930097</v>
      </c>
      <c r="G1681" s="1">
        <v>44825</v>
      </c>
      <c r="H1681" s="1">
        <v>44827</v>
      </c>
      <c r="I1681">
        <v>785.00926488309199</v>
      </c>
      <c r="J1681">
        <f t="shared" si="26"/>
        <v>2</v>
      </c>
    </row>
    <row r="1682" spans="1:10" x14ac:dyDescent="0.25">
      <c r="A1682" t="s">
        <v>1989</v>
      </c>
      <c r="B1682" t="s">
        <v>189</v>
      </c>
      <c r="C1682" t="s">
        <v>623</v>
      </c>
      <c r="D1682" s="1">
        <v>44276</v>
      </c>
      <c r="E1682">
        <v>8</v>
      </c>
      <c r="F1682">
        <v>71.369398281619993</v>
      </c>
      <c r="G1682" s="1">
        <v>44289</v>
      </c>
      <c r="H1682" s="1">
        <v>44286</v>
      </c>
      <c r="I1682">
        <v>570.95518625295995</v>
      </c>
      <c r="J1682">
        <f t="shared" si="26"/>
        <v>-3</v>
      </c>
    </row>
    <row r="1683" spans="1:10" x14ac:dyDescent="0.25">
      <c r="A1683" t="s">
        <v>1990</v>
      </c>
      <c r="B1683" t="s">
        <v>267</v>
      </c>
      <c r="C1683" t="s">
        <v>290</v>
      </c>
      <c r="D1683" s="1">
        <v>44263</v>
      </c>
      <c r="E1683">
        <v>9</v>
      </c>
      <c r="F1683">
        <v>21.663779614241999</v>
      </c>
      <c r="G1683" s="1">
        <v>44275</v>
      </c>
      <c r="H1683" s="1">
        <v>44280</v>
      </c>
      <c r="I1683">
        <v>194.974016528178</v>
      </c>
      <c r="J1683">
        <f t="shared" si="26"/>
        <v>5</v>
      </c>
    </row>
    <row r="1684" spans="1:10" x14ac:dyDescent="0.25">
      <c r="A1684" t="s">
        <v>1991</v>
      </c>
      <c r="B1684" t="s">
        <v>119</v>
      </c>
      <c r="C1684" t="s">
        <v>370</v>
      </c>
      <c r="D1684" s="1">
        <v>44990</v>
      </c>
      <c r="E1684">
        <v>8</v>
      </c>
      <c r="F1684">
        <v>64.187021934982099</v>
      </c>
      <c r="G1684" s="1">
        <v>45001</v>
      </c>
      <c r="H1684" s="1">
        <v>45006</v>
      </c>
      <c r="I1684">
        <v>513.49617547985702</v>
      </c>
      <c r="J1684">
        <f t="shared" si="26"/>
        <v>5</v>
      </c>
    </row>
    <row r="1685" spans="1:10" x14ac:dyDescent="0.25">
      <c r="A1685" t="s">
        <v>1992</v>
      </c>
      <c r="B1685" t="s">
        <v>40</v>
      </c>
      <c r="C1685" t="s">
        <v>270</v>
      </c>
      <c r="D1685" s="1">
        <v>44289</v>
      </c>
      <c r="E1685">
        <v>6</v>
      </c>
      <c r="F1685">
        <v>26.1234099439475</v>
      </c>
      <c r="G1685" s="1">
        <v>44302</v>
      </c>
      <c r="H1685" s="1">
        <v>44308</v>
      </c>
      <c r="I1685">
        <v>156.74045966368499</v>
      </c>
      <c r="J1685">
        <f t="shared" si="26"/>
        <v>6</v>
      </c>
    </row>
    <row r="1686" spans="1:10" x14ac:dyDescent="0.25">
      <c r="A1686" t="s">
        <v>1993</v>
      </c>
      <c r="B1686" t="s">
        <v>578</v>
      </c>
      <c r="C1686" t="s">
        <v>571</v>
      </c>
      <c r="D1686" s="1">
        <v>44713</v>
      </c>
      <c r="E1686">
        <v>10</v>
      </c>
      <c r="F1686">
        <v>48.9834681881823</v>
      </c>
      <c r="G1686" s="1">
        <v>44734</v>
      </c>
      <c r="H1686" s="1">
        <v>44737</v>
      </c>
      <c r="I1686">
        <v>489.83468188182297</v>
      </c>
      <c r="J1686">
        <f t="shared" si="26"/>
        <v>3</v>
      </c>
    </row>
    <row r="1687" spans="1:10" x14ac:dyDescent="0.25">
      <c r="A1687" t="s">
        <v>1994</v>
      </c>
      <c r="B1687" t="s">
        <v>267</v>
      </c>
      <c r="C1687" t="s">
        <v>691</v>
      </c>
      <c r="D1687" s="1">
        <v>44281</v>
      </c>
      <c r="E1687">
        <v>11</v>
      </c>
      <c r="F1687">
        <v>9.3593807211797007</v>
      </c>
      <c r="G1687" s="1">
        <v>44305</v>
      </c>
      <c r="H1687" s="1">
        <v>44303</v>
      </c>
      <c r="I1687">
        <v>102.95318793297599</v>
      </c>
      <c r="J1687">
        <f t="shared" si="26"/>
        <v>-2</v>
      </c>
    </row>
    <row r="1688" spans="1:10" x14ac:dyDescent="0.25">
      <c r="A1688" t="s">
        <v>1995</v>
      </c>
      <c r="B1688" t="s">
        <v>301</v>
      </c>
      <c r="C1688" t="s">
        <v>527</v>
      </c>
      <c r="D1688" s="1">
        <v>45179</v>
      </c>
      <c r="E1688">
        <v>15</v>
      </c>
      <c r="F1688">
        <v>29.513874293965898</v>
      </c>
      <c r="G1688" s="1">
        <v>45190</v>
      </c>
      <c r="H1688" s="1">
        <v>45196</v>
      </c>
      <c r="I1688">
        <v>442.70811440948899</v>
      </c>
      <c r="J1688">
        <f t="shared" si="26"/>
        <v>6</v>
      </c>
    </row>
    <row r="1689" spans="1:10" x14ac:dyDescent="0.25">
      <c r="A1689" t="s">
        <v>1996</v>
      </c>
      <c r="B1689" t="s">
        <v>299</v>
      </c>
      <c r="C1689" t="s">
        <v>290</v>
      </c>
      <c r="D1689" s="1">
        <v>44433</v>
      </c>
      <c r="E1689">
        <v>16</v>
      </c>
      <c r="F1689">
        <v>71.471306818196794</v>
      </c>
      <c r="G1689" s="1">
        <v>44444</v>
      </c>
      <c r="H1689" s="1">
        <v>44441</v>
      </c>
      <c r="I1689">
        <v>1143.5409090911501</v>
      </c>
      <c r="J1689">
        <f t="shared" si="26"/>
        <v>-3</v>
      </c>
    </row>
    <row r="1690" spans="1:10" x14ac:dyDescent="0.25">
      <c r="A1690" t="s">
        <v>1997</v>
      </c>
      <c r="B1690" t="s">
        <v>379</v>
      </c>
      <c r="C1690" t="s">
        <v>720</v>
      </c>
      <c r="D1690" s="1">
        <v>44687</v>
      </c>
      <c r="E1690">
        <v>12</v>
      </c>
      <c r="F1690">
        <v>25.701302748679801</v>
      </c>
      <c r="G1690" s="1">
        <v>44710</v>
      </c>
      <c r="H1690" s="1">
        <v>44709</v>
      </c>
      <c r="I1690">
        <v>308.41563298415798</v>
      </c>
      <c r="J1690">
        <f t="shared" si="26"/>
        <v>-1</v>
      </c>
    </row>
    <row r="1691" spans="1:10" x14ac:dyDescent="0.25">
      <c r="A1691" t="s">
        <v>1998</v>
      </c>
      <c r="B1691" t="s">
        <v>157</v>
      </c>
      <c r="C1691" t="s">
        <v>518</v>
      </c>
      <c r="D1691" s="1">
        <v>44321</v>
      </c>
      <c r="E1691">
        <v>13</v>
      </c>
      <c r="F1691">
        <v>59.124097919539402</v>
      </c>
      <c r="G1691" s="1">
        <v>44339</v>
      </c>
      <c r="H1691" s="1">
        <v>44343</v>
      </c>
      <c r="I1691">
        <v>768.61327295401304</v>
      </c>
      <c r="J1691">
        <f t="shared" si="26"/>
        <v>4</v>
      </c>
    </row>
    <row r="1692" spans="1:10" x14ac:dyDescent="0.25">
      <c r="A1692" t="s">
        <v>1999</v>
      </c>
      <c r="B1692" t="s">
        <v>22</v>
      </c>
      <c r="C1692" t="s">
        <v>383</v>
      </c>
      <c r="D1692" s="1">
        <v>44577</v>
      </c>
      <c r="E1692">
        <v>14</v>
      </c>
      <c r="F1692">
        <v>77.513194378864597</v>
      </c>
      <c r="G1692" s="1">
        <v>44596</v>
      </c>
      <c r="H1692" s="1">
        <v>44602</v>
      </c>
      <c r="I1692">
        <v>1085.1847213041001</v>
      </c>
      <c r="J1692">
        <f t="shared" si="26"/>
        <v>6</v>
      </c>
    </row>
    <row r="1693" spans="1:10" x14ac:dyDescent="0.25">
      <c r="A1693" t="s">
        <v>2000</v>
      </c>
      <c r="B1693" t="s">
        <v>198</v>
      </c>
      <c r="C1693" t="s">
        <v>128</v>
      </c>
      <c r="D1693" s="1">
        <v>44688</v>
      </c>
      <c r="E1693">
        <v>12</v>
      </c>
      <c r="F1693">
        <v>43.021437660635101</v>
      </c>
      <c r="G1693" s="1">
        <v>44702</v>
      </c>
      <c r="H1693" s="1">
        <v>44702</v>
      </c>
      <c r="I1693">
        <v>516.25725192762104</v>
      </c>
      <c r="J1693">
        <f t="shared" si="26"/>
        <v>0</v>
      </c>
    </row>
    <row r="1694" spans="1:10" x14ac:dyDescent="0.25">
      <c r="A1694" t="s">
        <v>2001</v>
      </c>
      <c r="B1694" t="s">
        <v>359</v>
      </c>
      <c r="C1694" t="s">
        <v>14</v>
      </c>
      <c r="D1694" s="1">
        <v>44574</v>
      </c>
      <c r="E1694">
        <v>10</v>
      </c>
      <c r="F1694">
        <v>17.106617900579401</v>
      </c>
      <c r="G1694" s="1">
        <v>44596</v>
      </c>
      <c r="H1694" s="1">
        <v>44593</v>
      </c>
      <c r="I1694">
        <v>171.066179005794</v>
      </c>
      <c r="J1694">
        <f t="shared" si="26"/>
        <v>-3</v>
      </c>
    </row>
    <row r="1695" spans="1:10" x14ac:dyDescent="0.25">
      <c r="A1695" t="s">
        <v>2002</v>
      </c>
      <c r="B1695" t="s">
        <v>475</v>
      </c>
      <c r="C1695" t="s">
        <v>594</v>
      </c>
      <c r="D1695" s="1">
        <v>45382</v>
      </c>
      <c r="E1695">
        <v>8</v>
      </c>
      <c r="F1695">
        <v>15.6865379799787</v>
      </c>
      <c r="G1695" s="1">
        <v>45399</v>
      </c>
      <c r="H1695" s="1">
        <v>45400</v>
      </c>
      <c r="I1695">
        <v>125.49230383983</v>
      </c>
      <c r="J1695">
        <f t="shared" si="26"/>
        <v>1</v>
      </c>
    </row>
    <row r="1696" spans="1:10" x14ac:dyDescent="0.25">
      <c r="A1696" t="s">
        <v>2003</v>
      </c>
      <c r="B1696" t="s">
        <v>130</v>
      </c>
      <c r="C1696" t="s">
        <v>92</v>
      </c>
      <c r="D1696" s="1">
        <v>45075</v>
      </c>
      <c r="E1696">
        <v>9</v>
      </c>
      <c r="F1696">
        <v>8.7800962662021291</v>
      </c>
      <c r="G1696" s="1">
        <v>45095</v>
      </c>
      <c r="H1696" s="1">
        <v>45100</v>
      </c>
      <c r="I1696">
        <v>79.020866395819198</v>
      </c>
      <c r="J1696">
        <f t="shared" si="26"/>
        <v>5</v>
      </c>
    </row>
    <row r="1697" spans="1:10" x14ac:dyDescent="0.25">
      <c r="A1697" t="s">
        <v>2004</v>
      </c>
      <c r="B1697" t="s">
        <v>267</v>
      </c>
      <c r="C1697" t="s">
        <v>152</v>
      </c>
      <c r="D1697" s="1">
        <v>44702</v>
      </c>
      <c r="E1697">
        <v>12</v>
      </c>
      <c r="F1697">
        <v>15.5640190266282</v>
      </c>
      <c r="G1697" s="1">
        <v>44720</v>
      </c>
      <c r="H1697" s="1">
        <v>44718</v>
      </c>
      <c r="I1697">
        <v>186.768228319538</v>
      </c>
      <c r="J1697">
        <f t="shared" si="26"/>
        <v>-2</v>
      </c>
    </row>
    <row r="1698" spans="1:10" x14ac:dyDescent="0.25">
      <c r="A1698" t="s">
        <v>2005</v>
      </c>
      <c r="B1698" t="s">
        <v>82</v>
      </c>
      <c r="C1698" t="s">
        <v>336</v>
      </c>
      <c r="D1698" s="1">
        <v>44984</v>
      </c>
      <c r="E1698">
        <v>15</v>
      </c>
      <c r="F1698">
        <v>54.590075930393802</v>
      </c>
      <c r="G1698" s="1">
        <v>45002</v>
      </c>
      <c r="H1698" s="1">
        <v>45004</v>
      </c>
      <c r="I1698">
        <v>818.851138955907</v>
      </c>
      <c r="J1698">
        <f t="shared" si="26"/>
        <v>2</v>
      </c>
    </row>
    <row r="1699" spans="1:10" x14ac:dyDescent="0.25">
      <c r="A1699" t="s">
        <v>2006</v>
      </c>
      <c r="B1699" t="s">
        <v>67</v>
      </c>
      <c r="C1699" t="s">
        <v>230</v>
      </c>
      <c r="D1699" s="1">
        <v>44403</v>
      </c>
      <c r="E1699">
        <v>12</v>
      </c>
      <c r="F1699">
        <v>74.426186774102604</v>
      </c>
      <c r="G1699" s="1">
        <v>44420</v>
      </c>
      <c r="H1699" s="1">
        <v>44422</v>
      </c>
      <c r="I1699">
        <v>893.11424128923102</v>
      </c>
      <c r="J1699">
        <f t="shared" si="26"/>
        <v>2</v>
      </c>
    </row>
    <row r="1700" spans="1:10" x14ac:dyDescent="0.25">
      <c r="A1700" t="s">
        <v>2007</v>
      </c>
      <c r="B1700" t="s">
        <v>198</v>
      </c>
      <c r="C1700" t="s">
        <v>165</v>
      </c>
      <c r="D1700" s="1">
        <v>44770</v>
      </c>
      <c r="E1700">
        <v>14</v>
      </c>
      <c r="F1700">
        <v>54.793197223125098</v>
      </c>
      <c r="G1700" s="1">
        <v>44780</v>
      </c>
      <c r="H1700" s="1">
        <v>44783</v>
      </c>
      <c r="I1700">
        <v>767.10476112375204</v>
      </c>
      <c r="J1700">
        <f t="shared" si="26"/>
        <v>3</v>
      </c>
    </row>
    <row r="1701" spans="1:10" x14ac:dyDescent="0.25">
      <c r="A1701" t="s">
        <v>2008</v>
      </c>
      <c r="B1701" t="s">
        <v>169</v>
      </c>
      <c r="C1701" t="s">
        <v>689</v>
      </c>
      <c r="D1701" s="1">
        <v>44711</v>
      </c>
      <c r="E1701">
        <v>16</v>
      </c>
      <c r="F1701">
        <v>15.5440566417348</v>
      </c>
      <c r="G1701" s="1">
        <v>44721</v>
      </c>
      <c r="H1701" s="1">
        <v>44719</v>
      </c>
      <c r="I1701">
        <v>248.704906267756</v>
      </c>
      <c r="J1701">
        <f t="shared" si="26"/>
        <v>-2</v>
      </c>
    </row>
    <row r="1702" spans="1:10" x14ac:dyDescent="0.25">
      <c r="A1702" t="s">
        <v>2009</v>
      </c>
      <c r="B1702" t="s">
        <v>451</v>
      </c>
      <c r="C1702" t="s">
        <v>163</v>
      </c>
      <c r="D1702" s="1">
        <v>45336</v>
      </c>
      <c r="E1702">
        <v>5</v>
      </c>
      <c r="F1702">
        <v>30.218944520401799</v>
      </c>
      <c r="G1702" s="1">
        <v>45351</v>
      </c>
      <c r="H1702" s="1">
        <v>45354</v>
      </c>
      <c r="I1702">
        <v>151.094722602009</v>
      </c>
      <c r="J1702">
        <f t="shared" si="26"/>
        <v>3</v>
      </c>
    </row>
    <row r="1703" spans="1:10" x14ac:dyDescent="0.25">
      <c r="A1703" t="s">
        <v>2010</v>
      </c>
      <c r="B1703" t="s">
        <v>55</v>
      </c>
      <c r="C1703" t="s">
        <v>270</v>
      </c>
      <c r="D1703" s="1">
        <v>44321</v>
      </c>
      <c r="E1703">
        <v>13</v>
      </c>
      <c r="F1703">
        <v>45.080733486979703</v>
      </c>
      <c r="G1703" s="1">
        <v>44339</v>
      </c>
      <c r="H1703" s="1">
        <v>44343</v>
      </c>
      <c r="I1703">
        <v>586.04953533073603</v>
      </c>
      <c r="J1703">
        <f t="shared" si="26"/>
        <v>4</v>
      </c>
    </row>
    <row r="1704" spans="1:10" x14ac:dyDescent="0.25">
      <c r="A1704" t="s">
        <v>2011</v>
      </c>
      <c r="B1704" t="s">
        <v>140</v>
      </c>
      <c r="C1704" t="s">
        <v>281</v>
      </c>
      <c r="D1704" s="1">
        <v>44442</v>
      </c>
      <c r="E1704">
        <v>5</v>
      </c>
      <c r="F1704">
        <v>69.356163977538998</v>
      </c>
      <c r="G1704" s="1">
        <v>44462</v>
      </c>
      <c r="H1704" s="1">
        <v>44464</v>
      </c>
      <c r="I1704">
        <v>346.78081988769497</v>
      </c>
      <c r="J1704">
        <f t="shared" si="26"/>
        <v>2</v>
      </c>
    </row>
    <row r="1705" spans="1:10" x14ac:dyDescent="0.25">
      <c r="A1705" t="s">
        <v>2012</v>
      </c>
      <c r="B1705" t="s">
        <v>369</v>
      </c>
      <c r="C1705" t="s">
        <v>664</v>
      </c>
      <c r="D1705" s="1">
        <v>45301</v>
      </c>
      <c r="E1705">
        <v>8</v>
      </c>
      <c r="F1705">
        <v>31.180780514769101</v>
      </c>
      <c r="G1705" s="1">
        <v>45321</v>
      </c>
      <c r="H1705" s="1">
        <v>45319</v>
      </c>
      <c r="I1705">
        <v>249.446244118153</v>
      </c>
      <c r="J1705">
        <f t="shared" si="26"/>
        <v>-2</v>
      </c>
    </row>
    <row r="1706" spans="1:10" x14ac:dyDescent="0.25">
      <c r="A1706" t="s">
        <v>2013</v>
      </c>
      <c r="B1706" t="s">
        <v>321</v>
      </c>
      <c r="C1706" t="s">
        <v>610</v>
      </c>
      <c r="D1706" s="1">
        <v>44568</v>
      </c>
      <c r="E1706">
        <v>6</v>
      </c>
      <c r="F1706">
        <v>22.201746251620499</v>
      </c>
      <c r="G1706" s="1">
        <v>44578</v>
      </c>
      <c r="H1706" s="1">
        <v>44577</v>
      </c>
      <c r="I1706">
        <v>133.21047750972301</v>
      </c>
      <c r="J1706">
        <f t="shared" si="26"/>
        <v>-1</v>
      </c>
    </row>
    <row r="1707" spans="1:10" x14ac:dyDescent="0.25">
      <c r="A1707" t="s">
        <v>2014</v>
      </c>
      <c r="B1707" t="s">
        <v>247</v>
      </c>
      <c r="C1707" t="s">
        <v>899</v>
      </c>
      <c r="D1707" s="1">
        <v>44235</v>
      </c>
      <c r="E1707">
        <v>9</v>
      </c>
      <c r="F1707">
        <v>19.6638967308498</v>
      </c>
      <c r="G1707" s="1">
        <v>44256</v>
      </c>
      <c r="H1707" s="1">
        <v>44257</v>
      </c>
      <c r="I1707">
        <v>176.97507057764801</v>
      </c>
      <c r="J1707">
        <f t="shared" si="26"/>
        <v>1</v>
      </c>
    </row>
    <row r="1708" spans="1:10" x14ac:dyDescent="0.25">
      <c r="A1708" t="s">
        <v>2015</v>
      </c>
      <c r="B1708" t="s">
        <v>482</v>
      </c>
      <c r="C1708" t="s">
        <v>400</v>
      </c>
      <c r="D1708" s="1">
        <v>45142</v>
      </c>
      <c r="E1708">
        <v>12</v>
      </c>
      <c r="F1708">
        <v>62.323356794350197</v>
      </c>
      <c r="G1708" s="1">
        <v>45165</v>
      </c>
      <c r="H1708" s="1">
        <v>45165</v>
      </c>
      <c r="I1708">
        <v>747.88028153220296</v>
      </c>
      <c r="J1708">
        <f t="shared" si="26"/>
        <v>0</v>
      </c>
    </row>
    <row r="1709" spans="1:10" x14ac:dyDescent="0.25">
      <c r="A1709" t="s">
        <v>2016</v>
      </c>
      <c r="B1709" t="s">
        <v>169</v>
      </c>
      <c r="C1709" t="s">
        <v>396</v>
      </c>
      <c r="D1709" s="1">
        <v>44668</v>
      </c>
      <c r="E1709">
        <v>9</v>
      </c>
      <c r="F1709">
        <v>36.004643740197999</v>
      </c>
      <c r="G1709" s="1">
        <v>44683</v>
      </c>
      <c r="H1709" s="1">
        <v>44680</v>
      </c>
      <c r="I1709">
        <v>324.04179366178198</v>
      </c>
      <c r="J1709">
        <f t="shared" si="26"/>
        <v>-3</v>
      </c>
    </row>
    <row r="1710" spans="1:10" x14ac:dyDescent="0.25">
      <c r="A1710" t="s">
        <v>2017</v>
      </c>
      <c r="B1710" t="s">
        <v>91</v>
      </c>
      <c r="C1710" t="s">
        <v>26</v>
      </c>
      <c r="D1710" s="1">
        <v>44853</v>
      </c>
      <c r="E1710">
        <v>13</v>
      </c>
      <c r="F1710">
        <v>14.1510727318986</v>
      </c>
      <c r="G1710" s="1">
        <v>44869</v>
      </c>
      <c r="H1710" s="1">
        <v>44869</v>
      </c>
      <c r="I1710">
        <v>183.963945514682</v>
      </c>
      <c r="J1710">
        <f t="shared" si="26"/>
        <v>0</v>
      </c>
    </row>
    <row r="1711" spans="1:10" x14ac:dyDescent="0.25">
      <c r="A1711" t="s">
        <v>2018</v>
      </c>
      <c r="B1711" t="s">
        <v>578</v>
      </c>
      <c r="C1711" t="s">
        <v>915</v>
      </c>
      <c r="D1711" s="1">
        <v>44247</v>
      </c>
      <c r="E1711">
        <v>12</v>
      </c>
      <c r="F1711">
        <v>65.390404333690398</v>
      </c>
      <c r="G1711" s="1">
        <v>44266</v>
      </c>
      <c r="H1711" s="1">
        <v>44271</v>
      </c>
      <c r="I1711">
        <v>784.68485200428495</v>
      </c>
      <c r="J1711">
        <f t="shared" si="26"/>
        <v>5</v>
      </c>
    </row>
    <row r="1712" spans="1:10" x14ac:dyDescent="0.25">
      <c r="A1712" t="s">
        <v>2019</v>
      </c>
      <c r="B1712" t="s">
        <v>261</v>
      </c>
      <c r="C1712" t="s">
        <v>312</v>
      </c>
      <c r="D1712" s="1">
        <v>44920</v>
      </c>
      <c r="E1712">
        <v>11</v>
      </c>
      <c r="F1712">
        <v>4.9739610453905403</v>
      </c>
      <c r="G1712" s="1">
        <v>44942</v>
      </c>
      <c r="H1712" s="1">
        <v>44941</v>
      </c>
      <c r="I1712">
        <v>54.713571499296002</v>
      </c>
      <c r="J1712">
        <f t="shared" si="26"/>
        <v>-1</v>
      </c>
    </row>
    <row r="1713" spans="1:10" x14ac:dyDescent="0.25">
      <c r="A1713" t="s">
        <v>2020</v>
      </c>
      <c r="B1713" t="s">
        <v>216</v>
      </c>
      <c r="C1713" t="s">
        <v>128</v>
      </c>
      <c r="D1713" s="1">
        <v>45244</v>
      </c>
      <c r="E1713">
        <v>8</v>
      </c>
      <c r="F1713">
        <v>31.155637392331499</v>
      </c>
      <c r="G1713" s="1">
        <v>45264</v>
      </c>
      <c r="H1713" s="1">
        <v>45262</v>
      </c>
      <c r="I1713">
        <v>249.24509913865199</v>
      </c>
      <c r="J1713">
        <f t="shared" si="26"/>
        <v>-2</v>
      </c>
    </row>
    <row r="1714" spans="1:10" x14ac:dyDescent="0.25">
      <c r="A1714" t="s">
        <v>2021</v>
      </c>
      <c r="B1714" t="s">
        <v>293</v>
      </c>
      <c r="C1714" t="s">
        <v>1259</v>
      </c>
      <c r="D1714" s="1">
        <v>44565</v>
      </c>
      <c r="E1714">
        <v>14</v>
      </c>
      <c r="F1714">
        <v>19.539920956273999</v>
      </c>
      <c r="G1714" s="1">
        <v>44587</v>
      </c>
      <c r="H1714" s="1">
        <v>44584</v>
      </c>
      <c r="I1714">
        <v>273.55889338783601</v>
      </c>
      <c r="J1714">
        <f t="shared" si="26"/>
        <v>-3</v>
      </c>
    </row>
    <row r="1715" spans="1:10" x14ac:dyDescent="0.25">
      <c r="A1715" t="s">
        <v>2022</v>
      </c>
      <c r="B1715" t="s">
        <v>10</v>
      </c>
      <c r="C1715" t="s">
        <v>727</v>
      </c>
      <c r="D1715" s="1">
        <v>45353</v>
      </c>
      <c r="E1715">
        <v>6</v>
      </c>
      <c r="F1715">
        <v>57.539131856251402</v>
      </c>
      <c r="G1715" s="1">
        <v>45367</v>
      </c>
      <c r="H1715" s="1">
        <v>45367</v>
      </c>
      <c r="I1715">
        <v>345.23479113750801</v>
      </c>
      <c r="J1715">
        <f t="shared" si="26"/>
        <v>0</v>
      </c>
    </row>
    <row r="1716" spans="1:10" x14ac:dyDescent="0.25">
      <c r="A1716" t="s">
        <v>2023</v>
      </c>
      <c r="B1716" t="s">
        <v>189</v>
      </c>
      <c r="C1716" t="s">
        <v>701</v>
      </c>
      <c r="D1716" s="1">
        <v>44230</v>
      </c>
      <c r="E1716">
        <v>11</v>
      </c>
      <c r="F1716">
        <v>64.243881969358995</v>
      </c>
      <c r="G1716" s="1">
        <v>44246</v>
      </c>
      <c r="H1716" s="1">
        <v>44252</v>
      </c>
      <c r="I1716">
        <v>706.68270166294894</v>
      </c>
      <c r="J1716">
        <f t="shared" si="26"/>
        <v>6</v>
      </c>
    </row>
    <row r="1717" spans="1:10" x14ac:dyDescent="0.25">
      <c r="A1717" t="s">
        <v>2024</v>
      </c>
      <c r="B1717" t="s">
        <v>28</v>
      </c>
      <c r="C1717" t="s">
        <v>65</v>
      </c>
      <c r="D1717" s="1">
        <v>45283</v>
      </c>
      <c r="E1717">
        <v>15</v>
      </c>
      <c r="F1717">
        <v>43.533054045230301</v>
      </c>
      <c r="G1717" s="1">
        <v>45302</v>
      </c>
      <c r="H1717" s="1">
        <v>45300</v>
      </c>
      <c r="I1717">
        <v>652.99581067845497</v>
      </c>
      <c r="J1717">
        <f t="shared" si="26"/>
        <v>-2</v>
      </c>
    </row>
    <row r="1718" spans="1:10" x14ac:dyDescent="0.25">
      <c r="A1718" t="s">
        <v>2025</v>
      </c>
      <c r="B1718" t="s">
        <v>13</v>
      </c>
      <c r="C1718" t="s">
        <v>495</v>
      </c>
      <c r="D1718" s="1">
        <v>45389</v>
      </c>
      <c r="E1718">
        <v>10</v>
      </c>
      <c r="F1718">
        <v>73.101784642100696</v>
      </c>
      <c r="G1718" s="1">
        <v>45407</v>
      </c>
      <c r="H1718" s="1">
        <v>45409</v>
      </c>
      <c r="I1718">
        <v>731.01784642100699</v>
      </c>
      <c r="J1718">
        <f t="shared" si="26"/>
        <v>2</v>
      </c>
    </row>
    <row r="1719" spans="1:10" x14ac:dyDescent="0.25">
      <c r="A1719" t="s">
        <v>2026</v>
      </c>
      <c r="B1719" t="s">
        <v>10</v>
      </c>
      <c r="C1719" t="s">
        <v>748</v>
      </c>
      <c r="D1719" s="1">
        <v>44630</v>
      </c>
      <c r="E1719">
        <v>9</v>
      </c>
      <c r="F1719">
        <v>37.8687517992363</v>
      </c>
      <c r="G1719" s="1">
        <v>44653</v>
      </c>
      <c r="H1719" s="1">
        <v>44656</v>
      </c>
      <c r="I1719">
        <v>340.81876619312601</v>
      </c>
      <c r="J1719">
        <f t="shared" si="26"/>
        <v>3</v>
      </c>
    </row>
    <row r="1720" spans="1:10" x14ac:dyDescent="0.25">
      <c r="A1720" t="s">
        <v>2027</v>
      </c>
      <c r="B1720" t="s">
        <v>176</v>
      </c>
      <c r="C1720" t="s">
        <v>257</v>
      </c>
      <c r="D1720" s="1">
        <v>45290</v>
      </c>
      <c r="E1720">
        <v>15</v>
      </c>
      <c r="F1720">
        <v>14.1488783751114</v>
      </c>
      <c r="G1720" s="1">
        <v>45303</v>
      </c>
      <c r="H1720" s="1">
        <v>45304</v>
      </c>
      <c r="I1720">
        <v>212.233175626671</v>
      </c>
      <c r="J1720">
        <f t="shared" si="26"/>
        <v>1</v>
      </c>
    </row>
    <row r="1721" spans="1:10" x14ac:dyDescent="0.25">
      <c r="A1721" t="s">
        <v>2028</v>
      </c>
      <c r="B1721" t="s">
        <v>88</v>
      </c>
      <c r="C1721" t="s">
        <v>400</v>
      </c>
      <c r="D1721" s="1">
        <v>45287</v>
      </c>
      <c r="E1721">
        <v>12</v>
      </c>
      <c r="F1721">
        <v>19.3178434771376</v>
      </c>
      <c r="G1721" s="1">
        <v>45310</v>
      </c>
      <c r="H1721" s="1">
        <v>45312</v>
      </c>
      <c r="I1721">
        <v>231.81412172565101</v>
      </c>
      <c r="J1721">
        <f t="shared" si="26"/>
        <v>2</v>
      </c>
    </row>
    <row r="1722" spans="1:10" x14ac:dyDescent="0.25">
      <c r="A1722" t="s">
        <v>2029</v>
      </c>
      <c r="B1722" t="s">
        <v>394</v>
      </c>
      <c r="C1722" t="s">
        <v>112</v>
      </c>
      <c r="D1722" s="1">
        <v>45009</v>
      </c>
      <c r="E1722">
        <v>13</v>
      </c>
      <c r="F1722">
        <v>57.084266430798202</v>
      </c>
      <c r="G1722" s="1">
        <v>45027</v>
      </c>
      <c r="H1722" s="1">
        <v>45033</v>
      </c>
      <c r="I1722">
        <v>742.095463600377</v>
      </c>
      <c r="J1722">
        <f t="shared" si="26"/>
        <v>6</v>
      </c>
    </row>
    <row r="1723" spans="1:10" x14ac:dyDescent="0.25">
      <c r="A1723" t="s">
        <v>2030</v>
      </c>
      <c r="B1723" t="s">
        <v>13</v>
      </c>
      <c r="C1723" t="s">
        <v>972</v>
      </c>
      <c r="D1723" s="1">
        <v>44313</v>
      </c>
      <c r="E1723">
        <v>14</v>
      </c>
      <c r="F1723">
        <v>51.853640331429801</v>
      </c>
      <c r="G1723" s="1">
        <v>44325</v>
      </c>
      <c r="H1723" s="1">
        <v>44324</v>
      </c>
      <c r="I1723">
        <v>725.95096464001699</v>
      </c>
      <c r="J1723">
        <f t="shared" si="26"/>
        <v>-1</v>
      </c>
    </row>
    <row r="1724" spans="1:10" x14ac:dyDescent="0.25">
      <c r="A1724" t="s">
        <v>2031</v>
      </c>
      <c r="B1724" t="s">
        <v>382</v>
      </c>
      <c r="C1724" t="s">
        <v>763</v>
      </c>
      <c r="D1724" s="1">
        <v>45219</v>
      </c>
      <c r="E1724">
        <v>15</v>
      </c>
      <c r="F1724">
        <v>56.3188642694208</v>
      </c>
      <c r="G1724" s="1">
        <v>45230</v>
      </c>
      <c r="H1724" s="1">
        <v>45232</v>
      </c>
      <c r="I1724">
        <v>844.78296404131299</v>
      </c>
      <c r="J1724">
        <f t="shared" si="26"/>
        <v>2</v>
      </c>
    </row>
    <row r="1725" spans="1:10" x14ac:dyDescent="0.25">
      <c r="A1725" t="s">
        <v>2032</v>
      </c>
      <c r="B1725" t="s">
        <v>88</v>
      </c>
      <c r="C1725" t="s">
        <v>165</v>
      </c>
      <c r="D1725" s="1">
        <v>45191</v>
      </c>
      <c r="E1725">
        <v>9</v>
      </c>
      <c r="F1725">
        <v>33.911083044491299</v>
      </c>
      <c r="G1725" s="1">
        <v>45212</v>
      </c>
      <c r="H1725" s="1">
        <v>45213</v>
      </c>
      <c r="I1725">
        <v>305.19974740042198</v>
      </c>
      <c r="J1725">
        <f t="shared" si="26"/>
        <v>1</v>
      </c>
    </row>
    <row r="1726" spans="1:10" x14ac:dyDescent="0.25">
      <c r="A1726" t="s">
        <v>2033</v>
      </c>
      <c r="B1726" t="s">
        <v>359</v>
      </c>
      <c r="C1726" t="s">
        <v>629</v>
      </c>
      <c r="D1726" s="1">
        <v>45160</v>
      </c>
      <c r="E1726">
        <v>19</v>
      </c>
      <c r="F1726">
        <v>25.1646181588136</v>
      </c>
      <c r="G1726" s="1">
        <v>45179</v>
      </c>
      <c r="H1726" s="1">
        <v>45181</v>
      </c>
      <c r="I1726">
        <v>478.12774501745901</v>
      </c>
      <c r="J1726">
        <f t="shared" si="26"/>
        <v>2</v>
      </c>
    </row>
    <row r="1727" spans="1:10" x14ac:dyDescent="0.25">
      <c r="A1727" t="s">
        <v>2034</v>
      </c>
      <c r="B1727" t="s">
        <v>10</v>
      </c>
      <c r="C1727" t="s">
        <v>661</v>
      </c>
      <c r="D1727" s="1">
        <v>44873</v>
      </c>
      <c r="E1727">
        <v>13</v>
      </c>
      <c r="F1727">
        <v>19.3899058638012</v>
      </c>
      <c r="G1727" s="1">
        <v>44895</v>
      </c>
      <c r="H1727" s="1">
        <v>44900</v>
      </c>
      <c r="I1727">
        <v>252.06877622941599</v>
      </c>
      <c r="J1727">
        <f t="shared" si="26"/>
        <v>5</v>
      </c>
    </row>
    <row r="1728" spans="1:10" x14ac:dyDescent="0.25">
      <c r="A1728" t="s">
        <v>2035</v>
      </c>
      <c r="B1728" t="s">
        <v>359</v>
      </c>
      <c r="C1728" t="s">
        <v>276</v>
      </c>
      <c r="D1728" s="1">
        <v>44532</v>
      </c>
      <c r="E1728">
        <v>11</v>
      </c>
      <c r="F1728">
        <v>21.053350565141699</v>
      </c>
      <c r="G1728" s="1">
        <v>44545</v>
      </c>
      <c r="H1728" s="1">
        <v>44546</v>
      </c>
      <c r="I1728">
        <v>231.586856216559</v>
      </c>
      <c r="J1728">
        <f t="shared" si="26"/>
        <v>1</v>
      </c>
    </row>
    <row r="1729" spans="1:10" x14ac:dyDescent="0.25">
      <c r="A1729" t="s">
        <v>2036</v>
      </c>
      <c r="B1729" t="s">
        <v>124</v>
      </c>
      <c r="C1729" t="s">
        <v>610</v>
      </c>
      <c r="D1729" s="1">
        <v>45245</v>
      </c>
      <c r="E1729">
        <v>11</v>
      </c>
      <c r="F1729">
        <v>70.105586429650501</v>
      </c>
      <c r="G1729" s="1">
        <v>45267</v>
      </c>
      <c r="H1729" s="1">
        <v>45273</v>
      </c>
      <c r="I1729">
        <v>771.16145072615598</v>
      </c>
      <c r="J1729">
        <f t="shared" si="26"/>
        <v>6</v>
      </c>
    </row>
    <row r="1730" spans="1:10" x14ac:dyDescent="0.25">
      <c r="A1730" t="s">
        <v>2037</v>
      </c>
      <c r="B1730" t="s">
        <v>539</v>
      </c>
      <c r="C1730" t="s">
        <v>664</v>
      </c>
      <c r="D1730" s="1">
        <v>44999</v>
      </c>
      <c r="E1730">
        <v>11</v>
      </c>
      <c r="F1730">
        <v>77.999275463694701</v>
      </c>
      <c r="G1730" s="1">
        <v>45012</v>
      </c>
      <c r="H1730" s="1">
        <v>45011</v>
      </c>
      <c r="I1730">
        <v>857.99203010064105</v>
      </c>
      <c r="J1730">
        <f t="shared" si="26"/>
        <v>-1</v>
      </c>
    </row>
    <row r="1731" spans="1:10" x14ac:dyDescent="0.25">
      <c r="A1731" t="s">
        <v>2038</v>
      </c>
      <c r="B1731" t="s">
        <v>240</v>
      </c>
      <c r="C1731" t="s">
        <v>763</v>
      </c>
      <c r="D1731" s="1">
        <v>44528</v>
      </c>
      <c r="E1731">
        <v>10</v>
      </c>
      <c r="F1731">
        <v>67.388918004383896</v>
      </c>
      <c r="G1731" s="1">
        <v>44541</v>
      </c>
      <c r="H1731" s="1">
        <v>44547</v>
      </c>
      <c r="I1731">
        <v>673.88918004383902</v>
      </c>
      <c r="J1731">
        <f t="shared" ref="J1731:J1794" si="27">H1731-G1731</f>
        <v>6</v>
      </c>
    </row>
    <row r="1732" spans="1:10" x14ac:dyDescent="0.25">
      <c r="A1732" t="s">
        <v>2039</v>
      </c>
      <c r="B1732" t="s">
        <v>539</v>
      </c>
      <c r="C1732" t="s">
        <v>133</v>
      </c>
      <c r="D1732" s="1">
        <v>45140</v>
      </c>
      <c r="E1732">
        <v>6</v>
      </c>
      <c r="F1732">
        <v>71.374715787906197</v>
      </c>
      <c r="G1732" s="1">
        <v>45152</v>
      </c>
      <c r="H1732" s="1">
        <v>45151</v>
      </c>
      <c r="I1732">
        <v>428.24829472743698</v>
      </c>
      <c r="J1732">
        <f t="shared" si="27"/>
        <v>-1</v>
      </c>
    </row>
    <row r="1733" spans="1:10" x14ac:dyDescent="0.25">
      <c r="A1733" t="s">
        <v>2040</v>
      </c>
      <c r="B1733" t="s">
        <v>250</v>
      </c>
      <c r="C1733" t="s">
        <v>47</v>
      </c>
      <c r="D1733" s="1">
        <v>44942</v>
      </c>
      <c r="E1733">
        <v>5</v>
      </c>
      <c r="F1733">
        <v>19.1507663938002</v>
      </c>
      <c r="G1733" s="1">
        <v>44953</v>
      </c>
      <c r="H1733" s="1">
        <v>44951</v>
      </c>
      <c r="I1733">
        <v>95.753831969000998</v>
      </c>
      <c r="J1733">
        <f t="shared" si="27"/>
        <v>-2</v>
      </c>
    </row>
    <row r="1734" spans="1:10" x14ac:dyDescent="0.25">
      <c r="A1734" t="s">
        <v>2041</v>
      </c>
      <c r="B1734" t="s">
        <v>10</v>
      </c>
      <c r="C1734" t="s">
        <v>462</v>
      </c>
      <c r="D1734" s="1">
        <v>45320</v>
      </c>
      <c r="E1734">
        <v>11</v>
      </c>
      <c r="F1734">
        <v>8.7045903320704401</v>
      </c>
      <c r="G1734" s="1">
        <v>45334</v>
      </c>
      <c r="H1734" s="1">
        <v>45334</v>
      </c>
      <c r="I1734">
        <v>95.750493652774907</v>
      </c>
      <c r="J1734">
        <f t="shared" si="27"/>
        <v>0</v>
      </c>
    </row>
    <row r="1735" spans="1:10" x14ac:dyDescent="0.25">
      <c r="A1735" t="s">
        <v>2042</v>
      </c>
      <c r="B1735" t="s">
        <v>82</v>
      </c>
      <c r="C1735" t="s">
        <v>65</v>
      </c>
      <c r="D1735" s="1">
        <v>45352</v>
      </c>
      <c r="E1735">
        <v>12</v>
      </c>
      <c r="F1735">
        <v>21.179426526231801</v>
      </c>
      <c r="G1735" s="1">
        <v>45367</v>
      </c>
      <c r="H1735" s="1">
        <v>45370</v>
      </c>
      <c r="I1735">
        <v>254.15311831478201</v>
      </c>
      <c r="J1735">
        <f t="shared" si="27"/>
        <v>3</v>
      </c>
    </row>
    <row r="1736" spans="1:10" x14ac:dyDescent="0.25">
      <c r="A1736" t="s">
        <v>2043</v>
      </c>
      <c r="B1736" t="s">
        <v>109</v>
      </c>
      <c r="C1736" t="s">
        <v>304</v>
      </c>
      <c r="D1736" s="1">
        <v>44427</v>
      </c>
      <c r="E1736">
        <v>6</v>
      </c>
      <c r="F1736">
        <v>36.424895317900898</v>
      </c>
      <c r="G1736" s="1">
        <v>44445</v>
      </c>
      <c r="H1736" s="1">
        <v>44442</v>
      </c>
      <c r="I1736">
        <v>218.549371907405</v>
      </c>
      <c r="J1736">
        <f t="shared" si="27"/>
        <v>-3</v>
      </c>
    </row>
    <row r="1737" spans="1:10" x14ac:dyDescent="0.25">
      <c r="A1737" t="s">
        <v>2044</v>
      </c>
      <c r="B1737" t="s">
        <v>427</v>
      </c>
      <c r="C1737" t="s">
        <v>92</v>
      </c>
      <c r="D1737" s="1">
        <v>44320</v>
      </c>
      <c r="E1737">
        <v>9</v>
      </c>
      <c r="F1737">
        <v>77.053973892847395</v>
      </c>
      <c r="G1737" s="1">
        <v>44332</v>
      </c>
      <c r="H1737" s="1">
        <v>44334</v>
      </c>
      <c r="I1737">
        <v>693.48576503562697</v>
      </c>
      <c r="J1737">
        <f t="shared" si="27"/>
        <v>2</v>
      </c>
    </row>
    <row r="1738" spans="1:10" x14ac:dyDescent="0.25">
      <c r="A1738" t="s">
        <v>2045</v>
      </c>
      <c r="B1738" t="s">
        <v>157</v>
      </c>
      <c r="C1738" t="s">
        <v>1176</v>
      </c>
      <c r="D1738" s="1">
        <v>44803</v>
      </c>
      <c r="E1738">
        <v>10</v>
      </c>
      <c r="F1738">
        <v>29.219794949462301</v>
      </c>
      <c r="G1738" s="1">
        <v>44820</v>
      </c>
      <c r="H1738" s="1">
        <v>44821</v>
      </c>
      <c r="I1738">
        <v>292.197949494623</v>
      </c>
      <c r="J1738">
        <f t="shared" si="27"/>
        <v>1</v>
      </c>
    </row>
    <row r="1739" spans="1:10" x14ac:dyDescent="0.25">
      <c r="A1739" t="s">
        <v>2046</v>
      </c>
      <c r="B1739" t="s">
        <v>140</v>
      </c>
      <c r="C1739" t="s">
        <v>86</v>
      </c>
      <c r="D1739" s="1">
        <v>45169</v>
      </c>
      <c r="E1739">
        <v>9</v>
      </c>
      <c r="F1739">
        <v>75.116539194985407</v>
      </c>
      <c r="G1739" s="1">
        <v>45187</v>
      </c>
      <c r="H1739" s="1">
        <v>45185</v>
      </c>
      <c r="I1739">
        <v>676.04885275486902</v>
      </c>
      <c r="J1739">
        <f t="shared" si="27"/>
        <v>-2</v>
      </c>
    </row>
    <row r="1740" spans="1:10" x14ac:dyDescent="0.25">
      <c r="A1740" t="s">
        <v>2047</v>
      </c>
      <c r="B1740" t="s">
        <v>127</v>
      </c>
      <c r="C1740" t="s">
        <v>466</v>
      </c>
      <c r="D1740" s="1">
        <v>44704</v>
      </c>
      <c r="E1740">
        <v>13</v>
      </c>
      <c r="F1740">
        <v>5.7650033982698803</v>
      </c>
      <c r="G1740" s="1">
        <v>44728</v>
      </c>
      <c r="H1740" s="1">
        <v>44730</v>
      </c>
      <c r="I1740">
        <v>74.945044177508507</v>
      </c>
      <c r="J1740">
        <f t="shared" si="27"/>
        <v>2</v>
      </c>
    </row>
    <row r="1741" spans="1:10" x14ac:dyDescent="0.25">
      <c r="A1741" t="s">
        <v>2048</v>
      </c>
      <c r="B1741" t="s">
        <v>76</v>
      </c>
      <c r="C1741" t="s">
        <v>473</v>
      </c>
      <c r="D1741" s="1">
        <v>45384</v>
      </c>
      <c r="E1741">
        <v>11</v>
      </c>
      <c r="F1741">
        <v>41.013688937193898</v>
      </c>
      <c r="G1741" s="1">
        <v>45406</v>
      </c>
      <c r="H1741" s="1">
        <v>45404</v>
      </c>
      <c r="I1741">
        <v>451.15057830913298</v>
      </c>
      <c r="J1741">
        <f t="shared" si="27"/>
        <v>-2</v>
      </c>
    </row>
    <row r="1742" spans="1:10" x14ac:dyDescent="0.25">
      <c r="A1742" t="s">
        <v>2049</v>
      </c>
      <c r="B1742" t="s">
        <v>242</v>
      </c>
      <c r="C1742" t="s">
        <v>279</v>
      </c>
      <c r="D1742" s="1">
        <v>44323</v>
      </c>
      <c r="E1742">
        <v>10</v>
      </c>
      <c r="F1742">
        <v>65.025238021735703</v>
      </c>
      <c r="G1742" s="1">
        <v>44341</v>
      </c>
      <c r="H1742" s="1">
        <v>44347</v>
      </c>
      <c r="I1742">
        <v>650.25238021735697</v>
      </c>
      <c r="J1742">
        <f t="shared" si="27"/>
        <v>6</v>
      </c>
    </row>
    <row r="1743" spans="1:10" x14ac:dyDescent="0.25">
      <c r="A1743" t="s">
        <v>2050</v>
      </c>
      <c r="B1743" t="s">
        <v>140</v>
      </c>
      <c r="C1743" t="s">
        <v>477</v>
      </c>
      <c r="D1743" s="1">
        <v>45050</v>
      </c>
      <c r="E1743">
        <v>8</v>
      </c>
      <c r="F1743">
        <v>54.4020510507751</v>
      </c>
      <c r="G1743" s="1">
        <v>45073</v>
      </c>
      <c r="H1743" s="1">
        <v>45070</v>
      </c>
      <c r="I1743">
        <v>435.21640840620103</v>
      </c>
      <c r="J1743">
        <f t="shared" si="27"/>
        <v>-3</v>
      </c>
    </row>
    <row r="1744" spans="1:10" x14ac:dyDescent="0.25">
      <c r="A1744" t="s">
        <v>2051</v>
      </c>
      <c r="B1744" t="s">
        <v>119</v>
      </c>
      <c r="C1744" t="s">
        <v>826</v>
      </c>
      <c r="D1744" s="1">
        <v>45154</v>
      </c>
      <c r="E1744">
        <v>9</v>
      </c>
      <c r="F1744">
        <v>29.674448725838701</v>
      </c>
      <c r="G1744" s="1">
        <v>45175</v>
      </c>
      <c r="H1744" s="1">
        <v>45179</v>
      </c>
      <c r="I1744">
        <v>267.07003853254798</v>
      </c>
      <c r="J1744">
        <f t="shared" si="27"/>
        <v>4</v>
      </c>
    </row>
    <row r="1745" spans="1:10" x14ac:dyDescent="0.25">
      <c r="A1745" t="s">
        <v>2052</v>
      </c>
      <c r="B1745" t="s">
        <v>301</v>
      </c>
      <c r="C1745" t="s">
        <v>180</v>
      </c>
      <c r="D1745" s="1">
        <v>44930</v>
      </c>
      <c r="E1745">
        <v>12</v>
      </c>
      <c r="F1745">
        <v>11.1805791572739</v>
      </c>
      <c r="G1745" s="1">
        <v>44941</v>
      </c>
      <c r="H1745" s="1">
        <v>44947</v>
      </c>
      <c r="I1745">
        <v>134.16694988728699</v>
      </c>
      <c r="J1745">
        <f t="shared" si="27"/>
        <v>6</v>
      </c>
    </row>
    <row r="1746" spans="1:10" x14ac:dyDescent="0.25">
      <c r="A1746" t="s">
        <v>2053</v>
      </c>
      <c r="B1746" t="s">
        <v>301</v>
      </c>
      <c r="C1746" t="s">
        <v>826</v>
      </c>
      <c r="D1746" s="1">
        <v>45334</v>
      </c>
      <c r="E1746">
        <v>13</v>
      </c>
      <c r="F1746">
        <v>57.053729004454297</v>
      </c>
      <c r="G1746" s="1">
        <v>45353</v>
      </c>
      <c r="H1746" s="1">
        <v>45353</v>
      </c>
      <c r="I1746">
        <v>741.69847705790596</v>
      </c>
      <c r="J1746">
        <f t="shared" si="27"/>
        <v>0</v>
      </c>
    </row>
    <row r="1747" spans="1:10" x14ac:dyDescent="0.25">
      <c r="A1747" t="s">
        <v>2054</v>
      </c>
      <c r="B1747" t="s">
        <v>109</v>
      </c>
      <c r="C1747" t="s">
        <v>105</v>
      </c>
      <c r="D1747" s="1">
        <v>44977</v>
      </c>
      <c r="E1747">
        <v>8</v>
      </c>
      <c r="F1747">
        <v>30.527409582134901</v>
      </c>
      <c r="G1747" s="1">
        <v>44997</v>
      </c>
      <c r="H1747" s="1">
        <v>44997</v>
      </c>
      <c r="I1747">
        <v>244.21927665707901</v>
      </c>
      <c r="J1747">
        <f t="shared" si="27"/>
        <v>0</v>
      </c>
    </row>
    <row r="1748" spans="1:10" x14ac:dyDescent="0.25">
      <c r="A1748" t="s">
        <v>2055</v>
      </c>
      <c r="B1748" t="s">
        <v>176</v>
      </c>
      <c r="C1748" t="s">
        <v>418</v>
      </c>
      <c r="D1748" s="1">
        <v>44371</v>
      </c>
      <c r="E1748">
        <v>12</v>
      </c>
      <c r="F1748">
        <v>41.115764451336602</v>
      </c>
      <c r="G1748" s="1">
        <v>44385</v>
      </c>
      <c r="H1748" s="1">
        <v>44390</v>
      </c>
      <c r="I1748">
        <v>493.389173416039</v>
      </c>
      <c r="J1748">
        <f t="shared" si="27"/>
        <v>5</v>
      </c>
    </row>
    <row r="1749" spans="1:10" x14ac:dyDescent="0.25">
      <c r="A1749" t="s">
        <v>2056</v>
      </c>
      <c r="B1749" t="s">
        <v>46</v>
      </c>
      <c r="C1749" t="s">
        <v>1362</v>
      </c>
      <c r="D1749" s="1">
        <v>45040</v>
      </c>
      <c r="E1749">
        <v>15</v>
      </c>
      <c r="F1749">
        <v>11.63586880645</v>
      </c>
      <c r="G1749" s="1">
        <v>45050</v>
      </c>
      <c r="H1749" s="1">
        <v>45055</v>
      </c>
      <c r="I1749">
        <v>174.53803209674999</v>
      </c>
      <c r="J1749">
        <f t="shared" si="27"/>
        <v>5</v>
      </c>
    </row>
    <row r="1750" spans="1:10" x14ac:dyDescent="0.25">
      <c r="A1750" t="s">
        <v>2057</v>
      </c>
      <c r="B1750" t="s">
        <v>46</v>
      </c>
      <c r="C1750" t="s">
        <v>453</v>
      </c>
      <c r="D1750" s="1">
        <v>45121</v>
      </c>
      <c r="E1750">
        <v>13</v>
      </c>
      <c r="F1750">
        <v>22.882901721078301</v>
      </c>
      <c r="G1750" s="1">
        <v>45131</v>
      </c>
      <c r="H1750" s="1">
        <v>45132</v>
      </c>
      <c r="I1750">
        <v>297.47772237401801</v>
      </c>
      <c r="J1750">
        <f t="shared" si="27"/>
        <v>1</v>
      </c>
    </row>
    <row r="1751" spans="1:10" x14ac:dyDescent="0.25">
      <c r="A1751" t="s">
        <v>2058</v>
      </c>
      <c r="B1751" t="s">
        <v>216</v>
      </c>
      <c r="C1751" t="s">
        <v>418</v>
      </c>
      <c r="D1751" s="1">
        <v>44941</v>
      </c>
      <c r="E1751">
        <v>14</v>
      </c>
      <c r="F1751">
        <v>15.092364319685201</v>
      </c>
      <c r="G1751" s="1">
        <v>44951</v>
      </c>
      <c r="H1751" s="1">
        <v>44950</v>
      </c>
      <c r="I1751">
        <v>211.29310047559301</v>
      </c>
      <c r="J1751">
        <f t="shared" si="27"/>
        <v>-1</v>
      </c>
    </row>
    <row r="1752" spans="1:10" x14ac:dyDescent="0.25">
      <c r="A1752" t="s">
        <v>2059</v>
      </c>
      <c r="B1752" t="s">
        <v>31</v>
      </c>
      <c r="C1752" t="s">
        <v>68</v>
      </c>
      <c r="D1752" s="1">
        <v>44841</v>
      </c>
      <c r="E1752">
        <v>11</v>
      </c>
      <c r="F1752">
        <v>44.7416279136932</v>
      </c>
      <c r="G1752" s="1">
        <v>44862</v>
      </c>
      <c r="H1752" s="1">
        <v>44866</v>
      </c>
      <c r="I1752">
        <v>492.157907050625</v>
      </c>
      <c r="J1752">
        <f t="shared" si="27"/>
        <v>4</v>
      </c>
    </row>
    <row r="1753" spans="1:10" x14ac:dyDescent="0.25">
      <c r="A1753" t="s">
        <v>2060</v>
      </c>
      <c r="B1753" t="s">
        <v>219</v>
      </c>
      <c r="C1753" t="s">
        <v>131</v>
      </c>
      <c r="D1753" s="1">
        <v>44361</v>
      </c>
      <c r="E1753">
        <v>14</v>
      </c>
      <c r="F1753">
        <v>4.2848667737949002</v>
      </c>
      <c r="G1753" s="1">
        <v>44376</v>
      </c>
      <c r="H1753" s="1">
        <v>44381</v>
      </c>
      <c r="I1753">
        <v>59.988134833128697</v>
      </c>
      <c r="J1753">
        <f t="shared" si="27"/>
        <v>5</v>
      </c>
    </row>
    <row r="1754" spans="1:10" x14ac:dyDescent="0.25">
      <c r="A1754" t="s">
        <v>2061</v>
      </c>
      <c r="B1754" t="s">
        <v>340</v>
      </c>
      <c r="C1754" t="s">
        <v>818</v>
      </c>
      <c r="D1754" s="1">
        <v>44844</v>
      </c>
      <c r="E1754">
        <v>8</v>
      </c>
      <c r="F1754">
        <v>3.6406206559055301</v>
      </c>
      <c r="G1754" s="1">
        <v>44858</v>
      </c>
      <c r="H1754" s="1">
        <v>44860</v>
      </c>
      <c r="I1754">
        <v>29.124965247244301</v>
      </c>
      <c r="J1754">
        <f t="shared" si="27"/>
        <v>2</v>
      </c>
    </row>
    <row r="1755" spans="1:10" x14ac:dyDescent="0.25">
      <c r="A1755" t="s">
        <v>2062</v>
      </c>
      <c r="B1755" t="s">
        <v>240</v>
      </c>
      <c r="C1755" t="s">
        <v>587</v>
      </c>
      <c r="D1755" s="1">
        <v>44267</v>
      </c>
      <c r="E1755">
        <v>9</v>
      </c>
      <c r="F1755">
        <v>17.9684627353877</v>
      </c>
      <c r="G1755" s="1">
        <v>44281</v>
      </c>
      <c r="H1755" s="1">
        <v>44283</v>
      </c>
      <c r="I1755">
        <v>161.71616461848899</v>
      </c>
      <c r="J1755">
        <f t="shared" si="27"/>
        <v>2</v>
      </c>
    </row>
    <row r="1756" spans="1:10" x14ac:dyDescent="0.25">
      <c r="A1756" t="s">
        <v>2063</v>
      </c>
      <c r="B1756" t="s">
        <v>40</v>
      </c>
      <c r="C1756" t="s">
        <v>110</v>
      </c>
      <c r="D1756" s="1">
        <v>45088</v>
      </c>
      <c r="E1756">
        <v>7</v>
      </c>
      <c r="F1756">
        <v>42.474047699883101</v>
      </c>
      <c r="G1756" s="1">
        <v>45101</v>
      </c>
      <c r="H1756" s="1">
        <v>45104</v>
      </c>
      <c r="I1756">
        <v>297.31833389918199</v>
      </c>
      <c r="J1756">
        <f t="shared" si="27"/>
        <v>3</v>
      </c>
    </row>
    <row r="1757" spans="1:10" x14ac:dyDescent="0.25">
      <c r="A1757" t="s">
        <v>2064</v>
      </c>
      <c r="B1757" t="s">
        <v>256</v>
      </c>
      <c r="C1757" t="s">
        <v>131</v>
      </c>
      <c r="D1757" s="1">
        <v>44864</v>
      </c>
      <c r="E1757">
        <v>8</v>
      </c>
      <c r="F1757">
        <v>63.250292104427402</v>
      </c>
      <c r="G1757" s="1">
        <v>44886</v>
      </c>
      <c r="H1757" s="1">
        <v>44889</v>
      </c>
      <c r="I1757">
        <v>506.00233683541899</v>
      </c>
      <c r="J1757">
        <f t="shared" si="27"/>
        <v>3</v>
      </c>
    </row>
    <row r="1758" spans="1:10" x14ac:dyDescent="0.25">
      <c r="A1758" t="s">
        <v>2065</v>
      </c>
      <c r="B1758" t="s">
        <v>121</v>
      </c>
      <c r="C1758" t="s">
        <v>184</v>
      </c>
      <c r="D1758" s="1">
        <v>44219</v>
      </c>
      <c r="E1758">
        <v>12</v>
      </c>
      <c r="F1758">
        <v>63.094701238240901</v>
      </c>
      <c r="G1758" s="1">
        <v>44230</v>
      </c>
      <c r="H1758" s="1">
        <v>44227</v>
      </c>
      <c r="I1758">
        <v>757.13641485889002</v>
      </c>
      <c r="J1758">
        <f t="shared" si="27"/>
        <v>-3</v>
      </c>
    </row>
    <row r="1759" spans="1:10" x14ac:dyDescent="0.25">
      <c r="A1759" t="s">
        <v>2066</v>
      </c>
      <c r="B1759" t="s">
        <v>314</v>
      </c>
      <c r="C1759" t="s">
        <v>308</v>
      </c>
      <c r="D1759" s="1">
        <v>44350</v>
      </c>
      <c r="E1759">
        <v>8</v>
      </c>
      <c r="F1759">
        <v>10.9844602779333</v>
      </c>
      <c r="G1759" s="1">
        <v>44368</v>
      </c>
      <c r="H1759" s="1">
        <v>44372</v>
      </c>
      <c r="I1759">
        <v>87.875682223466598</v>
      </c>
      <c r="J1759">
        <f t="shared" si="27"/>
        <v>4</v>
      </c>
    </row>
    <row r="1760" spans="1:10" x14ac:dyDescent="0.25">
      <c r="A1760" t="s">
        <v>2067</v>
      </c>
      <c r="B1760" t="s">
        <v>43</v>
      </c>
      <c r="C1760" t="s">
        <v>163</v>
      </c>
      <c r="D1760" s="1">
        <v>44525</v>
      </c>
      <c r="E1760">
        <v>6</v>
      </c>
      <c r="F1760">
        <v>71.512663280073099</v>
      </c>
      <c r="G1760" s="1">
        <v>44541</v>
      </c>
      <c r="H1760" s="1">
        <v>44545</v>
      </c>
      <c r="I1760">
        <v>429.07597968043899</v>
      </c>
      <c r="J1760">
        <f t="shared" si="27"/>
        <v>4</v>
      </c>
    </row>
    <row r="1761" spans="1:10" x14ac:dyDescent="0.25">
      <c r="A1761" t="s">
        <v>2068</v>
      </c>
      <c r="B1761" t="s">
        <v>22</v>
      </c>
      <c r="C1761" t="s">
        <v>268</v>
      </c>
      <c r="D1761" s="1">
        <v>44648</v>
      </c>
      <c r="E1761">
        <v>13</v>
      </c>
      <c r="F1761">
        <v>68.664546894957297</v>
      </c>
      <c r="G1761" s="1">
        <v>44661</v>
      </c>
      <c r="H1761" s="1">
        <v>44662</v>
      </c>
      <c r="I1761">
        <v>892.63910963444505</v>
      </c>
      <c r="J1761">
        <f t="shared" si="27"/>
        <v>1</v>
      </c>
    </row>
    <row r="1762" spans="1:10" x14ac:dyDescent="0.25">
      <c r="A1762" t="s">
        <v>2069</v>
      </c>
      <c r="B1762" t="s">
        <v>556</v>
      </c>
      <c r="C1762" t="s">
        <v>192</v>
      </c>
      <c r="D1762" s="1">
        <v>44291</v>
      </c>
      <c r="E1762">
        <v>9</v>
      </c>
      <c r="F1762">
        <v>55.667211285443997</v>
      </c>
      <c r="G1762" s="1">
        <v>44312</v>
      </c>
      <c r="H1762" s="1">
        <v>44318</v>
      </c>
      <c r="I1762">
        <v>501.00490156899599</v>
      </c>
      <c r="J1762">
        <f t="shared" si="27"/>
        <v>6</v>
      </c>
    </row>
    <row r="1763" spans="1:10" x14ac:dyDescent="0.25">
      <c r="A1763" t="s">
        <v>2070</v>
      </c>
      <c r="B1763" t="s">
        <v>16</v>
      </c>
      <c r="C1763" t="s">
        <v>990</v>
      </c>
      <c r="D1763" s="1">
        <v>44226</v>
      </c>
      <c r="E1763">
        <v>6</v>
      </c>
      <c r="F1763">
        <v>67.096314458516204</v>
      </c>
      <c r="G1763" s="1">
        <v>44242</v>
      </c>
      <c r="H1763" s="1">
        <v>44247</v>
      </c>
      <c r="I1763">
        <v>402.57788675109703</v>
      </c>
      <c r="J1763">
        <f t="shared" si="27"/>
        <v>5</v>
      </c>
    </row>
    <row r="1764" spans="1:10" x14ac:dyDescent="0.25">
      <c r="A1764" t="s">
        <v>2071</v>
      </c>
      <c r="B1764" t="s">
        <v>250</v>
      </c>
      <c r="C1764" t="s">
        <v>20</v>
      </c>
      <c r="D1764" s="1">
        <v>45347</v>
      </c>
      <c r="E1764">
        <v>14</v>
      </c>
      <c r="F1764">
        <v>30.797590442696201</v>
      </c>
      <c r="G1764" s="1">
        <v>45365</v>
      </c>
      <c r="H1764" s="1">
        <v>45370</v>
      </c>
      <c r="I1764">
        <v>431.16626619774701</v>
      </c>
      <c r="J1764">
        <f t="shared" si="27"/>
        <v>5</v>
      </c>
    </row>
    <row r="1765" spans="1:10" x14ac:dyDescent="0.25">
      <c r="A1765" t="s">
        <v>2072</v>
      </c>
      <c r="B1765" t="s">
        <v>301</v>
      </c>
      <c r="C1765" t="s">
        <v>589</v>
      </c>
      <c r="D1765" s="1">
        <v>44387</v>
      </c>
      <c r="E1765">
        <v>6</v>
      </c>
      <c r="F1765">
        <v>10.1572412132577</v>
      </c>
      <c r="G1765" s="1">
        <v>44406</v>
      </c>
      <c r="H1765" s="1">
        <v>44412</v>
      </c>
      <c r="I1765">
        <v>60.943447279546596</v>
      </c>
      <c r="J1765">
        <f t="shared" si="27"/>
        <v>6</v>
      </c>
    </row>
    <row r="1766" spans="1:10" x14ac:dyDescent="0.25">
      <c r="A1766" t="s">
        <v>2073</v>
      </c>
      <c r="B1766" t="s">
        <v>427</v>
      </c>
      <c r="C1766" t="s">
        <v>527</v>
      </c>
      <c r="D1766" s="1">
        <v>44373</v>
      </c>
      <c r="E1766">
        <v>11</v>
      </c>
      <c r="F1766">
        <v>14.8470948046714</v>
      </c>
      <c r="G1766" s="1">
        <v>44383</v>
      </c>
      <c r="H1766" s="1">
        <v>44389</v>
      </c>
      <c r="I1766">
        <v>163.318042851385</v>
      </c>
      <c r="J1766">
        <f t="shared" si="27"/>
        <v>6</v>
      </c>
    </row>
    <row r="1767" spans="1:10" x14ac:dyDescent="0.25">
      <c r="A1767" t="s">
        <v>2074</v>
      </c>
      <c r="B1767" t="s">
        <v>114</v>
      </c>
      <c r="C1767" t="s">
        <v>383</v>
      </c>
      <c r="D1767" s="1">
        <v>44866</v>
      </c>
      <c r="E1767">
        <v>6</v>
      </c>
      <c r="F1767">
        <v>40.398856359504201</v>
      </c>
      <c r="G1767" s="1">
        <v>44888</v>
      </c>
      <c r="H1767" s="1">
        <v>44889</v>
      </c>
      <c r="I1767">
        <v>242.39313815702499</v>
      </c>
      <c r="J1767">
        <f t="shared" si="27"/>
        <v>1</v>
      </c>
    </row>
    <row r="1768" spans="1:10" x14ac:dyDescent="0.25">
      <c r="A1768" t="s">
        <v>2075</v>
      </c>
      <c r="B1768" t="s">
        <v>58</v>
      </c>
      <c r="C1768" t="s">
        <v>44</v>
      </c>
      <c r="D1768" s="1">
        <v>44780</v>
      </c>
      <c r="E1768">
        <v>16</v>
      </c>
      <c r="F1768">
        <v>16.832908866817899</v>
      </c>
      <c r="G1768" s="1">
        <v>44790</v>
      </c>
      <c r="H1768" s="1">
        <v>44794</v>
      </c>
      <c r="I1768">
        <v>269.32654186908701</v>
      </c>
      <c r="J1768">
        <f t="shared" si="27"/>
        <v>4</v>
      </c>
    </row>
    <row r="1769" spans="1:10" x14ac:dyDescent="0.25">
      <c r="A1769" t="s">
        <v>2076</v>
      </c>
      <c r="B1769" t="s">
        <v>46</v>
      </c>
      <c r="C1769" t="s">
        <v>408</v>
      </c>
      <c r="D1769" s="1">
        <v>44355</v>
      </c>
      <c r="E1769">
        <v>11</v>
      </c>
      <c r="F1769">
        <v>6.6341008479483499</v>
      </c>
      <c r="G1769" s="1">
        <v>44368</v>
      </c>
      <c r="H1769" s="1">
        <v>44367</v>
      </c>
      <c r="I1769">
        <v>72.975109327431895</v>
      </c>
      <c r="J1769">
        <f t="shared" si="27"/>
        <v>-1</v>
      </c>
    </row>
    <row r="1770" spans="1:10" x14ac:dyDescent="0.25">
      <c r="A1770" t="s">
        <v>2077</v>
      </c>
      <c r="B1770" t="s">
        <v>73</v>
      </c>
      <c r="C1770" t="s">
        <v>212</v>
      </c>
      <c r="D1770" s="1">
        <v>44333</v>
      </c>
      <c r="E1770">
        <v>13</v>
      </c>
      <c r="F1770">
        <v>21.4424433654744</v>
      </c>
      <c r="G1770" s="1">
        <v>44345</v>
      </c>
      <c r="H1770" s="1">
        <v>44347</v>
      </c>
      <c r="I1770">
        <v>278.75176375116803</v>
      </c>
      <c r="J1770">
        <f t="shared" si="27"/>
        <v>2</v>
      </c>
    </row>
    <row r="1771" spans="1:10" x14ac:dyDescent="0.25">
      <c r="A1771" t="s">
        <v>2078</v>
      </c>
      <c r="B1771" t="s">
        <v>485</v>
      </c>
      <c r="C1771" t="s">
        <v>629</v>
      </c>
      <c r="D1771" s="1">
        <v>44993</v>
      </c>
      <c r="E1771">
        <v>8</v>
      </c>
      <c r="F1771">
        <v>67.783710886723</v>
      </c>
      <c r="G1771" s="1">
        <v>45011</v>
      </c>
      <c r="H1771" s="1">
        <v>45009</v>
      </c>
      <c r="I1771">
        <v>542.269687093784</v>
      </c>
      <c r="J1771">
        <f t="shared" si="27"/>
        <v>-2</v>
      </c>
    </row>
    <row r="1772" spans="1:10" x14ac:dyDescent="0.25">
      <c r="A1772" t="s">
        <v>2079</v>
      </c>
      <c r="B1772" t="s">
        <v>267</v>
      </c>
      <c r="C1772" t="s">
        <v>195</v>
      </c>
      <c r="D1772" s="1">
        <v>44253</v>
      </c>
      <c r="E1772">
        <v>11</v>
      </c>
      <c r="F1772">
        <v>29.477324409654798</v>
      </c>
      <c r="G1772" s="1">
        <v>44272</v>
      </c>
      <c r="H1772" s="1">
        <v>44273</v>
      </c>
      <c r="I1772">
        <v>324.25056850620302</v>
      </c>
      <c r="J1772">
        <f t="shared" si="27"/>
        <v>1</v>
      </c>
    </row>
    <row r="1773" spans="1:10" x14ac:dyDescent="0.25">
      <c r="A1773" t="s">
        <v>2080</v>
      </c>
      <c r="B1773" t="s">
        <v>28</v>
      </c>
      <c r="C1773" t="s">
        <v>400</v>
      </c>
      <c r="D1773" s="1">
        <v>44685</v>
      </c>
      <c r="E1773">
        <v>12</v>
      </c>
      <c r="F1773">
        <v>67.399267999091705</v>
      </c>
      <c r="G1773" s="1">
        <v>44709</v>
      </c>
      <c r="H1773" s="1">
        <v>44707</v>
      </c>
      <c r="I1773">
        <v>808.79121598910001</v>
      </c>
      <c r="J1773">
        <f t="shared" si="27"/>
        <v>-2</v>
      </c>
    </row>
    <row r="1774" spans="1:10" x14ac:dyDescent="0.25">
      <c r="A1774" t="s">
        <v>2081</v>
      </c>
      <c r="B1774" t="s">
        <v>19</v>
      </c>
      <c r="C1774" t="s">
        <v>547</v>
      </c>
      <c r="D1774" s="1">
        <v>45291</v>
      </c>
      <c r="E1774">
        <v>15</v>
      </c>
      <c r="F1774">
        <v>60.676707282665902</v>
      </c>
      <c r="G1774" s="1">
        <v>45301</v>
      </c>
      <c r="H1774" s="1">
        <v>45300</v>
      </c>
      <c r="I1774">
        <v>910.15060923998897</v>
      </c>
      <c r="J1774">
        <f t="shared" si="27"/>
        <v>-1</v>
      </c>
    </row>
    <row r="1775" spans="1:10" x14ac:dyDescent="0.25">
      <c r="A1775" t="s">
        <v>2082</v>
      </c>
      <c r="B1775" t="s">
        <v>216</v>
      </c>
      <c r="C1775" t="s">
        <v>361</v>
      </c>
      <c r="D1775" s="1">
        <v>44688</v>
      </c>
      <c r="E1775">
        <v>11</v>
      </c>
      <c r="F1775">
        <v>54.316921414695102</v>
      </c>
      <c r="G1775" s="1">
        <v>44701</v>
      </c>
      <c r="H1775" s="1">
        <v>44702</v>
      </c>
      <c r="I1775">
        <v>597.48613556164696</v>
      </c>
      <c r="J1775">
        <f t="shared" si="27"/>
        <v>1</v>
      </c>
    </row>
    <row r="1776" spans="1:10" x14ac:dyDescent="0.25">
      <c r="A1776" t="s">
        <v>2083</v>
      </c>
      <c r="B1776" t="s">
        <v>617</v>
      </c>
      <c r="C1776" t="s">
        <v>425</v>
      </c>
      <c r="D1776" s="1">
        <v>44714</v>
      </c>
      <c r="E1776">
        <v>6</v>
      </c>
      <c r="F1776">
        <v>15.232556713129499</v>
      </c>
      <c r="G1776" s="1">
        <v>44724</v>
      </c>
      <c r="H1776" s="1">
        <v>44723</v>
      </c>
      <c r="I1776">
        <v>91.395340278777297</v>
      </c>
      <c r="J1776">
        <f t="shared" si="27"/>
        <v>-1</v>
      </c>
    </row>
    <row r="1777" spans="1:10" x14ac:dyDescent="0.25">
      <c r="A1777" t="s">
        <v>2084</v>
      </c>
      <c r="B1777" t="s">
        <v>427</v>
      </c>
      <c r="C1777" t="s">
        <v>83</v>
      </c>
      <c r="D1777" s="1">
        <v>44850</v>
      </c>
      <c r="E1777">
        <v>14</v>
      </c>
      <c r="F1777">
        <v>30.736640838827299</v>
      </c>
      <c r="G1777" s="1">
        <v>44868</v>
      </c>
      <c r="H1777" s="1">
        <v>44871</v>
      </c>
      <c r="I1777">
        <v>430.31297174358201</v>
      </c>
      <c r="J1777">
        <f t="shared" si="27"/>
        <v>3</v>
      </c>
    </row>
    <row r="1778" spans="1:10" x14ac:dyDescent="0.25">
      <c r="A1778" t="s">
        <v>2085</v>
      </c>
      <c r="B1778" t="s">
        <v>250</v>
      </c>
      <c r="C1778" t="s">
        <v>664</v>
      </c>
      <c r="D1778" s="1">
        <v>44912</v>
      </c>
      <c r="E1778">
        <v>17</v>
      </c>
      <c r="F1778">
        <v>6.7565585949288502</v>
      </c>
      <c r="G1778" s="1">
        <v>44922</v>
      </c>
      <c r="H1778" s="1">
        <v>44921</v>
      </c>
      <c r="I1778">
        <v>114.86149611379</v>
      </c>
      <c r="J1778">
        <f t="shared" si="27"/>
        <v>-1</v>
      </c>
    </row>
    <row r="1779" spans="1:10" x14ac:dyDescent="0.25">
      <c r="A1779" t="s">
        <v>2086</v>
      </c>
      <c r="B1779" t="s">
        <v>160</v>
      </c>
      <c r="C1779" t="s">
        <v>276</v>
      </c>
      <c r="D1779" s="1">
        <v>44218</v>
      </c>
      <c r="E1779">
        <v>7</v>
      </c>
      <c r="F1779">
        <v>6.9075398715882397</v>
      </c>
      <c r="G1779" s="1">
        <v>44232</v>
      </c>
      <c r="H1779" s="1">
        <v>44234</v>
      </c>
      <c r="I1779">
        <v>48.352779101117598</v>
      </c>
      <c r="J1779">
        <f t="shared" si="27"/>
        <v>2</v>
      </c>
    </row>
    <row r="1780" spans="1:10" x14ac:dyDescent="0.25">
      <c r="A1780" t="s">
        <v>2087</v>
      </c>
      <c r="B1780" t="s">
        <v>427</v>
      </c>
      <c r="C1780" t="s">
        <v>701</v>
      </c>
      <c r="D1780" s="1">
        <v>44274</v>
      </c>
      <c r="E1780">
        <v>14</v>
      </c>
      <c r="F1780">
        <v>63.895894028516601</v>
      </c>
      <c r="G1780" s="1">
        <v>44295</v>
      </c>
      <c r="H1780" s="1">
        <v>44301</v>
      </c>
      <c r="I1780">
        <v>894.54251639923302</v>
      </c>
      <c r="J1780">
        <f t="shared" si="27"/>
        <v>6</v>
      </c>
    </row>
    <row r="1781" spans="1:10" x14ac:dyDescent="0.25">
      <c r="A1781" t="s">
        <v>2088</v>
      </c>
      <c r="B1781" t="s">
        <v>198</v>
      </c>
      <c r="C1781" t="s">
        <v>495</v>
      </c>
      <c r="D1781" s="1">
        <v>44350</v>
      </c>
      <c r="E1781">
        <v>12</v>
      </c>
      <c r="F1781">
        <v>3.0278489544264602</v>
      </c>
      <c r="G1781" s="1">
        <v>44370</v>
      </c>
      <c r="H1781" s="1">
        <v>44369</v>
      </c>
      <c r="I1781">
        <v>36.334187453117501</v>
      </c>
      <c r="J1781">
        <f t="shared" si="27"/>
        <v>-1</v>
      </c>
    </row>
    <row r="1782" spans="1:10" x14ac:dyDescent="0.25">
      <c r="A1782" t="s">
        <v>2089</v>
      </c>
      <c r="B1782" t="s">
        <v>194</v>
      </c>
      <c r="C1782" t="s">
        <v>587</v>
      </c>
      <c r="D1782" s="1">
        <v>45152</v>
      </c>
      <c r="E1782">
        <v>13</v>
      </c>
      <c r="F1782">
        <v>51.375834335198398</v>
      </c>
      <c r="G1782" s="1">
        <v>45172</v>
      </c>
      <c r="H1782" s="1">
        <v>45176</v>
      </c>
      <c r="I1782">
        <v>667.885846357579</v>
      </c>
      <c r="J1782">
        <f t="shared" si="27"/>
        <v>4</v>
      </c>
    </row>
    <row r="1783" spans="1:10" x14ac:dyDescent="0.25">
      <c r="A1783" t="s">
        <v>2090</v>
      </c>
      <c r="B1783" t="s">
        <v>321</v>
      </c>
      <c r="C1783" t="s">
        <v>283</v>
      </c>
      <c r="D1783" s="1">
        <v>45057</v>
      </c>
      <c r="E1783">
        <v>13</v>
      </c>
      <c r="F1783">
        <v>30.1184974889823</v>
      </c>
      <c r="G1783" s="1">
        <v>45072</v>
      </c>
      <c r="H1783" s="1">
        <v>45074</v>
      </c>
      <c r="I1783">
        <v>391.54046735677002</v>
      </c>
      <c r="J1783">
        <f t="shared" si="27"/>
        <v>2</v>
      </c>
    </row>
    <row r="1784" spans="1:10" x14ac:dyDescent="0.25">
      <c r="A1784" t="s">
        <v>2091</v>
      </c>
      <c r="B1784" t="s">
        <v>70</v>
      </c>
      <c r="C1784" t="s">
        <v>336</v>
      </c>
      <c r="D1784" s="1">
        <v>45290</v>
      </c>
      <c r="E1784">
        <v>10</v>
      </c>
      <c r="F1784">
        <v>63.822429934920201</v>
      </c>
      <c r="G1784" s="1">
        <v>45300</v>
      </c>
      <c r="H1784" s="1">
        <v>45298</v>
      </c>
      <c r="I1784">
        <v>638.22429934920206</v>
      </c>
      <c r="J1784">
        <f t="shared" si="27"/>
        <v>-2</v>
      </c>
    </row>
    <row r="1785" spans="1:10" x14ac:dyDescent="0.25">
      <c r="A1785" t="s">
        <v>2092</v>
      </c>
      <c r="B1785" t="s">
        <v>482</v>
      </c>
      <c r="C1785" t="s">
        <v>14</v>
      </c>
      <c r="D1785" s="1">
        <v>44715</v>
      </c>
      <c r="E1785">
        <v>9</v>
      </c>
      <c r="F1785">
        <v>44.704703301621699</v>
      </c>
      <c r="G1785" s="1">
        <v>44730</v>
      </c>
      <c r="H1785" s="1">
        <v>44730</v>
      </c>
      <c r="I1785">
        <v>402.342329714595</v>
      </c>
      <c r="J1785">
        <f t="shared" si="27"/>
        <v>0</v>
      </c>
    </row>
    <row r="1786" spans="1:10" x14ac:dyDescent="0.25">
      <c r="A1786" t="s">
        <v>2093</v>
      </c>
      <c r="B1786" t="s">
        <v>205</v>
      </c>
      <c r="C1786" t="s">
        <v>257</v>
      </c>
      <c r="D1786" s="1">
        <v>44439</v>
      </c>
      <c r="E1786">
        <v>11</v>
      </c>
      <c r="F1786">
        <v>28.8318225239946</v>
      </c>
      <c r="G1786" s="1">
        <v>44462</v>
      </c>
      <c r="H1786" s="1">
        <v>44463</v>
      </c>
      <c r="I1786">
        <v>317.15004776393999</v>
      </c>
      <c r="J1786">
        <f t="shared" si="27"/>
        <v>1</v>
      </c>
    </row>
    <row r="1787" spans="1:10" x14ac:dyDescent="0.25">
      <c r="A1787" t="s">
        <v>2094</v>
      </c>
      <c r="B1787" t="s">
        <v>160</v>
      </c>
      <c r="C1787" t="s">
        <v>290</v>
      </c>
      <c r="D1787" s="1">
        <v>44738</v>
      </c>
      <c r="E1787">
        <v>10</v>
      </c>
      <c r="F1787">
        <v>39.457397066960802</v>
      </c>
      <c r="G1787" s="1">
        <v>44754</v>
      </c>
      <c r="H1787" s="1">
        <v>44758</v>
      </c>
      <c r="I1787">
        <v>394.573970669608</v>
      </c>
      <c r="J1787">
        <f t="shared" si="27"/>
        <v>4</v>
      </c>
    </row>
    <row r="1788" spans="1:10" x14ac:dyDescent="0.25">
      <c r="A1788" t="s">
        <v>2095</v>
      </c>
      <c r="B1788" t="s">
        <v>250</v>
      </c>
      <c r="C1788" t="s">
        <v>274</v>
      </c>
      <c r="D1788" s="1">
        <v>44977</v>
      </c>
      <c r="E1788">
        <v>8</v>
      </c>
      <c r="F1788">
        <v>6.7931965533944103</v>
      </c>
      <c r="G1788" s="1">
        <v>44998</v>
      </c>
      <c r="H1788" s="1">
        <v>45001</v>
      </c>
      <c r="I1788">
        <v>54.345572427155297</v>
      </c>
      <c r="J1788">
        <f t="shared" si="27"/>
        <v>3</v>
      </c>
    </row>
    <row r="1789" spans="1:10" x14ac:dyDescent="0.25">
      <c r="A1789" t="s">
        <v>2096</v>
      </c>
      <c r="B1789" t="s">
        <v>301</v>
      </c>
      <c r="C1789" t="s">
        <v>312</v>
      </c>
      <c r="D1789" s="1">
        <v>44565</v>
      </c>
      <c r="E1789">
        <v>8</v>
      </c>
      <c r="F1789">
        <v>27.2066078682174</v>
      </c>
      <c r="G1789" s="1">
        <v>44589</v>
      </c>
      <c r="H1789" s="1">
        <v>44589</v>
      </c>
      <c r="I1789">
        <v>217.652862945739</v>
      </c>
      <c r="J1789">
        <f t="shared" si="27"/>
        <v>0</v>
      </c>
    </row>
    <row r="1790" spans="1:10" x14ac:dyDescent="0.25">
      <c r="A1790" t="s">
        <v>2097</v>
      </c>
      <c r="B1790" t="s">
        <v>247</v>
      </c>
      <c r="C1790" t="s">
        <v>1108</v>
      </c>
      <c r="D1790" s="1">
        <v>44883</v>
      </c>
      <c r="E1790">
        <v>18</v>
      </c>
      <c r="F1790">
        <v>7.6897013669822201</v>
      </c>
      <c r="G1790" s="1">
        <v>44902</v>
      </c>
      <c r="H1790" s="1">
        <v>44906</v>
      </c>
      <c r="I1790">
        <v>138.41462460567999</v>
      </c>
      <c r="J1790">
        <f t="shared" si="27"/>
        <v>4</v>
      </c>
    </row>
    <row r="1791" spans="1:10" x14ac:dyDescent="0.25">
      <c r="A1791" t="s">
        <v>2098</v>
      </c>
      <c r="B1791" t="s">
        <v>135</v>
      </c>
      <c r="C1791" t="s">
        <v>661</v>
      </c>
      <c r="D1791" s="1">
        <v>44245</v>
      </c>
      <c r="E1791">
        <v>15</v>
      </c>
      <c r="F1791">
        <v>31.096638672279301</v>
      </c>
      <c r="G1791" s="1">
        <v>44267</v>
      </c>
      <c r="H1791" s="1">
        <v>44265</v>
      </c>
      <c r="I1791">
        <v>466.44958008419002</v>
      </c>
      <c r="J1791">
        <f t="shared" si="27"/>
        <v>-2</v>
      </c>
    </row>
    <row r="1792" spans="1:10" x14ac:dyDescent="0.25">
      <c r="A1792" t="s">
        <v>2099</v>
      </c>
      <c r="B1792" t="s">
        <v>751</v>
      </c>
      <c r="C1792" t="s">
        <v>167</v>
      </c>
      <c r="D1792" s="1">
        <v>44626</v>
      </c>
      <c r="E1792">
        <v>12</v>
      </c>
      <c r="F1792">
        <v>3.9975046695050498</v>
      </c>
      <c r="G1792" s="1">
        <v>44639</v>
      </c>
      <c r="H1792" s="1">
        <v>44636</v>
      </c>
      <c r="I1792">
        <v>47.970056034060597</v>
      </c>
      <c r="J1792">
        <f t="shared" si="27"/>
        <v>-3</v>
      </c>
    </row>
    <row r="1793" spans="1:10" x14ac:dyDescent="0.25">
      <c r="A1793" t="s">
        <v>2100</v>
      </c>
      <c r="B1793" t="s">
        <v>267</v>
      </c>
      <c r="C1793" t="s">
        <v>182</v>
      </c>
      <c r="D1793" s="1">
        <v>44645</v>
      </c>
      <c r="E1793">
        <v>7</v>
      </c>
      <c r="F1793">
        <v>56.849165807362702</v>
      </c>
      <c r="G1793" s="1">
        <v>44659</v>
      </c>
      <c r="H1793" s="1">
        <v>44662</v>
      </c>
      <c r="I1793">
        <v>397.94416065153899</v>
      </c>
      <c r="J1793">
        <f t="shared" si="27"/>
        <v>3</v>
      </c>
    </row>
    <row r="1794" spans="1:10" x14ac:dyDescent="0.25">
      <c r="A1794" t="s">
        <v>2101</v>
      </c>
      <c r="B1794" t="s">
        <v>169</v>
      </c>
      <c r="C1794" t="s">
        <v>172</v>
      </c>
      <c r="D1794" s="1">
        <v>45084</v>
      </c>
      <c r="E1794">
        <v>7</v>
      </c>
      <c r="F1794">
        <v>19.4989483145763</v>
      </c>
      <c r="G1794" s="1">
        <v>45098</v>
      </c>
      <c r="H1794" s="1">
        <v>45097</v>
      </c>
      <c r="I1794">
        <v>136.49263820203399</v>
      </c>
      <c r="J1794">
        <f t="shared" si="27"/>
        <v>-1</v>
      </c>
    </row>
    <row r="1795" spans="1:10" x14ac:dyDescent="0.25">
      <c r="A1795" t="s">
        <v>2102</v>
      </c>
      <c r="B1795" t="s">
        <v>64</v>
      </c>
      <c r="C1795" t="s">
        <v>457</v>
      </c>
      <c r="D1795" s="1">
        <v>44959</v>
      </c>
      <c r="E1795">
        <v>15</v>
      </c>
      <c r="F1795">
        <v>56.6827579460683</v>
      </c>
      <c r="G1795" s="1">
        <v>44973</v>
      </c>
      <c r="H1795" s="1">
        <v>44972</v>
      </c>
      <c r="I1795">
        <v>850.24136919102398</v>
      </c>
      <c r="J1795">
        <f t="shared" ref="J1795:J1858" si="28">H1795-G1795</f>
        <v>-1</v>
      </c>
    </row>
    <row r="1796" spans="1:10" x14ac:dyDescent="0.25">
      <c r="A1796" t="s">
        <v>2103</v>
      </c>
      <c r="B1796" t="s">
        <v>288</v>
      </c>
      <c r="C1796" t="s">
        <v>141</v>
      </c>
      <c r="D1796" s="1">
        <v>45345</v>
      </c>
      <c r="E1796">
        <v>7</v>
      </c>
      <c r="F1796">
        <v>78.709018444614898</v>
      </c>
      <c r="G1796" s="1">
        <v>45360</v>
      </c>
      <c r="H1796" s="1">
        <v>45357</v>
      </c>
      <c r="I1796">
        <v>550.96312911230405</v>
      </c>
      <c r="J1796">
        <f t="shared" si="28"/>
        <v>-3</v>
      </c>
    </row>
    <row r="1797" spans="1:10" x14ac:dyDescent="0.25">
      <c r="A1797" t="s">
        <v>2104</v>
      </c>
      <c r="B1797" t="s">
        <v>267</v>
      </c>
      <c r="C1797" t="s">
        <v>356</v>
      </c>
      <c r="D1797" s="1">
        <v>44534</v>
      </c>
      <c r="E1797">
        <v>10</v>
      </c>
      <c r="F1797">
        <v>42.798651903304602</v>
      </c>
      <c r="G1797" s="1">
        <v>44556</v>
      </c>
      <c r="H1797" s="1">
        <v>44558</v>
      </c>
      <c r="I1797">
        <v>427.98651903304602</v>
      </c>
      <c r="J1797">
        <f t="shared" si="28"/>
        <v>2</v>
      </c>
    </row>
    <row r="1798" spans="1:10" x14ac:dyDescent="0.25">
      <c r="A1798" t="s">
        <v>2105</v>
      </c>
      <c r="B1798" t="s">
        <v>227</v>
      </c>
      <c r="C1798" t="s">
        <v>722</v>
      </c>
      <c r="D1798" s="1">
        <v>44498</v>
      </c>
      <c r="E1798">
        <v>10</v>
      </c>
      <c r="F1798">
        <v>65.876608243191001</v>
      </c>
      <c r="G1798" s="1">
        <v>44510</v>
      </c>
      <c r="H1798" s="1">
        <v>44516</v>
      </c>
      <c r="I1798">
        <v>658.76608243191004</v>
      </c>
      <c r="J1798">
        <f t="shared" si="28"/>
        <v>6</v>
      </c>
    </row>
    <row r="1799" spans="1:10" x14ac:dyDescent="0.25">
      <c r="A1799" t="s">
        <v>2106</v>
      </c>
      <c r="B1799" t="s">
        <v>427</v>
      </c>
      <c r="C1799" t="s">
        <v>214</v>
      </c>
      <c r="D1799" s="1">
        <v>44836</v>
      </c>
      <c r="E1799">
        <v>9</v>
      </c>
      <c r="F1799">
        <v>51.583279511103299</v>
      </c>
      <c r="G1799" s="1">
        <v>44858</v>
      </c>
      <c r="H1799" s="1">
        <v>44857</v>
      </c>
      <c r="I1799">
        <v>464.249515599929</v>
      </c>
      <c r="J1799">
        <f t="shared" si="28"/>
        <v>-1</v>
      </c>
    </row>
    <row r="1800" spans="1:10" x14ac:dyDescent="0.25">
      <c r="A1800" t="s">
        <v>2107</v>
      </c>
      <c r="B1800" t="s">
        <v>237</v>
      </c>
      <c r="C1800" t="s">
        <v>363</v>
      </c>
      <c r="D1800" s="1">
        <v>45025</v>
      </c>
      <c r="E1800">
        <v>14</v>
      </c>
      <c r="F1800">
        <v>61.946261993151502</v>
      </c>
      <c r="G1800" s="1">
        <v>45037</v>
      </c>
      <c r="H1800" s="1">
        <v>45042</v>
      </c>
      <c r="I1800">
        <v>867.24766790412195</v>
      </c>
      <c r="J1800">
        <f t="shared" si="28"/>
        <v>5</v>
      </c>
    </row>
    <row r="1801" spans="1:10" x14ac:dyDescent="0.25">
      <c r="A1801" t="s">
        <v>2108</v>
      </c>
      <c r="B1801" t="s">
        <v>25</v>
      </c>
      <c r="C1801" t="s">
        <v>150</v>
      </c>
      <c r="D1801" s="1">
        <v>44805</v>
      </c>
      <c r="E1801">
        <v>11</v>
      </c>
      <c r="F1801">
        <v>38.239084407445297</v>
      </c>
      <c r="G1801" s="1">
        <v>44823</v>
      </c>
      <c r="H1801" s="1">
        <v>44823</v>
      </c>
      <c r="I1801">
        <v>420.62992848189901</v>
      </c>
      <c r="J1801">
        <f t="shared" si="28"/>
        <v>0</v>
      </c>
    </row>
    <row r="1802" spans="1:10" x14ac:dyDescent="0.25">
      <c r="A1802" t="s">
        <v>2109</v>
      </c>
      <c r="B1802" t="s">
        <v>399</v>
      </c>
      <c r="C1802" t="s">
        <v>117</v>
      </c>
      <c r="D1802" s="1">
        <v>45018</v>
      </c>
      <c r="E1802">
        <v>8</v>
      </c>
      <c r="F1802">
        <v>48.113651385545602</v>
      </c>
      <c r="G1802" s="1">
        <v>45038</v>
      </c>
      <c r="H1802" s="1">
        <v>45040</v>
      </c>
      <c r="I1802">
        <v>384.90921108436402</v>
      </c>
      <c r="J1802">
        <f t="shared" si="28"/>
        <v>2</v>
      </c>
    </row>
    <row r="1803" spans="1:10" x14ac:dyDescent="0.25">
      <c r="A1803" t="s">
        <v>2110</v>
      </c>
      <c r="B1803" t="s">
        <v>99</v>
      </c>
      <c r="C1803" t="s">
        <v>56</v>
      </c>
      <c r="D1803" s="1">
        <v>44612</v>
      </c>
      <c r="E1803">
        <v>15</v>
      </c>
      <c r="F1803">
        <v>39.038272516494601</v>
      </c>
      <c r="G1803" s="1">
        <v>44633</v>
      </c>
      <c r="H1803" s="1">
        <v>44638</v>
      </c>
      <c r="I1803">
        <v>585.57408774741896</v>
      </c>
      <c r="J1803">
        <f t="shared" si="28"/>
        <v>5</v>
      </c>
    </row>
    <row r="1804" spans="1:10" x14ac:dyDescent="0.25">
      <c r="A1804" t="s">
        <v>2111</v>
      </c>
      <c r="B1804" t="s">
        <v>82</v>
      </c>
      <c r="C1804" t="s">
        <v>562</v>
      </c>
      <c r="D1804" s="1">
        <v>44582</v>
      </c>
      <c r="E1804">
        <v>10</v>
      </c>
      <c r="F1804">
        <v>25.478636824121001</v>
      </c>
      <c r="G1804" s="1">
        <v>44593</v>
      </c>
      <c r="H1804" s="1">
        <v>44599</v>
      </c>
      <c r="I1804">
        <v>254.78636824121</v>
      </c>
      <c r="J1804">
        <f t="shared" si="28"/>
        <v>6</v>
      </c>
    </row>
    <row r="1805" spans="1:10" x14ac:dyDescent="0.25">
      <c r="A1805" t="s">
        <v>2112</v>
      </c>
      <c r="B1805" t="s">
        <v>19</v>
      </c>
      <c r="C1805" t="s">
        <v>77</v>
      </c>
      <c r="D1805" s="1">
        <v>44723</v>
      </c>
      <c r="E1805">
        <v>15</v>
      </c>
      <c r="F1805">
        <v>3.9806453072743202</v>
      </c>
      <c r="G1805" s="1">
        <v>44739</v>
      </c>
      <c r="H1805" s="1">
        <v>44736</v>
      </c>
      <c r="I1805">
        <v>59.7096796091149</v>
      </c>
      <c r="J1805">
        <f t="shared" si="28"/>
        <v>-3</v>
      </c>
    </row>
    <row r="1806" spans="1:10" x14ac:dyDescent="0.25">
      <c r="A1806" t="s">
        <v>2113</v>
      </c>
      <c r="B1806" t="s">
        <v>114</v>
      </c>
      <c r="C1806" t="s">
        <v>62</v>
      </c>
      <c r="D1806" s="1">
        <v>44591</v>
      </c>
      <c r="E1806">
        <v>8</v>
      </c>
      <c r="F1806">
        <v>45.322431925801098</v>
      </c>
      <c r="G1806" s="1">
        <v>44607</v>
      </c>
      <c r="H1806" s="1">
        <v>44609</v>
      </c>
      <c r="I1806">
        <v>362.57945540640901</v>
      </c>
      <c r="J1806">
        <f t="shared" si="28"/>
        <v>2</v>
      </c>
    </row>
    <row r="1807" spans="1:10" x14ac:dyDescent="0.25">
      <c r="A1807" t="s">
        <v>2114</v>
      </c>
      <c r="B1807" t="s">
        <v>82</v>
      </c>
      <c r="C1807" t="s">
        <v>251</v>
      </c>
      <c r="D1807" s="1">
        <v>44569</v>
      </c>
      <c r="E1807">
        <v>7</v>
      </c>
      <c r="F1807">
        <v>56.712243446164997</v>
      </c>
      <c r="G1807" s="1">
        <v>44582</v>
      </c>
      <c r="H1807" s="1">
        <v>44587</v>
      </c>
      <c r="I1807">
        <v>396.98570412315502</v>
      </c>
      <c r="J1807">
        <f t="shared" si="28"/>
        <v>5</v>
      </c>
    </row>
    <row r="1808" spans="1:10" x14ac:dyDescent="0.25">
      <c r="A1808" t="s">
        <v>2115</v>
      </c>
      <c r="B1808" t="s">
        <v>109</v>
      </c>
      <c r="C1808" t="s">
        <v>201</v>
      </c>
      <c r="D1808" s="1">
        <v>45083</v>
      </c>
      <c r="E1808">
        <v>17</v>
      </c>
      <c r="F1808">
        <v>44.585680742167398</v>
      </c>
      <c r="G1808" s="1">
        <v>45098</v>
      </c>
      <c r="H1808" s="1">
        <v>45104</v>
      </c>
      <c r="I1808">
        <v>757.95657261684596</v>
      </c>
      <c r="J1808">
        <f t="shared" si="28"/>
        <v>6</v>
      </c>
    </row>
    <row r="1809" spans="1:10" x14ac:dyDescent="0.25">
      <c r="A1809" t="s">
        <v>2116</v>
      </c>
      <c r="B1809" t="s">
        <v>124</v>
      </c>
      <c r="C1809" t="s">
        <v>543</v>
      </c>
      <c r="D1809" s="1">
        <v>45353</v>
      </c>
      <c r="E1809">
        <v>14</v>
      </c>
      <c r="F1809">
        <v>56.144499657942802</v>
      </c>
      <c r="G1809" s="1">
        <v>45366</v>
      </c>
      <c r="H1809" s="1">
        <v>45366</v>
      </c>
      <c r="I1809">
        <v>786.02299521119903</v>
      </c>
      <c r="J1809">
        <f t="shared" si="28"/>
        <v>0</v>
      </c>
    </row>
    <row r="1810" spans="1:10" x14ac:dyDescent="0.25">
      <c r="A1810" t="s">
        <v>2117</v>
      </c>
      <c r="B1810" t="s">
        <v>79</v>
      </c>
      <c r="C1810" t="s">
        <v>361</v>
      </c>
      <c r="D1810" s="1">
        <v>44466</v>
      </c>
      <c r="E1810">
        <v>11</v>
      </c>
      <c r="F1810">
        <v>42.769469053709898</v>
      </c>
      <c r="G1810" s="1">
        <v>44480</v>
      </c>
      <c r="H1810" s="1">
        <v>44482</v>
      </c>
      <c r="I1810">
        <v>470.464159590809</v>
      </c>
      <c r="J1810">
        <f t="shared" si="28"/>
        <v>2</v>
      </c>
    </row>
    <row r="1811" spans="1:10" x14ac:dyDescent="0.25">
      <c r="A1811" t="s">
        <v>2118</v>
      </c>
      <c r="B1811" t="s">
        <v>216</v>
      </c>
      <c r="C1811" t="s">
        <v>125</v>
      </c>
      <c r="D1811" s="1">
        <v>45204</v>
      </c>
      <c r="E1811">
        <v>5</v>
      </c>
      <c r="F1811">
        <v>56.154229052830203</v>
      </c>
      <c r="G1811" s="1">
        <v>45220</v>
      </c>
      <c r="H1811" s="1">
        <v>45219</v>
      </c>
      <c r="I1811">
        <v>280.77114526415102</v>
      </c>
      <c r="J1811">
        <f t="shared" si="28"/>
        <v>-1</v>
      </c>
    </row>
    <row r="1812" spans="1:10" x14ac:dyDescent="0.25">
      <c r="A1812" t="s">
        <v>2119</v>
      </c>
      <c r="B1812" t="s">
        <v>256</v>
      </c>
      <c r="C1812" t="s">
        <v>353</v>
      </c>
      <c r="D1812" s="1">
        <v>44722</v>
      </c>
      <c r="E1812">
        <v>10</v>
      </c>
      <c r="F1812">
        <v>43.238874745119503</v>
      </c>
      <c r="G1812" s="1">
        <v>44733</v>
      </c>
      <c r="H1812" s="1">
        <v>44736</v>
      </c>
      <c r="I1812">
        <v>432.388747451195</v>
      </c>
      <c r="J1812">
        <f t="shared" si="28"/>
        <v>3</v>
      </c>
    </row>
    <row r="1813" spans="1:10" x14ac:dyDescent="0.25">
      <c r="A1813" t="s">
        <v>2120</v>
      </c>
      <c r="B1813" t="s">
        <v>169</v>
      </c>
      <c r="C1813" t="s">
        <v>29</v>
      </c>
      <c r="D1813" s="1">
        <v>44497</v>
      </c>
      <c r="E1813">
        <v>12</v>
      </c>
      <c r="F1813">
        <v>31.7351848428669</v>
      </c>
      <c r="G1813" s="1">
        <v>44510</v>
      </c>
      <c r="H1813" s="1">
        <v>44512</v>
      </c>
      <c r="I1813">
        <v>380.82221811440297</v>
      </c>
      <c r="J1813">
        <f t="shared" si="28"/>
        <v>2</v>
      </c>
    </row>
    <row r="1814" spans="1:10" x14ac:dyDescent="0.25">
      <c r="A1814" t="s">
        <v>2121</v>
      </c>
      <c r="B1814" t="s">
        <v>104</v>
      </c>
      <c r="C1814" t="s">
        <v>94</v>
      </c>
      <c r="D1814" s="1">
        <v>44522</v>
      </c>
      <c r="E1814">
        <v>19</v>
      </c>
      <c r="F1814">
        <v>9.1190935679567797</v>
      </c>
      <c r="G1814" s="1">
        <v>44535</v>
      </c>
      <c r="H1814" s="1">
        <v>44535</v>
      </c>
      <c r="I1814">
        <v>173.262777791178</v>
      </c>
      <c r="J1814">
        <f t="shared" si="28"/>
        <v>0</v>
      </c>
    </row>
    <row r="1815" spans="1:10" x14ac:dyDescent="0.25">
      <c r="A1815" t="s">
        <v>2122</v>
      </c>
      <c r="B1815" t="s">
        <v>216</v>
      </c>
      <c r="C1815" t="s">
        <v>428</v>
      </c>
      <c r="D1815" s="1">
        <v>44328</v>
      </c>
      <c r="E1815">
        <v>10</v>
      </c>
      <c r="F1815">
        <v>39.807179609959597</v>
      </c>
      <c r="G1815" s="1">
        <v>44341</v>
      </c>
      <c r="H1815" s="1">
        <v>44347</v>
      </c>
      <c r="I1815">
        <v>398.07179609959599</v>
      </c>
      <c r="J1815">
        <f t="shared" si="28"/>
        <v>6</v>
      </c>
    </row>
    <row r="1816" spans="1:10" x14ac:dyDescent="0.25">
      <c r="A1816" t="s">
        <v>2123</v>
      </c>
      <c r="B1816" t="s">
        <v>288</v>
      </c>
      <c r="C1816" t="s">
        <v>167</v>
      </c>
      <c r="D1816" s="1">
        <v>44312</v>
      </c>
      <c r="E1816">
        <v>8</v>
      </c>
      <c r="F1816">
        <v>60.613674447047501</v>
      </c>
      <c r="G1816" s="1">
        <v>44322</v>
      </c>
      <c r="H1816" s="1">
        <v>44328</v>
      </c>
      <c r="I1816">
        <v>484.90939557638001</v>
      </c>
      <c r="J1816">
        <f t="shared" si="28"/>
        <v>6</v>
      </c>
    </row>
    <row r="1817" spans="1:10" x14ac:dyDescent="0.25">
      <c r="A1817" t="s">
        <v>2124</v>
      </c>
      <c r="B1817" t="s">
        <v>203</v>
      </c>
      <c r="C1817" t="s">
        <v>214</v>
      </c>
      <c r="D1817" s="1">
        <v>44786</v>
      </c>
      <c r="E1817">
        <v>9</v>
      </c>
      <c r="F1817">
        <v>50.593527599369999</v>
      </c>
      <c r="G1817" s="1">
        <v>44810</v>
      </c>
      <c r="H1817" s="1">
        <v>44816</v>
      </c>
      <c r="I1817">
        <v>455.34174839433001</v>
      </c>
      <c r="J1817">
        <f t="shared" si="28"/>
        <v>6</v>
      </c>
    </row>
    <row r="1818" spans="1:10" x14ac:dyDescent="0.25">
      <c r="A1818" t="s">
        <v>2125</v>
      </c>
      <c r="B1818" t="s">
        <v>242</v>
      </c>
      <c r="C1818" t="s">
        <v>128</v>
      </c>
      <c r="D1818" s="1">
        <v>45294</v>
      </c>
      <c r="E1818">
        <v>12</v>
      </c>
      <c r="F1818">
        <v>34.446700025943201</v>
      </c>
      <c r="G1818" s="1">
        <v>45313</v>
      </c>
      <c r="H1818" s="1">
        <v>45310</v>
      </c>
      <c r="I1818">
        <v>413.36040031131802</v>
      </c>
      <c r="J1818">
        <f t="shared" si="28"/>
        <v>-3</v>
      </c>
    </row>
    <row r="1819" spans="1:10" x14ac:dyDescent="0.25">
      <c r="A1819" t="s">
        <v>2126</v>
      </c>
      <c r="B1819" t="s">
        <v>237</v>
      </c>
      <c r="C1819" t="s">
        <v>613</v>
      </c>
      <c r="D1819" s="1">
        <v>44421</v>
      </c>
      <c r="E1819">
        <v>11</v>
      </c>
      <c r="F1819">
        <v>24.9401044243399</v>
      </c>
      <c r="G1819" s="1">
        <v>44442</v>
      </c>
      <c r="H1819" s="1">
        <v>44444</v>
      </c>
      <c r="I1819">
        <v>274.34114866773899</v>
      </c>
      <c r="J1819">
        <f t="shared" si="28"/>
        <v>2</v>
      </c>
    </row>
    <row r="1820" spans="1:10" x14ac:dyDescent="0.25">
      <c r="A1820" t="s">
        <v>2127</v>
      </c>
      <c r="B1820" t="s">
        <v>564</v>
      </c>
      <c r="C1820" t="s">
        <v>600</v>
      </c>
      <c r="D1820" s="1">
        <v>44672</v>
      </c>
      <c r="E1820">
        <v>12</v>
      </c>
      <c r="F1820">
        <v>33.7474693662855</v>
      </c>
      <c r="G1820" s="1">
        <v>44691</v>
      </c>
      <c r="H1820" s="1">
        <v>44690</v>
      </c>
      <c r="I1820">
        <v>404.969632395426</v>
      </c>
      <c r="J1820">
        <f t="shared" si="28"/>
        <v>-1</v>
      </c>
    </row>
    <row r="1821" spans="1:10" x14ac:dyDescent="0.25">
      <c r="A1821" t="s">
        <v>2128</v>
      </c>
      <c r="B1821" t="s">
        <v>219</v>
      </c>
      <c r="C1821" t="s">
        <v>131</v>
      </c>
      <c r="D1821" s="1">
        <v>45234</v>
      </c>
      <c r="E1821">
        <v>16</v>
      </c>
      <c r="F1821">
        <v>14.4042695179799</v>
      </c>
      <c r="G1821" s="1">
        <v>45247</v>
      </c>
      <c r="H1821" s="1">
        <v>45249</v>
      </c>
      <c r="I1821">
        <v>230.468312287679</v>
      </c>
      <c r="J1821">
        <f t="shared" si="28"/>
        <v>2</v>
      </c>
    </row>
    <row r="1822" spans="1:10" x14ac:dyDescent="0.25">
      <c r="A1822" t="s">
        <v>2129</v>
      </c>
      <c r="B1822" t="s">
        <v>64</v>
      </c>
      <c r="C1822" t="s">
        <v>26</v>
      </c>
      <c r="D1822" s="1">
        <v>45062</v>
      </c>
      <c r="E1822">
        <v>8</v>
      </c>
      <c r="F1822">
        <v>44.7689767260458</v>
      </c>
      <c r="G1822" s="1">
        <v>45085</v>
      </c>
      <c r="H1822" s="1">
        <v>45083</v>
      </c>
      <c r="I1822">
        <v>358.151813808366</v>
      </c>
      <c r="J1822">
        <f t="shared" si="28"/>
        <v>-2</v>
      </c>
    </row>
    <row r="1823" spans="1:10" x14ac:dyDescent="0.25">
      <c r="A1823" t="s">
        <v>2130</v>
      </c>
      <c r="B1823" t="s">
        <v>240</v>
      </c>
      <c r="C1823" t="s">
        <v>128</v>
      </c>
      <c r="D1823" s="1">
        <v>44828</v>
      </c>
      <c r="E1823">
        <v>9</v>
      </c>
      <c r="F1823">
        <v>57.460478648228602</v>
      </c>
      <c r="G1823" s="1">
        <v>44850</v>
      </c>
      <c r="H1823" s="1">
        <v>44853</v>
      </c>
      <c r="I1823">
        <v>517.14430783405703</v>
      </c>
      <c r="J1823">
        <f t="shared" si="28"/>
        <v>3</v>
      </c>
    </row>
    <row r="1824" spans="1:10" x14ac:dyDescent="0.25">
      <c r="A1824" t="s">
        <v>2131</v>
      </c>
      <c r="B1824" t="s">
        <v>288</v>
      </c>
      <c r="C1824" t="s">
        <v>56</v>
      </c>
      <c r="D1824" s="1">
        <v>45067</v>
      </c>
      <c r="E1824">
        <v>19</v>
      </c>
      <c r="F1824">
        <v>8.7722135593084101</v>
      </c>
      <c r="G1824" s="1">
        <v>45091</v>
      </c>
      <c r="H1824" s="1">
        <v>45089</v>
      </c>
      <c r="I1824">
        <v>166.67205762685899</v>
      </c>
      <c r="J1824">
        <f t="shared" si="28"/>
        <v>-2</v>
      </c>
    </row>
    <row r="1825" spans="1:10" x14ac:dyDescent="0.25">
      <c r="A1825" t="s">
        <v>2132</v>
      </c>
      <c r="B1825" t="s">
        <v>58</v>
      </c>
      <c r="C1825" t="s">
        <v>94</v>
      </c>
      <c r="D1825" s="1">
        <v>44451</v>
      </c>
      <c r="E1825">
        <v>6</v>
      </c>
      <c r="F1825">
        <v>47.620295491162402</v>
      </c>
      <c r="G1825" s="1">
        <v>44463</v>
      </c>
      <c r="H1825" s="1">
        <v>44469</v>
      </c>
      <c r="I1825">
        <v>285.721772946974</v>
      </c>
      <c r="J1825">
        <f t="shared" si="28"/>
        <v>6</v>
      </c>
    </row>
    <row r="1826" spans="1:10" x14ac:dyDescent="0.25">
      <c r="A1826" t="s">
        <v>2133</v>
      </c>
      <c r="B1826" t="s">
        <v>104</v>
      </c>
      <c r="C1826" t="s">
        <v>272</v>
      </c>
      <c r="D1826" s="1">
        <v>45218</v>
      </c>
      <c r="E1826">
        <v>22</v>
      </c>
      <c r="F1826">
        <v>26.3530071330479</v>
      </c>
      <c r="G1826" s="1">
        <v>45238</v>
      </c>
      <c r="H1826" s="1">
        <v>45240</v>
      </c>
      <c r="I1826">
        <v>579.766156927054</v>
      </c>
      <c r="J1826">
        <f t="shared" si="28"/>
        <v>2</v>
      </c>
    </row>
    <row r="1827" spans="1:10" x14ac:dyDescent="0.25">
      <c r="A1827" t="s">
        <v>2134</v>
      </c>
      <c r="B1827" t="s">
        <v>207</v>
      </c>
      <c r="C1827" t="s">
        <v>97</v>
      </c>
      <c r="D1827" s="1">
        <v>44648</v>
      </c>
      <c r="E1827">
        <v>11</v>
      </c>
      <c r="F1827">
        <v>75.825384533834395</v>
      </c>
      <c r="G1827" s="1">
        <v>44665</v>
      </c>
      <c r="H1827" s="1">
        <v>44668</v>
      </c>
      <c r="I1827">
        <v>834.07922987217898</v>
      </c>
      <c r="J1827">
        <f t="shared" si="28"/>
        <v>3</v>
      </c>
    </row>
    <row r="1828" spans="1:10" x14ac:dyDescent="0.25">
      <c r="A1828" t="s">
        <v>2135</v>
      </c>
      <c r="B1828" t="s">
        <v>617</v>
      </c>
      <c r="C1828" t="s">
        <v>107</v>
      </c>
      <c r="D1828" s="1">
        <v>44536</v>
      </c>
      <c r="E1828">
        <v>15</v>
      </c>
      <c r="F1828">
        <v>5.0961058740237499</v>
      </c>
      <c r="G1828" s="1">
        <v>44552</v>
      </c>
      <c r="H1828" s="1">
        <v>44553</v>
      </c>
      <c r="I1828">
        <v>76.441588110356307</v>
      </c>
      <c r="J1828">
        <f t="shared" si="28"/>
        <v>1</v>
      </c>
    </row>
    <row r="1829" spans="1:10" x14ac:dyDescent="0.25">
      <c r="A1829" t="s">
        <v>2136</v>
      </c>
      <c r="B1829" t="s">
        <v>427</v>
      </c>
      <c r="C1829" t="s">
        <v>254</v>
      </c>
      <c r="D1829" s="1">
        <v>44766</v>
      </c>
      <c r="E1829">
        <v>6</v>
      </c>
      <c r="F1829">
        <v>47.357684350345103</v>
      </c>
      <c r="G1829" s="1">
        <v>44789</v>
      </c>
      <c r="H1829" s="1">
        <v>44795</v>
      </c>
      <c r="I1829">
        <v>284.14610610207097</v>
      </c>
      <c r="J1829">
        <f t="shared" si="28"/>
        <v>6</v>
      </c>
    </row>
    <row r="1830" spans="1:10" x14ac:dyDescent="0.25">
      <c r="A1830" t="s">
        <v>2137</v>
      </c>
      <c r="B1830" t="s">
        <v>55</v>
      </c>
      <c r="C1830" t="s">
        <v>1129</v>
      </c>
      <c r="D1830" s="1">
        <v>44648</v>
      </c>
      <c r="E1830">
        <v>8</v>
      </c>
      <c r="F1830">
        <v>55.408572833708199</v>
      </c>
      <c r="G1830" s="1">
        <v>44660</v>
      </c>
      <c r="H1830" s="1">
        <v>44662</v>
      </c>
      <c r="I1830">
        <v>443.26858266966599</v>
      </c>
      <c r="J1830">
        <f t="shared" si="28"/>
        <v>2</v>
      </c>
    </row>
    <row r="1831" spans="1:10" x14ac:dyDescent="0.25">
      <c r="A1831" t="s">
        <v>2138</v>
      </c>
      <c r="B1831" t="s">
        <v>475</v>
      </c>
      <c r="C1831" t="s">
        <v>402</v>
      </c>
      <c r="D1831" s="1">
        <v>44907</v>
      </c>
      <c r="E1831">
        <v>14</v>
      </c>
      <c r="F1831">
        <v>55.5688864428489</v>
      </c>
      <c r="G1831" s="1">
        <v>44923</v>
      </c>
      <c r="H1831" s="1">
        <v>44922</v>
      </c>
      <c r="I1831">
        <v>777.96441019988401</v>
      </c>
      <c r="J1831">
        <f t="shared" si="28"/>
        <v>-1</v>
      </c>
    </row>
    <row r="1832" spans="1:10" x14ac:dyDescent="0.25">
      <c r="A1832" t="s">
        <v>2139</v>
      </c>
      <c r="B1832" t="s">
        <v>394</v>
      </c>
      <c r="C1832" t="s">
        <v>217</v>
      </c>
      <c r="D1832" s="1">
        <v>44639</v>
      </c>
      <c r="E1832">
        <v>12</v>
      </c>
      <c r="F1832">
        <v>66.068182799693702</v>
      </c>
      <c r="G1832" s="1">
        <v>44663</v>
      </c>
      <c r="H1832" s="1">
        <v>44665</v>
      </c>
      <c r="I1832">
        <v>792.81819359632402</v>
      </c>
      <c r="J1832">
        <f t="shared" si="28"/>
        <v>2</v>
      </c>
    </row>
    <row r="1833" spans="1:10" x14ac:dyDescent="0.25">
      <c r="A1833" t="s">
        <v>2140</v>
      </c>
      <c r="B1833" t="s">
        <v>140</v>
      </c>
      <c r="C1833" t="s">
        <v>498</v>
      </c>
      <c r="D1833" s="1">
        <v>45019</v>
      </c>
      <c r="E1833">
        <v>13</v>
      </c>
      <c r="F1833">
        <v>43.458860847675403</v>
      </c>
      <c r="G1833" s="1">
        <v>45035</v>
      </c>
      <c r="H1833" s="1">
        <v>45035</v>
      </c>
      <c r="I1833">
        <v>564.96519101978004</v>
      </c>
      <c r="J1833">
        <f t="shared" si="28"/>
        <v>0</v>
      </c>
    </row>
    <row r="1834" spans="1:10" x14ac:dyDescent="0.25">
      <c r="A1834" t="s">
        <v>2141</v>
      </c>
      <c r="B1834" t="s">
        <v>143</v>
      </c>
      <c r="C1834" t="s">
        <v>224</v>
      </c>
      <c r="D1834" s="1">
        <v>44421</v>
      </c>
      <c r="E1834">
        <v>18</v>
      </c>
      <c r="F1834">
        <v>26.803773415125999</v>
      </c>
      <c r="G1834" s="1">
        <v>44441</v>
      </c>
      <c r="H1834" s="1">
        <v>44438</v>
      </c>
      <c r="I1834">
        <v>482.46792147226802</v>
      </c>
      <c r="J1834">
        <f t="shared" si="28"/>
        <v>-3</v>
      </c>
    </row>
    <row r="1835" spans="1:10" x14ac:dyDescent="0.25">
      <c r="A1835" t="s">
        <v>2142</v>
      </c>
      <c r="B1835" t="s">
        <v>114</v>
      </c>
      <c r="C1835" t="s">
        <v>62</v>
      </c>
      <c r="D1835" s="1">
        <v>45041</v>
      </c>
      <c r="E1835">
        <v>17</v>
      </c>
      <c r="F1835">
        <v>72.448981705235198</v>
      </c>
      <c r="G1835" s="1">
        <v>45060</v>
      </c>
      <c r="H1835" s="1">
        <v>45064</v>
      </c>
      <c r="I1835">
        <v>1231.6326889889899</v>
      </c>
      <c r="J1835">
        <f t="shared" si="28"/>
        <v>4</v>
      </c>
    </row>
    <row r="1836" spans="1:10" x14ac:dyDescent="0.25">
      <c r="A1836" t="s">
        <v>2143</v>
      </c>
      <c r="B1836" t="s">
        <v>174</v>
      </c>
      <c r="C1836" t="s">
        <v>328</v>
      </c>
      <c r="D1836" s="1">
        <v>45351</v>
      </c>
      <c r="E1836">
        <v>6</v>
      </c>
      <c r="F1836">
        <v>21.969179688924498</v>
      </c>
      <c r="G1836" s="1">
        <v>45368</v>
      </c>
      <c r="H1836" s="1">
        <v>45369</v>
      </c>
      <c r="I1836">
        <v>131.81507813354699</v>
      </c>
      <c r="J1836">
        <f t="shared" si="28"/>
        <v>1</v>
      </c>
    </row>
    <row r="1837" spans="1:10" x14ac:dyDescent="0.25">
      <c r="A1837" t="s">
        <v>2144</v>
      </c>
      <c r="B1837" t="s">
        <v>31</v>
      </c>
      <c r="C1837" t="s">
        <v>562</v>
      </c>
      <c r="D1837" s="1">
        <v>44363</v>
      </c>
      <c r="E1837">
        <v>18</v>
      </c>
      <c r="F1837">
        <v>46.307757662595897</v>
      </c>
      <c r="G1837" s="1">
        <v>44383</v>
      </c>
      <c r="H1837" s="1">
        <v>44388</v>
      </c>
      <c r="I1837">
        <v>833.53963792672698</v>
      </c>
      <c r="J1837">
        <f t="shared" si="28"/>
        <v>5</v>
      </c>
    </row>
    <row r="1838" spans="1:10" x14ac:dyDescent="0.25">
      <c r="A1838" t="s">
        <v>2145</v>
      </c>
      <c r="B1838" t="s">
        <v>43</v>
      </c>
      <c r="C1838" t="s">
        <v>259</v>
      </c>
      <c r="D1838" s="1">
        <v>44384</v>
      </c>
      <c r="E1838">
        <v>9</v>
      </c>
      <c r="F1838">
        <v>79.624945948941999</v>
      </c>
      <c r="G1838" s="1">
        <v>44401</v>
      </c>
      <c r="H1838" s="1">
        <v>44404</v>
      </c>
      <c r="I1838">
        <v>716.62451354047801</v>
      </c>
      <c r="J1838">
        <f t="shared" si="28"/>
        <v>3</v>
      </c>
    </row>
    <row r="1839" spans="1:10" x14ac:dyDescent="0.25">
      <c r="A1839" t="s">
        <v>2146</v>
      </c>
      <c r="B1839" t="s">
        <v>49</v>
      </c>
      <c r="C1839" t="s">
        <v>190</v>
      </c>
      <c r="D1839" s="1">
        <v>44850</v>
      </c>
      <c r="E1839">
        <v>9</v>
      </c>
      <c r="F1839">
        <v>50.832045787634399</v>
      </c>
      <c r="G1839" s="1">
        <v>44863</v>
      </c>
      <c r="H1839" s="1">
        <v>44869</v>
      </c>
      <c r="I1839">
        <v>457.48841208870903</v>
      </c>
      <c r="J1839">
        <f t="shared" si="28"/>
        <v>6</v>
      </c>
    </row>
    <row r="1840" spans="1:10" x14ac:dyDescent="0.25">
      <c r="A1840" t="s">
        <v>2147</v>
      </c>
      <c r="B1840" t="s">
        <v>28</v>
      </c>
      <c r="C1840" t="s">
        <v>279</v>
      </c>
      <c r="D1840" s="1">
        <v>45339</v>
      </c>
      <c r="E1840">
        <v>17</v>
      </c>
      <c r="F1840">
        <v>14.0483116474065</v>
      </c>
      <c r="G1840" s="1">
        <v>45361</v>
      </c>
      <c r="H1840" s="1">
        <v>45365</v>
      </c>
      <c r="I1840">
        <v>238.82129800591099</v>
      </c>
      <c r="J1840">
        <f t="shared" si="28"/>
        <v>4</v>
      </c>
    </row>
    <row r="1841" spans="1:10" x14ac:dyDescent="0.25">
      <c r="A1841" t="s">
        <v>2148</v>
      </c>
      <c r="B1841" t="s">
        <v>203</v>
      </c>
      <c r="C1841" t="s">
        <v>341</v>
      </c>
      <c r="D1841" s="1">
        <v>44940</v>
      </c>
      <c r="E1841">
        <v>8</v>
      </c>
      <c r="F1841">
        <v>60.2536423635798</v>
      </c>
      <c r="G1841" s="1">
        <v>44950</v>
      </c>
      <c r="H1841" s="1">
        <v>44947</v>
      </c>
      <c r="I1841">
        <v>482.029138908638</v>
      </c>
      <c r="J1841">
        <f t="shared" si="28"/>
        <v>-3</v>
      </c>
    </row>
    <row r="1842" spans="1:10" x14ac:dyDescent="0.25">
      <c r="A1842" t="s">
        <v>2149</v>
      </c>
      <c r="B1842" t="s">
        <v>22</v>
      </c>
      <c r="C1842" t="s">
        <v>881</v>
      </c>
      <c r="D1842" s="1">
        <v>44840</v>
      </c>
      <c r="E1842">
        <v>11</v>
      </c>
      <c r="F1842">
        <v>32.989912723896197</v>
      </c>
      <c r="G1842" s="1">
        <v>44859</v>
      </c>
      <c r="H1842" s="1">
        <v>44860</v>
      </c>
      <c r="I1842">
        <v>362.88903996285802</v>
      </c>
      <c r="J1842">
        <f t="shared" si="28"/>
        <v>1</v>
      </c>
    </row>
    <row r="1843" spans="1:10" x14ac:dyDescent="0.25">
      <c r="A1843" t="s">
        <v>2150</v>
      </c>
      <c r="B1843" t="s">
        <v>25</v>
      </c>
      <c r="C1843" t="s">
        <v>759</v>
      </c>
      <c r="D1843" s="1">
        <v>44765</v>
      </c>
      <c r="E1843">
        <v>13</v>
      </c>
      <c r="F1843">
        <v>43.625179338970398</v>
      </c>
      <c r="G1843" s="1">
        <v>44784</v>
      </c>
      <c r="H1843" s="1">
        <v>44788</v>
      </c>
      <c r="I1843">
        <v>567.12733140661499</v>
      </c>
      <c r="J1843">
        <f t="shared" si="28"/>
        <v>4</v>
      </c>
    </row>
    <row r="1844" spans="1:10" x14ac:dyDescent="0.25">
      <c r="A1844" t="s">
        <v>2151</v>
      </c>
      <c r="B1844" t="s">
        <v>475</v>
      </c>
      <c r="C1844" t="s">
        <v>50</v>
      </c>
      <c r="D1844" s="1">
        <v>45244</v>
      </c>
      <c r="E1844">
        <v>7</v>
      </c>
      <c r="F1844">
        <v>43.345836463885099</v>
      </c>
      <c r="G1844" s="1">
        <v>45266</v>
      </c>
      <c r="H1844" s="1">
        <v>45265</v>
      </c>
      <c r="I1844">
        <v>303.42085524719602</v>
      </c>
      <c r="J1844">
        <f t="shared" si="28"/>
        <v>-1</v>
      </c>
    </row>
    <row r="1845" spans="1:10" x14ac:dyDescent="0.25">
      <c r="A1845" t="s">
        <v>2152</v>
      </c>
      <c r="B1845" t="s">
        <v>198</v>
      </c>
      <c r="C1845" t="s">
        <v>47</v>
      </c>
      <c r="D1845" s="1">
        <v>44602</v>
      </c>
      <c r="E1845">
        <v>14</v>
      </c>
      <c r="F1845">
        <v>75.092437475609003</v>
      </c>
      <c r="G1845" s="1">
        <v>44618</v>
      </c>
      <c r="H1845" s="1">
        <v>44620</v>
      </c>
      <c r="I1845">
        <v>1051.2941246585201</v>
      </c>
      <c r="J1845">
        <f t="shared" si="28"/>
        <v>2</v>
      </c>
    </row>
    <row r="1846" spans="1:10" x14ac:dyDescent="0.25">
      <c r="A1846" t="s">
        <v>2153</v>
      </c>
      <c r="B1846" t="s">
        <v>22</v>
      </c>
      <c r="C1846" t="s">
        <v>559</v>
      </c>
      <c r="D1846" s="1">
        <v>44302</v>
      </c>
      <c r="E1846">
        <v>7</v>
      </c>
      <c r="F1846">
        <v>29.9186219980263</v>
      </c>
      <c r="G1846" s="1">
        <v>44312</v>
      </c>
      <c r="H1846" s="1">
        <v>44318</v>
      </c>
      <c r="I1846">
        <v>209.430353986184</v>
      </c>
      <c r="J1846">
        <f t="shared" si="28"/>
        <v>6</v>
      </c>
    </row>
    <row r="1847" spans="1:10" x14ac:dyDescent="0.25">
      <c r="A1847" t="s">
        <v>2154</v>
      </c>
      <c r="B1847" t="s">
        <v>10</v>
      </c>
      <c r="C1847" t="s">
        <v>80</v>
      </c>
      <c r="D1847" s="1">
        <v>44451</v>
      </c>
      <c r="E1847">
        <v>9</v>
      </c>
      <c r="F1847">
        <v>12.629908508578801</v>
      </c>
      <c r="G1847" s="1">
        <v>44467</v>
      </c>
      <c r="H1847" s="1">
        <v>44469</v>
      </c>
      <c r="I1847">
        <v>113.669176577209</v>
      </c>
      <c r="J1847">
        <f t="shared" si="28"/>
        <v>2</v>
      </c>
    </row>
    <row r="1848" spans="1:10" x14ac:dyDescent="0.25">
      <c r="A1848" t="s">
        <v>2155</v>
      </c>
      <c r="B1848" t="s">
        <v>70</v>
      </c>
      <c r="C1848" t="s">
        <v>722</v>
      </c>
      <c r="D1848" s="1">
        <v>44937</v>
      </c>
      <c r="E1848">
        <v>11</v>
      </c>
      <c r="F1848">
        <v>51.653600498223803</v>
      </c>
      <c r="G1848" s="1">
        <v>44959</v>
      </c>
      <c r="H1848" s="1">
        <v>44964</v>
      </c>
      <c r="I1848">
        <v>568.18960548046095</v>
      </c>
      <c r="J1848">
        <f t="shared" si="28"/>
        <v>5</v>
      </c>
    </row>
    <row r="1849" spans="1:10" x14ac:dyDescent="0.25">
      <c r="A1849" t="s">
        <v>2156</v>
      </c>
      <c r="B1849" t="s">
        <v>52</v>
      </c>
      <c r="C1849" t="s">
        <v>457</v>
      </c>
      <c r="D1849" s="1">
        <v>45288</v>
      </c>
      <c r="E1849">
        <v>15</v>
      </c>
      <c r="F1849">
        <v>4.5826622865967197</v>
      </c>
      <c r="G1849" s="1">
        <v>45306</v>
      </c>
      <c r="H1849" s="1">
        <v>45309</v>
      </c>
      <c r="I1849">
        <v>68.739934298950899</v>
      </c>
      <c r="J1849">
        <f t="shared" si="28"/>
        <v>3</v>
      </c>
    </row>
    <row r="1850" spans="1:10" x14ac:dyDescent="0.25">
      <c r="A1850" t="s">
        <v>2157</v>
      </c>
      <c r="B1850" t="s">
        <v>205</v>
      </c>
      <c r="C1850" t="s">
        <v>881</v>
      </c>
      <c r="D1850" s="1">
        <v>44822</v>
      </c>
      <c r="E1850">
        <v>6</v>
      </c>
      <c r="F1850">
        <v>46.586140230848997</v>
      </c>
      <c r="G1850" s="1">
        <v>44834</v>
      </c>
      <c r="H1850" s="1">
        <v>44839</v>
      </c>
      <c r="I1850">
        <v>279.51684138509398</v>
      </c>
      <c r="J1850">
        <f t="shared" si="28"/>
        <v>5</v>
      </c>
    </row>
    <row r="1851" spans="1:10" x14ac:dyDescent="0.25">
      <c r="A1851" t="s">
        <v>2158</v>
      </c>
      <c r="B1851" t="s">
        <v>314</v>
      </c>
      <c r="C1851" t="s">
        <v>212</v>
      </c>
      <c r="D1851" s="1">
        <v>44403</v>
      </c>
      <c r="E1851">
        <v>14</v>
      </c>
      <c r="F1851">
        <v>21.434197057558801</v>
      </c>
      <c r="G1851" s="1">
        <v>44415</v>
      </c>
      <c r="H1851" s="1">
        <v>44412</v>
      </c>
      <c r="I1851">
        <v>300.07875880582401</v>
      </c>
      <c r="J1851">
        <f t="shared" si="28"/>
        <v>-3</v>
      </c>
    </row>
    <row r="1852" spans="1:10" x14ac:dyDescent="0.25">
      <c r="A1852" t="s">
        <v>2159</v>
      </c>
      <c r="B1852" t="s">
        <v>326</v>
      </c>
      <c r="C1852" t="s">
        <v>77</v>
      </c>
      <c r="D1852" s="1">
        <v>44217</v>
      </c>
      <c r="E1852">
        <v>6</v>
      </c>
      <c r="F1852">
        <v>38.256886414782102</v>
      </c>
      <c r="G1852" s="1">
        <v>44237</v>
      </c>
      <c r="H1852" s="1">
        <v>44241</v>
      </c>
      <c r="I1852">
        <v>229.54131848869301</v>
      </c>
      <c r="J1852">
        <f t="shared" si="28"/>
        <v>4</v>
      </c>
    </row>
    <row r="1853" spans="1:10" x14ac:dyDescent="0.25">
      <c r="A1853" t="s">
        <v>2160</v>
      </c>
      <c r="B1853" t="s">
        <v>174</v>
      </c>
      <c r="C1853" t="s">
        <v>504</v>
      </c>
      <c r="D1853" s="1">
        <v>45131</v>
      </c>
      <c r="E1853">
        <v>9</v>
      </c>
      <c r="F1853">
        <v>28.0360201737127</v>
      </c>
      <c r="G1853" s="1">
        <v>45148</v>
      </c>
      <c r="H1853" s="1">
        <v>45150</v>
      </c>
      <c r="I1853">
        <v>252.32418156341399</v>
      </c>
      <c r="J1853">
        <f t="shared" si="28"/>
        <v>2</v>
      </c>
    </row>
    <row r="1854" spans="1:10" x14ac:dyDescent="0.25">
      <c r="A1854" t="s">
        <v>2161</v>
      </c>
      <c r="B1854" t="s">
        <v>31</v>
      </c>
      <c r="C1854" t="s">
        <v>304</v>
      </c>
      <c r="D1854" s="1">
        <v>44750</v>
      </c>
      <c r="E1854">
        <v>8</v>
      </c>
      <c r="F1854">
        <v>45.7583113542075</v>
      </c>
      <c r="G1854" s="1">
        <v>44760</v>
      </c>
      <c r="H1854" s="1">
        <v>44764</v>
      </c>
      <c r="I1854">
        <v>366.06649083366</v>
      </c>
      <c r="J1854">
        <f t="shared" si="28"/>
        <v>4</v>
      </c>
    </row>
    <row r="1855" spans="1:10" x14ac:dyDescent="0.25">
      <c r="A1855" t="s">
        <v>2162</v>
      </c>
      <c r="B1855" t="s">
        <v>326</v>
      </c>
      <c r="C1855" t="s">
        <v>71</v>
      </c>
      <c r="D1855" s="1">
        <v>44806</v>
      </c>
      <c r="E1855">
        <v>10</v>
      </c>
      <c r="F1855">
        <v>22.532553230259701</v>
      </c>
      <c r="G1855" s="1">
        <v>44822</v>
      </c>
      <c r="H1855" s="1">
        <v>44827</v>
      </c>
      <c r="I1855">
        <v>225.325532302597</v>
      </c>
      <c r="J1855">
        <f t="shared" si="28"/>
        <v>5</v>
      </c>
    </row>
    <row r="1856" spans="1:10" x14ac:dyDescent="0.25">
      <c r="A1856" t="s">
        <v>2163</v>
      </c>
      <c r="B1856" t="s">
        <v>207</v>
      </c>
      <c r="C1856" t="s">
        <v>795</v>
      </c>
      <c r="D1856" s="1">
        <v>44261</v>
      </c>
      <c r="E1856">
        <v>7</v>
      </c>
      <c r="F1856">
        <v>15.399207962772101</v>
      </c>
      <c r="G1856" s="1">
        <v>44283</v>
      </c>
      <c r="H1856" s="1">
        <v>44281</v>
      </c>
      <c r="I1856">
        <v>107.794455739405</v>
      </c>
      <c r="J1856">
        <f t="shared" si="28"/>
        <v>-2</v>
      </c>
    </row>
    <row r="1857" spans="1:10" x14ac:dyDescent="0.25">
      <c r="A1857" t="s">
        <v>2164</v>
      </c>
      <c r="B1857" t="s">
        <v>267</v>
      </c>
      <c r="C1857" t="s">
        <v>693</v>
      </c>
      <c r="D1857" s="1">
        <v>44734</v>
      </c>
      <c r="E1857">
        <v>8</v>
      </c>
      <c r="F1857">
        <v>28.253542435304301</v>
      </c>
      <c r="G1857" s="1">
        <v>44747</v>
      </c>
      <c r="H1857" s="1">
        <v>44747</v>
      </c>
      <c r="I1857">
        <v>226.02833948243401</v>
      </c>
      <c r="J1857">
        <f t="shared" si="28"/>
        <v>0</v>
      </c>
    </row>
    <row r="1858" spans="1:10" x14ac:dyDescent="0.25">
      <c r="A1858" t="s">
        <v>2165</v>
      </c>
      <c r="B1858" t="s">
        <v>369</v>
      </c>
      <c r="C1858" t="s">
        <v>581</v>
      </c>
      <c r="D1858" s="1">
        <v>44637</v>
      </c>
      <c r="E1858">
        <v>9</v>
      </c>
      <c r="F1858">
        <v>42.448423716224397</v>
      </c>
      <c r="G1858" s="1">
        <v>44658</v>
      </c>
      <c r="H1858" s="1">
        <v>44660</v>
      </c>
      <c r="I1858">
        <v>382.03581344601997</v>
      </c>
      <c r="J1858">
        <f t="shared" si="28"/>
        <v>2</v>
      </c>
    </row>
    <row r="1859" spans="1:10" x14ac:dyDescent="0.25">
      <c r="A1859" t="s">
        <v>2166</v>
      </c>
      <c r="B1859" t="s">
        <v>43</v>
      </c>
      <c r="C1859" t="s">
        <v>1362</v>
      </c>
      <c r="D1859" s="1">
        <v>44356</v>
      </c>
      <c r="E1859">
        <v>13</v>
      </c>
      <c r="F1859">
        <v>36.097081048826098</v>
      </c>
      <c r="G1859" s="1">
        <v>44370</v>
      </c>
      <c r="H1859" s="1">
        <v>44375</v>
      </c>
      <c r="I1859">
        <v>469.262053634739</v>
      </c>
      <c r="J1859">
        <f t="shared" ref="J1859:J1922" si="29">H1859-G1859</f>
        <v>5</v>
      </c>
    </row>
    <row r="1860" spans="1:10" x14ac:dyDescent="0.25">
      <c r="A1860" t="s">
        <v>2167</v>
      </c>
      <c r="B1860" t="s">
        <v>240</v>
      </c>
      <c r="C1860" t="s">
        <v>613</v>
      </c>
      <c r="D1860" s="1">
        <v>44950</v>
      </c>
      <c r="E1860">
        <v>17</v>
      </c>
      <c r="F1860">
        <v>78.207360590007795</v>
      </c>
      <c r="G1860" s="1">
        <v>44967</v>
      </c>
      <c r="H1860" s="1">
        <v>44972</v>
      </c>
      <c r="I1860">
        <v>1329.52513003013</v>
      </c>
      <c r="J1860">
        <f t="shared" si="29"/>
        <v>5</v>
      </c>
    </row>
    <row r="1861" spans="1:10" x14ac:dyDescent="0.25">
      <c r="A1861" t="s">
        <v>2168</v>
      </c>
      <c r="B1861" t="s">
        <v>485</v>
      </c>
      <c r="C1861" t="s">
        <v>112</v>
      </c>
      <c r="D1861" s="1">
        <v>45234</v>
      </c>
      <c r="E1861">
        <v>7</v>
      </c>
      <c r="F1861">
        <v>34.530484252113197</v>
      </c>
      <c r="G1861" s="1">
        <v>45255</v>
      </c>
      <c r="H1861" s="1">
        <v>45261</v>
      </c>
      <c r="I1861">
        <v>241.713389764792</v>
      </c>
      <c r="J1861">
        <f t="shared" si="29"/>
        <v>6</v>
      </c>
    </row>
    <row r="1862" spans="1:10" x14ac:dyDescent="0.25">
      <c r="A1862" t="s">
        <v>2169</v>
      </c>
      <c r="B1862" t="s">
        <v>49</v>
      </c>
      <c r="C1862" t="s">
        <v>41</v>
      </c>
      <c r="D1862" s="1">
        <v>44618</v>
      </c>
      <c r="E1862">
        <v>10</v>
      </c>
      <c r="F1862">
        <v>77.384083323894899</v>
      </c>
      <c r="G1862" s="1">
        <v>44631</v>
      </c>
      <c r="H1862" s="1">
        <v>44636</v>
      </c>
      <c r="I1862">
        <v>773.84083323894902</v>
      </c>
      <c r="J1862">
        <f t="shared" si="29"/>
        <v>5</v>
      </c>
    </row>
    <row r="1863" spans="1:10" x14ac:dyDescent="0.25">
      <c r="A1863" t="s">
        <v>2170</v>
      </c>
      <c r="B1863" t="s">
        <v>49</v>
      </c>
      <c r="C1863" t="s">
        <v>383</v>
      </c>
      <c r="D1863" s="1">
        <v>44617</v>
      </c>
      <c r="E1863">
        <v>20</v>
      </c>
      <c r="F1863">
        <v>4.4486858210654399</v>
      </c>
      <c r="G1863" s="1">
        <v>44636</v>
      </c>
      <c r="H1863" s="1">
        <v>44635</v>
      </c>
      <c r="I1863">
        <v>88.973716421308794</v>
      </c>
      <c r="J1863">
        <f t="shared" si="29"/>
        <v>-1</v>
      </c>
    </row>
    <row r="1864" spans="1:10" x14ac:dyDescent="0.25">
      <c r="A1864" t="s">
        <v>2171</v>
      </c>
      <c r="B1864" t="s">
        <v>140</v>
      </c>
      <c r="C1864" t="s">
        <v>703</v>
      </c>
      <c r="D1864" s="1">
        <v>44915</v>
      </c>
      <c r="E1864">
        <v>12</v>
      </c>
      <c r="F1864">
        <v>51.8437459015123</v>
      </c>
      <c r="G1864" s="1">
        <v>44931</v>
      </c>
      <c r="H1864" s="1">
        <v>44929</v>
      </c>
      <c r="I1864">
        <v>622.12495081814802</v>
      </c>
      <c r="J1864">
        <f t="shared" si="29"/>
        <v>-2</v>
      </c>
    </row>
    <row r="1865" spans="1:10" x14ac:dyDescent="0.25">
      <c r="A1865" t="s">
        <v>2172</v>
      </c>
      <c r="B1865" t="s">
        <v>67</v>
      </c>
      <c r="C1865" t="s">
        <v>402</v>
      </c>
      <c r="D1865" s="1">
        <v>44466</v>
      </c>
      <c r="E1865">
        <v>12</v>
      </c>
      <c r="F1865">
        <v>27.782634942245899</v>
      </c>
      <c r="G1865" s="1">
        <v>44487</v>
      </c>
      <c r="H1865" s="1">
        <v>44489</v>
      </c>
      <c r="I1865">
        <v>333.39161930695099</v>
      </c>
      <c r="J1865">
        <f t="shared" si="29"/>
        <v>2</v>
      </c>
    </row>
    <row r="1866" spans="1:10" x14ac:dyDescent="0.25">
      <c r="A1866" t="s">
        <v>2173</v>
      </c>
      <c r="B1866" t="s">
        <v>411</v>
      </c>
      <c r="C1866" t="s">
        <v>881</v>
      </c>
      <c r="D1866" s="1">
        <v>44795</v>
      </c>
      <c r="E1866">
        <v>10</v>
      </c>
      <c r="F1866">
        <v>31.894580184908801</v>
      </c>
      <c r="G1866" s="1">
        <v>44819</v>
      </c>
      <c r="H1866" s="1">
        <v>44816</v>
      </c>
      <c r="I1866">
        <v>318.94580184908801</v>
      </c>
      <c r="J1866">
        <f t="shared" si="29"/>
        <v>-3</v>
      </c>
    </row>
    <row r="1867" spans="1:10" x14ac:dyDescent="0.25">
      <c r="A1867" t="s">
        <v>2174</v>
      </c>
      <c r="B1867" t="s">
        <v>96</v>
      </c>
      <c r="C1867" t="s">
        <v>727</v>
      </c>
      <c r="D1867" s="1">
        <v>45236</v>
      </c>
      <c r="E1867">
        <v>7</v>
      </c>
      <c r="F1867">
        <v>33.642913915268799</v>
      </c>
      <c r="G1867" s="1">
        <v>45256</v>
      </c>
      <c r="H1867" s="1">
        <v>45262</v>
      </c>
      <c r="I1867">
        <v>235.50039740688101</v>
      </c>
      <c r="J1867">
        <f t="shared" si="29"/>
        <v>6</v>
      </c>
    </row>
    <row r="1868" spans="1:10" x14ac:dyDescent="0.25">
      <c r="A1868" t="s">
        <v>2175</v>
      </c>
      <c r="B1868" t="s">
        <v>31</v>
      </c>
      <c r="C1868" t="s">
        <v>587</v>
      </c>
      <c r="D1868" s="1">
        <v>45154</v>
      </c>
      <c r="E1868">
        <v>9</v>
      </c>
      <c r="F1868">
        <v>41.693338840671302</v>
      </c>
      <c r="G1868" s="1">
        <v>45178</v>
      </c>
      <c r="H1868" s="1">
        <v>45182</v>
      </c>
      <c r="I1868">
        <v>375.24004956604199</v>
      </c>
      <c r="J1868">
        <f t="shared" si="29"/>
        <v>4</v>
      </c>
    </row>
    <row r="1869" spans="1:10" x14ac:dyDescent="0.25">
      <c r="A1869" t="s">
        <v>2176</v>
      </c>
      <c r="B1869" t="s">
        <v>91</v>
      </c>
      <c r="C1869" t="s">
        <v>581</v>
      </c>
      <c r="D1869" s="1">
        <v>45267</v>
      </c>
      <c r="E1869">
        <v>8</v>
      </c>
      <c r="F1869">
        <v>59.059426980403998</v>
      </c>
      <c r="G1869" s="1">
        <v>45291</v>
      </c>
      <c r="H1869" s="1">
        <v>45295</v>
      </c>
      <c r="I1869">
        <v>472.47541584323199</v>
      </c>
      <c r="J1869">
        <f t="shared" si="29"/>
        <v>4</v>
      </c>
    </row>
    <row r="1870" spans="1:10" x14ac:dyDescent="0.25">
      <c r="A1870" t="s">
        <v>2177</v>
      </c>
      <c r="B1870" t="s">
        <v>76</v>
      </c>
      <c r="C1870" t="s">
        <v>165</v>
      </c>
      <c r="D1870" s="1">
        <v>44301</v>
      </c>
      <c r="E1870">
        <v>12</v>
      </c>
      <c r="F1870">
        <v>42.757640765940998</v>
      </c>
      <c r="G1870" s="1">
        <v>44323</v>
      </c>
      <c r="H1870" s="1">
        <v>44327</v>
      </c>
      <c r="I1870">
        <v>513.09168919129195</v>
      </c>
      <c r="J1870">
        <f t="shared" si="29"/>
        <v>4</v>
      </c>
    </row>
    <row r="1871" spans="1:10" x14ac:dyDescent="0.25">
      <c r="A1871" t="s">
        <v>2178</v>
      </c>
      <c r="B1871" t="s">
        <v>76</v>
      </c>
      <c r="C1871" t="s">
        <v>765</v>
      </c>
      <c r="D1871" s="1">
        <v>44245</v>
      </c>
      <c r="E1871">
        <v>11</v>
      </c>
      <c r="F1871">
        <v>16.106204694554201</v>
      </c>
      <c r="G1871" s="1">
        <v>44268</v>
      </c>
      <c r="H1871" s="1">
        <v>44271</v>
      </c>
      <c r="I1871">
        <v>177.168251640096</v>
      </c>
      <c r="J1871">
        <f t="shared" si="29"/>
        <v>3</v>
      </c>
    </row>
    <row r="1872" spans="1:10" x14ac:dyDescent="0.25">
      <c r="A1872" t="s">
        <v>2179</v>
      </c>
      <c r="B1872" t="s">
        <v>242</v>
      </c>
      <c r="C1872" t="s">
        <v>990</v>
      </c>
      <c r="D1872" s="1">
        <v>45091</v>
      </c>
      <c r="E1872">
        <v>9</v>
      </c>
      <c r="F1872">
        <v>55.652453007738302</v>
      </c>
      <c r="G1872" s="1">
        <v>45111</v>
      </c>
      <c r="H1872" s="1">
        <v>45109</v>
      </c>
      <c r="I1872">
        <v>500.87207706964398</v>
      </c>
      <c r="J1872">
        <f t="shared" si="29"/>
        <v>-2</v>
      </c>
    </row>
    <row r="1873" spans="1:10" x14ac:dyDescent="0.25">
      <c r="A1873" t="s">
        <v>2180</v>
      </c>
      <c r="B1873" t="s">
        <v>13</v>
      </c>
      <c r="C1873" t="s">
        <v>346</v>
      </c>
      <c r="D1873" s="1">
        <v>44993</v>
      </c>
      <c r="E1873">
        <v>9</v>
      </c>
      <c r="F1873">
        <v>34.579809504097597</v>
      </c>
      <c r="G1873" s="1">
        <v>45017</v>
      </c>
      <c r="H1873" s="1">
        <v>45023</v>
      </c>
      <c r="I1873">
        <v>311.218285536878</v>
      </c>
      <c r="J1873">
        <f t="shared" si="29"/>
        <v>6</v>
      </c>
    </row>
    <row r="1874" spans="1:10" x14ac:dyDescent="0.25">
      <c r="A1874" t="s">
        <v>2181</v>
      </c>
      <c r="B1874" t="s">
        <v>219</v>
      </c>
      <c r="C1874" t="s">
        <v>180</v>
      </c>
      <c r="D1874" s="1">
        <v>45006</v>
      </c>
      <c r="E1874">
        <v>7</v>
      </c>
      <c r="F1874">
        <v>31.7370581887943</v>
      </c>
      <c r="G1874" s="1">
        <v>45016</v>
      </c>
      <c r="H1874" s="1">
        <v>45015</v>
      </c>
      <c r="I1874">
        <v>222.15940732156</v>
      </c>
      <c r="J1874">
        <f t="shared" si="29"/>
        <v>-1</v>
      </c>
    </row>
    <row r="1875" spans="1:10" x14ac:dyDescent="0.25">
      <c r="A1875" t="s">
        <v>2182</v>
      </c>
      <c r="B1875" t="s">
        <v>58</v>
      </c>
      <c r="C1875" t="s">
        <v>1176</v>
      </c>
      <c r="D1875" s="1">
        <v>45081</v>
      </c>
      <c r="E1875">
        <v>15</v>
      </c>
      <c r="F1875">
        <v>5.8239655818174398</v>
      </c>
      <c r="G1875" s="1">
        <v>45091</v>
      </c>
      <c r="H1875" s="1">
        <v>45097</v>
      </c>
      <c r="I1875">
        <v>87.359483727261605</v>
      </c>
      <c r="J1875">
        <f t="shared" si="29"/>
        <v>6</v>
      </c>
    </row>
    <row r="1876" spans="1:10" x14ac:dyDescent="0.25">
      <c r="A1876" t="s">
        <v>2183</v>
      </c>
      <c r="B1876" t="s">
        <v>617</v>
      </c>
      <c r="C1876" t="s">
        <v>290</v>
      </c>
      <c r="D1876" s="1">
        <v>44585</v>
      </c>
      <c r="E1876">
        <v>12</v>
      </c>
      <c r="F1876">
        <v>10.2330193330877</v>
      </c>
      <c r="G1876" s="1">
        <v>44606</v>
      </c>
      <c r="H1876" s="1">
        <v>44603</v>
      </c>
      <c r="I1876">
        <v>122.796231997053</v>
      </c>
      <c r="J1876">
        <f t="shared" si="29"/>
        <v>-3</v>
      </c>
    </row>
    <row r="1877" spans="1:10" x14ac:dyDescent="0.25">
      <c r="A1877" t="s">
        <v>2184</v>
      </c>
      <c r="B1877" t="s">
        <v>40</v>
      </c>
      <c r="C1877" t="s">
        <v>972</v>
      </c>
      <c r="D1877" s="1">
        <v>44640</v>
      </c>
      <c r="E1877">
        <v>12</v>
      </c>
      <c r="F1877">
        <v>25.260433328314502</v>
      </c>
      <c r="G1877" s="1">
        <v>44661</v>
      </c>
      <c r="H1877" s="1">
        <v>44666</v>
      </c>
      <c r="I1877">
        <v>303.12519993977401</v>
      </c>
      <c r="J1877">
        <f t="shared" si="29"/>
        <v>5</v>
      </c>
    </row>
    <row r="1878" spans="1:10" x14ac:dyDescent="0.25">
      <c r="A1878" t="s">
        <v>2185</v>
      </c>
      <c r="B1878" t="s">
        <v>261</v>
      </c>
      <c r="C1878" t="s">
        <v>1176</v>
      </c>
      <c r="D1878" s="1">
        <v>44286</v>
      </c>
      <c r="E1878">
        <v>8</v>
      </c>
      <c r="F1878">
        <v>22.799821609149902</v>
      </c>
      <c r="G1878" s="1">
        <v>44302</v>
      </c>
      <c r="H1878" s="1">
        <v>44299</v>
      </c>
      <c r="I1878">
        <v>182.39857287319899</v>
      </c>
      <c r="J1878">
        <f t="shared" si="29"/>
        <v>-3</v>
      </c>
    </row>
    <row r="1879" spans="1:10" x14ac:dyDescent="0.25">
      <c r="A1879" t="s">
        <v>2186</v>
      </c>
      <c r="B1879" t="s">
        <v>127</v>
      </c>
      <c r="C1879" t="s">
        <v>47</v>
      </c>
      <c r="D1879" s="1">
        <v>44967</v>
      </c>
      <c r="E1879">
        <v>12</v>
      </c>
      <c r="F1879">
        <v>15.8873799205565</v>
      </c>
      <c r="G1879" s="1">
        <v>44988</v>
      </c>
      <c r="H1879" s="1">
        <v>44988</v>
      </c>
      <c r="I1879">
        <v>190.648559046679</v>
      </c>
      <c r="J1879">
        <f t="shared" si="29"/>
        <v>0</v>
      </c>
    </row>
    <row r="1880" spans="1:10" x14ac:dyDescent="0.25">
      <c r="A1880" t="s">
        <v>2187</v>
      </c>
      <c r="B1880" t="s">
        <v>472</v>
      </c>
      <c r="C1880" t="s">
        <v>138</v>
      </c>
      <c r="D1880" s="1">
        <v>44446</v>
      </c>
      <c r="E1880">
        <v>13</v>
      </c>
      <c r="F1880">
        <v>70.161797899245499</v>
      </c>
      <c r="G1880" s="1">
        <v>44457</v>
      </c>
      <c r="H1880" s="1">
        <v>44463</v>
      </c>
      <c r="I1880">
        <v>912.10337269019203</v>
      </c>
      <c r="J1880">
        <f t="shared" si="29"/>
        <v>6</v>
      </c>
    </row>
    <row r="1881" spans="1:10" x14ac:dyDescent="0.25">
      <c r="A1881" t="s">
        <v>2188</v>
      </c>
      <c r="B1881" t="s">
        <v>124</v>
      </c>
      <c r="C1881" t="s">
        <v>446</v>
      </c>
      <c r="D1881" s="1">
        <v>45185</v>
      </c>
      <c r="E1881">
        <v>10</v>
      </c>
      <c r="F1881">
        <v>7.7355297421105798</v>
      </c>
      <c r="G1881" s="1">
        <v>45200</v>
      </c>
      <c r="H1881" s="1">
        <v>45197</v>
      </c>
      <c r="I1881">
        <v>77.355297421105803</v>
      </c>
      <c r="J1881">
        <f t="shared" si="29"/>
        <v>-3</v>
      </c>
    </row>
    <row r="1882" spans="1:10" x14ac:dyDescent="0.25">
      <c r="A1882" t="s">
        <v>2189</v>
      </c>
      <c r="B1882" t="s">
        <v>379</v>
      </c>
      <c r="C1882" t="s">
        <v>748</v>
      </c>
      <c r="D1882" s="1">
        <v>45063</v>
      </c>
      <c r="E1882">
        <v>10</v>
      </c>
      <c r="F1882">
        <v>76.273278533812004</v>
      </c>
      <c r="G1882" s="1">
        <v>45087</v>
      </c>
      <c r="H1882" s="1">
        <v>45091</v>
      </c>
      <c r="I1882">
        <v>762.73278533812095</v>
      </c>
      <c r="J1882">
        <f t="shared" si="29"/>
        <v>4</v>
      </c>
    </row>
    <row r="1883" spans="1:10" x14ac:dyDescent="0.25">
      <c r="A1883" t="s">
        <v>2190</v>
      </c>
      <c r="B1883" t="s">
        <v>28</v>
      </c>
      <c r="C1883" t="s">
        <v>44</v>
      </c>
      <c r="D1883" s="1">
        <v>44338</v>
      </c>
      <c r="E1883">
        <v>10</v>
      </c>
      <c r="F1883">
        <v>50.543093249102498</v>
      </c>
      <c r="G1883" s="1">
        <v>44360</v>
      </c>
      <c r="H1883" s="1">
        <v>44362</v>
      </c>
      <c r="I1883">
        <v>505.43093249102498</v>
      </c>
      <c r="J1883">
        <f t="shared" si="29"/>
        <v>2</v>
      </c>
    </row>
    <row r="1884" spans="1:10" x14ac:dyDescent="0.25">
      <c r="A1884" t="s">
        <v>2191</v>
      </c>
      <c r="B1884" t="s">
        <v>205</v>
      </c>
      <c r="C1884" t="s">
        <v>71</v>
      </c>
      <c r="D1884" s="1">
        <v>44683</v>
      </c>
      <c r="E1884">
        <v>11</v>
      </c>
      <c r="F1884">
        <v>26.4629706553511</v>
      </c>
      <c r="G1884" s="1">
        <v>44705</v>
      </c>
      <c r="H1884" s="1">
        <v>44707</v>
      </c>
      <c r="I1884">
        <v>291.09267720886203</v>
      </c>
      <c r="J1884">
        <f t="shared" si="29"/>
        <v>2</v>
      </c>
    </row>
    <row r="1885" spans="1:10" x14ac:dyDescent="0.25">
      <c r="A1885" t="s">
        <v>2192</v>
      </c>
      <c r="B1885" t="s">
        <v>43</v>
      </c>
      <c r="C1885" t="s">
        <v>83</v>
      </c>
      <c r="D1885" s="1">
        <v>45007</v>
      </c>
      <c r="E1885">
        <v>12</v>
      </c>
      <c r="F1885">
        <v>46.030019232378002</v>
      </c>
      <c r="G1885" s="1">
        <v>45026</v>
      </c>
      <c r="H1885" s="1">
        <v>45031</v>
      </c>
      <c r="I1885">
        <v>552.360230788536</v>
      </c>
      <c r="J1885">
        <f t="shared" si="29"/>
        <v>5</v>
      </c>
    </row>
    <row r="1886" spans="1:10" x14ac:dyDescent="0.25">
      <c r="A1886" t="s">
        <v>2193</v>
      </c>
      <c r="B1886" t="s">
        <v>179</v>
      </c>
      <c r="C1886" t="s">
        <v>473</v>
      </c>
      <c r="D1886" s="1">
        <v>45002</v>
      </c>
      <c r="E1886">
        <v>9</v>
      </c>
      <c r="F1886">
        <v>61.970429224281503</v>
      </c>
      <c r="G1886" s="1">
        <v>45020</v>
      </c>
      <c r="H1886" s="1">
        <v>45024</v>
      </c>
      <c r="I1886">
        <v>557.73386301853304</v>
      </c>
      <c r="J1886">
        <f t="shared" si="29"/>
        <v>4</v>
      </c>
    </row>
    <row r="1887" spans="1:10" x14ac:dyDescent="0.25">
      <c r="A1887" t="s">
        <v>2194</v>
      </c>
      <c r="B1887" t="s">
        <v>427</v>
      </c>
      <c r="C1887" t="s">
        <v>391</v>
      </c>
      <c r="D1887" s="1">
        <v>44302</v>
      </c>
      <c r="E1887">
        <v>15</v>
      </c>
      <c r="F1887">
        <v>18.554917330005502</v>
      </c>
      <c r="G1887" s="1">
        <v>44312</v>
      </c>
      <c r="H1887" s="1">
        <v>44310</v>
      </c>
      <c r="I1887">
        <v>278.323759950083</v>
      </c>
      <c r="J1887">
        <f t="shared" si="29"/>
        <v>-2</v>
      </c>
    </row>
    <row r="1888" spans="1:10" x14ac:dyDescent="0.25">
      <c r="A1888" t="s">
        <v>2195</v>
      </c>
      <c r="B1888" t="s">
        <v>49</v>
      </c>
      <c r="C1888" t="s">
        <v>356</v>
      </c>
      <c r="D1888" s="1">
        <v>45289</v>
      </c>
      <c r="E1888">
        <v>14</v>
      </c>
      <c r="F1888">
        <v>49.322004195072303</v>
      </c>
      <c r="G1888" s="1">
        <v>45300</v>
      </c>
      <c r="H1888" s="1">
        <v>45298</v>
      </c>
      <c r="I1888">
        <v>690.50805873101297</v>
      </c>
      <c r="J1888">
        <f t="shared" si="29"/>
        <v>-2</v>
      </c>
    </row>
    <row r="1889" spans="1:10" x14ac:dyDescent="0.25">
      <c r="A1889" t="s">
        <v>2196</v>
      </c>
      <c r="B1889" t="s">
        <v>578</v>
      </c>
      <c r="C1889" t="s">
        <v>1051</v>
      </c>
      <c r="D1889" s="1">
        <v>45253</v>
      </c>
      <c r="E1889">
        <v>11</v>
      </c>
      <c r="F1889">
        <v>72.830334595622205</v>
      </c>
      <c r="G1889" s="1">
        <v>45265</v>
      </c>
      <c r="H1889" s="1">
        <v>45265</v>
      </c>
      <c r="I1889">
        <v>801.13368055184401</v>
      </c>
      <c r="J1889">
        <f t="shared" si="29"/>
        <v>0</v>
      </c>
    </row>
    <row r="1890" spans="1:10" x14ac:dyDescent="0.25">
      <c r="A1890" t="s">
        <v>2197</v>
      </c>
      <c r="B1890" t="s">
        <v>485</v>
      </c>
      <c r="C1890" t="s">
        <v>689</v>
      </c>
      <c r="D1890" s="1">
        <v>44930</v>
      </c>
      <c r="E1890">
        <v>6</v>
      </c>
      <c r="F1890">
        <v>18.9240599233088</v>
      </c>
      <c r="G1890" s="1">
        <v>44949</v>
      </c>
      <c r="H1890" s="1">
        <v>44955</v>
      </c>
      <c r="I1890">
        <v>113.54435953985301</v>
      </c>
      <c r="J1890">
        <f t="shared" si="29"/>
        <v>6</v>
      </c>
    </row>
    <row r="1891" spans="1:10" x14ac:dyDescent="0.25">
      <c r="A1891" t="s">
        <v>2198</v>
      </c>
      <c r="B1891" t="s">
        <v>143</v>
      </c>
      <c r="C1891" t="s">
        <v>170</v>
      </c>
      <c r="D1891" s="1">
        <v>44202</v>
      </c>
      <c r="E1891">
        <v>9</v>
      </c>
      <c r="F1891">
        <v>32.050166620899802</v>
      </c>
      <c r="G1891" s="1">
        <v>44226</v>
      </c>
      <c r="H1891" s="1">
        <v>44225</v>
      </c>
      <c r="I1891">
        <v>288.45149958809799</v>
      </c>
      <c r="J1891">
        <f t="shared" si="29"/>
        <v>-1</v>
      </c>
    </row>
    <row r="1892" spans="1:10" x14ac:dyDescent="0.25">
      <c r="A1892" t="s">
        <v>2199</v>
      </c>
      <c r="B1892" t="s">
        <v>157</v>
      </c>
      <c r="C1892" t="s">
        <v>408</v>
      </c>
      <c r="D1892" s="1">
        <v>44661</v>
      </c>
      <c r="E1892">
        <v>7</v>
      </c>
      <c r="F1892">
        <v>67.025267705972496</v>
      </c>
      <c r="G1892" s="1">
        <v>44684</v>
      </c>
      <c r="H1892" s="1">
        <v>44688</v>
      </c>
      <c r="I1892">
        <v>469.176873941807</v>
      </c>
      <c r="J1892">
        <f t="shared" si="29"/>
        <v>4</v>
      </c>
    </row>
    <row r="1893" spans="1:10" x14ac:dyDescent="0.25">
      <c r="A1893" t="s">
        <v>2200</v>
      </c>
      <c r="B1893" t="s">
        <v>79</v>
      </c>
      <c r="C1893" t="s">
        <v>727</v>
      </c>
      <c r="D1893" s="1">
        <v>45061</v>
      </c>
      <c r="E1893">
        <v>15</v>
      </c>
      <c r="F1893">
        <v>5.6696231676083597</v>
      </c>
      <c r="G1893" s="1">
        <v>45082</v>
      </c>
      <c r="H1893" s="1">
        <v>45079</v>
      </c>
      <c r="I1893">
        <v>85.044347514125405</v>
      </c>
      <c r="J1893">
        <f t="shared" si="29"/>
        <v>-3</v>
      </c>
    </row>
    <row r="1894" spans="1:10" x14ac:dyDescent="0.25">
      <c r="A1894" t="s">
        <v>2201</v>
      </c>
      <c r="B1894" t="s">
        <v>295</v>
      </c>
      <c r="C1894" t="s">
        <v>152</v>
      </c>
      <c r="D1894" s="1">
        <v>44794</v>
      </c>
      <c r="E1894">
        <v>14</v>
      </c>
      <c r="F1894">
        <v>3.36731576206973</v>
      </c>
      <c r="G1894" s="1">
        <v>44810</v>
      </c>
      <c r="H1894" s="1">
        <v>44811</v>
      </c>
      <c r="I1894">
        <v>47.1424206689762</v>
      </c>
      <c r="J1894">
        <f t="shared" si="29"/>
        <v>1</v>
      </c>
    </row>
    <row r="1895" spans="1:10" x14ac:dyDescent="0.25">
      <c r="A1895" t="s">
        <v>2202</v>
      </c>
      <c r="B1895" t="s">
        <v>247</v>
      </c>
      <c r="C1895" t="s">
        <v>68</v>
      </c>
      <c r="D1895" s="1">
        <v>44591</v>
      </c>
      <c r="E1895">
        <v>11</v>
      </c>
      <c r="F1895">
        <v>65.689204167994404</v>
      </c>
      <c r="G1895" s="1">
        <v>44609</v>
      </c>
      <c r="H1895" s="1">
        <v>44608</v>
      </c>
      <c r="I1895">
        <v>722.58124584793904</v>
      </c>
      <c r="J1895">
        <f t="shared" si="29"/>
        <v>-1</v>
      </c>
    </row>
    <row r="1896" spans="1:10" x14ac:dyDescent="0.25">
      <c r="A1896" t="s">
        <v>2203</v>
      </c>
      <c r="B1896" t="s">
        <v>321</v>
      </c>
      <c r="C1896" t="s">
        <v>274</v>
      </c>
      <c r="D1896" s="1">
        <v>45082</v>
      </c>
      <c r="E1896">
        <v>10</v>
      </c>
      <c r="F1896">
        <v>35.926141966183202</v>
      </c>
      <c r="G1896" s="1">
        <v>45106</v>
      </c>
      <c r="H1896" s="1">
        <v>45109</v>
      </c>
      <c r="I1896">
        <v>359.26141966183201</v>
      </c>
      <c r="J1896">
        <f t="shared" si="29"/>
        <v>3</v>
      </c>
    </row>
    <row r="1897" spans="1:10" x14ac:dyDescent="0.25">
      <c r="A1897" t="s">
        <v>2204</v>
      </c>
      <c r="B1897" t="s">
        <v>52</v>
      </c>
      <c r="C1897" t="s">
        <v>220</v>
      </c>
      <c r="D1897" s="1">
        <v>45020</v>
      </c>
      <c r="E1897">
        <v>13</v>
      </c>
      <c r="F1897">
        <v>71.715145833177502</v>
      </c>
      <c r="G1897" s="1">
        <v>45043</v>
      </c>
      <c r="H1897" s="1">
        <v>45044</v>
      </c>
      <c r="I1897">
        <v>932.29689583130698</v>
      </c>
      <c r="J1897">
        <f t="shared" si="29"/>
        <v>1</v>
      </c>
    </row>
    <row r="1898" spans="1:10" x14ac:dyDescent="0.25">
      <c r="A1898" t="s">
        <v>2205</v>
      </c>
      <c r="B1898" t="s">
        <v>46</v>
      </c>
      <c r="C1898" t="s">
        <v>59</v>
      </c>
      <c r="D1898" s="1">
        <v>44679</v>
      </c>
      <c r="E1898">
        <v>17</v>
      </c>
      <c r="F1898">
        <v>59.697308272258702</v>
      </c>
      <c r="G1898" s="1">
        <v>44691</v>
      </c>
      <c r="H1898" s="1">
        <v>44689</v>
      </c>
      <c r="I1898">
        <v>1014.85424062839</v>
      </c>
      <c r="J1898">
        <f t="shared" si="29"/>
        <v>-2</v>
      </c>
    </row>
    <row r="1899" spans="1:10" x14ac:dyDescent="0.25">
      <c r="A1899" t="s">
        <v>2206</v>
      </c>
      <c r="B1899" t="s">
        <v>326</v>
      </c>
      <c r="C1899" t="s">
        <v>80</v>
      </c>
      <c r="D1899" s="1">
        <v>44793</v>
      </c>
      <c r="E1899">
        <v>10</v>
      </c>
      <c r="F1899">
        <v>8.7603748913863804</v>
      </c>
      <c r="G1899" s="1">
        <v>44803</v>
      </c>
      <c r="H1899" s="1">
        <v>44803</v>
      </c>
      <c r="I1899">
        <v>87.603748913863797</v>
      </c>
      <c r="J1899">
        <f t="shared" si="29"/>
        <v>0</v>
      </c>
    </row>
    <row r="1900" spans="1:10" x14ac:dyDescent="0.25">
      <c r="A1900" t="s">
        <v>2207</v>
      </c>
      <c r="B1900" t="s">
        <v>70</v>
      </c>
      <c r="C1900" t="s">
        <v>818</v>
      </c>
      <c r="D1900" s="1">
        <v>45388</v>
      </c>
      <c r="E1900">
        <v>12</v>
      </c>
      <c r="F1900">
        <v>62.561035387675503</v>
      </c>
      <c r="G1900" s="1">
        <v>45408</v>
      </c>
      <c r="H1900" s="1">
        <v>45414</v>
      </c>
      <c r="I1900">
        <v>750.73242465210603</v>
      </c>
      <c r="J1900">
        <f t="shared" si="29"/>
        <v>6</v>
      </c>
    </row>
    <row r="1901" spans="1:10" x14ac:dyDescent="0.25">
      <c r="A1901" t="s">
        <v>2208</v>
      </c>
      <c r="B1901" t="s">
        <v>242</v>
      </c>
      <c r="C1901" t="s">
        <v>235</v>
      </c>
      <c r="D1901" s="1">
        <v>44248</v>
      </c>
      <c r="E1901">
        <v>14</v>
      </c>
      <c r="F1901">
        <v>12.4367826840351</v>
      </c>
      <c r="G1901" s="1">
        <v>44270</v>
      </c>
      <c r="H1901" s="1">
        <v>44273</v>
      </c>
      <c r="I1901">
        <v>174.11495757649101</v>
      </c>
      <c r="J1901">
        <f t="shared" si="29"/>
        <v>3</v>
      </c>
    </row>
    <row r="1902" spans="1:10" x14ac:dyDescent="0.25">
      <c r="A1902" t="s">
        <v>2209</v>
      </c>
      <c r="B1902" t="s">
        <v>261</v>
      </c>
      <c r="C1902" t="s">
        <v>165</v>
      </c>
      <c r="D1902" s="1">
        <v>44293</v>
      </c>
      <c r="E1902">
        <v>12</v>
      </c>
      <c r="F1902">
        <v>3.3418731147776701</v>
      </c>
      <c r="G1902" s="1">
        <v>44316</v>
      </c>
      <c r="H1902" s="1">
        <v>44322</v>
      </c>
      <c r="I1902">
        <v>40.1024773773321</v>
      </c>
      <c r="J1902">
        <f t="shared" si="29"/>
        <v>6</v>
      </c>
    </row>
    <row r="1903" spans="1:10" x14ac:dyDescent="0.25">
      <c r="A1903" t="s">
        <v>2210</v>
      </c>
      <c r="B1903" t="s">
        <v>379</v>
      </c>
      <c r="C1903" t="s">
        <v>97</v>
      </c>
      <c r="D1903" s="1">
        <v>44874</v>
      </c>
      <c r="E1903">
        <v>8</v>
      </c>
      <c r="F1903">
        <v>34.516590582662097</v>
      </c>
      <c r="G1903" s="1">
        <v>44898</v>
      </c>
      <c r="H1903" s="1">
        <v>44895</v>
      </c>
      <c r="I1903">
        <v>276.132724661297</v>
      </c>
      <c r="J1903">
        <f t="shared" si="29"/>
        <v>-3</v>
      </c>
    </row>
    <row r="1904" spans="1:10" x14ac:dyDescent="0.25">
      <c r="A1904" t="s">
        <v>2211</v>
      </c>
      <c r="B1904" t="s">
        <v>79</v>
      </c>
      <c r="C1904" t="s">
        <v>283</v>
      </c>
      <c r="D1904" s="1">
        <v>44662</v>
      </c>
      <c r="E1904">
        <v>7</v>
      </c>
      <c r="F1904">
        <v>53.523892403160403</v>
      </c>
      <c r="G1904" s="1">
        <v>44677</v>
      </c>
      <c r="H1904" s="1">
        <v>44676</v>
      </c>
      <c r="I1904">
        <v>374.66724682212299</v>
      </c>
      <c r="J1904">
        <f t="shared" si="29"/>
        <v>-1</v>
      </c>
    </row>
    <row r="1905" spans="1:10" x14ac:dyDescent="0.25">
      <c r="A1905" t="s">
        <v>2212</v>
      </c>
      <c r="B1905" t="s">
        <v>157</v>
      </c>
      <c r="C1905" t="s">
        <v>396</v>
      </c>
      <c r="D1905" s="1">
        <v>45365</v>
      </c>
      <c r="E1905">
        <v>11</v>
      </c>
      <c r="F1905">
        <v>74.947069436736896</v>
      </c>
      <c r="G1905" s="1">
        <v>45382</v>
      </c>
      <c r="H1905" s="1">
        <v>45387</v>
      </c>
      <c r="I1905">
        <v>824.41776380410602</v>
      </c>
      <c r="J1905">
        <f t="shared" si="29"/>
        <v>5</v>
      </c>
    </row>
    <row r="1906" spans="1:10" x14ac:dyDescent="0.25">
      <c r="A1906" t="s">
        <v>2213</v>
      </c>
      <c r="B1906" t="s">
        <v>493</v>
      </c>
      <c r="C1906" t="s">
        <v>402</v>
      </c>
      <c r="D1906" s="1">
        <v>44294</v>
      </c>
      <c r="E1906">
        <v>11</v>
      </c>
      <c r="F1906">
        <v>63.6537194701122</v>
      </c>
      <c r="G1906" s="1">
        <v>44310</v>
      </c>
      <c r="H1906" s="1">
        <v>44314</v>
      </c>
      <c r="I1906">
        <v>700.19091417123502</v>
      </c>
      <c r="J1906">
        <f t="shared" si="29"/>
        <v>4</v>
      </c>
    </row>
    <row r="1907" spans="1:10" x14ac:dyDescent="0.25">
      <c r="A1907" t="s">
        <v>2214</v>
      </c>
      <c r="B1907" t="s">
        <v>121</v>
      </c>
      <c r="C1907" t="s">
        <v>274</v>
      </c>
      <c r="D1907" s="1">
        <v>44312</v>
      </c>
      <c r="E1907">
        <v>10</v>
      </c>
      <c r="F1907">
        <v>19.414335104364302</v>
      </c>
      <c r="G1907" s="1">
        <v>44323</v>
      </c>
      <c r="H1907" s="1">
        <v>44326</v>
      </c>
      <c r="I1907">
        <v>194.14335104364301</v>
      </c>
      <c r="J1907">
        <f t="shared" si="29"/>
        <v>3</v>
      </c>
    </row>
    <row r="1908" spans="1:10" x14ac:dyDescent="0.25">
      <c r="A1908" t="s">
        <v>2215</v>
      </c>
      <c r="B1908" t="s">
        <v>451</v>
      </c>
      <c r="C1908" t="s">
        <v>466</v>
      </c>
      <c r="D1908" s="1">
        <v>44579</v>
      </c>
      <c r="E1908">
        <v>6</v>
      </c>
      <c r="F1908">
        <v>57.171518258443101</v>
      </c>
      <c r="G1908" s="1">
        <v>44594</v>
      </c>
      <c r="H1908" s="1">
        <v>44599</v>
      </c>
      <c r="I1908">
        <v>343.02910955065897</v>
      </c>
      <c r="J1908">
        <f t="shared" si="29"/>
        <v>5</v>
      </c>
    </row>
    <row r="1909" spans="1:10" x14ac:dyDescent="0.25">
      <c r="A1909" t="s">
        <v>2216</v>
      </c>
      <c r="B1909" t="s">
        <v>46</v>
      </c>
      <c r="C1909" t="s">
        <v>302</v>
      </c>
      <c r="D1909" s="1">
        <v>44348</v>
      </c>
      <c r="E1909">
        <v>12</v>
      </c>
      <c r="F1909">
        <v>64.138399920717703</v>
      </c>
      <c r="G1909" s="1">
        <v>44369</v>
      </c>
      <c r="H1909" s="1">
        <v>44371</v>
      </c>
      <c r="I1909">
        <v>769.66079904861294</v>
      </c>
      <c r="J1909">
        <f t="shared" si="29"/>
        <v>2</v>
      </c>
    </row>
    <row r="1910" spans="1:10" x14ac:dyDescent="0.25">
      <c r="A1910" t="s">
        <v>2217</v>
      </c>
      <c r="B1910" t="s">
        <v>160</v>
      </c>
      <c r="C1910" t="s">
        <v>94</v>
      </c>
      <c r="D1910" s="1">
        <v>44900</v>
      </c>
      <c r="E1910">
        <v>12</v>
      </c>
      <c r="F1910">
        <v>61.266247903113701</v>
      </c>
      <c r="G1910" s="1">
        <v>44917</v>
      </c>
      <c r="H1910" s="1">
        <v>44916</v>
      </c>
      <c r="I1910">
        <v>735.19497483736404</v>
      </c>
      <c r="J1910">
        <f t="shared" si="29"/>
        <v>-1</v>
      </c>
    </row>
    <row r="1911" spans="1:10" x14ac:dyDescent="0.25">
      <c r="A1911" t="s">
        <v>2218</v>
      </c>
      <c r="B1911" t="s">
        <v>359</v>
      </c>
      <c r="C1911" t="s">
        <v>415</v>
      </c>
      <c r="D1911" s="1">
        <v>44427</v>
      </c>
      <c r="E1911">
        <v>7</v>
      </c>
      <c r="F1911">
        <v>4.58997460344278</v>
      </c>
      <c r="G1911" s="1">
        <v>44444</v>
      </c>
      <c r="H1911" s="1">
        <v>44445</v>
      </c>
      <c r="I1911">
        <v>32.129822224099499</v>
      </c>
      <c r="J1911">
        <f t="shared" si="29"/>
        <v>1</v>
      </c>
    </row>
    <row r="1912" spans="1:10" x14ac:dyDescent="0.25">
      <c r="A1912" t="s">
        <v>2219</v>
      </c>
      <c r="B1912" t="s">
        <v>88</v>
      </c>
      <c r="C1912" t="s">
        <v>792</v>
      </c>
      <c r="D1912" s="1">
        <v>44802</v>
      </c>
      <c r="E1912">
        <v>8</v>
      </c>
      <c r="F1912">
        <v>28.989410095178101</v>
      </c>
      <c r="G1912" s="1">
        <v>44815</v>
      </c>
      <c r="H1912" s="1">
        <v>44821</v>
      </c>
      <c r="I1912">
        <v>231.91528076142501</v>
      </c>
      <c r="J1912">
        <f t="shared" si="29"/>
        <v>6</v>
      </c>
    </row>
    <row r="1913" spans="1:10" x14ac:dyDescent="0.25">
      <c r="A1913" t="s">
        <v>2220</v>
      </c>
      <c r="B1913" t="s">
        <v>203</v>
      </c>
      <c r="C1913" t="s">
        <v>972</v>
      </c>
      <c r="D1913" s="1">
        <v>44291</v>
      </c>
      <c r="E1913">
        <v>16</v>
      </c>
      <c r="F1913">
        <v>30.462495538796201</v>
      </c>
      <c r="G1913" s="1">
        <v>44314</v>
      </c>
      <c r="H1913" s="1">
        <v>44320</v>
      </c>
      <c r="I1913">
        <v>487.39992862073899</v>
      </c>
      <c r="J1913">
        <f t="shared" si="29"/>
        <v>6</v>
      </c>
    </row>
    <row r="1914" spans="1:10" x14ac:dyDescent="0.25">
      <c r="A1914" t="s">
        <v>2221</v>
      </c>
      <c r="B1914" t="s">
        <v>203</v>
      </c>
      <c r="C1914" t="s">
        <v>122</v>
      </c>
      <c r="D1914" s="1">
        <v>45095</v>
      </c>
      <c r="E1914">
        <v>10</v>
      </c>
      <c r="F1914">
        <v>52.984373067057099</v>
      </c>
      <c r="G1914" s="1">
        <v>45114</v>
      </c>
      <c r="H1914" s="1">
        <v>45117</v>
      </c>
      <c r="I1914">
        <v>529.84373067057095</v>
      </c>
      <c r="J1914">
        <f t="shared" si="29"/>
        <v>3</v>
      </c>
    </row>
    <row r="1915" spans="1:10" x14ac:dyDescent="0.25">
      <c r="A1915" t="s">
        <v>2222</v>
      </c>
      <c r="B1915" t="s">
        <v>91</v>
      </c>
      <c r="C1915" t="s">
        <v>689</v>
      </c>
      <c r="D1915" s="1">
        <v>45062</v>
      </c>
      <c r="E1915">
        <v>10</v>
      </c>
      <c r="F1915">
        <v>31.499265453104599</v>
      </c>
      <c r="G1915" s="1">
        <v>45074</v>
      </c>
      <c r="H1915" s="1">
        <v>45074</v>
      </c>
      <c r="I1915">
        <v>314.99265453104601</v>
      </c>
      <c r="J1915">
        <f t="shared" si="29"/>
        <v>0</v>
      </c>
    </row>
    <row r="1916" spans="1:10" x14ac:dyDescent="0.25">
      <c r="A1916" t="s">
        <v>2223</v>
      </c>
      <c r="B1916" t="s">
        <v>67</v>
      </c>
      <c r="C1916" t="s">
        <v>107</v>
      </c>
      <c r="D1916" s="1">
        <v>45044</v>
      </c>
      <c r="E1916">
        <v>21</v>
      </c>
      <c r="F1916">
        <v>28.9326206512719</v>
      </c>
      <c r="G1916" s="1">
        <v>45059</v>
      </c>
      <c r="H1916" s="1">
        <v>45061</v>
      </c>
      <c r="I1916">
        <v>607.58503367671096</v>
      </c>
      <c r="J1916">
        <f t="shared" si="29"/>
        <v>2</v>
      </c>
    </row>
    <row r="1917" spans="1:10" x14ac:dyDescent="0.25">
      <c r="A1917" t="s">
        <v>2224</v>
      </c>
      <c r="B1917" t="s">
        <v>67</v>
      </c>
      <c r="C1917" t="s">
        <v>720</v>
      </c>
      <c r="D1917" s="1">
        <v>44665</v>
      </c>
      <c r="E1917">
        <v>14</v>
      </c>
      <c r="F1917">
        <v>66.972743470716495</v>
      </c>
      <c r="G1917" s="1">
        <v>44682</v>
      </c>
      <c r="H1917" s="1">
        <v>44688</v>
      </c>
      <c r="I1917">
        <v>937.61840859003098</v>
      </c>
      <c r="J1917">
        <f t="shared" si="29"/>
        <v>6</v>
      </c>
    </row>
    <row r="1918" spans="1:10" x14ac:dyDescent="0.25">
      <c r="A1918" t="s">
        <v>2225</v>
      </c>
      <c r="B1918" t="s">
        <v>194</v>
      </c>
      <c r="C1918" t="s">
        <v>251</v>
      </c>
      <c r="D1918" s="1">
        <v>44421</v>
      </c>
      <c r="E1918">
        <v>15</v>
      </c>
      <c r="F1918">
        <v>49.747615096422599</v>
      </c>
      <c r="G1918" s="1">
        <v>44442</v>
      </c>
      <c r="H1918" s="1">
        <v>44441</v>
      </c>
      <c r="I1918">
        <v>746.21422644634004</v>
      </c>
      <c r="J1918">
        <f t="shared" si="29"/>
        <v>-1</v>
      </c>
    </row>
    <row r="1919" spans="1:10" x14ac:dyDescent="0.25">
      <c r="A1919" t="s">
        <v>2226</v>
      </c>
      <c r="B1919" t="s">
        <v>493</v>
      </c>
      <c r="C1919" t="s">
        <v>317</v>
      </c>
      <c r="D1919" s="1">
        <v>45116</v>
      </c>
      <c r="E1919">
        <v>11</v>
      </c>
      <c r="F1919">
        <v>19.274238213256201</v>
      </c>
      <c r="G1919" s="1">
        <v>45138</v>
      </c>
      <c r="H1919" s="1">
        <v>45144</v>
      </c>
      <c r="I1919">
        <v>212.01662034581801</v>
      </c>
      <c r="J1919">
        <f t="shared" si="29"/>
        <v>6</v>
      </c>
    </row>
    <row r="1920" spans="1:10" x14ac:dyDescent="0.25">
      <c r="A1920" t="s">
        <v>2227</v>
      </c>
      <c r="B1920" t="s">
        <v>299</v>
      </c>
      <c r="C1920" t="s">
        <v>338</v>
      </c>
      <c r="D1920" s="1">
        <v>44993</v>
      </c>
      <c r="E1920">
        <v>18</v>
      </c>
      <c r="F1920">
        <v>13.9668181287624</v>
      </c>
      <c r="G1920" s="1">
        <v>45014</v>
      </c>
      <c r="H1920" s="1">
        <v>45011</v>
      </c>
      <c r="I1920">
        <v>251.40272631772399</v>
      </c>
      <c r="J1920">
        <f t="shared" si="29"/>
        <v>-3</v>
      </c>
    </row>
    <row r="1921" spans="1:10" x14ac:dyDescent="0.25">
      <c r="A1921" t="s">
        <v>2228</v>
      </c>
      <c r="B1921" t="s">
        <v>109</v>
      </c>
      <c r="C1921" t="s">
        <v>428</v>
      </c>
      <c r="D1921" s="1">
        <v>44897</v>
      </c>
      <c r="E1921">
        <v>18</v>
      </c>
      <c r="F1921">
        <v>13.6947896243925</v>
      </c>
      <c r="G1921" s="1">
        <v>44920</v>
      </c>
      <c r="H1921" s="1">
        <v>44923</v>
      </c>
      <c r="I1921">
        <v>246.506213239066</v>
      </c>
      <c r="J1921">
        <f t="shared" si="29"/>
        <v>3</v>
      </c>
    </row>
    <row r="1922" spans="1:10" x14ac:dyDescent="0.25">
      <c r="A1922" t="s">
        <v>2229</v>
      </c>
      <c r="B1922" t="s">
        <v>475</v>
      </c>
      <c r="C1922" t="s">
        <v>136</v>
      </c>
      <c r="D1922" s="1">
        <v>44214</v>
      </c>
      <c r="E1922">
        <v>9</v>
      </c>
      <c r="F1922">
        <v>7.0034556222690201</v>
      </c>
      <c r="G1922" s="1">
        <v>44236</v>
      </c>
      <c r="H1922" s="1">
        <v>44242</v>
      </c>
      <c r="I1922">
        <v>63.031100600421098</v>
      </c>
      <c r="J1922">
        <f t="shared" si="29"/>
        <v>6</v>
      </c>
    </row>
    <row r="1923" spans="1:10" x14ac:dyDescent="0.25">
      <c r="A1923" t="s">
        <v>2230</v>
      </c>
      <c r="B1923" t="s">
        <v>399</v>
      </c>
      <c r="C1923" t="s">
        <v>268</v>
      </c>
      <c r="D1923" s="1">
        <v>44358</v>
      </c>
      <c r="E1923">
        <v>11</v>
      </c>
      <c r="F1923">
        <v>58.685398936432897</v>
      </c>
      <c r="G1923" s="1">
        <v>44377</v>
      </c>
      <c r="H1923" s="1">
        <v>44377</v>
      </c>
      <c r="I1923">
        <v>645.53938830076197</v>
      </c>
      <c r="J1923">
        <f t="shared" ref="J1923:J1986" si="30">H1923-G1923</f>
        <v>0</v>
      </c>
    </row>
    <row r="1924" spans="1:10" x14ac:dyDescent="0.25">
      <c r="A1924" t="s">
        <v>2231</v>
      </c>
      <c r="B1924" t="s">
        <v>104</v>
      </c>
      <c r="C1924" t="s">
        <v>122</v>
      </c>
      <c r="D1924" s="1">
        <v>44395</v>
      </c>
      <c r="E1924">
        <v>8</v>
      </c>
      <c r="F1924">
        <v>14.235764629426001</v>
      </c>
      <c r="G1924" s="1">
        <v>44417</v>
      </c>
      <c r="H1924" s="1">
        <v>44418</v>
      </c>
      <c r="I1924">
        <v>113.88611703540801</v>
      </c>
      <c r="J1924">
        <f t="shared" si="30"/>
        <v>1</v>
      </c>
    </row>
    <row r="1925" spans="1:10" x14ac:dyDescent="0.25">
      <c r="A1925" t="s">
        <v>2232</v>
      </c>
      <c r="B1925" t="s">
        <v>326</v>
      </c>
      <c r="C1925" t="s">
        <v>527</v>
      </c>
      <c r="D1925" s="1">
        <v>44713</v>
      </c>
      <c r="E1925">
        <v>10</v>
      </c>
      <c r="F1925">
        <v>75.993201422971197</v>
      </c>
      <c r="G1925" s="1">
        <v>44726</v>
      </c>
      <c r="H1925" s="1">
        <v>44729</v>
      </c>
      <c r="I1925">
        <v>759.93201422971197</v>
      </c>
      <c r="J1925">
        <f t="shared" si="30"/>
        <v>3</v>
      </c>
    </row>
    <row r="1926" spans="1:10" x14ac:dyDescent="0.25">
      <c r="A1926" t="s">
        <v>2233</v>
      </c>
      <c r="B1926" t="s">
        <v>55</v>
      </c>
      <c r="C1926" t="s">
        <v>540</v>
      </c>
      <c r="D1926" s="1">
        <v>44637</v>
      </c>
      <c r="E1926">
        <v>10</v>
      </c>
      <c r="F1926">
        <v>79.9337941027445</v>
      </c>
      <c r="G1926" s="1">
        <v>44660</v>
      </c>
      <c r="H1926" s="1">
        <v>44658</v>
      </c>
      <c r="I1926">
        <v>799.33794102744503</v>
      </c>
      <c r="J1926">
        <f t="shared" si="30"/>
        <v>-2</v>
      </c>
    </row>
    <row r="1927" spans="1:10" x14ac:dyDescent="0.25">
      <c r="A1927" t="s">
        <v>2234</v>
      </c>
      <c r="B1927" t="s">
        <v>67</v>
      </c>
      <c r="C1927" t="s">
        <v>312</v>
      </c>
      <c r="D1927" s="1">
        <v>44644</v>
      </c>
      <c r="E1927">
        <v>12</v>
      </c>
      <c r="F1927">
        <v>60.482758443593802</v>
      </c>
      <c r="G1927" s="1">
        <v>44668</v>
      </c>
      <c r="H1927" s="1">
        <v>44673</v>
      </c>
      <c r="I1927">
        <v>725.79310132312605</v>
      </c>
      <c r="J1927">
        <f t="shared" si="30"/>
        <v>5</v>
      </c>
    </row>
    <row r="1928" spans="1:10" x14ac:dyDescent="0.25">
      <c r="A1928" t="s">
        <v>2235</v>
      </c>
      <c r="B1928" t="s">
        <v>475</v>
      </c>
      <c r="C1928" t="s">
        <v>795</v>
      </c>
      <c r="D1928" s="1">
        <v>44343</v>
      </c>
      <c r="E1928">
        <v>9</v>
      </c>
      <c r="F1928">
        <v>16.407034820724501</v>
      </c>
      <c r="G1928" s="1">
        <v>44360</v>
      </c>
      <c r="H1928" s="1">
        <v>44358</v>
      </c>
      <c r="I1928">
        <v>147.66331338652</v>
      </c>
      <c r="J1928">
        <f t="shared" si="30"/>
        <v>-2</v>
      </c>
    </row>
    <row r="1929" spans="1:10" x14ac:dyDescent="0.25">
      <c r="A1929" t="s">
        <v>2236</v>
      </c>
      <c r="B1929" t="s">
        <v>295</v>
      </c>
      <c r="C1929" t="s">
        <v>489</v>
      </c>
      <c r="D1929" s="1">
        <v>45014</v>
      </c>
      <c r="E1929">
        <v>7</v>
      </c>
      <c r="F1929">
        <v>72.972958700207101</v>
      </c>
      <c r="G1929" s="1">
        <v>45034</v>
      </c>
      <c r="H1929" s="1">
        <v>45038</v>
      </c>
      <c r="I1929">
        <v>510.810710901449</v>
      </c>
      <c r="J1929">
        <f t="shared" si="30"/>
        <v>4</v>
      </c>
    </row>
    <row r="1930" spans="1:10" x14ac:dyDescent="0.25">
      <c r="A1930" t="s">
        <v>2237</v>
      </c>
      <c r="B1930" t="s">
        <v>442</v>
      </c>
      <c r="C1930" t="s">
        <v>254</v>
      </c>
      <c r="D1930" s="1">
        <v>44413</v>
      </c>
      <c r="E1930">
        <v>10</v>
      </c>
      <c r="F1930">
        <v>77.022068724485493</v>
      </c>
      <c r="G1930" s="1">
        <v>44434</v>
      </c>
      <c r="H1930" s="1">
        <v>44436</v>
      </c>
      <c r="I1930">
        <v>770.22068724485496</v>
      </c>
      <c r="J1930">
        <f t="shared" si="30"/>
        <v>2</v>
      </c>
    </row>
    <row r="1931" spans="1:10" x14ac:dyDescent="0.25">
      <c r="A1931" t="s">
        <v>2238</v>
      </c>
      <c r="B1931" t="s">
        <v>288</v>
      </c>
      <c r="C1931" t="s">
        <v>17</v>
      </c>
      <c r="D1931" s="1">
        <v>45170</v>
      </c>
      <c r="E1931">
        <v>9</v>
      </c>
      <c r="F1931">
        <v>21.922428090694599</v>
      </c>
      <c r="G1931" s="1">
        <v>45194</v>
      </c>
      <c r="H1931" s="1">
        <v>45191</v>
      </c>
      <c r="I1931">
        <v>197.301852816251</v>
      </c>
      <c r="J1931">
        <f t="shared" si="30"/>
        <v>-3</v>
      </c>
    </row>
    <row r="1932" spans="1:10" x14ac:dyDescent="0.25">
      <c r="A1932" t="s">
        <v>2239</v>
      </c>
      <c r="B1932" t="s">
        <v>242</v>
      </c>
      <c r="C1932" t="s">
        <v>361</v>
      </c>
      <c r="D1932" s="1">
        <v>44384</v>
      </c>
      <c r="E1932">
        <v>16</v>
      </c>
      <c r="F1932">
        <v>60.732811758860699</v>
      </c>
      <c r="G1932" s="1">
        <v>44402</v>
      </c>
      <c r="H1932" s="1">
        <v>44403</v>
      </c>
      <c r="I1932">
        <v>971.72498814177197</v>
      </c>
      <c r="J1932">
        <f t="shared" si="30"/>
        <v>1</v>
      </c>
    </row>
    <row r="1933" spans="1:10" x14ac:dyDescent="0.25">
      <c r="A1933" t="s">
        <v>2240</v>
      </c>
      <c r="B1933" t="s">
        <v>61</v>
      </c>
      <c r="C1933" t="s">
        <v>161</v>
      </c>
      <c r="D1933" s="1">
        <v>44358</v>
      </c>
      <c r="E1933">
        <v>10</v>
      </c>
      <c r="F1933">
        <v>75.997525133280504</v>
      </c>
      <c r="G1933" s="1">
        <v>44378</v>
      </c>
      <c r="H1933" s="1">
        <v>44378</v>
      </c>
      <c r="I1933">
        <v>759.97525133280499</v>
      </c>
      <c r="J1933">
        <f t="shared" si="30"/>
        <v>0</v>
      </c>
    </row>
    <row r="1934" spans="1:10" x14ac:dyDescent="0.25">
      <c r="A1934" t="s">
        <v>2241</v>
      </c>
      <c r="B1934" t="s">
        <v>10</v>
      </c>
      <c r="C1934" t="s">
        <v>128</v>
      </c>
      <c r="D1934" s="1">
        <v>44880</v>
      </c>
      <c r="E1934">
        <v>9</v>
      </c>
      <c r="F1934">
        <v>36.810590120527003</v>
      </c>
      <c r="G1934" s="1">
        <v>44890</v>
      </c>
      <c r="H1934" s="1">
        <v>44888</v>
      </c>
      <c r="I1934">
        <v>331.29531108474299</v>
      </c>
      <c r="J1934">
        <f t="shared" si="30"/>
        <v>-2</v>
      </c>
    </row>
    <row r="1935" spans="1:10" x14ac:dyDescent="0.25">
      <c r="A1935" t="s">
        <v>2242</v>
      </c>
      <c r="B1935" t="s">
        <v>73</v>
      </c>
      <c r="C1935" t="s">
        <v>180</v>
      </c>
      <c r="D1935" s="1">
        <v>45216</v>
      </c>
      <c r="E1935">
        <v>10</v>
      </c>
      <c r="F1935">
        <v>37.187974157187497</v>
      </c>
      <c r="G1935" s="1">
        <v>45239</v>
      </c>
      <c r="H1935" s="1">
        <v>45237</v>
      </c>
      <c r="I1935">
        <v>371.879741571875</v>
      </c>
      <c r="J1935">
        <f t="shared" si="30"/>
        <v>-2</v>
      </c>
    </row>
    <row r="1936" spans="1:10" x14ac:dyDescent="0.25">
      <c r="A1936" t="s">
        <v>2243</v>
      </c>
      <c r="B1936" t="s">
        <v>751</v>
      </c>
      <c r="C1936" t="s">
        <v>20</v>
      </c>
      <c r="D1936" s="1">
        <v>45174</v>
      </c>
      <c r="E1936">
        <v>12</v>
      </c>
      <c r="F1936">
        <v>18.343800056915502</v>
      </c>
      <c r="G1936" s="1">
        <v>45198</v>
      </c>
      <c r="H1936" s="1">
        <v>45198</v>
      </c>
      <c r="I1936">
        <v>220.125600682986</v>
      </c>
      <c r="J1936">
        <f t="shared" si="30"/>
        <v>0</v>
      </c>
    </row>
    <row r="1937" spans="1:10" x14ac:dyDescent="0.25">
      <c r="A1937" t="s">
        <v>2244</v>
      </c>
      <c r="B1937" t="s">
        <v>124</v>
      </c>
      <c r="C1937" t="s">
        <v>759</v>
      </c>
      <c r="D1937" s="1">
        <v>44641</v>
      </c>
      <c r="E1937">
        <v>10</v>
      </c>
      <c r="F1937">
        <v>75.339717152572703</v>
      </c>
      <c r="G1937" s="1">
        <v>44652</v>
      </c>
      <c r="H1937" s="1">
        <v>44653</v>
      </c>
      <c r="I1937">
        <v>753.397171525727</v>
      </c>
      <c r="J1937">
        <f t="shared" si="30"/>
        <v>1</v>
      </c>
    </row>
    <row r="1938" spans="1:10" x14ac:dyDescent="0.25">
      <c r="A1938" t="s">
        <v>2245</v>
      </c>
      <c r="B1938" t="s">
        <v>70</v>
      </c>
      <c r="C1938" t="s">
        <v>281</v>
      </c>
      <c r="D1938" s="1">
        <v>44311</v>
      </c>
      <c r="E1938">
        <v>11</v>
      </c>
      <c r="F1938">
        <v>7.5752329371789298</v>
      </c>
      <c r="G1938" s="1">
        <v>44335</v>
      </c>
      <c r="H1938" s="1">
        <v>44332</v>
      </c>
      <c r="I1938">
        <v>83.327562308968297</v>
      </c>
      <c r="J1938">
        <f t="shared" si="30"/>
        <v>-3</v>
      </c>
    </row>
    <row r="1939" spans="1:10" x14ac:dyDescent="0.25">
      <c r="A1939" t="s">
        <v>2246</v>
      </c>
      <c r="B1939" t="s">
        <v>73</v>
      </c>
      <c r="C1939" t="s">
        <v>408</v>
      </c>
      <c r="D1939" s="1">
        <v>44766</v>
      </c>
      <c r="E1939">
        <v>9</v>
      </c>
      <c r="F1939">
        <v>55.696421552012403</v>
      </c>
      <c r="G1939" s="1">
        <v>44777</v>
      </c>
      <c r="H1939" s="1">
        <v>44780</v>
      </c>
      <c r="I1939">
        <v>501.26779396811202</v>
      </c>
      <c r="J1939">
        <f t="shared" si="30"/>
        <v>3</v>
      </c>
    </row>
    <row r="1940" spans="1:10" x14ac:dyDescent="0.25">
      <c r="A1940" t="s">
        <v>2247</v>
      </c>
      <c r="B1940" t="s">
        <v>157</v>
      </c>
      <c r="C1940" t="s">
        <v>466</v>
      </c>
      <c r="D1940" s="1">
        <v>44388</v>
      </c>
      <c r="E1940">
        <v>9</v>
      </c>
      <c r="F1940">
        <v>66.310883689413899</v>
      </c>
      <c r="G1940" s="1">
        <v>44407</v>
      </c>
      <c r="H1940" s="1">
        <v>44412</v>
      </c>
      <c r="I1940">
        <v>596.79795320472499</v>
      </c>
      <c r="J1940">
        <f t="shared" si="30"/>
        <v>5</v>
      </c>
    </row>
    <row r="1941" spans="1:10" x14ac:dyDescent="0.25">
      <c r="A1941" t="s">
        <v>2248</v>
      </c>
      <c r="B1941" t="s">
        <v>114</v>
      </c>
      <c r="C1941" t="s">
        <v>26</v>
      </c>
      <c r="D1941" s="1">
        <v>44694</v>
      </c>
      <c r="E1941">
        <v>10</v>
      </c>
      <c r="F1941">
        <v>58.040705964916</v>
      </c>
      <c r="G1941" s="1">
        <v>44713</v>
      </c>
      <c r="H1941" s="1">
        <v>44715</v>
      </c>
      <c r="I1941">
        <v>580.40705964916003</v>
      </c>
      <c r="J1941">
        <f t="shared" si="30"/>
        <v>2</v>
      </c>
    </row>
    <row r="1942" spans="1:10" x14ac:dyDescent="0.25">
      <c r="A1942" t="s">
        <v>2249</v>
      </c>
      <c r="B1942" t="s">
        <v>40</v>
      </c>
      <c r="C1942" t="s">
        <v>222</v>
      </c>
      <c r="D1942" s="1">
        <v>44224</v>
      </c>
      <c r="E1942">
        <v>14</v>
      </c>
      <c r="F1942">
        <v>13.6723129724651</v>
      </c>
      <c r="G1942" s="1">
        <v>44237</v>
      </c>
      <c r="H1942" s="1">
        <v>44242</v>
      </c>
      <c r="I1942">
        <v>191.41238161451099</v>
      </c>
      <c r="J1942">
        <f t="shared" si="30"/>
        <v>5</v>
      </c>
    </row>
    <row r="1943" spans="1:10" x14ac:dyDescent="0.25">
      <c r="A1943" t="s">
        <v>2250</v>
      </c>
      <c r="B1943" t="s">
        <v>482</v>
      </c>
      <c r="C1943" t="s">
        <v>391</v>
      </c>
      <c r="D1943" s="1">
        <v>45297</v>
      </c>
      <c r="E1943">
        <v>10</v>
      </c>
      <c r="F1943">
        <v>29.7662602907772</v>
      </c>
      <c r="G1943" s="1">
        <v>45318</v>
      </c>
      <c r="H1943" s="1">
        <v>45318</v>
      </c>
      <c r="I1943">
        <v>297.662602907772</v>
      </c>
      <c r="J1943">
        <f t="shared" si="30"/>
        <v>0</v>
      </c>
    </row>
    <row r="1944" spans="1:10" x14ac:dyDescent="0.25">
      <c r="A1944" t="s">
        <v>2251</v>
      </c>
      <c r="B1944" t="s">
        <v>203</v>
      </c>
      <c r="C1944" t="s">
        <v>396</v>
      </c>
      <c r="D1944" s="1">
        <v>44640</v>
      </c>
      <c r="E1944">
        <v>12</v>
      </c>
      <c r="F1944">
        <v>33.488113779643598</v>
      </c>
      <c r="G1944" s="1">
        <v>44652</v>
      </c>
      <c r="H1944" s="1">
        <v>44652</v>
      </c>
      <c r="I1944">
        <v>401.857365355723</v>
      </c>
      <c r="J1944">
        <f t="shared" si="30"/>
        <v>0</v>
      </c>
    </row>
    <row r="1945" spans="1:10" x14ac:dyDescent="0.25">
      <c r="A1945" t="s">
        <v>2252</v>
      </c>
      <c r="B1945" t="s">
        <v>43</v>
      </c>
      <c r="C1945" t="s">
        <v>297</v>
      </c>
      <c r="D1945" s="1">
        <v>45227</v>
      </c>
      <c r="E1945">
        <v>12</v>
      </c>
      <c r="F1945">
        <v>43.680697946894099</v>
      </c>
      <c r="G1945" s="1">
        <v>45245</v>
      </c>
      <c r="H1945" s="1">
        <v>45246</v>
      </c>
      <c r="I1945">
        <v>524.16837536272897</v>
      </c>
      <c r="J1945">
        <f t="shared" si="30"/>
        <v>1</v>
      </c>
    </row>
    <row r="1946" spans="1:10" x14ac:dyDescent="0.25">
      <c r="A1946" t="s">
        <v>2253</v>
      </c>
      <c r="B1946" t="s">
        <v>240</v>
      </c>
      <c r="C1946" t="s">
        <v>693</v>
      </c>
      <c r="D1946" s="1">
        <v>45056</v>
      </c>
      <c r="E1946">
        <v>7</v>
      </c>
      <c r="F1946">
        <v>48.232686245217202</v>
      </c>
      <c r="G1946" s="1">
        <v>45067</v>
      </c>
      <c r="H1946" s="1">
        <v>45070</v>
      </c>
      <c r="I1946">
        <v>337.62880371652</v>
      </c>
      <c r="J1946">
        <f t="shared" si="30"/>
        <v>3</v>
      </c>
    </row>
    <row r="1947" spans="1:10" x14ac:dyDescent="0.25">
      <c r="A1947" t="s">
        <v>2254</v>
      </c>
      <c r="B1947" t="s">
        <v>253</v>
      </c>
      <c r="C1947" t="s">
        <v>184</v>
      </c>
      <c r="D1947" s="1">
        <v>44973</v>
      </c>
      <c r="E1947">
        <v>6</v>
      </c>
      <c r="F1947">
        <v>42.6512206710375</v>
      </c>
      <c r="G1947" s="1">
        <v>44993</v>
      </c>
      <c r="H1947" s="1">
        <v>44997</v>
      </c>
      <c r="I1947">
        <v>255.90732402622501</v>
      </c>
      <c r="J1947">
        <f t="shared" si="30"/>
        <v>4</v>
      </c>
    </row>
    <row r="1948" spans="1:10" x14ac:dyDescent="0.25">
      <c r="A1948" t="s">
        <v>2255</v>
      </c>
      <c r="B1948" t="s">
        <v>578</v>
      </c>
      <c r="C1948" t="s">
        <v>899</v>
      </c>
      <c r="D1948" s="1">
        <v>44979</v>
      </c>
      <c r="E1948">
        <v>7</v>
      </c>
      <c r="F1948">
        <v>32.981092979312002</v>
      </c>
      <c r="G1948" s="1">
        <v>44992</v>
      </c>
      <c r="H1948" s="1">
        <v>44994</v>
      </c>
      <c r="I1948">
        <v>230.867650855184</v>
      </c>
      <c r="J1948">
        <f t="shared" si="30"/>
        <v>2</v>
      </c>
    </row>
    <row r="1949" spans="1:10" x14ac:dyDescent="0.25">
      <c r="A1949" t="s">
        <v>2256</v>
      </c>
      <c r="B1949" t="s">
        <v>411</v>
      </c>
      <c r="C1949" t="s">
        <v>59</v>
      </c>
      <c r="D1949" s="1">
        <v>45137</v>
      </c>
      <c r="E1949">
        <v>8</v>
      </c>
      <c r="F1949">
        <v>4.71158006413199</v>
      </c>
      <c r="G1949" s="1">
        <v>45160</v>
      </c>
      <c r="H1949" s="1">
        <v>45162</v>
      </c>
      <c r="I1949">
        <v>37.692640513055899</v>
      </c>
      <c r="J1949">
        <f t="shared" si="30"/>
        <v>2</v>
      </c>
    </row>
    <row r="1950" spans="1:10" x14ac:dyDescent="0.25">
      <c r="A1950" t="s">
        <v>2257</v>
      </c>
      <c r="B1950" t="s">
        <v>314</v>
      </c>
      <c r="C1950" t="s">
        <v>795</v>
      </c>
      <c r="D1950" s="1">
        <v>45341</v>
      </c>
      <c r="E1950">
        <v>15</v>
      </c>
      <c r="F1950">
        <v>44.622205832214597</v>
      </c>
      <c r="G1950" s="1">
        <v>45362</v>
      </c>
      <c r="H1950" s="1">
        <v>45361</v>
      </c>
      <c r="I1950">
        <v>669.33308748321997</v>
      </c>
      <c r="J1950">
        <f t="shared" si="30"/>
        <v>-1</v>
      </c>
    </row>
    <row r="1951" spans="1:10" x14ac:dyDescent="0.25">
      <c r="A1951" t="s">
        <v>2258</v>
      </c>
      <c r="B1951" t="s">
        <v>25</v>
      </c>
      <c r="C1951" t="s">
        <v>163</v>
      </c>
      <c r="D1951" s="1">
        <v>44778</v>
      </c>
      <c r="E1951">
        <v>8</v>
      </c>
      <c r="F1951">
        <v>7.0840635205386002</v>
      </c>
      <c r="G1951" s="1">
        <v>44799</v>
      </c>
      <c r="H1951" s="1">
        <v>44804</v>
      </c>
      <c r="I1951">
        <v>56.672508164308802</v>
      </c>
      <c r="J1951">
        <f t="shared" si="30"/>
        <v>5</v>
      </c>
    </row>
    <row r="1952" spans="1:10" x14ac:dyDescent="0.25">
      <c r="A1952" t="s">
        <v>2259</v>
      </c>
      <c r="B1952" t="s">
        <v>359</v>
      </c>
      <c r="C1952" t="s">
        <v>158</v>
      </c>
      <c r="D1952" s="1">
        <v>45336</v>
      </c>
      <c r="E1952">
        <v>7</v>
      </c>
      <c r="F1952">
        <v>30.1164695765919</v>
      </c>
      <c r="G1952" s="1">
        <v>45359</v>
      </c>
      <c r="H1952" s="1">
        <v>45361</v>
      </c>
      <c r="I1952">
        <v>210.81528703614299</v>
      </c>
      <c r="J1952">
        <f t="shared" si="30"/>
        <v>2</v>
      </c>
    </row>
    <row r="1953" spans="1:10" x14ac:dyDescent="0.25">
      <c r="A1953" t="s">
        <v>2260</v>
      </c>
      <c r="B1953" t="s">
        <v>399</v>
      </c>
      <c r="C1953" t="s">
        <v>391</v>
      </c>
      <c r="D1953" s="1">
        <v>45256</v>
      </c>
      <c r="E1953">
        <v>5</v>
      </c>
      <c r="F1953">
        <v>56.642778705780799</v>
      </c>
      <c r="G1953" s="1">
        <v>45279</v>
      </c>
      <c r="H1953" s="1">
        <v>45280</v>
      </c>
      <c r="I1953">
        <v>283.21389352890401</v>
      </c>
      <c r="J1953">
        <f t="shared" si="30"/>
        <v>1</v>
      </c>
    </row>
    <row r="1954" spans="1:10" x14ac:dyDescent="0.25">
      <c r="A1954" t="s">
        <v>2261</v>
      </c>
      <c r="B1954" t="s">
        <v>379</v>
      </c>
      <c r="C1954" t="s">
        <v>238</v>
      </c>
      <c r="D1954" s="1">
        <v>44202</v>
      </c>
      <c r="E1954">
        <v>10</v>
      </c>
      <c r="F1954">
        <v>16.395707261128099</v>
      </c>
      <c r="G1954" s="1">
        <v>44212</v>
      </c>
      <c r="H1954" s="1">
        <v>44218</v>
      </c>
      <c r="I1954">
        <v>163.95707261128101</v>
      </c>
      <c r="J1954">
        <f t="shared" si="30"/>
        <v>6</v>
      </c>
    </row>
    <row r="1955" spans="1:10" x14ac:dyDescent="0.25">
      <c r="A1955" t="s">
        <v>2262</v>
      </c>
      <c r="B1955" t="s">
        <v>58</v>
      </c>
      <c r="C1955" t="s">
        <v>444</v>
      </c>
      <c r="D1955" s="1">
        <v>44853</v>
      </c>
      <c r="E1955">
        <v>13</v>
      </c>
      <c r="F1955">
        <v>32.788294416819902</v>
      </c>
      <c r="G1955" s="1">
        <v>44877</v>
      </c>
      <c r="H1955" s="1">
        <v>44883</v>
      </c>
      <c r="I1955">
        <v>426.24782741865903</v>
      </c>
      <c r="J1955">
        <f t="shared" si="30"/>
        <v>6</v>
      </c>
    </row>
    <row r="1956" spans="1:10" x14ac:dyDescent="0.25">
      <c r="A1956" t="s">
        <v>2263</v>
      </c>
      <c r="B1956" t="s">
        <v>37</v>
      </c>
      <c r="C1956" t="s">
        <v>92</v>
      </c>
      <c r="D1956" s="1">
        <v>44761</v>
      </c>
      <c r="E1956">
        <v>12</v>
      </c>
      <c r="F1956">
        <v>12.0204539328968</v>
      </c>
      <c r="G1956" s="1">
        <v>44784</v>
      </c>
      <c r="H1956" s="1">
        <v>44783</v>
      </c>
      <c r="I1956">
        <v>144.245447194761</v>
      </c>
      <c r="J1956">
        <f t="shared" si="30"/>
        <v>-1</v>
      </c>
    </row>
    <row r="1957" spans="1:10" x14ac:dyDescent="0.25">
      <c r="A1957" t="s">
        <v>2264</v>
      </c>
      <c r="B1957" t="s">
        <v>96</v>
      </c>
      <c r="C1957" t="s">
        <v>1176</v>
      </c>
      <c r="D1957" s="1">
        <v>44522</v>
      </c>
      <c r="E1957">
        <v>9</v>
      </c>
      <c r="F1957">
        <v>63.727853735531497</v>
      </c>
      <c r="G1957" s="1">
        <v>44539</v>
      </c>
      <c r="H1957" s="1">
        <v>44543</v>
      </c>
      <c r="I1957">
        <v>573.55068361978294</v>
      </c>
      <c r="J1957">
        <f t="shared" si="30"/>
        <v>4</v>
      </c>
    </row>
    <row r="1958" spans="1:10" x14ac:dyDescent="0.25">
      <c r="A1958" t="s">
        <v>2265</v>
      </c>
      <c r="B1958" t="s">
        <v>104</v>
      </c>
      <c r="C1958" t="s">
        <v>543</v>
      </c>
      <c r="D1958" s="1">
        <v>44974</v>
      </c>
      <c r="E1958">
        <v>11</v>
      </c>
      <c r="F1958">
        <v>29.669039025058101</v>
      </c>
      <c r="G1958" s="1">
        <v>44995</v>
      </c>
      <c r="H1958" s="1">
        <v>45000</v>
      </c>
      <c r="I1958">
        <v>326.359429275639</v>
      </c>
      <c r="J1958">
        <f t="shared" si="30"/>
        <v>5</v>
      </c>
    </row>
    <row r="1959" spans="1:10" x14ac:dyDescent="0.25">
      <c r="A1959" t="s">
        <v>2266</v>
      </c>
      <c r="B1959" t="s">
        <v>10</v>
      </c>
      <c r="C1959" t="s">
        <v>899</v>
      </c>
      <c r="D1959" s="1">
        <v>45005</v>
      </c>
      <c r="E1959">
        <v>9</v>
      </c>
      <c r="F1959">
        <v>12.889945532642299</v>
      </c>
      <c r="G1959" s="1">
        <v>45020</v>
      </c>
      <c r="H1959" s="1">
        <v>45018</v>
      </c>
      <c r="I1959">
        <v>116.00950979378101</v>
      </c>
      <c r="J1959">
        <f t="shared" si="30"/>
        <v>-2</v>
      </c>
    </row>
    <row r="1960" spans="1:10" x14ac:dyDescent="0.25">
      <c r="A1960" t="s">
        <v>2267</v>
      </c>
      <c r="B1960" t="s">
        <v>58</v>
      </c>
      <c r="C1960" t="s">
        <v>302</v>
      </c>
      <c r="D1960" s="1">
        <v>44749</v>
      </c>
      <c r="E1960">
        <v>7</v>
      </c>
      <c r="F1960">
        <v>76.3675526026488</v>
      </c>
      <c r="G1960" s="1">
        <v>44766</v>
      </c>
      <c r="H1960" s="1">
        <v>44770</v>
      </c>
      <c r="I1960">
        <v>534.57286821854098</v>
      </c>
      <c r="J1960">
        <f t="shared" si="30"/>
        <v>4</v>
      </c>
    </row>
    <row r="1961" spans="1:10" x14ac:dyDescent="0.25">
      <c r="A1961" t="s">
        <v>2268</v>
      </c>
      <c r="B1961" t="s">
        <v>179</v>
      </c>
      <c r="C1961" t="s">
        <v>581</v>
      </c>
      <c r="D1961" s="1">
        <v>44262</v>
      </c>
      <c r="E1961">
        <v>16</v>
      </c>
      <c r="F1961">
        <v>13.040209829414501</v>
      </c>
      <c r="G1961" s="1">
        <v>44285</v>
      </c>
      <c r="H1961" s="1">
        <v>44286</v>
      </c>
      <c r="I1961">
        <v>208.643357270633</v>
      </c>
      <c r="J1961">
        <f t="shared" si="30"/>
        <v>1</v>
      </c>
    </row>
    <row r="1962" spans="1:10" x14ac:dyDescent="0.25">
      <c r="A1962" t="s">
        <v>2269</v>
      </c>
      <c r="B1962" t="s">
        <v>256</v>
      </c>
      <c r="C1962" t="s">
        <v>257</v>
      </c>
      <c r="D1962" s="1">
        <v>44567</v>
      </c>
      <c r="E1962">
        <v>8</v>
      </c>
      <c r="F1962">
        <v>61.957829500161097</v>
      </c>
      <c r="G1962" s="1">
        <v>44580</v>
      </c>
      <c r="H1962" s="1">
        <v>44582</v>
      </c>
      <c r="I1962">
        <v>495.662636001289</v>
      </c>
      <c r="J1962">
        <f t="shared" si="30"/>
        <v>2</v>
      </c>
    </row>
    <row r="1963" spans="1:10" x14ac:dyDescent="0.25">
      <c r="A1963" t="s">
        <v>2270</v>
      </c>
      <c r="B1963" t="s">
        <v>79</v>
      </c>
      <c r="C1963" t="s">
        <v>370</v>
      </c>
      <c r="D1963" s="1">
        <v>45131</v>
      </c>
      <c r="E1963">
        <v>6</v>
      </c>
      <c r="F1963">
        <v>26.350445287861</v>
      </c>
      <c r="G1963" s="1">
        <v>45151</v>
      </c>
      <c r="H1963" s="1">
        <v>45156</v>
      </c>
      <c r="I1963">
        <v>158.10267172716601</v>
      </c>
      <c r="J1963">
        <f t="shared" si="30"/>
        <v>5</v>
      </c>
    </row>
    <row r="1964" spans="1:10" x14ac:dyDescent="0.25">
      <c r="A1964" t="s">
        <v>2271</v>
      </c>
      <c r="B1964" t="s">
        <v>493</v>
      </c>
      <c r="C1964" t="s">
        <v>818</v>
      </c>
      <c r="D1964" s="1">
        <v>45041</v>
      </c>
      <c r="E1964">
        <v>13</v>
      </c>
      <c r="F1964">
        <v>58.252143754165601</v>
      </c>
      <c r="G1964" s="1">
        <v>45059</v>
      </c>
      <c r="H1964" s="1">
        <v>45062</v>
      </c>
      <c r="I1964">
        <v>757.27786880415294</v>
      </c>
      <c r="J1964">
        <f t="shared" si="30"/>
        <v>3</v>
      </c>
    </row>
    <row r="1965" spans="1:10" x14ac:dyDescent="0.25">
      <c r="A1965" t="s">
        <v>2272</v>
      </c>
      <c r="B1965" t="s">
        <v>411</v>
      </c>
      <c r="C1965" t="s">
        <v>230</v>
      </c>
      <c r="D1965" s="1">
        <v>45359</v>
      </c>
      <c r="E1965">
        <v>8</v>
      </c>
      <c r="F1965">
        <v>15.6567752584247</v>
      </c>
      <c r="G1965" s="1">
        <v>45369</v>
      </c>
      <c r="H1965" s="1">
        <v>45375</v>
      </c>
      <c r="I1965">
        <v>125.254202067398</v>
      </c>
      <c r="J1965">
        <f t="shared" si="30"/>
        <v>6</v>
      </c>
    </row>
    <row r="1966" spans="1:10" x14ac:dyDescent="0.25">
      <c r="A1966" t="s">
        <v>2273</v>
      </c>
      <c r="B1966" t="s">
        <v>686</v>
      </c>
      <c r="C1966" t="s">
        <v>477</v>
      </c>
      <c r="D1966" s="1">
        <v>44999</v>
      </c>
      <c r="E1966">
        <v>12</v>
      </c>
      <c r="F1966">
        <v>56.586382338056502</v>
      </c>
      <c r="G1966" s="1">
        <v>45020</v>
      </c>
      <c r="H1966" s="1">
        <v>45026</v>
      </c>
      <c r="I1966">
        <v>679.03658805667897</v>
      </c>
      <c r="J1966">
        <f t="shared" si="30"/>
        <v>6</v>
      </c>
    </row>
    <row r="1967" spans="1:10" x14ac:dyDescent="0.25">
      <c r="A1967" t="s">
        <v>2274</v>
      </c>
      <c r="B1967" t="s">
        <v>288</v>
      </c>
      <c r="C1967" t="s">
        <v>693</v>
      </c>
      <c r="D1967" s="1">
        <v>45171</v>
      </c>
      <c r="E1967">
        <v>11</v>
      </c>
      <c r="F1967">
        <v>34.721837820912299</v>
      </c>
      <c r="G1967" s="1">
        <v>45188</v>
      </c>
      <c r="H1967" s="1">
        <v>45188</v>
      </c>
      <c r="I1967">
        <v>381.940216030035</v>
      </c>
      <c r="J1967">
        <f t="shared" si="30"/>
        <v>0</v>
      </c>
    </row>
    <row r="1968" spans="1:10" x14ac:dyDescent="0.25">
      <c r="A1968" t="s">
        <v>2275</v>
      </c>
      <c r="B1968" t="s">
        <v>31</v>
      </c>
      <c r="C1968" t="s">
        <v>594</v>
      </c>
      <c r="D1968" s="1">
        <v>44265</v>
      </c>
      <c r="E1968">
        <v>8</v>
      </c>
      <c r="F1968">
        <v>48.191350895150499</v>
      </c>
      <c r="G1968" s="1">
        <v>44288</v>
      </c>
      <c r="H1968" s="1">
        <v>44288</v>
      </c>
      <c r="I1968">
        <v>385.530807161204</v>
      </c>
      <c r="J1968">
        <f t="shared" si="30"/>
        <v>0</v>
      </c>
    </row>
    <row r="1969" spans="1:10" x14ac:dyDescent="0.25">
      <c r="A1969" t="s">
        <v>2276</v>
      </c>
      <c r="B1969" t="s">
        <v>216</v>
      </c>
      <c r="C1969" t="s">
        <v>432</v>
      </c>
      <c r="D1969" s="1">
        <v>44707</v>
      </c>
      <c r="E1969">
        <v>16</v>
      </c>
      <c r="F1969">
        <v>76.713229049903802</v>
      </c>
      <c r="G1969" s="1">
        <v>44730</v>
      </c>
      <c r="H1969" s="1">
        <v>44735</v>
      </c>
      <c r="I1969">
        <v>1227.4116647984599</v>
      </c>
      <c r="J1969">
        <f t="shared" si="30"/>
        <v>5</v>
      </c>
    </row>
    <row r="1970" spans="1:10" x14ac:dyDescent="0.25">
      <c r="A1970" t="s">
        <v>2277</v>
      </c>
      <c r="B1970" t="s">
        <v>482</v>
      </c>
      <c r="C1970" t="s">
        <v>125</v>
      </c>
      <c r="D1970" s="1">
        <v>45064</v>
      </c>
      <c r="E1970">
        <v>14</v>
      </c>
      <c r="F1970">
        <v>11.4767689906715</v>
      </c>
      <c r="G1970" s="1">
        <v>45088</v>
      </c>
      <c r="H1970" s="1">
        <v>45087</v>
      </c>
      <c r="I1970">
        <v>160.67476586940199</v>
      </c>
      <c r="J1970">
        <f t="shared" si="30"/>
        <v>-1</v>
      </c>
    </row>
    <row r="1971" spans="1:10" x14ac:dyDescent="0.25">
      <c r="A1971" t="s">
        <v>2278</v>
      </c>
      <c r="B1971" t="s">
        <v>10</v>
      </c>
      <c r="C1971" t="s">
        <v>222</v>
      </c>
      <c r="D1971" s="1">
        <v>44747</v>
      </c>
      <c r="E1971">
        <v>11</v>
      </c>
      <c r="F1971">
        <v>35.529180339211301</v>
      </c>
      <c r="G1971" s="1">
        <v>44771</v>
      </c>
      <c r="H1971" s="1">
        <v>44774</v>
      </c>
      <c r="I1971">
        <v>390.82098373132402</v>
      </c>
      <c r="J1971">
        <f t="shared" si="30"/>
        <v>3</v>
      </c>
    </row>
    <row r="1972" spans="1:10" x14ac:dyDescent="0.25">
      <c r="A1972" t="s">
        <v>2279</v>
      </c>
      <c r="B1972" t="s">
        <v>82</v>
      </c>
      <c r="C1972" t="s">
        <v>272</v>
      </c>
      <c r="D1972" s="1">
        <v>44589</v>
      </c>
      <c r="E1972">
        <v>9</v>
      </c>
      <c r="F1972">
        <v>4.7453642067590396</v>
      </c>
      <c r="G1972" s="1">
        <v>44606</v>
      </c>
      <c r="H1972" s="1">
        <v>44608</v>
      </c>
      <c r="I1972">
        <v>42.708277860831402</v>
      </c>
      <c r="J1972">
        <f t="shared" si="30"/>
        <v>2</v>
      </c>
    </row>
    <row r="1973" spans="1:10" x14ac:dyDescent="0.25">
      <c r="A1973" t="s">
        <v>2280</v>
      </c>
      <c r="B1973" t="s">
        <v>578</v>
      </c>
      <c r="C1973" t="s">
        <v>302</v>
      </c>
      <c r="D1973" s="1">
        <v>45012</v>
      </c>
      <c r="E1973">
        <v>9</v>
      </c>
      <c r="F1973">
        <v>3.0702788725445598</v>
      </c>
      <c r="G1973" s="1">
        <v>45026</v>
      </c>
      <c r="H1973" s="1">
        <v>45026</v>
      </c>
      <c r="I1973">
        <v>27.632509852900998</v>
      </c>
      <c r="J1973">
        <f t="shared" si="30"/>
        <v>0</v>
      </c>
    </row>
    <row r="1974" spans="1:10" x14ac:dyDescent="0.25">
      <c r="A1974" t="s">
        <v>2281</v>
      </c>
      <c r="B1974" t="s">
        <v>64</v>
      </c>
      <c r="C1974" t="s">
        <v>338</v>
      </c>
      <c r="D1974" s="1">
        <v>44289</v>
      </c>
      <c r="E1974">
        <v>16</v>
      </c>
      <c r="F1974">
        <v>37.1989097969971</v>
      </c>
      <c r="G1974" s="1">
        <v>44307</v>
      </c>
      <c r="H1974" s="1">
        <v>44313</v>
      </c>
      <c r="I1974">
        <v>595.18255675195405</v>
      </c>
      <c r="J1974">
        <f t="shared" si="30"/>
        <v>6</v>
      </c>
    </row>
    <row r="1975" spans="1:10" x14ac:dyDescent="0.25">
      <c r="A1975" t="s">
        <v>2282</v>
      </c>
      <c r="B1975" t="s">
        <v>442</v>
      </c>
      <c r="C1975" t="s">
        <v>308</v>
      </c>
      <c r="D1975" s="1">
        <v>45181</v>
      </c>
      <c r="E1975">
        <v>5</v>
      </c>
      <c r="F1975">
        <v>64.935528906757199</v>
      </c>
      <c r="G1975" s="1">
        <v>45191</v>
      </c>
      <c r="H1975" s="1">
        <v>45190</v>
      </c>
      <c r="I1975">
        <v>324.67764453378601</v>
      </c>
      <c r="J1975">
        <f t="shared" si="30"/>
        <v>-1</v>
      </c>
    </row>
    <row r="1976" spans="1:10" x14ac:dyDescent="0.25">
      <c r="A1976" t="s">
        <v>2283</v>
      </c>
      <c r="B1976" t="s">
        <v>135</v>
      </c>
      <c r="C1976" t="s">
        <v>581</v>
      </c>
      <c r="D1976" s="1">
        <v>44737</v>
      </c>
      <c r="E1976">
        <v>7</v>
      </c>
      <c r="F1976">
        <v>66.899697779050896</v>
      </c>
      <c r="G1976" s="1">
        <v>44751</v>
      </c>
      <c r="H1976" s="1">
        <v>44755</v>
      </c>
      <c r="I1976">
        <v>468.297884453356</v>
      </c>
      <c r="J1976">
        <f t="shared" si="30"/>
        <v>4</v>
      </c>
    </row>
    <row r="1977" spans="1:10" x14ac:dyDescent="0.25">
      <c r="A1977" t="s">
        <v>2284</v>
      </c>
      <c r="B1977" t="s">
        <v>482</v>
      </c>
      <c r="C1977" t="s">
        <v>182</v>
      </c>
      <c r="D1977" s="1">
        <v>44819</v>
      </c>
      <c r="E1977">
        <v>13</v>
      </c>
      <c r="F1977">
        <v>5.2759423360945501</v>
      </c>
      <c r="G1977" s="1">
        <v>44842</v>
      </c>
      <c r="H1977" s="1">
        <v>44841</v>
      </c>
      <c r="I1977">
        <v>68.587250369229096</v>
      </c>
      <c r="J1977">
        <f t="shared" si="30"/>
        <v>-1</v>
      </c>
    </row>
    <row r="1978" spans="1:10" x14ac:dyDescent="0.25">
      <c r="A1978" t="s">
        <v>2285</v>
      </c>
      <c r="B1978" t="s">
        <v>475</v>
      </c>
      <c r="C1978" t="s">
        <v>172</v>
      </c>
      <c r="D1978" s="1">
        <v>44961</v>
      </c>
      <c r="E1978">
        <v>6</v>
      </c>
      <c r="F1978">
        <v>62.587475470144803</v>
      </c>
      <c r="G1978" s="1">
        <v>44981</v>
      </c>
      <c r="H1978" s="1">
        <v>44979</v>
      </c>
      <c r="I1978">
        <v>375.52485282086798</v>
      </c>
      <c r="J1978">
        <f t="shared" si="30"/>
        <v>-2</v>
      </c>
    </row>
    <row r="1979" spans="1:10" x14ac:dyDescent="0.25">
      <c r="A1979" t="s">
        <v>2286</v>
      </c>
      <c r="B1979" t="s">
        <v>198</v>
      </c>
      <c r="C1979" t="s">
        <v>177</v>
      </c>
      <c r="D1979" s="1">
        <v>44805</v>
      </c>
      <c r="E1979">
        <v>9</v>
      </c>
      <c r="F1979">
        <v>24.5196179164626</v>
      </c>
      <c r="G1979" s="1">
        <v>44829</v>
      </c>
      <c r="H1979" s="1">
        <v>44833</v>
      </c>
      <c r="I1979">
        <v>220.67656124816301</v>
      </c>
      <c r="J1979">
        <f t="shared" si="30"/>
        <v>4</v>
      </c>
    </row>
    <row r="1980" spans="1:10" x14ac:dyDescent="0.25">
      <c r="A1980" t="s">
        <v>2287</v>
      </c>
      <c r="B1980" t="s">
        <v>394</v>
      </c>
      <c r="C1980" t="s">
        <v>629</v>
      </c>
      <c r="D1980" s="1">
        <v>44528</v>
      </c>
      <c r="E1980">
        <v>6</v>
      </c>
      <c r="F1980">
        <v>25.821389830684598</v>
      </c>
      <c r="G1980" s="1">
        <v>44540</v>
      </c>
      <c r="H1980" s="1">
        <v>44544</v>
      </c>
      <c r="I1980">
        <v>154.928338984107</v>
      </c>
      <c r="J1980">
        <f t="shared" si="30"/>
        <v>4</v>
      </c>
    </row>
    <row r="1981" spans="1:10" x14ac:dyDescent="0.25">
      <c r="A1981" t="s">
        <v>2288</v>
      </c>
      <c r="B1981" t="s">
        <v>124</v>
      </c>
      <c r="C1981" t="s">
        <v>547</v>
      </c>
      <c r="D1981" s="1">
        <v>44259</v>
      </c>
      <c r="E1981">
        <v>11</v>
      </c>
      <c r="F1981">
        <v>51.437526129411097</v>
      </c>
      <c r="G1981" s="1">
        <v>44275</v>
      </c>
      <c r="H1981" s="1">
        <v>44280</v>
      </c>
      <c r="I1981">
        <v>565.81278742352197</v>
      </c>
      <c r="J1981">
        <f t="shared" si="30"/>
        <v>5</v>
      </c>
    </row>
    <row r="1982" spans="1:10" x14ac:dyDescent="0.25">
      <c r="A1982" t="s">
        <v>2289</v>
      </c>
      <c r="B1982" t="s">
        <v>321</v>
      </c>
      <c r="C1982" t="s">
        <v>434</v>
      </c>
      <c r="D1982" s="1">
        <v>44229</v>
      </c>
      <c r="E1982">
        <v>11</v>
      </c>
      <c r="F1982">
        <v>30.4569180825563</v>
      </c>
      <c r="G1982" s="1">
        <v>44250</v>
      </c>
      <c r="H1982" s="1">
        <v>44255</v>
      </c>
      <c r="I1982">
        <v>335.02609890811902</v>
      </c>
      <c r="J1982">
        <f t="shared" si="30"/>
        <v>5</v>
      </c>
    </row>
    <row r="1983" spans="1:10" x14ac:dyDescent="0.25">
      <c r="A1983" t="s">
        <v>2290</v>
      </c>
      <c r="B1983" t="s">
        <v>31</v>
      </c>
      <c r="C1983" t="s">
        <v>693</v>
      </c>
      <c r="D1983" s="1">
        <v>44427</v>
      </c>
      <c r="E1983">
        <v>13</v>
      </c>
      <c r="F1983">
        <v>29.078764969667802</v>
      </c>
      <c r="G1983" s="1">
        <v>44448</v>
      </c>
      <c r="H1983" s="1">
        <v>44447</v>
      </c>
      <c r="I1983">
        <v>378.023944605682</v>
      </c>
      <c r="J1983">
        <f t="shared" si="30"/>
        <v>-1</v>
      </c>
    </row>
    <row r="1984" spans="1:10" x14ac:dyDescent="0.25">
      <c r="A1984" t="s">
        <v>2291</v>
      </c>
      <c r="B1984" t="s">
        <v>493</v>
      </c>
      <c r="C1984" t="s">
        <v>402</v>
      </c>
      <c r="D1984" s="1">
        <v>44707</v>
      </c>
      <c r="E1984">
        <v>9</v>
      </c>
      <c r="F1984">
        <v>30.199398071440299</v>
      </c>
      <c r="G1984" s="1">
        <v>44730</v>
      </c>
      <c r="H1984" s="1">
        <v>44727</v>
      </c>
      <c r="I1984">
        <v>271.79458264296301</v>
      </c>
      <c r="J1984">
        <f t="shared" si="30"/>
        <v>-3</v>
      </c>
    </row>
    <row r="1985" spans="1:10" x14ac:dyDescent="0.25">
      <c r="A1985" t="s">
        <v>2292</v>
      </c>
      <c r="B1985" t="s">
        <v>242</v>
      </c>
      <c r="C1985" t="s">
        <v>383</v>
      </c>
      <c r="D1985" s="1">
        <v>44573</v>
      </c>
      <c r="E1985">
        <v>12</v>
      </c>
      <c r="F1985">
        <v>65.729946415553798</v>
      </c>
      <c r="G1985" s="1">
        <v>44591</v>
      </c>
      <c r="H1985" s="1">
        <v>44593</v>
      </c>
      <c r="I1985">
        <v>788.759356986645</v>
      </c>
      <c r="J1985">
        <f t="shared" si="30"/>
        <v>2</v>
      </c>
    </row>
    <row r="1986" spans="1:10" x14ac:dyDescent="0.25">
      <c r="A1986" t="s">
        <v>2293</v>
      </c>
      <c r="B1986" t="s">
        <v>253</v>
      </c>
      <c r="C1986" t="s">
        <v>527</v>
      </c>
      <c r="D1986" s="1">
        <v>44426</v>
      </c>
      <c r="E1986">
        <v>15</v>
      </c>
      <c r="F1986">
        <v>11.451465306307099</v>
      </c>
      <c r="G1986" s="1">
        <v>44437</v>
      </c>
      <c r="H1986" s="1">
        <v>44438</v>
      </c>
      <c r="I1986">
        <v>171.77197959460699</v>
      </c>
      <c r="J1986">
        <f t="shared" si="30"/>
        <v>1</v>
      </c>
    </row>
    <row r="1987" spans="1:10" x14ac:dyDescent="0.25">
      <c r="A1987" t="s">
        <v>2294</v>
      </c>
      <c r="B1987" t="s">
        <v>242</v>
      </c>
      <c r="C1987" t="s">
        <v>220</v>
      </c>
      <c r="D1987" s="1">
        <v>44235</v>
      </c>
      <c r="E1987">
        <v>14</v>
      </c>
      <c r="F1987">
        <v>35.578379585833403</v>
      </c>
      <c r="G1987" s="1">
        <v>44255</v>
      </c>
      <c r="H1987" s="1">
        <v>44261</v>
      </c>
      <c r="I1987">
        <v>498.09731420166798</v>
      </c>
      <c r="J1987">
        <f t="shared" ref="J1987:J2001" si="31">H1987-G1987</f>
        <v>6</v>
      </c>
    </row>
    <row r="1988" spans="1:10" x14ac:dyDescent="0.25">
      <c r="A1988" t="s">
        <v>2295</v>
      </c>
      <c r="B1988" t="s">
        <v>189</v>
      </c>
      <c r="C1988" t="s">
        <v>498</v>
      </c>
      <c r="D1988" s="1">
        <v>45085</v>
      </c>
      <c r="E1988">
        <v>11</v>
      </c>
      <c r="F1988">
        <v>30.033821701816802</v>
      </c>
      <c r="G1988" s="1">
        <v>45107</v>
      </c>
      <c r="H1988" s="1">
        <v>45110</v>
      </c>
      <c r="I1988">
        <v>330.37203871998503</v>
      </c>
      <c r="J1988">
        <f t="shared" si="31"/>
        <v>3</v>
      </c>
    </row>
    <row r="1989" spans="1:10" x14ac:dyDescent="0.25">
      <c r="A1989" t="s">
        <v>2296</v>
      </c>
      <c r="B1989" t="s">
        <v>186</v>
      </c>
      <c r="C1989" t="s">
        <v>654</v>
      </c>
      <c r="D1989" s="1">
        <v>45216</v>
      </c>
      <c r="E1989">
        <v>12</v>
      </c>
      <c r="F1989">
        <v>54.181602891685202</v>
      </c>
      <c r="G1989" s="1">
        <v>45238</v>
      </c>
      <c r="H1989" s="1">
        <v>45239</v>
      </c>
      <c r="I1989">
        <v>650.17923470022197</v>
      </c>
      <c r="J1989">
        <f t="shared" si="31"/>
        <v>1</v>
      </c>
    </row>
    <row r="1990" spans="1:10" x14ac:dyDescent="0.25">
      <c r="A1990" t="s">
        <v>2297</v>
      </c>
      <c r="B1990" t="s">
        <v>442</v>
      </c>
      <c r="C1990" t="s">
        <v>112</v>
      </c>
      <c r="D1990" s="1">
        <v>44850</v>
      </c>
      <c r="E1990">
        <v>5</v>
      </c>
      <c r="F1990">
        <v>24.3619163956077</v>
      </c>
      <c r="G1990" s="1">
        <v>44872</v>
      </c>
      <c r="H1990" s="1">
        <v>44871</v>
      </c>
      <c r="I1990">
        <v>121.809581978038</v>
      </c>
      <c r="J1990">
        <f t="shared" si="31"/>
        <v>-1</v>
      </c>
    </row>
    <row r="1991" spans="1:10" x14ac:dyDescent="0.25">
      <c r="A1991" t="s">
        <v>2298</v>
      </c>
      <c r="B1991" t="s">
        <v>207</v>
      </c>
      <c r="C1991" t="s">
        <v>152</v>
      </c>
      <c r="D1991" s="1">
        <v>44685</v>
      </c>
      <c r="E1991">
        <v>10</v>
      </c>
      <c r="F1991">
        <v>55.170824487145197</v>
      </c>
      <c r="G1991" s="1">
        <v>44695</v>
      </c>
      <c r="H1991" s="1">
        <v>44699</v>
      </c>
      <c r="I1991">
        <v>551.70824487145205</v>
      </c>
      <c r="J1991">
        <f t="shared" si="31"/>
        <v>4</v>
      </c>
    </row>
    <row r="1992" spans="1:10" x14ac:dyDescent="0.25">
      <c r="A1992" t="s">
        <v>2299</v>
      </c>
      <c r="B1992" t="s">
        <v>22</v>
      </c>
      <c r="C1992" t="s">
        <v>518</v>
      </c>
      <c r="D1992" s="1">
        <v>45035</v>
      </c>
      <c r="E1992">
        <v>9</v>
      </c>
      <c r="F1992">
        <v>54.030984113619503</v>
      </c>
      <c r="G1992" s="1">
        <v>45045</v>
      </c>
      <c r="H1992" s="1">
        <v>45046</v>
      </c>
      <c r="I1992">
        <v>486.27885702257601</v>
      </c>
      <c r="J1992">
        <f t="shared" si="31"/>
        <v>1</v>
      </c>
    </row>
    <row r="1993" spans="1:10" x14ac:dyDescent="0.25">
      <c r="A1993" t="s">
        <v>2300</v>
      </c>
      <c r="B1993" t="s">
        <v>28</v>
      </c>
      <c r="C1993" t="s">
        <v>180</v>
      </c>
      <c r="D1993" s="1">
        <v>45226</v>
      </c>
      <c r="E1993">
        <v>16</v>
      </c>
      <c r="F1993">
        <v>63.262215910549401</v>
      </c>
      <c r="G1993" s="1">
        <v>45244</v>
      </c>
      <c r="H1993" s="1">
        <v>45241</v>
      </c>
      <c r="I1993">
        <v>1012.19545456879</v>
      </c>
      <c r="J1993">
        <f t="shared" si="31"/>
        <v>-3</v>
      </c>
    </row>
    <row r="1994" spans="1:10" x14ac:dyDescent="0.25">
      <c r="A1994" t="s">
        <v>2301</v>
      </c>
      <c r="B1994" t="s">
        <v>686</v>
      </c>
      <c r="C1994" t="s">
        <v>353</v>
      </c>
      <c r="D1994" s="1">
        <v>44513</v>
      </c>
      <c r="E1994">
        <v>13</v>
      </c>
      <c r="F1994">
        <v>39.292226001902598</v>
      </c>
      <c r="G1994" s="1">
        <v>44533</v>
      </c>
      <c r="H1994" s="1">
        <v>44533</v>
      </c>
      <c r="I1994">
        <v>510.79893802473401</v>
      </c>
      <c r="J1994">
        <f t="shared" si="31"/>
        <v>0</v>
      </c>
    </row>
    <row r="1995" spans="1:10" x14ac:dyDescent="0.25">
      <c r="A1995" t="s">
        <v>2302</v>
      </c>
      <c r="B1995" t="s">
        <v>324</v>
      </c>
      <c r="C1995" t="s">
        <v>80</v>
      </c>
      <c r="D1995" s="1">
        <v>44872</v>
      </c>
      <c r="E1995">
        <v>15</v>
      </c>
      <c r="F1995">
        <v>22.651896626508901</v>
      </c>
      <c r="G1995" s="1">
        <v>44884</v>
      </c>
      <c r="H1995" s="1">
        <v>44886</v>
      </c>
      <c r="I1995">
        <v>339.77844939763401</v>
      </c>
      <c r="J1995">
        <f t="shared" si="31"/>
        <v>2</v>
      </c>
    </row>
    <row r="1996" spans="1:10" x14ac:dyDescent="0.25">
      <c r="A1996" t="s">
        <v>2303</v>
      </c>
      <c r="B1996" t="s">
        <v>154</v>
      </c>
      <c r="C1996" t="s">
        <v>23</v>
      </c>
      <c r="D1996" s="1">
        <v>44434</v>
      </c>
      <c r="E1996">
        <v>17</v>
      </c>
      <c r="F1996">
        <v>57.937884192137801</v>
      </c>
      <c r="G1996" s="1">
        <v>44454</v>
      </c>
      <c r="H1996" s="1">
        <v>44455</v>
      </c>
      <c r="I1996">
        <v>984.94403126634199</v>
      </c>
      <c r="J1996">
        <f t="shared" si="31"/>
        <v>1</v>
      </c>
    </row>
    <row r="1997" spans="1:10" x14ac:dyDescent="0.25">
      <c r="A1997" t="s">
        <v>2304</v>
      </c>
      <c r="B1997" t="s">
        <v>34</v>
      </c>
      <c r="C1997" t="s">
        <v>268</v>
      </c>
      <c r="D1997" s="1">
        <v>44207</v>
      </c>
      <c r="E1997">
        <v>12</v>
      </c>
      <c r="F1997">
        <v>15.1381321802612</v>
      </c>
      <c r="G1997" s="1">
        <v>44218</v>
      </c>
      <c r="H1997" s="1">
        <v>44218</v>
      </c>
      <c r="I1997">
        <v>181.657586163134</v>
      </c>
      <c r="J1997">
        <f t="shared" si="31"/>
        <v>0</v>
      </c>
    </row>
    <row r="1998" spans="1:10" x14ac:dyDescent="0.25">
      <c r="A1998" t="s">
        <v>2305</v>
      </c>
      <c r="B1998" t="s">
        <v>564</v>
      </c>
      <c r="C1998" t="s">
        <v>559</v>
      </c>
      <c r="D1998" s="1">
        <v>44624</v>
      </c>
      <c r="E1998">
        <v>11</v>
      </c>
      <c r="F1998">
        <v>74.858864923681693</v>
      </c>
      <c r="G1998" s="1">
        <v>44639</v>
      </c>
      <c r="H1998" s="1">
        <v>44641</v>
      </c>
      <c r="I1998">
        <v>823.44751416049803</v>
      </c>
      <c r="J1998">
        <f t="shared" si="31"/>
        <v>2</v>
      </c>
    </row>
    <row r="1999" spans="1:10" x14ac:dyDescent="0.25">
      <c r="A1999" t="s">
        <v>2306</v>
      </c>
      <c r="B1999" t="s">
        <v>472</v>
      </c>
      <c r="C1999" t="s">
        <v>128</v>
      </c>
      <c r="D1999" s="1">
        <v>44986</v>
      </c>
      <c r="E1999">
        <v>7</v>
      </c>
      <c r="F1999">
        <v>35.946680457516997</v>
      </c>
      <c r="G1999" s="1">
        <v>45005</v>
      </c>
      <c r="H1999" s="1">
        <v>45009</v>
      </c>
      <c r="I1999">
        <v>251.626763202619</v>
      </c>
      <c r="J1999">
        <f t="shared" si="31"/>
        <v>4</v>
      </c>
    </row>
    <row r="2000" spans="1:10" x14ac:dyDescent="0.25">
      <c r="A2000" t="s">
        <v>2307</v>
      </c>
      <c r="B2000" t="s">
        <v>686</v>
      </c>
      <c r="C2000" t="s">
        <v>434</v>
      </c>
      <c r="D2000" s="1">
        <v>45020</v>
      </c>
      <c r="E2000">
        <v>12</v>
      </c>
      <c r="F2000">
        <v>41.442689086575697</v>
      </c>
      <c r="G2000" s="1">
        <v>45033</v>
      </c>
      <c r="H2000" s="1">
        <v>45036</v>
      </c>
      <c r="I2000">
        <v>497.31226903890899</v>
      </c>
      <c r="J2000">
        <f t="shared" si="31"/>
        <v>3</v>
      </c>
    </row>
    <row r="2001" spans="1:10" x14ac:dyDescent="0.25">
      <c r="A2001" t="s">
        <v>2308</v>
      </c>
      <c r="B2001" t="s">
        <v>140</v>
      </c>
      <c r="C2001" t="s">
        <v>35</v>
      </c>
      <c r="D2001" s="1">
        <v>44911</v>
      </c>
      <c r="E2001">
        <v>5</v>
      </c>
      <c r="F2001">
        <v>44.087850681643502</v>
      </c>
      <c r="G2001" s="1">
        <v>44930</v>
      </c>
      <c r="H2001" s="1">
        <v>44933</v>
      </c>
      <c r="I2001">
        <v>220.43925340821701</v>
      </c>
      <c r="J2001">
        <f t="shared" si="31"/>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C16" sqref="C16"/>
    </sheetView>
  </sheetViews>
  <sheetFormatPr defaultRowHeight="15" x14ac:dyDescent="0.25"/>
  <cols>
    <col min="1" max="1" width="19.5703125" bestFit="1" customWidth="1"/>
    <col min="2" max="2" width="58.7109375" bestFit="1" customWidth="1"/>
    <col min="3" max="3" width="49.5703125" bestFit="1" customWidth="1"/>
    <col min="4" max="4" width="33.85546875" bestFit="1" customWidth="1"/>
    <col min="5" max="5" width="15.5703125" bestFit="1" customWidth="1"/>
    <col min="6" max="6" width="20.28515625" bestFit="1" customWidth="1"/>
    <col min="7" max="7" width="25.5703125" bestFit="1" customWidth="1"/>
    <col min="8" max="8" width="13.28515625" bestFit="1" customWidth="1"/>
  </cols>
  <sheetData>
    <row r="1" spans="1:4" x14ac:dyDescent="0.25">
      <c r="A1" t="s">
        <v>2310</v>
      </c>
      <c r="B1" t="s">
        <v>2311</v>
      </c>
      <c r="C1" t="s">
        <v>2312</v>
      </c>
      <c r="D1" t="s">
        <v>2313</v>
      </c>
    </row>
    <row r="2" spans="1:4" x14ac:dyDescent="0.25">
      <c r="A2" t="s">
        <v>2314</v>
      </c>
      <c r="B2" t="s">
        <v>2315</v>
      </c>
      <c r="C2" t="s">
        <v>2319</v>
      </c>
      <c r="D2" t="s">
        <v>2323</v>
      </c>
    </row>
    <row r="3" spans="1:4" x14ac:dyDescent="0.25">
      <c r="A3" t="s">
        <v>2314</v>
      </c>
      <c r="B3" t="s">
        <v>2316</v>
      </c>
      <c r="C3" t="s">
        <v>2320</v>
      </c>
      <c r="D3" t="s">
        <v>2323</v>
      </c>
    </row>
    <row r="4" spans="1:4" x14ac:dyDescent="0.25">
      <c r="A4" t="s">
        <v>2314</v>
      </c>
      <c r="B4" t="s">
        <v>2317</v>
      </c>
      <c r="C4" t="s">
        <v>2321</v>
      </c>
      <c r="D4" t="s">
        <v>2323</v>
      </c>
    </row>
    <row r="5" spans="1:4" x14ac:dyDescent="0.25">
      <c r="A5" t="s">
        <v>2314</v>
      </c>
      <c r="B5" t="s">
        <v>2318</v>
      </c>
      <c r="C5" t="s">
        <v>2322</v>
      </c>
      <c r="D5" t="s">
        <v>2323</v>
      </c>
    </row>
    <row r="6" spans="1:4" x14ac:dyDescent="0.25">
      <c r="A6" t="s">
        <v>2443</v>
      </c>
      <c r="B6" t="s">
        <v>2315</v>
      </c>
      <c r="C6" t="s">
        <v>2450</v>
      </c>
      <c r="D6" t="s">
        <v>2323</v>
      </c>
    </row>
    <row r="7" spans="1:4" x14ac:dyDescent="0.25">
      <c r="A7" t="s">
        <v>2451</v>
      </c>
      <c r="B7" t="s">
        <v>2452</v>
      </c>
      <c r="C7" s="4" t="s">
        <v>2453</v>
      </c>
      <c r="D7" s="3" t="s">
        <v>2454</v>
      </c>
    </row>
    <row r="8" spans="1:4" x14ac:dyDescent="0.25">
      <c r="A8" t="s">
        <v>2451</v>
      </c>
      <c r="B8" s="4" t="s">
        <v>2457</v>
      </c>
      <c r="C8" t="s">
        <v>2458</v>
      </c>
      <c r="D8" t="s">
        <v>2323</v>
      </c>
    </row>
    <row r="9" spans="1:4" x14ac:dyDescent="0.25">
      <c r="A9" t="s">
        <v>2451</v>
      </c>
      <c r="B9" t="s">
        <v>2461</v>
      </c>
      <c r="C9" t="s">
        <v>2462</v>
      </c>
      <c r="D9" t="s">
        <v>2323</v>
      </c>
    </row>
    <row r="10" spans="1:4" x14ac:dyDescent="0.25">
      <c r="A10" t="s">
        <v>2468</v>
      </c>
      <c r="B10" t="s">
        <v>2469</v>
      </c>
      <c r="C10" t="s">
        <v>2470</v>
      </c>
      <c r="D10" t="s">
        <v>2471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I5" sqref="I5"/>
    </sheetView>
  </sheetViews>
  <sheetFormatPr defaultRowHeight="15" x14ac:dyDescent="0.25"/>
  <cols>
    <col min="1" max="1" width="11.28515625" bestFit="1" customWidth="1"/>
    <col min="2" max="2" width="21.5703125" bestFit="1" customWidth="1"/>
    <col min="3" max="3" width="9" bestFit="1" customWidth="1"/>
    <col min="4" max="4" width="7.42578125" bestFit="1" customWidth="1"/>
    <col min="5" max="5" width="22.85546875" bestFit="1" customWidth="1"/>
    <col min="6" max="6" width="18" bestFit="1" customWidth="1"/>
    <col min="7" max="7" width="23" bestFit="1" customWidth="1"/>
  </cols>
  <sheetData>
    <row r="1" spans="1:7" x14ac:dyDescent="0.25">
      <c r="A1" t="s">
        <v>1</v>
      </c>
      <c r="B1" t="s">
        <v>2324</v>
      </c>
      <c r="C1" t="s">
        <v>2325</v>
      </c>
      <c r="D1" t="s">
        <v>2326</v>
      </c>
      <c r="E1" t="s">
        <v>2327</v>
      </c>
      <c r="F1" t="s">
        <v>2328</v>
      </c>
      <c r="G1" t="s">
        <v>2329</v>
      </c>
    </row>
    <row r="2" spans="1:7" x14ac:dyDescent="0.25">
      <c r="A2" t="s">
        <v>130</v>
      </c>
      <c r="B2" t="s">
        <v>2330</v>
      </c>
      <c r="C2" t="s">
        <v>2331</v>
      </c>
      <c r="D2" t="s">
        <v>2332</v>
      </c>
      <c r="E2">
        <v>0.75</v>
      </c>
      <c r="F2" t="s">
        <v>2333</v>
      </c>
      <c r="G2">
        <v>0</v>
      </c>
    </row>
    <row r="3" spans="1:7" x14ac:dyDescent="0.25">
      <c r="A3" t="s">
        <v>686</v>
      </c>
      <c r="B3" t="s">
        <v>2334</v>
      </c>
      <c r="C3" t="s">
        <v>2335</v>
      </c>
      <c r="D3" t="s">
        <v>2336</v>
      </c>
      <c r="E3">
        <v>0.8</v>
      </c>
      <c r="F3" t="s">
        <v>2337</v>
      </c>
      <c r="G3">
        <v>0</v>
      </c>
    </row>
    <row r="4" spans="1:7" x14ac:dyDescent="0.25">
      <c r="A4" t="s">
        <v>564</v>
      </c>
      <c r="B4" t="s">
        <v>2338</v>
      </c>
      <c r="C4" t="s">
        <v>2339</v>
      </c>
      <c r="D4" t="s">
        <v>2340</v>
      </c>
      <c r="E4">
        <v>0.62</v>
      </c>
      <c r="F4" t="s">
        <v>2341</v>
      </c>
      <c r="G4">
        <v>1</v>
      </c>
    </row>
    <row r="5" spans="1:7" x14ac:dyDescent="0.25">
      <c r="A5" t="s">
        <v>99</v>
      </c>
      <c r="B5" t="s">
        <v>2342</v>
      </c>
      <c r="C5" t="s">
        <v>2331</v>
      </c>
      <c r="D5" t="s">
        <v>2343</v>
      </c>
      <c r="E5">
        <v>0.66</v>
      </c>
      <c r="F5" t="s">
        <v>2337</v>
      </c>
      <c r="G5">
        <v>0</v>
      </c>
    </row>
    <row r="6" spans="1:7" x14ac:dyDescent="0.25">
      <c r="A6" t="s">
        <v>61</v>
      </c>
      <c r="B6" t="s">
        <v>2344</v>
      </c>
      <c r="C6" t="s">
        <v>2345</v>
      </c>
      <c r="D6" t="s">
        <v>2343</v>
      </c>
      <c r="E6">
        <v>0.89</v>
      </c>
      <c r="F6" t="s">
        <v>2337</v>
      </c>
      <c r="G6">
        <v>1</v>
      </c>
    </row>
    <row r="7" spans="1:7" x14ac:dyDescent="0.25">
      <c r="A7" t="s">
        <v>379</v>
      </c>
      <c r="B7" t="s">
        <v>2346</v>
      </c>
      <c r="C7" t="s">
        <v>2331</v>
      </c>
      <c r="D7" t="s">
        <v>2347</v>
      </c>
      <c r="E7">
        <v>0.63</v>
      </c>
      <c r="F7" t="s">
        <v>2341</v>
      </c>
      <c r="G7">
        <v>1</v>
      </c>
    </row>
    <row r="8" spans="1:7" x14ac:dyDescent="0.25">
      <c r="A8" t="s">
        <v>85</v>
      </c>
      <c r="B8" t="s">
        <v>2348</v>
      </c>
      <c r="C8" t="s">
        <v>2335</v>
      </c>
      <c r="D8" t="s">
        <v>2347</v>
      </c>
      <c r="E8">
        <v>0.84</v>
      </c>
      <c r="F8" t="s">
        <v>2337</v>
      </c>
      <c r="G8">
        <v>1</v>
      </c>
    </row>
    <row r="9" spans="1:7" x14ac:dyDescent="0.25">
      <c r="A9" t="s">
        <v>382</v>
      </c>
      <c r="B9" t="s">
        <v>2349</v>
      </c>
      <c r="C9" t="s">
        <v>2331</v>
      </c>
      <c r="D9" t="s">
        <v>2340</v>
      </c>
      <c r="E9">
        <v>0.7</v>
      </c>
      <c r="F9" t="s">
        <v>2333</v>
      </c>
      <c r="G9">
        <v>0</v>
      </c>
    </row>
    <row r="10" spans="1:7" x14ac:dyDescent="0.25">
      <c r="A10" t="s">
        <v>751</v>
      </c>
      <c r="B10" t="s">
        <v>2350</v>
      </c>
      <c r="C10" t="s">
        <v>2335</v>
      </c>
      <c r="D10" t="s">
        <v>2343</v>
      </c>
      <c r="E10">
        <v>0.75</v>
      </c>
      <c r="F10" t="s">
        <v>2337</v>
      </c>
      <c r="G10">
        <v>1</v>
      </c>
    </row>
    <row r="11" spans="1:7" x14ac:dyDescent="0.25">
      <c r="A11" t="s">
        <v>427</v>
      </c>
      <c r="B11" t="s">
        <v>2351</v>
      </c>
      <c r="C11" t="s">
        <v>2352</v>
      </c>
      <c r="D11" t="s">
        <v>2340</v>
      </c>
      <c r="E11">
        <v>0.71</v>
      </c>
      <c r="F11" t="s">
        <v>2333</v>
      </c>
      <c r="G11">
        <v>0</v>
      </c>
    </row>
    <row r="12" spans="1:7" x14ac:dyDescent="0.25">
      <c r="A12" t="s">
        <v>135</v>
      </c>
      <c r="B12" t="s">
        <v>2353</v>
      </c>
      <c r="C12" t="s">
        <v>2354</v>
      </c>
      <c r="D12" t="s">
        <v>2347</v>
      </c>
      <c r="E12">
        <v>0.74</v>
      </c>
      <c r="F12" t="s">
        <v>2333</v>
      </c>
      <c r="G12">
        <v>1</v>
      </c>
    </row>
    <row r="13" spans="1:7" x14ac:dyDescent="0.25">
      <c r="A13" t="s">
        <v>493</v>
      </c>
      <c r="B13" t="s">
        <v>2355</v>
      </c>
      <c r="C13" t="s">
        <v>2335</v>
      </c>
      <c r="D13" t="s">
        <v>2347</v>
      </c>
      <c r="E13">
        <v>0.88</v>
      </c>
      <c r="F13" t="s">
        <v>2333</v>
      </c>
      <c r="G13">
        <v>0</v>
      </c>
    </row>
    <row r="14" spans="1:7" x14ac:dyDescent="0.25">
      <c r="A14" t="s">
        <v>114</v>
      </c>
      <c r="B14" t="s">
        <v>2356</v>
      </c>
      <c r="C14" t="s">
        <v>2335</v>
      </c>
      <c r="D14" t="s">
        <v>2343</v>
      </c>
      <c r="E14">
        <v>0.72</v>
      </c>
      <c r="F14" t="s">
        <v>2357</v>
      </c>
      <c r="G14">
        <v>1</v>
      </c>
    </row>
    <row r="15" spans="1:7" x14ac:dyDescent="0.25">
      <c r="A15" t="s">
        <v>247</v>
      </c>
      <c r="B15" t="s">
        <v>2358</v>
      </c>
      <c r="C15" t="s">
        <v>2359</v>
      </c>
      <c r="D15" t="s">
        <v>2332</v>
      </c>
      <c r="E15">
        <v>0.82</v>
      </c>
      <c r="F15" t="s">
        <v>2337</v>
      </c>
      <c r="G15">
        <v>0</v>
      </c>
    </row>
    <row r="16" spans="1:7" x14ac:dyDescent="0.25">
      <c r="A16" t="s">
        <v>205</v>
      </c>
      <c r="B16" t="s">
        <v>2360</v>
      </c>
      <c r="C16" t="s">
        <v>2335</v>
      </c>
      <c r="D16" t="s">
        <v>2336</v>
      </c>
      <c r="E16">
        <v>0.79</v>
      </c>
      <c r="F16" t="s">
        <v>2341</v>
      </c>
      <c r="G16">
        <v>1</v>
      </c>
    </row>
    <row r="17" spans="1:7" x14ac:dyDescent="0.25">
      <c r="A17" t="s">
        <v>143</v>
      </c>
      <c r="B17" t="s">
        <v>2361</v>
      </c>
      <c r="C17" t="s">
        <v>2335</v>
      </c>
      <c r="D17" t="s">
        <v>2347</v>
      </c>
      <c r="E17">
        <v>0.86</v>
      </c>
      <c r="F17" t="s">
        <v>2341</v>
      </c>
      <c r="G17">
        <v>0</v>
      </c>
    </row>
    <row r="18" spans="1:7" x14ac:dyDescent="0.25">
      <c r="A18" t="s">
        <v>207</v>
      </c>
      <c r="B18" t="s">
        <v>2362</v>
      </c>
      <c r="C18" t="s">
        <v>2339</v>
      </c>
      <c r="D18" t="s">
        <v>2347</v>
      </c>
      <c r="E18">
        <v>0.97</v>
      </c>
      <c r="F18" t="s">
        <v>2337</v>
      </c>
      <c r="G18">
        <v>0</v>
      </c>
    </row>
    <row r="19" spans="1:7" x14ac:dyDescent="0.25">
      <c r="A19" t="s">
        <v>34</v>
      </c>
      <c r="B19" t="s">
        <v>2363</v>
      </c>
      <c r="C19" t="s">
        <v>2354</v>
      </c>
      <c r="D19" t="s">
        <v>2332</v>
      </c>
      <c r="E19">
        <v>0.89</v>
      </c>
      <c r="F19" t="s">
        <v>2357</v>
      </c>
      <c r="G19">
        <v>0</v>
      </c>
    </row>
    <row r="20" spans="1:7" x14ac:dyDescent="0.25">
      <c r="A20" t="s">
        <v>261</v>
      </c>
      <c r="B20" t="s">
        <v>2364</v>
      </c>
      <c r="C20" t="s">
        <v>2352</v>
      </c>
      <c r="D20" t="s">
        <v>2332</v>
      </c>
      <c r="E20">
        <v>0.68</v>
      </c>
      <c r="F20" t="s">
        <v>2357</v>
      </c>
      <c r="G20">
        <v>0</v>
      </c>
    </row>
    <row r="21" spans="1:7" x14ac:dyDescent="0.25">
      <c r="A21" t="s">
        <v>82</v>
      </c>
      <c r="B21" t="s">
        <v>2365</v>
      </c>
      <c r="C21" t="s">
        <v>2345</v>
      </c>
      <c r="D21" t="s">
        <v>2340</v>
      </c>
      <c r="E21">
        <v>0.61</v>
      </c>
      <c r="F21" t="s">
        <v>2333</v>
      </c>
      <c r="G21">
        <v>1</v>
      </c>
    </row>
    <row r="22" spans="1:7" x14ac:dyDescent="0.25">
      <c r="A22" t="s">
        <v>67</v>
      </c>
      <c r="B22" t="s">
        <v>2366</v>
      </c>
      <c r="C22" t="s">
        <v>2359</v>
      </c>
      <c r="D22" t="s">
        <v>2340</v>
      </c>
      <c r="E22">
        <v>0.7</v>
      </c>
      <c r="F22" t="s">
        <v>2337</v>
      </c>
      <c r="G22">
        <v>1</v>
      </c>
    </row>
    <row r="23" spans="1:7" x14ac:dyDescent="0.25">
      <c r="A23" t="s">
        <v>250</v>
      </c>
      <c r="B23" t="s">
        <v>2367</v>
      </c>
      <c r="C23" t="s">
        <v>2339</v>
      </c>
      <c r="D23" t="s">
        <v>2336</v>
      </c>
      <c r="E23">
        <v>0.83</v>
      </c>
      <c r="F23" t="s">
        <v>2337</v>
      </c>
      <c r="G23">
        <v>0</v>
      </c>
    </row>
    <row r="24" spans="1:7" x14ac:dyDescent="0.25">
      <c r="A24" t="s">
        <v>19</v>
      </c>
      <c r="B24" t="s">
        <v>2368</v>
      </c>
      <c r="C24" t="s">
        <v>2369</v>
      </c>
      <c r="D24" t="s">
        <v>2336</v>
      </c>
      <c r="E24">
        <v>0.62</v>
      </c>
      <c r="F24" t="s">
        <v>2341</v>
      </c>
      <c r="G24">
        <v>1</v>
      </c>
    </row>
    <row r="25" spans="1:7" x14ac:dyDescent="0.25">
      <c r="A25" t="s">
        <v>25</v>
      </c>
      <c r="B25" t="s">
        <v>2370</v>
      </c>
      <c r="C25" t="s">
        <v>2354</v>
      </c>
      <c r="D25" t="s">
        <v>2343</v>
      </c>
      <c r="E25">
        <v>0.79</v>
      </c>
      <c r="F25" t="s">
        <v>2337</v>
      </c>
      <c r="G25">
        <v>0</v>
      </c>
    </row>
    <row r="26" spans="1:7" x14ac:dyDescent="0.25">
      <c r="A26" t="s">
        <v>28</v>
      </c>
      <c r="B26" t="s">
        <v>2371</v>
      </c>
      <c r="C26" t="s">
        <v>2352</v>
      </c>
      <c r="D26" t="s">
        <v>2340</v>
      </c>
      <c r="E26">
        <v>0.83</v>
      </c>
      <c r="F26" t="s">
        <v>2357</v>
      </c>
      <c r="G26">
        <v>0</v>
      </c>
    </row>
    <row r="27" spans="1:7" x14ac:dyDescent="0.25">
      <c r="A27" t="s">
        <v>174</v>
      </c>
      <c r="B27" t="s">
        <v>2372</v>
      </c>
      <c r="C27" t="s">
        <v>2352</v>
      </c>
      <c r="D27" t="s">
        <v>2347</v>
      </c>
      <c r="E27">
        <v>0.73</v>
      </c>
      <c r="F27" t="s">
        <v>2337</v>
      </c>
      <c r="G27">
        <v>1</v>
      </c>
    </row>
    <row r="28" spans="1:7" x14ac:dyDescent="0.25">
      <c r="A28" t="s">
        <v>216</v>
      </c>
      <c r="B28" t="s">
        <v>2373</v>
      </c>
      <c r="C28" t="s">
        <v>2369</v>
      </c>
      <c r="D28" t="s">
        <v>2340</v>
      </c>
      <c r="E28">
        <v>0.9</v>
      </c>
      <c r="F28" t="s">
        <v>2341</v>
      </c>
      <c r="G28">
        <v>0</v>
      </c>
    </row>
    <row r="29" spans="1:7" x14ac:dyDescent="0.25">
      <c r="A29" t="s">
        <v>578</v>
      </c>
      <c r="B29" t="s">
        <v>2374</v>
      </c>
      <c r="C29" t="s">
        <v>2345</v>
      </c>
      <c r="D29" t="s">
        <v>2347</v>
      </c>
      <c r="E29">
        <v>0.64</v>
      </c>
      <c r="F29" t="s">
        <v>2333</v>
      </c>
      <c r="G29">
        <v>0</v>
      </c>
    </row>
    <row r="30" spans="1:7" x14ac:dyDescent="0.25">
      <c r="A30" t="s">
        <v>186</v>
      </c>
      <c r="B30" t="s">
        <v>2375</v>
      </c>
      <c r="C30" t="s">
        <v>2335</v>
      </c>
      <c r="D30" t="s">
        <v>2332</v>
      </c>
      <c r="E30">
        <v>0.63</v>
      </c>
      <c r="F30" t="s">
        <v>2341</v>
      </c>
      <c r="G30">
        <v>1</v>
      </c>
    </row>
    <row r="31" spans="1:7" x14ac:dyDescent="0.25">
      <c r="A31" t="s">
        <v>104</v>
      </c>
      <c r="B31" t="s">
        <v>2376</v>
      </c>
      <c r="C31" t="s">
        <v>2339</v>
      </c>
      <c r="D31" t="s">
        <v>2340</v>
      </c>
      <c r="E31">
        <v>0.88</v>
      </c>
      <c r="F31" t="s">
        <v>2341</v>
      </c>
      <c r="G31">
        <v>0</v>
      </c>
    </row>
    <row r="32" spans="1:7" x14ac:dyDescent="0.25">
      <c r="A32" t="s">
        <v>121</v>
      </c>
      <c r="B32" t="s">
        <v>2377</v>
      </c>
      <c r="C32" t="s">
        <v>2331</v>
      </c>
      <c r="D32" t="s">
        <v>2332</v>
      </c>
      <c r="E32">
        <v>0.79</v>
      </c>
      <c r="F32" t="s">
        <v>2333</v>
      </c>
      <c r="G32">
        <v>0</v>
      </c>
    </row>
    <row r="33" spans="1:7" x14ac:dyDescent="0.25">
      <c r="A33" t="s">
        <v>55</v>
      </c>
      <c r="B33" t="s">
        <v>2378</v>
      </c>
      <c r="C33" t="s">
        <v>2359</v>
      </c>
      <c r="D33" t="s">
        <v>2336</v>
      </c>
      <c r="E33">
        <v>0.87</v>
      </c>
      <c r="F33" t="s">
        <v>2341</v>
      </c>
      <c r="G33">
        <v>0</v>
      </c>
    </row>
    <row r="34" spans="1:7" x14ac:dyDescent="0.25">
      <c r="A34" t="s">
        <v>219</v>
      </c>
      <c r="B34" t="s">
        <v>2379</v>
      </c>
      <c r="C34" t="s">
        <v>2331</v>
      </c>
      <c r="D34" t="s">
        <v>2336</v>
      </c>
      <c r="E34">
        <v>0.77</v>
      </c>
      <c r="F34" t="s">
        <v>2341</v>
      </c>
      <c r="G34">
        <v>0</v>
      </c>
    </row>
    <row r="35" spans="1:7" x14ac:dyDescent="0.25">
      <c r="A35" t="s">
        <v>295</v>
      </c>
      <c r="B35" t="s">
        <v>2380</v>
      </c>
      <c r="C35" t="s">
        <v>2369</v>
      </c>
      <c r="D35" t="s">
        <v>2343</v>
      </c>
      <c r="E35">
        <v>0.7</v>
      </c>
      <c r="F35" t="s">
        <v>2337</v>
      </c>
      <c r="G35">
        <v>1</v>
      </c>
    </row>
    <row r="36" spans="1:7" x14ac:dyDescent="0.25">
      <c r="A36" t="s">
        <v>88</v>
      </c>
      <c r="B36" t="s">
        <v>2381</v>
      </c>
      <c r="C36" t="s">
        <v>2352</v>
      </c>
      <c r="D36" t="s">
        <v>2340</v>
      </c>
      <c r="E36">
        <v>0.92</v>
      </c>
      <c r="F36" t="s">
        <v>2337</v>
      </c>
      <c r="G36">
        <v>1</v>
      </c>
    </row>
    <row r="37" spans="1:7" x14ac:dyDescent="0.25">
      <c r="A37" t="s">
        <v>154</v>
      </c>
      <c r="B37" t="s">
        <v>2382</v>
      </c>
      <c r="C37" t="s">
        <v>2345</v>
      </c>
      <c r="D37" t="s">
        <v>2332</v>
      </c>
      <c r="E37">
        <v>0.91</v>
      </c>
      <c r="F37" t="s">
        <v>2333</v>
      </c>
      <c r="G37">
        <v>1</v>
      </c>
    </row>
    <row r="38" spans="1:7" x14ac:dyDescent="0.25">
      <c r="A38" t="s">
        <v>179</v>
      </c>
      <c r="B38" t="s">
        <v>2383</v>
      </c>
      <c r="C38" t="s">
        <v>2352</v>
      </c>
      <c r="D38" t="s">
        <v>2347</v>
      </c>
      <c r="E38">
        <v>0.87</v>
      </c>
      <c r="F38" t="s">
        <v>2337</v>
      </c>
      <c r="G38">
        <v>0</v>
      </c>
    </row>
    <row r="39" spans="1:7" x14ac:dyDescent="0.25">
      <c r="A39" t="s">
        <v>124</v>
      </c>
      <c r="B39" t="s">
        <v>2384</v>
      </c>
      <c r="C39" t="s">
        <v>2359</v>
      </c>
      <c r="D39" t="s">
        <v>2336</v>
      </c>
      <c r="E39">
        <v>0.71</v>
      </c>
      <c r="F39" t="s">
        <v>2337</v>
      </c>
      <c r="G39">
        <v>0</v>
      </c>
    </row>
    <row r="40" spans="1:7" x14ac:dyDescent="0.25">
      <c r="A40" t="s">
        <v>31</v>
      </c>
      <c r="B40" t="s">
        <v>2385</v>
      </c>
      <c r="C40" t="s">
        <v>2352</v>
      </c>
      <c r="D40" t="s">
        <v>2336</v>
      </c>
      <c r="E40">
        <v>0.83</v>
      </c>
      <c r="F40" t="s">
        <v>2341</v>
      </c>
      <c r="G40">
        <v>1</v>
      </c>
    </row>
    <row r="41" spans="1:7" x14ac:dyDescent="0.25">
      <c r="A41" t="s">
        <v>242</v>
      </c>
      <c r="B41" t="s">
        <v>2386</v>
      </c>
      <c r="C41" t="s">
        <v>2352</v>
      </c>
      <c r="D41" t="s">
        <v>2347</v>
      </c>
      <c r="E41">
        <v>0.74</v>
      </c>
      <c r="F41" t="s">
        <v>2357</v>
      </c>
      <c r="G41">
        <v>0</v>
      </c>
    </row>
    <row r="42" spans="1:7" x14ac:dyDescent="0.25">
      <c r="A42" t="s">
        <v>324</v>
      </c>
      <c r="B42" t="s">
        <v>2387</v>
      </c>
      <c r="C42" t="s">
        <v>2359</v>
      </c>
      <c r="D42" t="s">
        <v>2332</v>
      </c>
      <c r="E42">
        <v>0.64</v>
      </c>
      <c r="F42" t="s">
        <v>2337</v>
      </c>
      <c r="G42">
        <v>0</v>
      </c>
    </row>
    <row r="43" spans="1:7" x14ac:dyDescent="0.25">
      <c r="A43" t="s">
        <v>267</v>
      </c>
      <c r="B43" t="s">
        <v>2388</v>
      </c>
      <c r="C43" t="s">
        <v>2339</v>
      </c>
      <c r="D43" t="s">
        <v>2332</v>
      </c>
      <c r="E43">
        <v>0.96</v>
      </c>
      <c r="F43" t="s">
        <v>2357</v>
      </c>
      <c r="G43">
        <v>0</v>
      </c>
    </row>
    <row r="44" spans="1:7" x14ac:dyDescent="0.25">
      <c r="A44" t="s">
        <v>79</v>
      </c>
      <c r="B44" t="s">
        <v>2389</v>
      </c>
      <c r="C44" t="s">
        <v>2339</v>
      </c>
      <c r="D44" t="s">
        <v>2340</v>
      </c>
      <c r="E44">
        <v>0.65</v>
      </c>
      <c r="F44" t="s">
        <v>2337</v>
      </c>
      <c r="G44">
        <v>0</v>
      </c>
    </row>
    <row r="45" spans="1:7" x14ac:dyDescent="0.25">
      <c r="A45" t="s">
        <v>73</v>
      </c>
      <c r="B45" t="s">
        <v>2365</v>
      </c>
      <c r="C45" t="s">
        <v>2359</v>
      </c>
      <c r="D45" t="s">
        <v>2340</v>
      </c>
      <c r="E45">
        <v>0.97</v>
      </c>
      <c r="F45" t="s">
        <v>2337</v>
      </c>
      <c r="G45">
        <v>1</v>
      </c>
    </row>
    <row r="46" spans="1:7" x14ac:dyDescent="0.25">
      <c r="A46" t="s">
        <v>472</v>
      </c>
      <c r="B46" t="s">
        <v>2390</v>
      </c>
      <c r="C46" t="s">
        <v>2345</v>
      </c>
      <c r="D46" t="s">
        <v>2343</v>
      </c>
      <c r="E46">
        <v>0.77</v>
      </c>
      <c r="F46" t="s">
        <v>2333</v>
      </c>
      <c r="G46">
        <v>1</v>
      </c>
    </row>
    <row r="47" spans="1:7" x14ac:dyDescent="0.25">
      <c r="A47" t="s">
        <v>253</v>
      </c>
      <c r="B47" t="s">
        <v>2391</v>
      </c>
      <c r="C47" t="s">
        <v>2369</v>
      </c>
      <c r="D47" t="s">
        <v>2336</v>
      </c>
      <c r="E47">
        <v>0.67</v>
      </c>
      <c r="F47" t="s">
        <v>2333</v>
      </c>
      <c r="G47">
        <v>1</v>
      </c>
    </row>
    <row r="48" spans="1:7" x14ac:dyDescent="0.25">
      <c r="A48" t="s">
        <v>617</v>
      </c>
      <c r="B48" t="s">
        <v>2392</v>
      </c>
      <c r="C48" t="s">
        <v>2354</v>
      </c>
      <c r="D48" t="s">
        <v>2340</v>
      </c>
      <c r="E48">
        <v>0.81</v>
      </c>
      <c r="F48" t="s">
        <v>2333</v>
      </c>
      <c r="G48">
        <v>0</v>
      </c>
    </row>
    <row r="49" spans="1:7" x14ac:dyDescent="0.25">
      <c r="A49" t="s">
        <v>22</v>
      </c>
      <c r="B49" t="s">
        <v>2393</v>
      </c>
      <c r="C49" t="s">
        <v>2352</v>
      </c>
      <c r="D49" t="s">
        <v>2332</v>
      </c>
      <c r="E49">
        <v>0.94</v>
      </c>
      <c r="F49" t="s">
        <v>2357</v>
      </c>
      <c r="G49">
        <v>1</v>
      </c>
    </row>
    <row r="50" spans="1:7" x14ac:dyDescent="0.25">
      <c r="A50" t="s">
        <v>442</v>
      </c>
      <c r="B50" t="s">
        <v>2394</v>
      </c>
      <c r="C50" t="s">
        <v>2345</v>
      </c>
      <c r="D50" t="s">
        <v>2347</v>
      </c>
      <c r="E50">
        <v>0.89</v>
      </c>
      <c r="F50" t="s">
        <v>2341</v>
      </c>
      <c r="G50">
        <v>1</v>
      </c>
    </row>
    <row r="51" spans="1:7" x14ac:dyDescent="0.25">
      <c r="A51" t="s">
        <v>350</v>
      </c>
      <c r="B51" t="s">
        <v>2395</v>
      </c>
      <c r="C51" t="s">
        <v>2352</v>
      </c>
      <c r="D51" t="s">
        <v>2332</v>
      </c>
      <c r="E51">
        <v>0.91</v>
      </c>
      <c r="F51" t="s">
        <v>2337</v>
      </c>
      <c r="G51">
        <v>0</v>
      </c>
    </row>
    <row r="52" spans="1:7" x14ac:dyDescent="0.25">
      <c r="A52" t="s">
        <v>240</v>
      </c>
      <c r="B52" t="s">
        <v>2396</v>
      </c>
      <c r="C52" t="s">
        <v>2354</v>
      </c>
      <c r="D52" t="s">
        <v>2336</v>
      </c>
      <c r="E52">
        <v>0.86</v>
      </c>
      <c r="F52" t="s">
        <v>2337</v>
      </c>
      <c r="G52">
        <v>0</v>
      </c>
    </row>
    <row r="53" spans="1:7" x14ac:dyDescent="0.25">
      <c r="A53" t="s">
        <v>394</v>
      </c>
      <c r="B53" t="s">
        <v>2397</v>
      </c>
      <c r="C53" t="s">
        <v>2369</v>
      </c>
      <c r="D53" t="s">
        <v>2332</v>
      </c>
      <c r="E53">
        <v>0.87</v>
      </c>
      <c r="F53" t="s">
        <v>2337</v>
      </c>
      <c r="G53">
        <v>1</v>
      </c>
    </row>
    <row r="54" spans="1:7" x14ac:dyDescent="0.25">
      <c r="A54" t="s">
        <v>64</v>
      </c>
      <c r="B54" t="s">
        <v>2398</v>
      </c>
      <c r="C54" t="s">
        <v>2339</v>
      </c>
      <c r="D54" t="s">
        <v>2343</v>
      </c>
      <c r="E54">
        <v>0.93</v>
      </c>
      <c r="F54" t="s">
        <v>2357</v>
      </c>
      <c r="G54">
        <v>1</v>
      </c>
    </row>
    <row r="55" spans="1:7" x14ac:dyDescent="0.25">
      <c r="A55" t="s">
        <v>326</v>
      </c>
      <c r="B55" t="s">
        <v>2399</v>
      </c>
      <c r="C55" t="s">
        <v>2345</v>
      </c>
      <c r="D55" t="s">
        <v>2336</v>
      </c>
      <c r="E55">
        <v>0.7</v>
      </c>
      <c r="F55" t="s">
        <v>2333</v>
      </c>
      <c r="G55">
        <v>1</v>
      </c>
    </row>
    <row r="56" spans="1:7" x14ac:dyDescent="0.25">
      <c r="A56" t="s">
        <v>194</v>
      </c>
      <c r="B56" t="s">
        <v>2400</v>
      </c>
      <c r="C56" t="s">
        <v>2335</v>
      </c>
      <c r="D56" t="s">
        <v>2347</v>
      </c>
      <c r="E56">
        <v>0.79</v>
      </c>
      <c r="F56" t="s">
        <v>2341</v>
      </c>
      <c r="G56">
        <v>1</v>
      </c>
    </row>
    <row r="57" spans="1:7" x14ac:dyDescent="0.25">
      <c r="A57" t="s">
        <v>49</v>
      </c>
      <c r="B57" t="s">
        <v>2401</v>
      </c>
      <c r="C57" t="s">
        <v>2335</v>
      </c>
      <c r="D57" t="s">
        <v>2343</v>
      </c>
      <c r="E57">
        <v>0.69</v>
      </c>
      <c r="F57" t="s">
        <v>2357</v>
      </c>
      <c r="G57">
        <v>0</v>
      </c>
    </row>
    <row r="58" spans="1:7" x14ac:dyDescent="0.25">
      <c r="A58" t="s">
        <v>299</v>
      </c>
      <c r="B58" t="s">
        <v>2402</v>
      </c>
      <c r="C58" t="s">
        <v>2354</v>
      </c>
      <c r="D58" t="s">
        <v>2336</v>
      </c>
      <c r="E58">
        <v>0.99</v>
      </c>
      <c r="F58" t="s">
        <v>2333</v>
      </c>
      <c r="G58">
        <v>1</v>
      </c>
    </row>
    <row r="59" spans="1:7" x14ac:dyDescent="0.25">
      <c r="A59" t="s">
        <v>482</v>
      </c>
      <c r="B59" t="s">
        <v>2403</v>
      </c>
      <c r="C59" t="s">
        <v>2335</v>
      </c>
      <c r="D59" t="s">
        <v>2347</v>
      </c>
      <c r="E59">
        <v>0.97</v>
      </c>
      <c r="F59" t="s">
        <v>2357</v>
      </c>
      <c r="G59">
        <v>1</v>
      </c>
    </row>
    <row r="60" spans="1:7" x14ac:dyDescent="0.25">
      <c r="A60" t="s">
        <v>10</v>
      </c>
      <c r="B60" t="s">
        <v>2404</v>
      </c>
      <c r="C60" t="s">
        <v>2339</v>
      </c>
      <c r="D60" t="s">
        <v>2343</v>
      </c>
      <c r="E60">
        <v>0.62</v>
      </c>
      <c r="F60" t="s">
        <v>2341</v>
      </c>
      <c r="G60">
        <v>0</v>
      </c>
    </row>
    <row r="61" spans="1:7" x14ac:dyDescent="0.25">
      <c r="A61" t="s">
        <v>475</v>
      </c>
      <c r="B61" t="s">
        <v>2405</v>
      </c>
      <c r="C61" t="s">
        <v>2354</v>
      </c>
      <c r="D61" t="s">
        <v>2343</v>
      </c>
      <c r="E61">
        <v>0.88</v>
      </c>
      <c r="F61" t="s">
        <v>2333</v>
      </c>
      <c r="G61">
        <v>1</v>
      </c>
    </row>
    <row r="62" spans="1:7" x14ac:dyDescent="0.25">
      <c r="A62" t="s">
        <v>321</v>
      </c>
      <c r="B62" t="s">
        <v>2394</v>
      </c>
      <c r="C62" t="s">
        <v>2339</v>
      </c>
      <c r="D62" t="s">
        <v>2336</v>
      </c>
      <c r="E62">
        <v>0.96</v>
      </c>
      <c r="F62" t="s">
        <v>2357</v>
      </c>
      <c r="G62">
        <v>0</v>
      </c>
    </row>
    <row r="63" spans="1:7" x14ac:dyDescent="0.25">
      <c r="A63" t="s">
        <v>399</v>
      </c>
      <c r="B63" t="s">
        <v>2406</v>
      </c>
      <c r="C63" t="s">
        <v>2369</v>
      </c>
      <c r="D63" t="s">
        <v>2340</v>
      </c>
      <c r="E63">
        <v>0.67</v>
      </c>
      <c r="F63" t="s">
        <v>2341</v>
      </c>
      <c r="G63">
        <v>0</v>
      </c>
    </row>
    <row r="64" spans="1:7" x14ac:dyDescent="0.25">
      <c r="A64" t="s">
        <v>109</v>
      </c>
      <c r="B64" t="s">
        <v>2407</v>
      </c>
      <c r="C64" t="s">
        <v>2352</v>
      </c>
      <c r="D64" t="s">
        <v>2343</v>
      </c>
      <c r="E64">
        <v>0.82</v>
      </c>
      <c r="F64" t="s">
        <v>2337</v>
      </c>
      <c r="G64">
        <v>0</v>
      </c>
    </row>
    <row r="65" spans="1:7" x14ac:dyDescent="0.25">
      <c r="A65" t="s">
        <v>411</v>
      </c>
      <c r="B65" t="s">
        <v>2342</v>
      </c>
      <c r="C65" t="s">
        <v>2369</v>
      </c>
      <c r="D65" t="s">
        <v>2343</v>
      </c>
      <c r="E65">
        <v>0.96</v>
      </c>
      <c r="F65" t="s">
        <v>2341</v>
      </c>
      <c r="G65">
        <v>1</v>
      </c>
    </row>
    <row r="66" spans="1:7" x14ac:dyDescent="0.25">
      <c r="A66" t="s">
        <v>58</v>
      </c>
      <c r="B66" t="s">
        <v>2408</v>
      </c>
      <c r="C66" t="s">
        <v>2369</v>
      </c>
      <c r="D66" t="s">
        <v>2347</v>
      </c>
      <c r="E66">
        <v>0.61</v>
      </c>
      <c r="F66" t="s">
        <v>2337</v>
      </c>
      <c r="G66">
        <v>1</v>
      </c>
    </row>
    <row r="67" spans="1:7" x14ac:dyDescent="0.25">
      <c r="A67" t="s">
        <v>288</v>
      </c>
      <c r="B67" t="s">
        <v>2409</v>
      </c>
      <c r="C67" t="s">
        <v>2339</v>
      </c>
      <c r="D67" t="s">
        <v>2332</v>
      </c>
      <c r="E67">
        <v>0.87</v>
      </c>
      <c r="F67" t="s">
        <v>2357</v>
      </c>
      <c r="G67">
        <v>0</v>
      </c>
    </row>
    <row r="68" spans="1:7" x14ac:dyDescent="0.25">
      <c r="A68" t="s">
        <v>76</v>
      </c>
      <c r="B68" t="s">
        <v>2410</v>
      </c>
      <c r="C68" t="s">
        <v>2354</v>
      </c>
      <c r="D68" t="s">
        <v>2336</v>
      </c>
      <c r="E68">
        <v>0.72</v>
      </c>
      <c r="F68" t="s">
        <v>2333</v>
      </c>
      <c r="G68">
        <v>1</v>
      </c>
    </row>
    <row r="69" spans="1:7" x14ac:dyDescent="0.25">
      <c r="A69" t="s">
        <v>46</v>
      </c>
      <c r="B69" t="s">
        <v>2411</v>
      </c>
      <c r="C69" t="s">
        <v>2354</v>
      </c>
      <c r="D69" t="s">
        <v>2336</v>
      </c>
      <c r="E69">
        <v>0.96</v>
      </c>
      <c r="F69" t="s">
        <v>2333</v>
      </c>
      <c r="G69">
        <v>1</v>
      </c>
    </row>
    <row r="70" spans="1:7" x14ac:dyDescent="0.25">
      <c r="A70" t="s">
        <v>556</v>
      </c>
      <c r="B70" t="s">
        <v>2412</v>
      </c>
      <c r="C70" t="s">
        <v>2335</v>
      </c>
      <c r="D70" t="s">
        <v>2340</v>
      </c>
      <c r="E70">
        <v>0.98</v>
      </c>
      <c r="F70" t="s">
        <v>2357</v>
      </c>
      <c r="G70">
        <v>0</v>
      </c>
    </row>
    <row r="71" spans="1:7" x14ac:dyDescent="0.25">
      <c r="A71" t="s">
        <v>119</v>
      </c>
      <c r="B71" t="s">
        <v>2413</v>
      </c>
      <c r="C71" t="s">
        <v>2331</v>
      </c>
      <c r="D71" t="s">
        <v>2340</v>
      </c>
      <c r="E71">
        <v>0.97</v>
      </c>
      <c r="F71" t="s">
        <v>2333</v>
      </c>
      <c r="G71">
        <v>0</v>
      </c>
    </row>
    <row r="72" spans="1:7" x14ac:dyDescent="0.25">
      <c r="A72" t="s">
        <v>198</v>
      </c>
      <c r="B72" t="s">
        <v>2414</v>
      </c>
      <c r="C72" t="s">
        <v>2352</v>
      </c>
      <c r="D72" t="s">
        <v>2336</v>
      </c>
      <c r="E72">
        <v>0.78</v>
      </c>
      <c r="F72" t="s">
        <v>2333</v>
      </c>
      <c r="G72">
        <v>1</v>
      </c>
    </row>
    <row r="73" spans="1:7" x14ac:dyDescent="0.25">
      <c r="A73" t="s">
        <v>451</v>
      </c>
      <c r="B73" t="s">
        <v>2415</v>
      </c>
      <c r="C73" t="s">
        <v>2339</v>
      </c>
      <c r="D73" t="s">
        <v>2340</v>
      </c>
      <c r="E73">
        <v>0.94</v>
      </c>
      <c r="F73" t="s">
        <v>2337</v>
      </c>
      <c r="G73">
        <v>0</v>
      </c>
    </row>
    <row r="74" spans="1:7" x14ac:dyDescent="0.25">
      <c r="A74" t="s">
        <v>160</v>
      </c>
      <c r="B74" t="s">
        <v>2416</v>
      </c>
      <c r="C74" t="s">
        <v>2335</v>
      </c>
      <c r="D74" t="s">
        <v>2347</v>
      </c>
      <c r="E74">
        <v>0.93</v>
      </c>
      <c r="F74" t="s">
        <v>2357</v>
      </c>
      <c r="G74">
        <v>1</v>
      </c>
    </row>
    <row r="75" spans="1:7" x14ac:dyDescent="0.25">
      <c r="A75" t="s">
        <v>189</v>
      </c>
      <c r="B75" t="s">
        <v>2417</v>
      </c>
      <c r="C75" t="s">
        <v>2345</v>
      </c>
      <c r="D75" t="s">
        <v>2336</v>
      </c>
      <c r="E75">
        <v>0.72</v>
      </c>
      <c r="F75" t="s">
        <v>2341</v>
      </c>
      <c r="G75">
        <v>1</v>
      </c>
    </row>
    <row r="76" spans="1:7" x14ac:dyDescent="0.25">
      <c r="A76" t="s">
        <v>43</v>
      </c>
      <c r="B76" t="s">
        <v>2418</v>
      </c>
      <c r="C76" t="s">
        <v>2331</v>
      </c>
      <c r="D76" t="s">
        <v>2340</v>
      </c>
      <c r="E76">
        <v>0.92</v>
      </c>
      <c r="F76" t="s">
        <v>2337</v>
      </c>
      <c r="G76">
        <v>1</v>
      </c>
    </row>
    <row r="77" spans="1:7" x14ac:dyDescent="0.25">
      <c r="A77" t="s">
        <v>539</v>
      </c>
      <c r="B77" t="s">
        <v>2419</v>
      </c>
      <c r="C77" t="s">
        <v>2331</v>
      </c>
      <c r="D77" t="s">
        <v>2336</v>
      </c>
      <c r="E77">
        <v>0.61</v>
      </c>
      <c r="F77" t="s">
        <v>2357</v>
      </c>
      <c r="G77">
        <v>1</v>
      </c>
    </row>
    <row r="78" spans="1:7" x14ac:dyDescent="0.25">
      <c r="A78" t="s">
        <v>40</v>
      </c>
      <c r="B78" t="s">
        <v>2420</v>
      </c>
      <c r="C78" t="s">
        <v>2339</v>
      </c>
      <c r="D78" t="s">
        <v>2332</v>
      </c>
      <c r="E78">
        <v>0.83</v>
      </c>
      <c r="F78" t="s">
        <v>2337</v>
      </c>
      <c r="G78">
        <v>0</v>
      </c>
    </row>
    <row r="79" spans="1:7" x14ac:dyDescent="0.25">
      <c r="A79" t="s">
        <v>237</v>
      </c>
      <c r="B79" t="s">
        <v>2421</v>
      </c>
      <c r="C79" t="s">
        <v>2359</v>
      </c>
      <c r="D79" t="s">
        <v>2343</v>
      </c>
      <c r="E79">
        <v>0.69</v>
      </c>
      <c r="F79" t="s">
        <v>2341</v>
      </c>
      <c r="G79">
        <v>0</v>
      </c>
    </row>
    <row r="80" spans="1:7" x14ac:dyDescent="0.25">
      <c r="A80" t="s">
        <v>227</v>
      </c>
      <c r="B80" t="s">
        <v>2422</v>
      </c>
      <c r="C80" t="s">
        <v>2352</v>
      </c>
      <c r="D80" t="s">
        <v>2336</v>
      </c>
      <c r="E80">
        <v>0.65</v>
      </c>
      <c r="F80" t="s">
        <v>2341</v>
      </c>
      <c r="G80">
        <v>0</v>
      </c>
    </row>
    <row r="81" spans="1:7" x14ac:dyDescent="0.25">
      <c r="A81" t="s">
        <v>314</v>
      </c>
      <c r="B81" t="s">
        <v>2423</v>
      </c>
      <c r="C81" t="s">
        <v>2331</v>
      </c>
      <c r="D81" t="s">
        <v>2343</v>
      </c>
      <c r="E81">
        <v>0.63</v>
      </c>
      <c r="F81" t="s">
        <v>2357</v>
      </c>
      <c r="G81">
        <v>0</v>
      </c>
    </row>
    <row r="82" spans="1:7" x14ac:dyDescent="0.25">
      <c r="A82" t="s">
        <v>293</v>
      </c>
      <c r="B82" t="s">
        <v>2424</v>
      </c>
      <c r="C82" t="s">
        <v>2339</v>
      </c>
      <c r="D82" t="s">
        <v>2340</v>
      </c>
      <c r="E82">
        <v>0.87</v>
      </c>
      <c r="F82" t="s">
        <v>2341</v>
      </c>
      <c r="G82">
        <v>1</v>
      </c>
    </row>
    <row r="83" spans="1:7" x14ac:dyDescent="0.25">
      <c r="A83" t="s">
        <v>359</v>
      </c>
      <c r="B83" t="s">
        <v>2425</v>
      </c>
      <c r="C83" t="s">
        <v>2339</v>
      </c>
      <c r="D83" t="s">
        <v>2343</v>
      </c>
      <c r="E83">
        <v>0.73</v>
      </c>
      <c r="F83" t="s">
        <v>2337</v>
      </c>
      <c r="G83">
        <v>1</v>
      </c>
    </row>
    <row r="84" spans="1:7" x14ac:dyDescent="0.25">
      <c r="A84" t="s">
        <v>169</v>
      </c>
      <c r="B84" t="s">
        <v>2426</v>
      </c>
      <c r="C84" t="s">
        <v>2335</v>
      </c>
      <c r="D84" t="s">
        <v>2336</v>
      </c>
      <c r="E84">
        <v>0.88</v>
      </c>
      <c r="F84" t="s">
        <v>2341</v>
      </c>
      <c r="G84">
        <v>0</v>
      </c>
    </row>
    <row r="85" spans="1:7" x14ac:dyDescent="0.25">
      <c r="A85" t="s">
        <v>127</v>
      </c>
      <c r="B85" t="s">
        <v>2427</v>
      </c>
      <c r="C85" t="s">
        <v>2345</v>
      </c>
      <c r="D85" t="s">
        <v>2332</v>
      </c>
      <c r="E85">
        <v>0.63</v>
      </c>
      <c r="F85" t="s">
        <v>2337</v>
      </c>
      <c r="G85">
        <v>1</v>
      </c>
    </row>
    <row r="86" spans="1:7" x14ac:dyDescent="0.25">
      <c r="A86" t="s">
        <v>13</v>
      </c>
      <c r="B86" t="s">
        <v>2428</v>
      </c>
      <c r="C86" t="s">
        <v>2359</v>
      </c>
      <c r="D86" t="s">
        <v>2340</v>
      </c>
      <c r="E86">
        <v>0.72</v>
      </c>
      <c r="F86" t="s">
        <v>2337</v>
      </c>
      <c r="G86">
        <v>1</v>
      </c>
    </row>
    <row r="87" spans="1:7" x14ac:dyDescent="0.25">
      <c r="A87" t="s">
        <v>301</v>
      </c>
      <c r="B87" t="s">
        <v>2429</v>
      </c>
      <c r="C87" t="s">
        <v>2352</v>
      </c>
      <c r="D87" t="s">
        <v>2336</v>
      </c>
      <c r="E87">
        <v>0.81</v>
      </c>
      <c r="F87" t="s">
        <v>2341</v>
      </c>
      <c r="G87">
        <v>1</v>
      </c>
    </row>
    <row r="88" spans="1:7" x14ac:dyDescent="0.25">
      <c r="A88" t="s">
        <v>52</v>
      </c>
      <c r="B88" t="s">
        <v>2430</v>
      </c>
      <c r="C88" t="s">
        <v>2354</v>
      </c>
      <c r="D88" t="s">
        <v>2340</v>
      </c>
      <c r="E88">
        <v>0.91</v>
      </c>
      <c r="F88" t="s">
        <v>2357</v>
      </c>
      <c r="G88">
        <v>0</v>
      </c>
    </row>
    <row r="89" spans="1:7" x14ac:dyDescent="0.25">
      <c r="A89" t="s">
        <v>157</v>
      </c>
      <c r="B89" t="s">
        <v>2431</v>
      </c>
      <c r="C89" t="s">
        <v>2369</v>
      </c>
      <c r="D89" t="s">
        <v>2347</v>
      </c>
      <c r="E89">
        <v>0.72</v>
      </c>
      <c r="F89" t="s">
        <v>2333</v>
      </c>
      <c r="G89">
        <v>0</v>
      </c>
    </row>
    <row r="90" spans="1:7" x14ac:dyDescent="0.25">
      <c r="A90" t="s">
        <v>485</v>
      </c>
      <c r="B90" t="s">
        <v>2432</v>
      </c>
      <c r="C90" t="s">
        <v>2345</v>
      </c>
      <c r="D90" t="s">
        <v>2343</v>
      </c>
      <c r="E90">
        <v>0.84</v>
      </c>
      <c r="F90" t="s">
        <v>2341</v>
      </c>
      <c r="G90">
        <v>0</v>
      </c>
    </row>
    <row r="91" spans="1:7" x14ac:dyDescent="0.25">
      <c r="A91" t="s">
        <v>37</v>
      </c>
      <c r="B91" t="s">
        <v>2433</v>
      </c>
      <c r="C91" t="s">
        <v>2345</v>
      </c>
      <c r="D91" t="s">
        <v>2347</v>
      </c>
      <c r="E91">
        <v>0.95</v>
      </c>
      <c r="F91" t="s">
        <v>2337</v>
      </c>
      <c r="G91">
        <v>1</v>
      </c>
    </row>
    <row r="92" spans="1:7" x14ac:dyDescent="0.25">
      <c r="A92" t="s">
        <v>369</v>
      </c>
      <c r="B92" t="s">
        <v>2434</v>
      </c>
      <c r="C92" t="s">
        <v>2335</v>
      </c>
      <c r="D92" t="s">
        <v>2336</v>
      </c>
      <c r="E92">
        <v>0.84</v>
      </c>
      <c r="F92" t="s">
        <v>2337</v>
      </c>
      <c r="G92">
        <v>0</v>
      </c>
    </row>
    <row r="93" spans="1:7" x14ac:dyDescent="0.25">
      <c r="A93" t="s">
        <v>96</v>
      </c>
      <c r="B93" t="s">
        <v>2435</v>
      </c>
      <c r="C93" t="s">
        <v>2354</v>
      </c>
      <c r="D93" t="s">
        <v>2332</v>
      </c>
      <c r="E93">
        <v>0.69</v>
      </c>
      <c r="F93" t="s">
        <v>2341</v>
      </c>
      <c r="G93">
        <v>0</v>
      </c>
    </row>
    <row r="94" spans="1:7" x14ac:dyDescent="0.25">
      <c r="A94" t="s">
        <v>70</v>
      </c>
      <c r="B94" t="s">
        <v>2436</v>
      </c>
      <c r="C94" t="s">
        <v>2331</v>
      </c>
      <c r="D94" t="s">
        <v>2340</v>
      </c>
      <c r="E94">
        <v>0.61</v>
      </c>
      <c r="F94" t="s">
        <v>2357</v>
      </c>
      <c r="G94">
        <v>0</v>
      </c>
    </row>
    <row r="95" spans="1:7" x14ac:dyDescent="0.25">
      <c r="A95" t="s">
        <v>256</v>
      </c>
      <c r="B95" t="s">
        <v>2437</v>
      </c>
      <c r="C95" t="s">
        <v>2331</v>
      </c>
      <c r="D95" t="s">
        <v>2343</v>
      </c>
      <c r="E95">
        <v>0.94</v>
      </c>
      <c r="F95" t="s">
        <v>2357</v>
      </c>
      <c r="G95">
        <v>0</v>
      </c>
    </row>
    <row r="96" spans="1:7" x14ac:dyDescent="0.25">
      <c r="A96" t="s">
        <v>340</v>
      </c>
      <c r="B96" t="s">
        <v>2438</v>
      </c>
      <c r="C96" t="s">
        <v>2335</v>
      </c>
      <c r="D96" t="s">
        <v>2340</v>
      </c>
      <c r="E96">
        <v>0.61</v>
      </c>
      <c r="F96" t="s">
        <v>2337</v>
      </c>
      <c r="G96">
        <v>0</v>
      </c>
    </row>
    <row r="97" spans="1:7" x14ac:dyDescent="0.25">
      <c r="A97" t="s">
        <v>91</v>
      </c>
      <c r="B97" t="s">
        <v>2439</v>
      </c>
      <c r="C97" t="s">
        <v>2339</v>
      </c>
      <c r="D97" t="s">
        <v>2336</v>
      </c>
      <c r="E97">
        <v>0.94</v>
      </c>
      <c r="F97" t="s">
        <v>2337</v>
      </c>
      <c r="G97">
        <v>0</v>
      </c>
    </row>
    <row r="98" spans="1:7" x14ac:dyDescent="0.25">
      <c r="A98" t="s">
        <v>16</v>
      </c>
      <c r="B98" t="s">
        <v>2440</v>
      </c>
      <c r="C98" t="s">
        <v>2331</v>
      </c>
      <c r="D98" t="s">
        <v>2340</v>
      </c>
      <c r="E98">
        <v>0.81</v>
      </c>
      <c r="F98" t="s">
        <v>2357</v>
      </c>
      <c r="G98">
        <v>1</v>
      </c>
    </row>
    <row r="99" spans="1:7" x14ac:dyDescent="0.25">
      <c r="A99" t="s">
        <v>140</v>
      </c>
      <c r="B99" t="s">
        <v>2441</v>
      </c>
      <c r="C99" t="s">
        <v>2359</v>
      </c>
      <c r="D99" t="s">
        <v>2343</v>
      </c>
      <c r="E99">
        <v>0.97</v>
      </c>
      <c r="F99" t="s">
        <v>2333</v>
      </c>
      <c r="G99">
        <v>1</v>
      </c>
    </row>
    <row r="100" spans="1:7" x14ac:dyDescent="0.25">
      <c r="A100" t="s">
        <v>203</v>
      </c>
      <c r="B100" t="s">
        <v>2366</v>
      </c>
      <c r="C100" t="s">
        <v>2352</v>
      </c>
      <c r="D100" t="s">
        <v>2336</v>
      </c>
      <c r="E100">
        <v>0.91</v>
      </c>
      <c r="F100" t="s">
        <v>2341</v>
      </c>
      <c r="G100">
        <v>0</v>
      </c>
    </row>
    <row r="101" spans="1:7" x14ac:dyDescent="0.25">
      <c r="A101" t="s">
        <v>176</v>
      </c>
      <c r="B101" t="s">
        <v>2442</v>
      </c>
      <c r="C101" t="s">
        <v>2345</v>
      </c>
      <c r="D101" t="s">
        <v>2340</v>
      </c>
      <c r="E101">
        <v>0.99</v>
      </c>
      <c r="F101" t="s">
        <v>2337</v>
      </c>
      <c r="G101">
        <v>0</v>
      </c>
    </row>
  </sheetData>
  <conditionalFormatting sqref="A1:A101">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01"/>
  <sheetViews>
    <sheetView workbookViewId="0">
      <selection activeCell="D6" sqref="D6"/>
    </sheetView>
  </sheetViews>
  <sheetFormatPr defaultRowHeight="15" x14ac:dyDescent="0.25"/>
  <cols>
    <col min="1" max="1" width="9.5703125" bestFit="1" customWidth="1"/>
    <col min="2" max="2" width="11.28515625" bestFit="1" customWidth="1"/>
    <col min="3" max="3" width="16.140625" bestFit="1" customWidth="1"/>
    <col min="4" max="4" width="11.28515625" bestFit="1" customWidth="1"/>
    <col min="5" max="5" width="15" bestFit="1" customWidth="1"/>
    <col min="6" max="6" width="12" bestFit="1" customWidth="1"/>
    <col min="7" max="7" width="22.28515625" bestFit="1" customWidth="1"/>
    <col min="8" max="8" width="20.42578125" bestFit="1" customWidth="1"/>
    <col min="9" max="9" width="12" bestFit="1" customWidth="1"/>
    <col min="10" max="10" width="9.42578125" bestFit="1" customWidth="1"/>
    <col min="11" max="11" width="21.5703125" bestFit="1" customWidth="1"/>
    <col min="12" max="12" width="9" bestFit="1" customWidth="1"/>
    <col min="13" max="13" width="7.42578125" bestFit="1" customWidth="1"/>
    <col min="14" max="14" width="17.42578125" bestFit="1" customWidth="1"/>
    <col min="15" max="15" width="21.85546875" bestFit="1" customWidth="1"/>
    <col min="16" max="16" width="15.140625" bestFit="1" customWidth="1"/>
    <col min="17" max="17" width="12.7109375" bestFit="1" customWidth="1"/>
    <col min="18" max="18" width="14.7109375" bestFit="1" customWidth="1"/>
  </cols>
  <sheetData>
    <row r="1" spans="1:21" x14ac:dyDescent="0.25">
      <c r="A1" t="s">
        <v>0</v>
      </c>
      <c r="B1" t="s">
        <v>1</v>
      </c>
      <c r="C1" t="s">
        <v>2</v>
      </c>
      <c r="D1" t="s">
        <v>3</v>
      </c>
      <c r="E1" t="s">
        <v>4</v>
      </c>
      <c r="F1" t="s">
        <v>5</v>
      </c>
      <c r="G1" t="s">
        <v>6</v>
      </c>
      <c r="H1" t="s">
        <v>7</v>
      </c>
      <c r="I1" t="s">
        <v>8</v>
      </c>
      <c r="J1" t="s">
        <v>2309</v>
      </c>
      <c r="K1" t="s">
        <v>2444</v>
      </c>
      <c r="L1" t="s">
        <v>2445</v>
      </c>
      <c r="M1" t="s">
        <v>2446</v>
      </c>
      <c r="N1" t="s">
        <v>2447</v>
      </c>
      <c r="O1" t="s">
        <v>2448</v>
      </c>
      <c r="P1" t="s">
        <v>2449</v>
      </c>
      <c r="Q1" t="s">
        <v>2455</v>
      </c>
      <c r="R1" t="s">
        <v>2456</v>
      </c>
      <c r="S1" t="s">
        <v>2459</v>
      </c>
      <c r="T1" t="s">
        <v>2460</v>
      </c>
      <c r="U1" s="2"/>
    </row>
    <row r="2" spans="1:21" x14ac:dyDescent="0.25">
      <c r="A2" t="s">
        <v>9</v>
      </c>
      <c r="B2" t="s">
        <v>10</v>
      </c>
      <c r="C2" t="s">
        <v>11</v>
      </c>
      <c r="D2" s="1">
        <v>45370</v>
      </c>
      <c r="E2">
        <v>10</v>
      </c>
      <c r="F2">
        <v>42.3450228118054</v>
      </c>
      <c r="G2" s="1">
        <v>45384</v>
      </c>
      <c r="H2" s="1">
        <v>45385</v>
      </c>
      <c r="I2">
        <v>423.45022811805399</v>
      </c>
      <c r="J2">
        <f>H2-G2</f>
        <v>1</v>
      </c>
      <c r="K2" t="str">
        <f>VLOOKUP(B2,Raw_Suppliers!$A$2:$G$101,2,FALSE)</f>
        <v>Vertex Beta GmbH</v>
      </c>
      <c r="L2" t="str">
        <f>VLOOKUP(B2,Raw_Suppliers!$A$2:$G$101,3,FALSE)</f>
        <v>India</v>
      </c>
      <c r="M2" t="str">
        <f>VLOOKUP(B2,Raw_Suppliers!$A$2:$G$101,4,FALSE)</f>
        <v>North</v>
      </c>
      <c r="N2" t="str">
        <f>VLOOKUP(B2,Raw_Suppliers!$A$2:$G$101,6,FALSE)</f>
        <v>ISO 14001</v>
      </c>
      <c r="O2">
        <f>VLOOKUP(B2,Raw_Suppliers!$A$2:$G$101,7,FALSE)</f>
        <v>0</v>
      </c>
      <c r="P2" t="str">
        <f>IF(O2=1,"Yes","No")</f>
        <v>No</v>
      </c>
      <c r="Q2">
        <f>IF(J2&lt;=0,1,0)</f>
        <v>0</v>
      </c>
      <c r="R2" t="str">
        <f>IF(Q2=1,"On Time","Late")</f>
        <v>Late</v>
      </c>
      <c r="S2">
        <f>YEAR(D2)</f>
        <v>2024</v>
      </c>
      <c r="T2">
        <f>MONTH(D2)</f>
        <v>3</v>
      </c>
    </row>
    <row r="3" spans="1:21" x14ac:dyDescent="0.25">
      <c r="A3" t="s">
        <v>12</v>
      </c>
      <c r="B3" t="s">
        <v>13</v>
      </c>
      <c r="C3" t="s">
        <v>14</v>
      </c>
      <c r="D3" s="1">
        <v>44371</v>
      </c>
      <c r="E3">
        <v>5</v>
      </c>
      <c r="F3">
        <v>74.805687380734199</v>
      </c>
      <c r="G3" s="1">
        <v>44381</v>
      </c>
      <c r="H3" s="1">
        <v>44384</v>
      </c>
      <c r="I3">
        <v>374.02843690367098</v>
      </c>
      <c r="J3">
        <f t="shared" ref="J3:J66" si="0">H3-G3</f>
        <v>3</v>
      </c>
      <c r="K3" t="str">
        <f>VLOOKUP(B3,Raw_Suppliers!$A$2:$G$101,2,FALSE)</f>
        <v>Beta Delta LLC</v>
      </c>
      <c r="L3" t="str">
        <f>VLOOKUP(B3,Raw_Suppliers!$A$2:$G$101,3,FALSE)</f>
        <v>Germany</v>
      </c>
      <c r="M3" t="str">
        <f>VLOOKUP(B3,Raw_Suppliers!$A$2:$G$101,4,FALSE)</f>
        <v>Central</v>
      </c>
      <c r="N3" t="str">
        <f>VLOOKUP(B3,Raw_Suppliers!$A$2:$G$101,6,FALSE)</f>
        <v>ISO 9001</v>
      </c>
      <c r="O3">
        <f>VLOOKUP(B3,Raw_Suppliers!$A$2:$G$101,7,FALSE)</f>
        <v>1</v>
      </c>
      <c r="P3" t="str">
        <f t="shared" ref="P3:P66" si="1">IF(O3=1,"Yes","No")</f>
        <v>Yes</v>
      </c>
      <c r="Q3">
        <f t="shared" ref="Q3:Q66" si="2">IF(J3&lt;=0,1,0)</f>
        <v>0</v>
      </c>
      <c r="R3" t="str">
        <f t="shared" ref="R3:R66" si="3">IF(Q3=1,"On Time","Late")</f>
        <v>Late</v>
      </c>
      <c r="S3">
        <f t="shared" ref="S3:S66" si="4">YEAR(D3)</f>
        <v>2021</v>
      </c>
      <c r="T3">
        <f t="shared" ref="T3:T66" si="5">MONTH(D3)</f>
        <v>6</v>
      </c>
    </row>
    <row r="4" spans="1:21" x14ac:dyDescent="0.25">
      <c r="A4" t="s">
        <v>15</v>
      </c>
      <c r="B4" t="s">
        <v>16</v>
      </c>
      <c r="C4" t="s">
        <v>17</v>
      </c>
      <c r="D4" s="1">
        <v>45154</v>
      </c>
      <c r="E4">
        <v>11</v>
      </c>
      <c r="F4">
        <v>76.080119074640507</v>
      </c>
      <c r="G4" s="1">
        <v>45171</v>
      </c>
      <c r="H4" s="1">
        <v>45175</v>
      </c>
      <c r="I4">
        <v>836.88130982104599</v>
      </c>
      <c r="J4">
        <f t="shared" si="0"/>
        <v>4</v>
      </c>
      <c r="K4" t="str">
        <f>VLOOKUP(B4,Raw_Suppliers!$A$2:$G$101,2,FALSE)</f>
        <v>Beta Pioneer Inc</v>
      </c>
      <c r="L4" t="str">
        <f>VLOOKUP(B4,Raw_Suppliers!$A$2:$G$101,3,FALSE)</f>
        <v>USA</v>
      </c>
      <c r="M4" t="str">
        <f>VLOOKUP(B4,Raw_Suppliers!$A$2:$G$101,4,FALSE)</f>
        <v>Central</v>
      </c>
      <c r="N4" t="str">
        <f>VLOOKUP(B4,Raw_Suppliers!$A$2:$G$101,6,FALSE)</f>
        <v>ISO 45001</v>
      </c>
      <c r="O4">
        <f>VLOOKUP(B4,Raw_Suppliers!$A$2:$G$101,7,FALSE)</f>
        <v>1</v>
      </c>
      <c r="P4" t="str">
        <f t="shared" si="1"/>
        <v>Yes</v>
      </c>
      <c r="Q4">
        <f t="shared" si="2"/>
        <v>0</v>
      </c>
      <c r="R4" t="str">
        <f t="shared" si="3"/>
        <v>Late</v>
      </c>
      <c r="S4">
        <f t="shared" si="4"/>
        <v>2023</v>
      </c>
      <c r="T4">
        <f t="shared" si="5"/>
        <v>8</v>
      </c>
    </row>
    <row r="5" spans="1:21" x14ac:dyDescent="0.25">
      <c r="A5" t="s">
        <v>18</v>
      </c>
      <c r="B5" t="s">
        <v>19</v>
      </c>
      <c r="C5" t="s">
        <v>20</v>
      </c>
      <c r="D5" s="1">
        <v>45047</v>
      </c>
      <c r="E5">
        <v>7</v>
      </c>
      <c r="F5">
        <v>64.157843851116596</v>
      </c>
      <c r="G5" s="1">
        <v>45063</v>
      </c>
      <c r="H5" s="1">
        <v>45060</v>
      </c>
      <c r="I5">
        <v>449.10490695781601</v>
      </c>
      <c r="J5">
        <f t="shared" si="0"/>
        <v>-3</v>
      </c>
      <c r="K5" t="str">
        <f>VLOOKUP(B5,Raw_Suppliers!$A$2:$G$101,2,FALSE)</f>
        <v>Nova Beta Corp</v>
      </c>
      <c r="L5" t="str">
        <f>VLOOKUP(B5,Raw_Suppliers!$A$2:$G$101,3,FALSE)</f>
        <v>Brazil</v>
      </c>
      <c r="M5" t="str">
        <f>VLOOKUP(B5,Raw_Suppliers!$A$2:$G$101,4,FALSE)</f>
        <v>South</v>
      </c>
      <c r="N5" t="str">
        <f>VLOOKUP(B5,Raw_Suppliers!$A$2:$G$101,6,FALSE)</f>
        <v>ISO 14001</v>
      </c>
      <c r="O5">
        <f>VLOOKUP(B5,Raw_Suppliers!$A$2:$G$101,7,FALSE)</f>
        <v>1</v>
      </c>
      <c r="P5" t="str">
        <f t="shared" si="1"/>
        <v>Yes</v>
      </c>
      <c r="Q5">
        <f t="shared" si="2"/>
        <v>1</v>
      </c>
      <c r="R5" t="str">
        <f t="shared" si="3"/>
        <v>On Time</v>
      </c>
      <c r="S5">
        <f t="shared" si="4"/>
        <v>2023</v>
      </c>
      <c r="T5">
        <f t="shared" si="5"/>
        <v>5</v>
      </c>
    </row>
    <row r="6" spans="1:21" x14ac:dyDescent="0.25">
      <c r="A6" t="s">
        <v>21</v>
      </c>
      <c r="B6" t="s">
        <v>22</v>
      </c>
      <c r="C6" t="s">
        <v>23</v>
      </c>
      <c r="D6" s="1">
        <v>44865</v>
      </c>
      <c r="E6">
        <v>10</v>
      </c>
      <c r="F6">
        <v>53.179120934017803</v>
      </c>
      <c r="G6" s="1">
        <v>44889</v>
      </c>
      <c r="H6" s="1">
        <v>44889</v>
      </c>
      <c r="I6">
        <v>531.79120934017806</v>
      </c>
      <c r="J6">
        <f t="shared" si="0"/>
        <v>0</v>
      </c>
      <c r="K6" t="str">
        <f>VLOOKUP(B6,Raw_Suppliers!$A$2:$G$101,2,FALSE)</f>
        <v>Delta Gamma Corp</v>
      </c>
      <c r="L6" t="str">
        <f>VLOOKUP(B6,Raw_Suppliers!$A$2:$G$101,3,FALSE)</f>
        <v>Denmark</v>
      </c>
      <c r="M6" t="str">
        <f>VLOOKUP(B6,Raw_Suppliers!$A$2:$G$101,4,FALSE)</f>
        <v>West</v>
      </c>
      <c r="N6" t="str">
        <f>VLOOKUP(B6,Raw_Suppliers!$A$2:$G$101,6,FALSE)</f>
        <v>ISO 45001</v>
      </c>
      <c r="O6">
        <f>VLOOKUP(B6,Raw_Suppliers!$A$2:$G$101,7,FALSE)</f>
        <v>1</v>
      </c>
      <c r="P6" t="str">
        <f t="shared" si="1"/>
        <v>Yes</v>
      </c>
      <c r="Q6">
        <f t="shared" si="2"/>
        <v>1</v>
      </c>
      <c r="R6" t="str">
        <f t="shared" si="3"/>
        <v>On Time</v>
      </c>
      <c r="S6">
        <f t="shared" si="4"/>
        <v>2022</v>
      </c>
      <c r="T6">
        <f t="shared" si="5"/>
        <v>10</v>
      </c>
    </row>
    <row r="7" spans="1:21" x14ac:dyDescent="0.25">
      <c r="A7" t="s">
        <v>24</v>
      </c>
      <c r="B7" t="s">
        <v>25</v>
      </c>
      <c r="C7" t="s">
        <v>26</v>
      </c>
      <c r="D7" s="1">
        <v>44754</v>
      </c>
      <c r="E7">
        <v>8</v>
      </c>
      <c r="F7">
        <v>73.194289391294205</v>
      </c>
      <c r="G7" s="1">
        <v>44771</v>
      </c>
      <c r="H7" s="1">
        <v>44774</v>
      </c>
      <c r="I7">
        <v>585.55431513035398</v>
      </c>
      <c r="J7">
        <f t="shared" si="0"/>
        <v>3</v>
      </c>
      <c r="K7" t="str">
        <f>VLOOKUP(B7,Raw_Suppliers!$A$2:$G$101,2,FALSE)</f>
        <v>Quantum Fusion Corp</v>
      </c>
      <c r="L7" t="str">
        <f>VLOOKUP(B7,Raw_Suppliers!$A$2:$G$101,3,FALSE)</f>
        <v>UK</v>
      </c>
      <c r="M7" t="str">
        <f>VLOOKUP(B7,Raw_Suppliers!$A$2:$G$101,4,FALSE)</f>
        <v>North</v>
      </c>
      <c r="N7" t="str">
        <f>VLOOKUP(B7,Raw_Suppliers!$A$2:$G$101,6,FALSE)</f>
        <v>ISO 9001</v>
      </c>
      <c r="O7">
        <f>VLOOKUP(B7,Raw_Suppliers!$A$2:$G$101,7,FALSE)</f>
        <v>0</v>
      </c>
      <c r="P7" t="str">
        <f t="shared" si="1"/>
        <v>No</v>
      </c>
      <c r="Q7">
        <f t="shared" si="2"/>
        <v>0</v>
      </c>
      <c r="R7" t="str">
        <f t="shared" si="3"/>
        <v>Late</v>
      </c>
      <c r="S7">
        <f t="shared" si="4"/>
        <v>2022</v>
      </c>
      <c r="T7">
        <f t="shared" si="5"/>
        <v>7</v>
      </c>
    </row>
    <row r="8" spans="1:21" x14ac:dyDescent="0.25">
      <c r="A8" t="s">
        <v>27</v>
      </c>
      <c r="B8" t="s">
        <v>28</v>
      </c>
      <c r="C8" t="s">
        <v>29</v>
      </c>
      <c r="D8" s="1">
        <v>44509</v>
      </c>
      <c r="E8">
        <v>9</v>
      </c>
      <c r="F8">
        <v>72.039598730382394</v>
      </c>
      <c r="G8" s="1">
        <v>44529</v>
      </c>
      <c r="H8" s="1">
        <v>44530</v>
      </c>
      <c r="I8">
        <v>648.35638857344202</v>
      </c>
      <c r="J8">
        <f t="shared" si="0"/>
        <v>1</v>
      </c>
      <c r="K8" t="str">
        <f>VLOOKUP(B8,Raw_Suppliers!$A$2:$G$101,2,FALSE)</f>
        <v>Fusion Vertex Inc</v>
      </c>
      <c r="L8" t="str">
        <f>VLOOKUP(B8,Raw_Suppliers!$A$2:$G$101,3,FALSE)</f>
        <v>Denmark</v>
      </c>
      <c r="M8" t="str">
        <f>VLOOKUP(B8,Raw_Suppliers!$A$2:$G$101,4,FALSE)</f>
        <v>Central</v>
      </c>
      <c r="N8" t="str">
        <f>VLOOKUP(B8,Raw_Suppliers!$A$2:$G$101,6,FALSE)</f>
        <v>ISO 45001</v>
      </c>
      <c r="O8">
        <f>VLOOKUP(B8,Raw_Suppliers!$A$2:$G$101,7,FALSE)</f>
        <v>0</v>
      </c>
      <c r="P8" t="str">
        <f t="shared" si="1"/>
        <v>No</v>
      </c>
      <c r="Q8">
        <f t="shared" si="2"/>
        <v>0</v>
      </c>
      <c r="R8" t="str">
        <f t="shared" si="3"/>
        <v>Late</v>
      </c>
      <c r="S8">
        <f t="shared" si="4"/>
        <v>2021</v>
      </c>
      <c r="T8">
        <f t="shared" si="5"/>
        <v>11</v>
      </c>
    </row>
    <row r="9" spans="1:21" x14ac:dyDescent="0.25">
      <c r="A9" t="s">
        <v>30</v>
      </c>
      <c r="B9" t="s">
        <v>31</v>
      </c>
      <c r="C9" t="s">
        <v>32</v>
      </c>
      <c r="D9" s="1">
        <v>45268</v>
      </c>
      <c r="E9">
        <v>11</v>
      </c>
      <c r="F9">
        <v>55.477081984225997</v>
      </c>
      <c r="G9" s="1">
        <v>45278</v>
      </c>
      <c r="H9" s="1">
        <v>45284</v>
      </c>
      <c r="I9">
        <v>610.24790182648599</v>
      </c>
      <c r="J9">
        <f t="shared" si="0"/>
        <v>6</v>
      </c>
      <c r="K9" t="str">
        <f>VLOOKUP(B9,Raw_Suppliers!$A$2:$G$101,2,FALSE)</f>
        <v>Nova Nano GmbH</v>
      </c>
      <c r="L9" t="str">
        <f>VLOOKUP(B9,Raw_Suppliers!$A$2:$G$101,3,FALSE)</f>
        <v>Denmark</v>
      </c>
      <c r="M9" t="str">
        <f>VLOOKUP(B9,Raw_Suppliers!$A$2:$G$101,4,FALSE)</f>
        <v>South</v>
      </c>
      <c r="N9" t="str">
        <f>VLOOKUP(B9,Raw_Suppliers!$A$2:$G$101,6,FALSE)</f>
        <v>ISO 14001</v>
      </c>
      <c r="O9">
        <f>VLOOKUP(B9,Raw_Suppliers!$A$2:$G$101,7,FALSE)</f>
        <v>1</v>
      </c>
      <c r="P9" t="str">
        <f t="shared" si="1"/>
        <v>Yes</v>
      </c>
      <c r="Q9">
        <f t="shared" si="2"/>
        <v>0</v>
      </c>
      <c r="R9" t="str">
        <f t="shared" si="3"/>
        <v>Late</v>
      </c>
      <c r="S9">
        <f t="shared" si="4"/>
        <v>2023</v>
      </c>
      <c r="T9">
        <f t="shared" si="5"/>
        <v>12</v>
      </c>
    </row>
    <row r="10" spans="1:21" x14ac:dyDescent="0.25">
      <c r="A10" t="s">
        <v>33</v>
      </c>
      <c r="B10" t="s">
        <v>34</v>
      </c>
      <c r="C10" t="s">
        <v>35</v>
      </c>
      <c r="D10" s="1">
        <v>44674</v>
      </c>
      <c r="E10">
        <v>10</v>
      </c>
      <c r="F10">
        <v>38.263269866724002</v>
      </c>
      <c r="G10" s="1">
        <v>44691</v>
      </c>
      <c r="H10" s="1">
        <v>44689</v>
      </c>
      <c r="I10">
        <v>382.63269866723999</v>
      </c>
      <c r="J10">
        <f t="shared" si="0"/>
        <v>-2</v>
      </c>
      <c r="K10" t="str">
        <f>VLOOKUP(B10,Raw_Suppliers!$A$2:$G$101,2,FALSE)</f>
        <v>Omega Alpha Corp</v>
      </c>
      <c r="L10" t="str">
        <f>VLOOKUP(B10,Raw_Suppliers!$A$2:$G$101,3,FALSE)</f>
        <v>UK</v>
      </c>
      <c r="M10" t="str">
        <f>VLOOKUP(B10,Raw_Suppliers!$A$2:$G$101,4,FALSE)</f>
        <v>West</v>
      </c>
      <c r="N10" t="str">
        <f>VLOOKUP(B10,Raw_Suppliers!$A$2:$G$101,6,FALSE)</f>
        <v>ISO 45001</v>
      </c>
      <c r="O10">
        <f>VLOOKUP(B10,Raw_Suppliers!$A$2:$G$101,7,FALSE)</f>
        <v>0</v>
      </c>
      <c r="P10" t="str">
        <f t="shared" si="1"/>
        <v>No</v>
      </c>
      <c r="Q10">
        <f t="shared" si="2"/>
        <v>1</v>
      </c>
      <c r="R10" t="str">
        <f t="shared" si="3"/>
        <v>On Time</v>
      </c>
      <c r="S10">
        <f t="shared" si="4"/>
        <v>2022</v>
      </c>
      <c r="T10">
        <f t="shared" si="5"/>
        <v>4</v>
      </c>
    </row>
    <row r="11" spans="1:21" x14ac:dyDescent="0.25">
      <c r="A11" t="s">
        <v>36</v>
      </c>
      <c r="B11" t="s">
        <v>37</v>
      </c>
      <c r="C11" t="s">
        <v>38</v>
      </c>
      <c r="D11" s="1">
        <v>44253</v>
      </c>
      <c r="E11">
        <v>8</v>
      </c>
      <c r="F11">
        <v>72.629360538852495</v>
      </c>
      <c r="G11" s="1">
        <v>44264</v>
      </c>
      <c r="H11" s="1">
        <v>44268</v>
      </c>
      <c r="I11">
        <v>581.03488431081996</v>
      </c>
      <c r="J11">
        <f t="shared" si="0"/>
        <v>4</v>
      </c>
      <c r="K11" t="str">
        <f>VLOOKUP(B11,Raw_Suppliers!$A$2:$G$101,2,FALSE)</f>
        <v>Apex Apex Ltd</v>
      </c>
      <c r="L11" t="str">
        <f>VLOOKUP(B11,Raw_Suppliers!$A$2:$G$101,3,FALSE)</f>
        <v>Canada</v>
      </c>
      <c r="M11" t="str">
        <f>VLOOKUP(B11,Raw_Suppliers!$A$2:$G$101,4,FALSE)</f>
        <v>East</v>
      </c>
      <c r="N11" t="str">
        <f>VLOOKUP(B11,Raw_Suppliers!$A$2:$G$101,6,FALSE)</f>
        <v>ISO 9001</v>
      </c>
      <c r="O11">
        <f>VLOOKUP(B11,Raw_Suppliers!$A$2:$G$101,7,FALSE)</f>
        <v>1</v>
      </c>
      <c r="P11" t="str">
        <f t="shared" si="1"/>
        <v>Yes</v>
      </c>
      <c r="Q11">
        <f t="shared" si="2"/>
        <v>0</v>
      </c>
      <c r="R11" t="str">
        <f t="shared" si="3"/>
        <v>Late</v>
      </c>
      <c r="S11">
        <f t="shared" si="4"/>
        <v>2021</v>
      </c>
      <c r="T11">
        <f t="shared" si="5"/>
        <v>2</v>
      </c>
    </row>
    <row r="12" spans="1:21" x14ac:dyDescent="0.25">
      <c r="A12" t="s">
        <v>39</v>
      </c>
      <c r="B12" t="s">
        <v>40</v>
      </c>
      <c r="C12" t="s">
        <v>41</v>
      </c>
      <c r="D12" s="1">
        <v>44393</v>
      </c>
      <c r="E12">
        <v>16</v>
      </c>
      <c r="F12">
        <v>74.910725029472601</v>
      </c>
      <c r="G12" s="1">
        <v>44408</v>
      </c>
      <c r="H12" s="1">
        <v>44414</v>
      </c>
      <c r="I12">
        <v>1198.57160047156</v>
      </c>
      <c r="J12">
        <f t="shared" si="0"/>
        <v>6</v>
      </c>
      <c r="K12" t="str">
        <f>VLOOKUP(B12,Raw_Suppliers!$A$2:$G$101,2,FALSE)</f>
        <v>Ultra Apex Inc</v>
      </c>
      <c r="L12" t="str">
        <f>VLOOKUP(B12,Raw_Suppliers!$A$2:$G$101,3,FALSE)</f>
        <v>India</v>
      </c>
      <c r="M12" t="str">
        <f>VLOOKUP(B12,Raw_Suppliers!$A$2:$G$101,4,FALSE)</f>
        <v>West</v>
      </c>
      <c r="N12" t="str">
        <f>VLOOKUP(B12,Raw_Suppliers!$A$2:$G$101,6,FALSE)</f>
        <v>ISO 9001</v>
      </c>
      <c r="O12">
        <f>VLOOKUP(B12,Raw_Suppliers!$A$2:$G$101,7,FALSE)</f>
        <v>0</v>
      </c>
      <c r="P12" t="str">
        <f t="shared" si="1"/>
        <v>No</v>
      </c>
      <c r="Q12">
        <f t="shared" si="2"/>
        <v>0</v>
      </c>
      <c r="R12" t="str">
        <f t="shared" si="3"/>
        <v>Late</v>
      </c>
      <c r="S12">
        <f t="shared" si="4"/>
        <v>2021</v>
      </c>
      <c r="T12">
        <f t="shared" si="5"/>
        <v>7</v>
      </c>
    </row>
    <row r="13" spans="1:21" x14ac:dyDescent="0.25">
      <c r="A13" t="s">
        <v>42</v>
      </c>
      <c r="B13" t="s">
        <v>43</v>
      </c>
      <c r="C13" t="s">
        <v>44</v>
      </c>
      <c r="D13" s="1">
        <v>44976</v>
      </c>
      <c r="E13">
        <v>13</v>
      </c>
      <c r="F13">
        <v>47.362314027756199</v>
      </c>
      <c r="G13" s="1">
        <v>44999</v>
      </c>
      <c r="H13" s="1">
        <v>45000</v>
      </c>
      <c r="I13">
        <v>615.71008236083105</v>
      </c>
      <c r="J13">
        <f t="shared" si="0"/>
        <v>1</v>
      </c>
      <c r="K13" t="str">
        <f>VLOOKUP(B13,Raw_Suppliers!$A$2:$G$101,2,FALSE)</f>
        <v>Alpha Ultra Corp</v>
      </c>
      <c r="L13" t="str">
        <f>VLOOKUP(B13,Raw_Suppliers!$A$2:$G$101,3,FALSE)</f>
        <v>USA</v>
      </c>
      <c r="M13" t="str">
        <f>VLOOKUP(B13,Raw_Suppliers!$A$2:$G$101,4,FALSE)</f>
        <v>Central</v>
      </c>
      <c r="N13" t="str">
        <f>VLOOKUP(B13,Raw_Suppliers!$A$2:$G$101,6,FALSE)</f>
        <v>ISO 9001</v>
      </c>
      <c r="O13">
        <f>VLOOKUP(B13,Raw_Suppliers!$A$2:$G$101,7,FALSE)</f>
        <v>1</v>
      </c>
      <c r="P13" t="str">
        <f t="shared" si="1"/>
        <v>Yes</v>
      </c>
      <c r="Q13">
        <f t="shared" si="2"/>
        <v>0</v>
      </c>
      <c r="R13" t="str">
        <f t="shared" si="3"/>
        <v>Late</v>
      </c>
      <c r="S13">
        <f t="shared" si="4"/>
        <v>2023</v>
      </c>
      <c r="T13">
        <f t="shared" si="5"/>
        <v>2</v>
      </c>
    </row>
    <row r="14" spans="1:21" x14ac:dyDescent="0.25">
      <c r="A14" t="s">
        <v>45</v>
      </c>
      <c r="B14" t="s">
        <v>46</v>
      </c>
      <c r="C14" t="s">
        <v>47</v>
      </c>
      <c r="D14" s="1">
        <v>44549</v>
      </c>
      <c r="E14">
        <v>11</v>
      </c>
      <c r="F14">
        <v>65.642856365693703</v>
      </c>
      <c r="G14" s="1">
        <v>44560</v>
      </c>
      <c r="H14" s="1">
        <v>44562</v>
      </c>
      <c r="I14">
        <v>722.07142002263095</v>
      </c>
      <c r="J14">
        <f t="shared" si="0"/>
        <v>2</v>
      </c>
      <c r="K14" t="str">
        <f>VLOOKUP(B14,Raw_Suppliers!$A$2:$G$101,2,FALSE)</f>
        <v>Prime Prime Inc</v>
      </c>
      <c r="L14" t="str">
        <f>VLOOKUP(B14,Raw_Suppliers!$A$2:$G$101,3,FALSE)</f>
        <v>UK</v>
      </c>
      <c r="M14" t="str">
        <f>VLOOKUP(B14,Raw_Suppliers!$A$2:$G$101,4,FALSE)</f>
        <v>South</v>
      </c>
      <c r="N14" t="str">
        <f>VLOOKUP(B14,Raw_Suppliers!$A$2:$G$101,6,FALSE)</f>
        <v>None</v>
      </c>
      <c r="O14">
        <f>VLOOKUP(B14,Raw_Suppliers!$A$2:$G$101,7,FALSE)</f>
        <v>1</v>
      </c>
      <c r="P14" t="str">
        <f t="shared" si="1"/>
        <v>Yes</v>
      </c>
      <c r="Q14">
        <f t="shared" si="2"/>
        <v>0</v>
      </c>
      <c r="R14" t="str">
        <f t="shared" si="3"/>
        <v>Late</v>
      </c>
      <c r="S14">
        <f t="shared" si="4"/>
        <v>2021</v>
      </c>
      <c r="T14">
        <f t="shared" si="5"/>
        <v>12</v>
      </c>
    </row>
    <row r="15" spans="1:21" x14ac:dyDescent="0.25">
      <c r="A15" t="s">
        <v>48</v>
      </c>
      <c r="B15" t="s">
        <v>49</v>
      </c>
      <c r="C15" t="s">
        <v>50</v>
      </c>
      <c r="D15" s="1">
        <v>44570</v>
      </c>
      <c r="E15">
        <v>9</v>
      </c>
      <c r="F15">
        <v>78.904389918313697</v>
      </c>
      <c r="G15" s="1">
        <v>44590</v>
      </c>
      <c r="H15" s="1">
        <v>44594</v>
      </c>
      <c r="I15">
        <v>710.139509264823</v>
      </c>
      <c r="J15">
        <f t="shared" si="0"/>
        <v>4</v>
      </c>
      <c r="K15" t="str">
        <f>VLOOKUP(B15,Raw_Suppliers!$A$2:$G$101,2,FALSE)</f>
        <v>Prime Prime Corp</v>
      </c>
      <c r="L15" t="str">
        <f>VLOOKUP(B15,Raw_Suppliers!$A$2:$G$101,3,FALSE)</f>
        <v>China</v>
      </c>
      <c r="M15" t="str">
        <f>VLOOKUP(B15,Raw_Suppliers!$A$2:$G$101,4,FALSE)</f>
        <v>North</v>
      </c>
      <c r="N15" t="str">
        <f>VLOOKUP(B15,Raw_Suppliers!$A$2:$G$101,6,FALSE)</f>
        <v>ISO 45001</v>
      </c>
      <c r="O15">
        <f>VLOOKUP(B15,Raw_Suppliers!$A$2:$G$101,7,FALSE)</f>
        <v>0</v>
      </c>
      <c r="P15" t="str">
        <f t="shared" si="1"/>
        <v>No</v>
      </c>
      <c r="Q15">
        <f t="shared" si="2"/>
        <v>0</v>
      </c>
      <c r="R15" t="str">
        <f t="shared" si="3"/>
        <v>Late</v>
      </c>
      <c r="S15">
        <f t="shared" si="4"/>
        <v>2022</v>
      </c>
      <c r="T15">
        <f t="shared" si="5"/>
        <v>1</v>
      </c>
    </row>
    <row r="16" spans="1:21" x14ac:dyDescent="0.25">
      <c r="A16" t="s">
        <v>51</v>
      </c>
      <c r="B16" t="s">
        <v>52</v>
      </c>
      <c r="C16" t="s">
        <v>53</v>
      </c>
      <c r="D16" s="1">
        <v>44859</v>
      </c>
      <c r="E16">
        <v>9</v>
      </c>
      <c r="F16">
        <v>49.990514468280999</v>
      </c>
      <c r="G16" s="1">
        <v>44883</v>
      </c>
      <c r="H16" s="1">
        <v>44888</v>
      </c>
      <c r="I16">
        <v>449.91463021452898</v>
      </c>
      <c r="J16">
        <f t="shared" si="0"/>
        <v>5</v>
      </c>
      <c r="K16" t="str">
        <f>VLOOKUP(B16,Raw_Suppliers!$A$2:$G$101,2,FALSE)</f>
        <v>Beta Nano Corp</v>
      </c>
      <c r="L16" t="str">
        <f>VLOOKUP(B16,Raw_Suppliers!$A$2:$G$101,3,FALSE)</f>
        <v>UK</v>
      </c>
      <c r="M16" t="str">
        <f>VLOOKUP(B16,Raw_Suppliers!$A$2:$G$101,4,FALSE)</f>
        <v>Central</v>
      </c>
      <c r="N16" t="str">
        <f>VLOOKUP(B16,Raw_Suppliers!$A$2:$G$101,6,FALSE)</f>
        <v>ISO 45001</v>
      </c>
      <c r="O16">
        <f>VLOOKUP(B16,Raw_Suppliers!$A$2:$G$101,7,FALSE)</f>
        <v>0</v>
      </c>
      <c r="P16" t="str">
        <f t="shared" si="1"/>
        <v>No</v>
      </c>
      <c r="Q16">
        <f t="shared" si="2"/>
        <v>0</v>
      </c>
      <c r="R16" t="str">
        <f t="shared" si="3"/>
        <v>Late</v>
      </c>
      <c r="S16">
        <f t="shared" si="4"/>
        <v>2022</v>
      </c>
      <c r="T16">
        <f t="shared" si="5"/>
        <v>10</v>
      </c>
    </row>
    <row r="17" spans="1:20" x14ac:dyDescent="0.25">
      <c r="A17" t="s">
        <v>54</v>
      </c>
      <c r="B17" t="s">
        <v>55</v>
      </c>
      <c r="C17" t="s">
        <v>56</v>
      </c>
      <c r="D17" s="1">
        <v>45062</v>
      </c>
      <c r="E17">
        <v>16</v>
      </c>
      <c r="F17">
        <v>53.415423056426597</v>
      </c>
      <c r="G17" s="1">
        <v>45073</v>
      </c>
      <c r="H17" s="1">
        <v>45071</v>
      </c>
      <c r="I17">
        <v>854.64676890282499</v>
      </c>
      <c r="J17">
        <f t="shared" si="0"/>
        <v>-2</v>
      </c>
      <c r="K17" t="str">
        <f>VLOOKUP(B17,Raw_Suppliers!$A$2:$G$101,2,FALSE)</f>
        <v>Prime Vertex Inc</v>
      </c>
      <c r="L17" t="str">
        <f>VLOOKUP(B17,Raw_Suppliers!$A$2:$G$101,3,FALSE)</f>
        <v>Germany</v>
      </c>
      <c r="M17" t="str">
        <f>VLOOKUP(B17,Raw_Suppliers!$A$2:$G$101,4,FALSE)</f>
        <v>South</v>
      </c>
      <c r="N17" t="str">
        <f>VLOOKUP(B17,Raw_Suppliers!$A$2:$G$101,6,FALSE)</f>
        <v>ISO 14001</v>
      </c>
      <c r="O17">
        <f>VLOOKUP(B17,Raw_Suppliers!$A$2:$G$101,7,FALSE)</f>
        <v>0</v>
      </c>
      <c r="P17" t="str">
        <f t="shared" si="1"/>
        <v>No</v>
      </c>
      <c r="Q17">
        <f t="shared" si="2"/>
        <v>1</v>
      </c>
      <c r="R17" t="str">
        <f t="shared" si="3"/>
        <v>On Time</v>
      </c>
      <c r="S17">
        <f t="shared" si="4"/>
        <v>2023</v>
      </c>
      <c r="T17">
        <f t="shared" si="5"/>
        <v>5</v>
      </c>
    </row>
    <row r="18" spans="1:20" x14ac:dyDescent="0.25">
      <c r="A18" t="s">
        <v>57</v>
      </c>
      <c r="B18" t="s">
        <v>58</v>
      </c>
      <c r="C18" t="s">
        <v>59</v>
      </c>
      <c r="D18" s="1">
        <v>44471</v>
      </c>
      <c r="E18">
        <v>11</v>
      </c>
      <c r="F18">
        <v>69.114569575480303</v>
      </c>
      <c r="G18" s="1">
        <v>44482</v>
      </c>
      <c r="H18" s="1">
        <v>44483</v>
      </c>
      <c r="I18">
        <v>760.260265330283</v>
      </c>
      <c r="J18">
        <f t="shared" si="0"/>
        <v>1</v>
      </c>
      <c r="K18" t="str">
        <f>VLOOKUP(B18,Raw_Suppliers!$A$2:$G$101,2,FALSE)</f>
        <v>Quantum Nano Inc</v>
      </c>
      <c r="L18" t="str">
        <f>VLOOKUP(B18,Raw_Suppliers!$A$2:$G$101,3,FALSE)</f>
        <v>Brazil</v>
      </c>
      <c r="M18" t="str">
        <f>VLOOKUP(B18,Raw_Suppliers!$A$2:$G$101,4,FALSE)</f>
        <v>East</v>
      </c>
      <c r="N18" t="str">
        <f>VLOOKUP(B18,Raw_Suppliers!$A$2:$G$101,6,FALSE)</f>
        <v>ISO 9001</v>
      </c>
      <c r="O18">
        <f>VLOOKUP(B18,Raw_Suppliers!$A$2:$G$101,7,FALSE)</f>
        <v>1</v>
      </c>
      <c r="P18" t="str">
        <f t="shared" si="1"/>
        <v>Yes</v>
      </c>
      <c r="Q18">
        <f t="shared" si="2"/>
        <v>0</v>
      </c>
      <c r="R18" t="str">
        <f t="shared" si="3"/>
        <v>Late</v>
      </c>
      <c r="S18">
        <f t="shared" si="4"/>
        <v>2021</v>
      </c>
      <c r="T18">
        <f t="shared" si="5"/>
        <v>10</v>
      </c>
    </row>
    <row r="19" spans="1:20" x14ac:dyDescent="0.25">
      <c r="A19" t="s">
        <v>60</v>
      </c>
      <c r="B19" t="s">
        <v>61</v>
      </c>
      <c r="C19" t="s">
        <v>62</v>
      </c>
      <c r="D19" s="1">
        <v>44699</v>
      </c>
      <c r="E19">
        <v>11</v>
      </c>
      <c r="F19">
        <v>61.201835120752797</v>
      </c>
      <c r="G19" s="1">
        <v>44721</v>
      </c>
      <c r="H19" s="1">
        <v>44720</v>
      </c>
      <c r="I19">
        <v>673.22018632828099</v>
      </c>
      <c r="J19">
        <f t="shared" si="0"/>
        <v>-1</v>
      </c>
      <c r="K19" t="str">
        <f>VLOOKUP(B19,Raw_Suppliers!$A$2:$G$101,2,FALSE)</f>
        <v>Ultra Gamma LLC</v>
      </c>
      <c r="L19" t="str">
        <f>VLOOKUP(B19,Raw_Suppliers!$A$2:$G$101,3,FALSE)</f>
        <v>Canada</v>
      </c>
      <c r="M19" t="str">
        <f>VLOOKUP(B19,Raw_Suppliers!$A$2:$G$101,4,FALSE)</f>
        <v>North</v>
      </c>
      <c r="N19" t="str">
        <f>VLOOKUP(B19,Raw_Suppliers!$A$2:$G$101,6,FALSE)</f>
        <v>ISO 9001</v>
      </c>
      <c r="O19">
        <f>VLOOKUP(B19,Raw_Suppliers!$A$2:$G$101,7,FALSE)</f>
        <v>1</v>
      </c>
      <c r="P19" t="str">
        <f t="shared" si="1"/>
        <v>Yes</v>
      </c>
      <c r="Q19">
        <f t="shared" si="2"/>
        <v>1</v>
      </c>
      <c r="R19" t="str">
        <f t="shared" si="3"/>
        <v>On Time</v>
      </c>
      <c r="S19">
        <f t="shared" si="4"/>
        <v>2022</v>
      </c>
      <c r="T19">
        <f t="shared" si="5"/>
        <v>5</v>
      </c>
    </row>
    <row r="20" spans="1:20" x14ac:dyDescent="0.25">
      <c r="A20" t="s">
        <v>63</v>
      </c>
      <c r="B20" t="s">
        <v>64</v>
      </c>
      <c r="C20" t="s">
        <v>65</v>
      </c>
      <c r="D20" s="1">
        <v>45095</v>
      </c>
      <c r="E20">
        <v>9</v>
      </c>
      <c r="F20">
        <v>68.567830203443705</v>
      </c>
      <c r="G20" s="1">
        <v>45107</v>
      </c>
      <c r="H20" s="1">
        <v>45109</v>
      </c>
      <c r="I20">
        <v>617.11047183099299</v>
      </c>
      <c r="J20">
        <f t="shared" si="0"/>
        <v>2</v>
      </c>
      <c r="K20" t="str">
        <f>VLOOKUP(B20,Raw_Suppliers!$A$2:$G$101,2,FALSE)</f>
        <v>Apex Quantum Inc</v>
      </c>
      <c r="L20" t="str">
        <f>VLOOKUP(B20,Raw_Suppliers!$A$2:$G$101,3,FALSE)</f>
        <v>India</v>
      </c>
      <c r="M20" t="str">
        <f>VLOOKUP(B20,Raw_Suppliers!$A$2:$G$101,4,FALSE)</f>
        <v>North</v>
      </c>
      <c r="N20" t="str">
        <f>VLOOKUP(B20,Raw_Suppliers!$A$2:$G$101,6,FALSE)</f>
        <v>ISO 45001</v>
      </c>
      <c r="O20">
        <f>VLOOKUP(B20,Raw_Suppliers!$A$2:$G$101,7,FALSE)</f>
        <v>1</v>
      </c>
      <c r="P20" t="str">
        <f t="shared" si="1"/>
        <v>Yes</v>
      </c>
      <c r="Q20">
        <f t="shared" si="2"/>
        <v>0</v>
      </c>
      <c r="R20" t="str">
        <f t="shared" si="3"/>
        <v>Late</v>
      </c>
      <c r="S20">
        <f t="shared" si="4"/>
        <v>2023</v>
      </c>
      <c r="T20">
        <f t="shared" si="5"/>
        <v>6</v>
      </c>
    </row>
    <row r="21" spans="1:20" x14ac:dyDescent="0.25">
      <c r="A21" t="s">
        <v>66</v>
      </c>
      <c r="B21" t="s">
        <v>67</v>
      </c>
      <c r="C21" t="s">
        <v>68</v>
      </c>
      <c r="D21" s="1">
        <v>44610</v>
      </c>
      <c r="E21">
        <v>13</v>
      </c>
      <c r="F21">
        <v>63.632294555442499</v>
      </c>
      <c r="G21" s="1">
        <v>44623</v>
      </c>
      <c r="H21" s="1">
        <v>44622</v>
      </c>
      <c r="I21">
        <v>827.21982922075301</v>
      </c>
      <c r="J21">
        <f t="shared" si="0"/>
        <v>-1</v>
      </c>
      <c r="K21" t="str">
        <f>VLOOKUP(B21,Raw_Suppliers!$A$2:$G$101,2,FALSE)</f>
        <v>Nova Eco LLC</v>
      </c>
      <c r="L21" t="str">
        <f>VLOOKUP(B21,Raw_Suppliers!$A$2:$G$101,3,FALSE)</f>
        <v>Germany</v>
      </c>
      <c r="M21" t="str">
        <f>VLOOKUP(B21,Raw_Suppliers!$A$2:$G$101,4,FALSE)</f>
        <v>Central</v>
      </c>
      <c r="N21" t="str">
        <f>VLOOKUP(B21,Raw_Suppliers!$A$2:$G$101,6,FALSE)</f>
        <v>ISO 9001</v>
      </c>
      <c r="O21">
        <f>VLOOKUP(B21,Raw_Suppliers!$A$2:$G$101,7,FALSE)</f>
        <v>1</v>
      </c>
      <c r="P21" t="str">
        <f t="shared" si="1"/>
        <v>Yes</v>
      </c>
      <c r="Q21">
        <f t="shared" si="2"/>
        <v>1</v>
      </c>
      <c r="R21" t="str">
        <f t="shared" si="3"/>
        <v>On Time</v>
      </c>
      <c r="S21">
        <f t="shared" si="4"/>
        <v>2022</v>
      </c>
      <c r="T21">
        <f t="shared" si="5"/>
        <v>2</v>
      </c>
    </row>
    <row r="22" spans="1:20" x14ac:dyDescent="0.25">
      <c r="A22" t="s">
        <v>69</v>
      </c>
      <c r="B22" t="s">
        <v>70</v>
      </c>
      <c r="C22" t="s">
        <v>71</v>
      </c>
      <c r="D22" s="1">
        <v>45341</v>
      </c>
      <c r="E22">
        <v>9</v>
      </c>
      <c r="F22">
        <v>63.442912422671199</v>
      </c>
      <c r="G22" s="1">
        <v>45365</v>
      </c>
      <c r="H22" s="1">
        <v>45367</v>
      </c>
      <c r="I22">
        <v>570.98621180404098</v>
      </c>
      <c r="J22">
        <f t="shared" si="0"/>
        <v>2</v>
      </c>
      <c r="K22" t="str">
        <f>VLOOKUP(B22,Raw_Suppliers!$A$2:$G$101,2,FALSE)</f>
        <v>Prime Nano Ltd</v>
      </c>
      <c r="L22" t="str">
        <f>VLOOKUP(B22,Raw_Suppliers!$A$2:$G$101,3,FALSE)</f>
        <v>USA</v>
      </c>
      <c r="M22" t="str">
        <f>VLOOKUP(B22,Raw_Suppliers!$A$2:$G$101,4,FALSE)</f>
        <v>Central</v>
      </c>
      <c r="N22" t="str">
        <f>VLOOKUP(B22,Raw_Suppliers!$A$2:$G$101,6,FALSE)</f>
        <v>ISO 45001</v>
      </c>
      <c r="O22">
        <f>VLOOKUP(B22,Raw_Suppliers!$A$2:$G$101,7,FALSE)</f>
        <v>0</v>
      </c>
      <c r="P22" t="str">
        <f t="shared" si="1"/>
        <v>No</v>
      </c>
      <c r="Q22">
        <f t="shared" si="2"/>
        <v>0</v>
      </c>
      <c r="R22" t="str">
        <f t="shared" si="3"/>
        <v>Late</v>
      </c>
      <c r="S22">
        <f t="shared" si="4"/>
        <v>2024</v>
      </c>
      <c r="T22">
        <f t="shared" si="5"/>
        <v>2</v>
      </c>
    </row>
    <row r="23" spans="1:20" x14ac:dyDescent="0.25">
      <c r="A23" t="s">
        <v>72</v>
      </c>
      <c r="B23" t="s">
        <v>73</v>
      </c>
      <c r="C23" t="s">
        <v>74</v>
      </c>
      <c r="D23" s="1">
        <v>45179</v>
      </c>
      <c r="E23">
        <v>12</v>
      </c>
      <c r="F23">
        <v>69.584274851607404</v>
      </c>
      <c r="G23" s="1">
        <v>45201</v>
      </c>
      <c r="H23" s="1">
        <v>45201</v>
      </c>
      <c r="I23">
        <v>835.01129821928896</v>
      </c>
      <c r="J23">
        <f t="shared" si="0"/>
        <v>0</v>
      </c>
      <c r="K23" t="str">
        <f>VLOOKUP(B23,Raw_Suppliers!$A$2:$G$101,2,FALSE)</f>
        <v>Gamma Quantum LLC</v>
      </c>
      <c r="L23" t="str">
        <f>VLOOKUP(B23,Raw_Suppliers!$A$2:$G$101,3,FALSE)</f>
        <v>Germany</v>
      </c>
      <c r="M23" t="str">
        <f>VLOOKUP(B23,Raw_Suppliers!$A$2:$G$101,4,FALSE)</f>
        <v>Central</v>
      </c>
      <c r="N23" t="str">
        <f>VLOOKUP(B23,Raw_Suppliers!$A$2:$G$101,6,FALSE)</f>
        <v>ISO 9001</v>
      </c>
      <c r="O23">
        <f>VLOOKUP(B23,Raw_Suppliers!$A$2:$G$101,7,FALSE)</f>
        <v>1</v>
      </c>
      <c r="P23" t="str">
        <f t="shared" si="1"/>
        <v>Yes</v>
      </c>
      <c r="Q23">
        <f t="shared" si="2"/>
        <v>1</v>
      </c>
      <c r="R23" t="str">
        <f t="shared" si="3"/>
        <v>On Time</v>
      </c>
      <c r="S23">
        <f t="shared" si="4"/>
        <v>2023</v>
      </c>
      <c r="T23">
        <f t="shared" si="5"/>
        <v>9</v>
      </c>
    </row>
    <row r="24" spans="1:20" x14ac:dyDescent="0.25">
      <c r="A24" t="s">
        <v>75</v>
      </c>
      <c r="B24" t="s">
        <v>76</v>
      </c>
      <c r="C24" t="s">
        <v>77</v>
      </c>
      <c r="D24" s="1">
        <v>45264</v>
      </c>
      <c r="E24">
        <v>15</v>
      </c>
      <c r="F24">
        <v>76.462493466167402</v>
      </c>
      <c r="G24" s="1">
        <v>45283</v>
      </c>
      <c r="H24" s="1">
        <v>45281</v>
      </c>
      <c r="I24">
        <v>1146.9374019925101</v>
      </c>
      <c r="J24">
        <f t="shared" si="0"/>
        <v>-2</v>
      </c>
      <c r="K24" t="str">
        <f>VLOOKUP(B24,Raw_Suppliers!$A$2:$G$101,2,FALSE)</f>
        <v>Alpha Beta Ltd</v>
      </c>
      <c r="L24" t="str">
        <f>VLOOKUP(B24,Raw_Suppliers!$A$2:$G$101,3,FALSE)</f>
        <v>UK</v>
      </c>
      <c r="M24" t="str">
        <f>VLOOKUP(B24,Raw_Suppliers!$A$2:$G$101,4,FALSE)</f>
        <v>South</v>
      </c>
      <c r="N24" t="str">
        <f>VLOOKUP(B24,Raw_Suppliers!$A$2:$G$101,6,FALSE)</f>
        <v>None</v>
      </c>
      <c r="O24">
        <f>VLOOKUP(B24,Raw_Suppliers!$A$2:$G$101,7,FALSE)</f>
        <v>1</v>
      </c>
      <c r="P24" t="str">
        <f t="shared" si="1"/>
        <v>Yes</v>
      </c>
      <c r="Q24">
        <f t="shared" si="2"/>
        <v>1</v>
      </c>
      <c r="R24" t="str">
        <f t="shared" si="3"/>
        <v>On Time</v>
      </c>
      <c r="S24">
        <f t="shared" si="4"/>
        <v>2023</v>
      </c>
      <c r="T24">
        <f t="shared" si="5"/>
        <v>12</v>
      </c>
    </row>
    <row r="25" spans="1:20" x14ac:dyDescent="0.25">
      <c r="A25" t="s">
        <v>78</v>
      </c>
      <c r="B25" t="s">
        <v>79</v>
      </c>
      <c r="C25" t="s">
        <v>80</v>
      </c>
      <c r="D25" s="1">
        <v>44652</v>
      </c>
      <c r="E25">
        <v>8</v>
      </c>
      <c r="F25">
        <v>49.064760522916899</v>
      </c>
      <c r="G25" s="1">
        <v>44674</v>
      </c>
      <c r="H25" s="1">
        <v>44678</v>
      </c>
      <c r="I25">
        <v>392.51808418333502</v>
      </c>
      <c r="J25">
        <f t="shared" si="0"/>
        <v>4</v>
      </c>
      <c r="K25" t="str">
        <f>VLOOKUP(B25,Raw_Suppliers!$A$2:$G$101,2,FALSE)</f>
        <v>Vertex Fusion Inc</v>
      </c>
      <c r="L25" t="str">
        <f>VLOOKUP(B25,Raw_Suppliers!$A$2:$G$101,3,FALSE)</f>
        <v>India</v>
      </c>
      <c r="M25" t="str">
        <f>VLOOKUP(B25,Raw_Suppliers!$A$2:$G$101,4,FALSE)</f>
        <v>Central</v>
      </c>
      <c r="N25" t="str">
        <f>VLOOKUP(B25,Raw_Suppliers!$A$2:$G$101,6,FALSE)</f>
        <v>ISO 9001</v>
      </c>
      <c r="O25">
        <f>VLOOKUP(B25,Raw_Suppliers!$A$2:$G$101,7,FALSE)</f>
        <v>0</v>
      </c>
      <c r="P25" t="str">
        <f t="shared" si="1"/>
        <v>No</v>
      </c>
      <c r="Q25">
        <f t="shared" si="2"/>
        <v>0</v>
      </c>
      <c r="R25" t="str">
        <f t="shared" si="3"/>
        <v>Late</v>
      </c>
      <c r="S25">
        <f t="shared" si="4"/>
        <v>2022</v>
      </c>
      <c r="T25">
        <f t="shared" si="5"/>
        <v>4</v>
      </c>
    </row>
    <row r="26" spans="1:20" x14ac:dyDescent="0.25">
      <c r="A26" t="s">
        <v>81</v>
      </c>
      <c r="B26" t="s">
        <v>82</v>
      </c>
      <c r="C26" t="s">
        <v>83</v>
      </c>
      <c r="D26" s="1">
        <v>45368</v>
      </c>
      <c r="E26">
        <v>13</v>
      </c>
      <c r="F26">
        <v>15.439558053438899</v>
      </c>
      <c r="G26" s="1">
        <v>45381</v>
      </c>
      <c r="H26" s="1">
        <v>45383</v>
      </c>
      <c r="I26">
        <v>200.714254694706</v>
      </c>
      <c r="J26">
        <f t="shared" si="0"/>
        <v>2</v>
      </c>
      <c r="K26" t="str">
        <f>VLOOKUP(B26,Raw_Suppliers!$A$2:$G$101,2,FALSE)</f>
        <v>Gamma Quantum LLC</v>
      </c>
      <c r="L26" t="str">
        <f>VLOOKUP(B26,Raw_Suppliers!$A$2:$G$101,3,FALSE)</f>
        <v>Canada</v>
      </c>
      <c r="M26" t="str">
        <f>VLOOKUP(B26,Raw_Suppliers!$A$2:$G$101,4,FALSE)</f>
        <v>Central</v>
      </c>
      <c r="N26" t="str">
        <f>VLOOKUP(B26,Raw_Suppliers!$A$2:$G$101,6,FALSE)</f>
        <v>None</v>
      </c>
      <c r="O26">
        <f>VLOOKUP(B26,Raw_Suppliers!$A$2:$G$101,7,FALSE)</f>
        <v>1</v>
      </c>
      <c r="P26" t="str">
        <f t="shared" si="1"/>
        <v>Yes</v>
      </c>
      <c r="Q26">
        <f t="shared" si="2"/>
        <v>0</v>
      </c>
      <c r="R26" t="str">
        <f t="shared" si="3"/>
        <v>Late</v>
      </c>
      <c r="S26">
        <f t="shared" si="4"/>
        <v>2024</v>
      </c>
      <c r="T26">
        <f t="shared" si="5"/>
        <v>3</v>
      </c>
    </row>
    <row r="27" spans="1:20" x14ac:dyDescent="0.25">
      <c r="A27" t="s">
        <v>84</v>
      </c>
      <c r="B27" t="s">
        <v>85</v>
      </c>
      <c r="C27" t="s">
        <v>86</v>
      </c>
      <c r="D27" s="1">
        <v>45277</v>
      </c>
      <c r="E27">
        <v>11</v>
      </c>
      <c r="F27">
        <v>68.513472466800295</v>
      </c>
      <c r="G27" s="1">
        <v>45301</v>
      </c>
      <c r="H27" s="1">
        <v>45307</v>
      </c>
      <c r="I27">
        <v>753.64819713480301</v>
      </c>
      <c r="J27">
        <f t="shared" si="0"/>
        <v>6</v>
      </c>
      <c r="K27" t="str">
        <f>VLOOKUP(B27,Raw_Suppliers!$A$2:$G$101,2,FALSE)</f>
        <v>Fusion Gamma LLC</v>
      </c>
      <c r="L27" t="str">
        <f>VLOOKUP(B27,Raw_Suppliers!$A$2:$G$101,3,FALSE)</f>
        <v>China</v>
      </c>
      <c r="M27" t="str">
        <f>VLOOKUP(B27,Raw_Suppliers!$A$2:$G$101,4,FALSE)</f>
        <v>East</v>
      </c>
      <c r="N27" t="str">
        <f>VLOOKUP(B27,Raw_Suppliers!$A$2:$G$101,6,FALSE)</f>
        <v>ISO 9001</v>
      </c>
      <c r="O27">
        <f>VLOOKUP(B27,Raw_Suppliers!$A$2:$G$101,7,FALSE)</f>
        <v>1</v>
      </c>
      <c r="P27" t="str">
        <f t="shared" si="1"/>
        <v>Yes</v>
      </c>
      <c r="Q27">
        <f t="shared" si="2"/>
        <v>0</v>
      </c>
      <c r="R27" t="str">
        <f t="shared" si="3"/>
        <v>Late</v>
      </c>
      <c r="S27">
        <f t="shared" si="4"/>
        <v>2023</v>
      </c>
      <c r="T27">
        <f t="shared" si="5"/>
        <v>12</v>
      </c>
    </row>
    <row r="28" spans="1:20" x14ac:dyDescent="0.25">
      <c r="A28" t="s">
        <v>87</v>
      </c>
      <c r="B28" t="s">
        <v>88</v>
      </c>
      <c r="C28" t="s">
        <v>89</v>
      </c>
      <c r="D28" s="1">
        <v>45220</v>
      </c>
      <c r="E28">
        <v>12</v>
      </c>
      <c r="F28">
        <v>70.944673279855905</v>
      </c>
      <c r="G28" s="1">
        <v>45232</v>
      </c>
      <c r="H28" s="1">
        <v>45237</v>
      </c>
      <c r="I28">
        <v>851.33607935827001</v>
      </c>
      <c r="J28">
        <f t="shared" si="0"/>
        <v>5</v>
      </c>
      <c r="K28" t="str">
        <f>VLOOKUP(B28,Raw_Suppliers!$A$2:$G$101,2,FALSE)</f>
        <v>Eco Nano GmbH</v>
      </c>
      <c r="L28" t="str">
        <f>VLOOKUP(B28,Raw_Suppliers!$A$2:$G$101,3,FALSE)</f>
        <v>Denmark</v>
      </c>
      <c r="M28" t="str">
        <f>VLOOKUP(B28,Raw_Suppliers!$A$2:$G$101,4,FALSE)</f>
        <v>Central</v>
      </c>
      <c r="N28" t="str">
        <f>VLOOKUP(B28,Raw_Suppliers!$A$2:$G$101,6,FALSE)</f>
        <v>ISO 9001</v>
      </c>
      <c r="O28">
        <f>VLOOKUP(B28,Raw_Suppliers!$A$2:$G$101,7,FALSE)</f>
        <v>1</v>
      </c>
      <c r="P28" t="str">
        <f t="shared" si="1"/>
        <v>Yes</v>
      </c>
      <c r="Q28">
        <f t="shared" si="2"/>
        <v>0</v>
      </c>
      <c r="R28" t="str">
        <f t="shared" si="3"/>
        <v>Late</v>
      </c>
      <c r="S28">
        <f t="shared" si="4"/>
        <v>2023</v>
      </c>
      <c r="T28">
        <f t="shared" si="5"/>
        <v>10</v>
      </c>
    </row>
    <row r="29" spans="1:20" x14ac:dyDescent="0.25">
      <c r="A29" t="s">
        <v>90</v>
      </c>
      <c r="B29" t="s">
        <v>91</v>
      </c>
      <c r="C29" t="s">
        <v>92</v>
      </c>
      <c r="D29" s="1">
        <v>45383</v>
      </c>
      <c r="E29">
        <v>9</v>
      </c>
      <c r="F29">
        <v>32.2580868801356</v>
      </c>
      <c r="G29" s="1">
        <v>45394</v>
      </c>
      <c r="H29" s="1">
        <v>45397</v>
      </c>
      <c r="I29">
        <v>290.32278192122101</v>
      </c>
      <c r="J29">
        <f t="shared" si="0"/>
        <v>3</v>
      </c>
      <c r="K29" t="str">
        <f>VLOOKUP(B29,Raw_Suppliers!$A$2:$G$101,2,FALSE)</f>
        <v>Apex Prime Ltd</v>
      </c>
      <c r="L29" t="str">
        <f>VLOOKUP(B29,Raw_Suppliers!$A$2:$G$101,3,FALSE)</f>
        <v>India</v>
      </c>
      <c r="M29" t="str">
        <f>VLOOKUP(B29,Raw_Suppliers!$A$2:$G$101,4,FALSE)</f>
        <v>South</v>
      </c>
      <c r="N29" t="str">
        <f>VLOOKUP(B29,Raw_Suppliers!$A$2:$G$101,6,FALSE)</f>
        <v>ISO 9001</v>
      </c>
      <c r="O29">
        <f>VLOOKUP(B29,Raw_Suppliers!$A$2:$G$101,7,FALSE)</f>
        <v>0</v>
      </c>
      <c r="P29" t="str">
        <f t="shared" si="1"/>
        <v>No</v>
      </c>
      <c r="Q29">
        <f t="shared" si="2"/>
        <v>0</v>
      </c>
      <c r="R29" t="str">
        <f t="shared" si="3"/>
        <v>Late</v>
      </c>
      <c r="S29">
        <f t="shared" si="4"/>
        <v>2024</v>
      </c>
      <c r="T29">
        <f t="shared" si="5"/>
        <v>4</v>
      </c>
    </row>
    <row r="30" spans="1:20" x14ac:dyDescent="0.25">
      <c r="A30" t="s">
        <v>93</v>
      </c>
      <c r="B30" t="s">
        <v>37</v>
      </c>
      <c r="C30" t="s">
        <v>94</v>
      </c>
      <c r="D30" s="1">
        <v>44837</v>
      </c>
      <c r="E30">
        <v>7</v>
      </c>
      <c r="F30">
        <v>8.32315558115023</v>
      </c>
      <c r="G30" s="1">
        <v>44857</v>
      </c>
      <c r="H30" s="1">
        <v>44860</v>
      </c>
      <c r="I30">
        <v>58.262089068051601</v>
      </c>
      <c r="J30">
        <f t="shared" si="0"/>
        <v>3</v>
      </c>
      <c r="K30" t="str">
        <f>VLOOKUP(B30,Raw_Suppliers!$A$2:$G$101,2,FALSE)</f>
        <v>Apex Apex Ltd</v>
      </c>
      <c r="L30" t="str">
        <f>VLOOKUP(B30,Raw_Suppliers!$A$2:$G$101,3,FALSE)</f>
        <v>Canada</v>
      </c>
      <c r="M30" t="str">
        <f>VLOOKUP(B30,Raw_Suppliers!$A$2:$G$101,4,FALSE)</f>
        <v>East</v>
      </c>
      <c r="N30" t="str">
        <f>VLOOKUP(B30,Raw_Suppliers!$A$2:$G$101,6,FALSE)</f>
        <v>ISO 9001</v>
      </c>
      <c r="O30">
        <f>VLOOKUP(B30,Raw_Suppliers!$A$2:$G$101,7,FALSE)</f>
        <v>1</v>
      </c>
      <c r="P30" t="str">
        <f t="shared" si="1"/>
        <v>Yes</v>
      </c>
      <c r="Q30">
        <f t="shared" si="2"/>
        <v>0</v>
      </c>
      <c r="R30" t="str">
        <f t="shared" si="3"/>
        <v>Late</v>
      </c>
      <c r="S30">
        <f t="shared" si="4"/>
        <v>2022</v>
      </c>
      <c r="T30">
        <f t="shared" si="5"/>
        <v>10</v>
      </c>
    </row>
    <row r="31" spans="1:20" x14ac:dyDescent="0.25">
      <c r="A31" t="s">
        <v>95</v>
      </c>
      <c r="B31" t="s">
        <v>96</v>
      </c>
      <c r="C31" t="s">
        <v>97</v>
      </c>
      <c r="D31" s="1">
        <v>45169</v>
      </c>
      <c r="E31">
        <v>13</v>
      </c>
      <c r="F31">
        <v>27.203427496926199</v>
      </c>
      <c r="G31" s="1">
        <v>45185</v>
      </c>
      <c r="H31" s="1">
        <v>45189</v>
      </c>
      <c r="I31">
        <v>353.64455746004001</v>
      </c>
      <c r="J31">
        <f t="shared" si="0"/>
        <v>4</v>
      </c>
      <c r="K31" t="str">
        <f>VLOOKUP(B31,Raw_Suppliers!$A$2:$G$101,2,FALSE)</f>
        <v>Alpha Nova Ltd</v>
      </c>
      <c r="L31" t="str">
        <f>VLOOKUP(B31,Raw_Suppliers!$A$2:$G$101,3,FALSE)</f>
        <v>UK</v>
      </c>
      <c r="M31" t="str">
        <f>VLOOKUP(B31,Raw_Suppliers!$A$2:$G$101,4,FALSE)</f>
        <v>West</v>
      </c>
      <c r="N31" t="str">
        <f>VLOOKUP(B31,Raw_Suppliers!$A$2:$G$101,6,FALSE)</f>
        <v>ISO 14001</v>
      </c>
      <c r="O31">
        <f>VLOOKUP(B31,Raw_Suppliers!$A$2:$G$101,7,FALSE)</f>
        <v>0</v>
      </c>
      <c r="P31" t="str">
        <f t="shared" si="1"/>
        <v>No</v>
      </c>
      <c r="Q31">
        <f t="shared" si="2"/>
        <v>0</v>
      </c>
      <c r="R31" t="str">
        <f t="shared" si="3"/>
        <v>Late</v>
      </c>
      <c r="S31">
        <f t="shared" si="4"/>
        <v>2023</v>
      </c>
      <c r="T31">
        <f t="shared" si="5"/>
        <v>8</v>
      </c>
    </row>
    <row r="32" spans="1:20" x14ac:dyDescent="0.25">
      <c r="A32" t="s">
        <v>98</v>
      </c>
      <c r="B32" t="s">
        <v>99</v>
      </c>
      <c r="C32" t="s">
        <v>100</v>
      </c>
      <c r="D32" s="1">
        <v>45331</v>
      </c>
      <c r="E32">
        <v>12</v>
      </c>
      <c r="F32">
        <v>17.686680271788699</v>
      </c>
      <c r="G32" s="1">
        <v>45351</v>
      </c>
      <c r="H32" s="1">
        <v>45352</v>
      </c>
      <c r="I32">
        <v>212.240163261465</v>
      </c>
      <c r="J32">
        <f t="shared" si="0"/>
        <v>1</v>
      </c>
      <c r="K32" t="str">
        <f>VLOOKUP(B32,Raw_Suppliers!$A$2:$G$101,2,FALSE)</f>
        <v>Gamma Nova LLC</v>
      </c>
      <c r="L32" t="str">
        <f>VLOOKUP(B32,Raw_Suppliers!$A$2:$G$101,3,FALSE)</f>
        <v>USA</v>
      </c>
      <c r="M32" t="str">
        <f>VLOOKUP(B32,Raw_Suppliers!$A$2:$G$101,4,FALSE)</f>
        <v>North</v>
      </c>
      <c r="N32" t="str">
        <f>VLOOKUP(B32,Raw_Suppliers!$A$2:$G$101,6,FALSE)</f>
        <v>ISO 9001</v>
      </c>
      <c r="O32">
        <f>VLOOKUP(B32,Raw_Suppliers!$A$2:$G$101,7,FALSE)</f>
        <v>0</v>
      </c>
      <c r="P32" t="str">
        <f t="shared" si="1"/>
        <v>No</v>
      </c>
      <c r="Q32">
        <f t="shared" si="2"/>
        <v>0</v>
      </c>
      <c r="R32" t="str">
        <f t="shared" si="3"/>
        <v>Late</v>
      </c>
      <c r="S32">
        <f t="shared" si="4"/>
        <v>2024</v>
      </c>
      <c r="T32">
        <f t="shared" si="5"/>
        <v>2</v>
      </c>
    </row>
    <row r="33" spans="1:20" x14ac:dyDescent="0.25">
      <c r="A33" t="s">
        <v>101</v>
      </c>
      <c r="B33" t="s">
        <v>67</v>
      </c>
      <c r="C33" t="s">
        <v>102</v>
      </c>
      <c r="D33" s="1">
        <v>44429</v>
      </c>
      <c r="E33">
        <v>11</v>
      </c>
      <c r="F33">
        <v>17.681582408842502</v>
      </c>
      <c r="G33" s="1">
        <v>44450</v>
      </c>
      <c r="H33" s="1">
        <v>44450</v>
      </c>
      <c r="I33">
        <v>194.497406497268</v>
      </c>
      <c r="J33">
        <f t="shared" si="0"/>
        <v>0</v>
      </c>
      <c r="K33" t="str">
        <f>VLOOKUP(B33,Raw_Suppliers!$A$2:$G$101,2,FALSE)</f>
        <v>Nova Eco LLC</v>
      </c>
      <c r="L33" t="str">
        <f>VLOOKUP(B33,Raw_Suppliers!$A$2:$G$101,3,FALSE)</f>
        <v>Germany</v>
      </c>
      <c r="M33" t="str">
        <f>VLOOKUP(B33,Raw_Suppliers!$A$2:$G$101,4,FALSE)</f>
        <v>Central</v>
      </c>
      <c r="N33" t="str">
        <f>VLOOKUP(B33,Raw_Suppliers!$A$2:$G$101,6,FALSE)</f>
        <v>ISO 9001</v>
      </c>
      <c r="O33">
        <f>VLOOKUP(B33,Raw_Suppliers!$A$2:$G$101,7,FALSE)</f>
        <v>1</v>
      </c>
      <c r="P33" t="str">
        <f t="shared" si="1"/>
        <v>Yes</v>
      </c>
      <c r="Q33">
        <f t="shared" si="2"/>
        <v>1</v>
      </c>
      <c r="R33" t="str">
        <f t="shared" si="3"/>
        <v>On Time</v>
      </c>
      <c r="S33">
        <f t="shared" si="4"/>
        <v>2021</v>
      </c>
      <c r="T33">
        <f t="shared" si="5"/>
        <v>8</v>
      </c>
    </row>
    <row r="34" spans="1:20" x14ac:dyDescent="0.25">
      <c r="A34" t="s">
        <v>103</v>
      </c>
      <c r="B34" t="s">
        <v>104</v>
      </c>
      <c r="C34" t="s">
        <v>105</v>
      </c>
      <c r="D34" s="1">
        <v>44363</v>
      </c>
      <c r="E34">
        <v>19</v>
      </c>
      <c r="F34">
        <v>32.601286572435001</v>
      </c>
      <c r="G34" s="1">
        <v>44384</v>
      </c>
      <c r="H34" s="1">
        <v>44387</v>
      </c>
      <c r="I34">
        <v>619.42444487626597</v>
      </c>
      <c r="J34">
        <f t="shared" si="0"/>
        <v>3</v>
      </c>
      <c r="K34" t="str">
        <f>VLOOKUP(B34,Raw_Suppliers!$A$2:$G$101,2,FALSE)</f>
        <v>Prime Omega Corp</v>
      </c>
      <c r="L34" t="str">
        <f>VLOOKUP(B34,Raw_Suppliers!$A$2:$G$101,3,FALSE)</f>
        <v>India</v>
      </c>
      <c r="M34" t="str">
        <f>VLOOKUP(B34,Raw_Suppliers!$A$2:$G$101,4,FALSE)</f>
        <v>Central</v>
      </c>
      <c r="N34" t="str">
        <f>VLOOKUP(B34,Raw_Suppliers!$A$2:$G$101,6,FALSE)</f>
        <v>ISO 14001</v>
      </c>
      <c r="O34">
        <f>VLOOKUP(B34,Raw_Suppliers!$A$2:$G$101,7,FALSE)</f>
        <v>0</v>
      </c>
      <c r="P34" t="str">
        <f t="shared" si="1"/>
        <v>No</v>
      </c>
      <c r="Q34">
        <f t="shared" si="2"/>
        <v>0</v>
      </c>
      <c r="R34" t="str">
        <f t="shared" si="3"/>
        <v>Late</v>
      </c>
      <c r="S34">
        <f t="shared" si="4"/>
        <v>2021</v>
      </c>
      <c r="T34">
        <f t="shared" si="5"/>
        <v>6</v>
      </c>
    </row>
    <row r="35" spans="1:20" x14ac:dyDescent="0.25">
      <c r="A35" t="s">
        <v>106</v>
      </c>
      <c r="B35" t="s">
        <v>25</v>
      </c>
      <c r="C35" t="s">
        <v>107</v>
      </c>
      <c r="D35" s="1">
        <v>45121</v>
      </c>
      <c r="E35">
        <v>8</v>
      </c>
      <c r="F35">
        <v>32.856348955913298</v>
      </c>
      <c r="G35" s="1">
        <v>45133</v>
      </c>
      <c r="H35" s="1">
        <v>45131</v>
      </c>
      <c r="I35">
        <v>262.85079164730598</v>
      </c>
      <c r="J35">
        <f t="shared" si="0"/>
        <v>-2</v>
      </c>
      <c r="K35" t="str">
        <f>VLOOKUP(B35,Raw_Suppliers!$A$2:$G$101,2,FALSE)</f>
        <v>Quantum Fusion Corp</v>
      </c>
      <c r="L35" t="str">
        <f>VLOOKUP(B35,Raw_Suppliers!$A$2:$G$101,3,FALSE)</f>
        <v>UK</v>
      </c>
      <c r="M35" t="str">
        <f>VLOOKUP(B35,Raw_Suppliers!$A$2:$G$101,4,FALSE)</f>
        <v>North</v>
      </c>
      <c r="N35" t="str">
        <f>VLOOKUP(B35,Raw_Suppliers!$A$2:$G$101,6,FALSE)</f>
        <v>ISO 9001</v>
      </c>
      <c r="O35">
        <f>VLOOKUP(B35,Raw_Suppliers!$A$2:$G$101,7,FALSE)</f>
        <v>0</v>
      </c>
      <c r="P35" t="str">
        <f t="shared" si="1"/>
        <v>No</v>
      </c>
      <c r="Q35">
        <f t="shared" si="2"/>
        <v>1</v>
      </c>
      <c r="R35" t="str">
        <f t="shared" si="3"/>
        <v>On Time</v>
      </c>
      <c r="S35">
        <f t="shared" si="4"/>
        <v>2023</v>
      </c>
      <c r="T35">
        <f t="shared" si="5"/>
        <v>7</v>
      </c>
    </row>
    <row r="36" spans="1:20" x14ac:dyDescent="0.25">
      <c r="A36" t="s">
        <v>108</v>
      </c>
      <c r="B36" t="s">
        <v>109</v>
      </c>
      <c r="C36" t="s">
        <v>110</v>
      </c>
      <c r="D36" s="1">
        <v>44582</v>
      </c>
      <c r="E36">
        <v>11</v>
      </c>
      <c r="F36">
        <v>18.562488202935</v>
      </c>
      <c r="G36" s="1">
        <v>44605</v>
      </c>
      <c r="H36" s="1">
        <v>44611</v>
      </c>
      <c r="I36">
        <v>204.18737023228499</v>
      </c>
      <c r="J36">
        <f t="shared" si="0"/>
        <v>6</v>
      </c>
      <c r="K36" t="str">
        <f>VLOOKUP(B36,Raw_Suppliers!$A$2:$G$101,2,FALSE)</f>
        <v>Nano Fusion GmbH</v>
      </c>
      <c r="L36" t="str">
        <f>VLOOKUP(B36,Raw_Suppliers!$A$2:$G$101,3,FALSE)</f>
        <v>Denmark</v>
      </c>
      <c r="M36" t="str">
        <f>VLOOKUP(B36,Raw_Suppliers!$A$2:$G$101,4,FALSE)</f>
        <v>North</v>
      </c>
      <c r="N36" t="str">
        <f>VLOOKUP(B36,Raw_Suppliers!$A$2:$G$101,6,FALSE)</f>
        <v>ISO 9001</v>
      </c>
      <c r="O36">
        <f>VLOOKUP(B36,Raw_Suppliers!$A$2:$G$101,7,FALSE)</f>
        <v>0</v>
      </c>
      <c r="P36" t="str">
        <f t="shared" si="1"/>
        <v>No</v>
      </c>
      <c r="Q36">
        <f t="shared" si="2"/>
        <v>0</v>
      </c>
      <c r="R36" t="str">
        <f t="shared" si="3"/>
        <v>Late</v>
      </c>
      <c r="S36">
        <f t="shared" si="4"/>
        <v>2022</v>
      </c>
      <c r="T36">
        <f t="shared" si="5"/>
        <v>1</v>
      </c>
    </row>
    <row r="37" spans="1:20" x14ac:dyDescent="0.25">
      <c r="A37" t="s">
        <v>111</v>
      </c>
      <c r="B37" t="s">
        <v>25</v>
      </c>
      <c r="C37" t="s">
        <v>112</v>
      </c>
      <c r="D37" s="1">
        <v>44823</v>
      </c>
      <c r="E37">
        <v>15</v>
      </c>
      <c r="F37">
        <v>25.232411333629599</v>
      </c>
      <c r="G37" s="1">
        <v>44839</v>
      </c>
      <c r="H37" s="1">
        <v>44837</v>
      </c>
      <c r="I37">
        <v>378.48617000444398</v>
      </c>
      <c r="J37">
        <f t="shared" si="0"/>
        <v>-2</v>
      </c>
      <c r="K37" t="str">
        <f>VLOOKUP(B37,Raw_Suppliers!$A$2:$G$101,2,FALSE)</f>
        <v>Quantum Fusion Corp</v>
      </c>
      <c r="L37" t="str">
        <f>VLOOKUP(B37,Raw_Suppliers!$A$2:$G$101,3,FALSE)</f>
        <v>UK</v>
      </c>
      <c r="M37" t="str">
        <f>VLOOKUP(B37,Raw_Suppliers!$A$2:$G$101,4,FALSE)</f>
        <v>North</v>
      </c>
      <c r="N37" t="str">
        <f>VLOOKUP(B37,Raw_Suppliers!$A$2:$G$101,6,FALSE)</f>
        <v>ISO 9001</v>
      </c>
      <c r="O37">
        <f>VLOOKUP(B37,Raw_Suppliers!$A$2:$G$101,7,FALSE)</f>
        <v>0</v>
      </c>
      <c r="P37" t="str">
        <f t="shared" si="1"/>
        <v>No</v>
      </c>
      <c r="Q37">
        <f t="shared" si="2"/>
        <v>1</v>
      </c>
      <c r="R37" t="str">
        <f t="shared" si="3"/>
        <v>On Time</v>
      </c>
      <c r="S37">
        <f t="shared" si="4"/>
        <v>2022</v>
      </c>
      <c r="T37">
        <f t="shared" si="5"/>
        <v>9</v>
      </c>
    </row>
    <row r="38" spans="1:20" x14ac:dyDescent="0.25">
      <c r="A38" t="s">
        <v>113</v>
      </c>
      <c r="B38" t="s">
        <v>114</v>
      </c>
      <c r="C38" t="s">
        <v>115</v>
      </c>
      <c r="D38" s="1">
        <v>44509</v>
      </c>
      <c r="E38">
        <v>19</v>
      </c>
      <c r="F38">
        <v>70.138520918066604</v>
      </c>
      <c r="G38" s="1">
        <v>44528</v>
      </c>
      <c r="H38" s="1">
        <v>44527</v>
      </c>
      <c r="I38">
        <v>1332.63189744326</v>
      </c>
      <c r="J38">
        <f t="shared" si="0"/>
        <v>-1</v>
      </c>
      <c r="K38" t="str">
        <f>VLOOKUP(B38,Raw_Suppliers!$A$2:$G$101,2,FALSE)</f>
        <v>Fusion Fusion LLC</v>
      </c>
      <c r="L38" t="str">
        <f>VLOOKUP(B38,Raw_Suppliers!$A$2:$G$101,3,FALSE)</f>
        <v>China</v>
      </c>
      <c r="M38" t="str">
        <f>VLOOKUP(B38,Raw_Suppliers!$A$2:$G$101,4,FALSE)</f>
        <v>North</v>
      </c>
      <c r="N38" t="str">
        <f>VLOOKUP(B38,Raw_Suppliers!$A$2:$G$101,6,FALSE)</f>
        <v>ISO 45001</v>
      </c>
      <c r="O38">
        <f>VLOOKUP(B38,Raw_Suppliers!$A$2:$G$101,7,FALSE)</f>
        <v>1</v>
      </c>
      <c r="P38" t="str">
        <f t="shared" si="1"/>
        <v>Yes</v>
      </c>
      <c r="Q38">
        <f t="shared" si="2"/>
        <v>1</v>
      </c>
      <c r="R38" t="str">
        <f t="shared" si="3"/>
        <v>On Time</v>
      </c>
      <c r="S38">
        <f t="shared" si="4"/>
        <v>2021</v>
      </c>
      <c r="T38">
        <f t="shared" si="5"/>
        <v>11</v>
      </c>
    </row>
    <row r="39" spans="1:20" x14ac:dyDescent="0.25">
      <c r="A39" t="s">
        <v>116</v>
      </c>
      <c r="B39" t="s">
        <v>67</v>
      </c>
      <c r="C39" t="s">
        <v>117</v>
      </c>
      <c r="D39" s="1">
        <v>45354</v>
      </c>
      <c r="E39">
        <v>16</v>
      </c>
      <c r="F39">
        <v>78.099985631443403</v>
      </c>
      <c r="G39" s="1">
        <v>45374</v>
      </c>
      <c r="H39" s="1">
        <v>45374</v>
      </c>
      <c r="I39">
        <v>1249.5997701030899</v>
      </c>
      <c r="J39">
        <f t="shared" si="0"/>
        <v>0</v>
      </c>
      <c r="K39" t="str">
        <f>VLOOKUP(B39,Raw_Suppliers!$A$2:$G$101,2,FALSE)</f>
        <v>Nova Eco LLC</v>
      </c>
      <c r="L39" t="str">
        <f>VLOOKUP(B39,Raw_Suppliers!$A$2:$G$101,3,FALSE)</f>
        <v>Germany</v>
      </c>
      <c r="M39" t="str">
        <f>VLOOKUP(B39,Raw_Suppliers!$A$2:$G$101,4,FALSE)</f>
        <v>Central</v>
      </c>
      <c r="N39" t="str">
        <f>VLOOKUP(B39,Raw_Suppliers!$A$2:$G$101,6,FALSE)</f>
        <v>ISO 9001</v>
      </c>
      <c r="O39">
        <f>VLOOKUP(B39,Raw_Suppliers!$A$2:$G$101,7,FALSE)</f>
        <v>1</v>
      </c>
      <c r="P39" t="str">
        <f t="shared" si="1"/>
        <v>Yes</v>
      </c>
      <c r="Q39">
        <f t="shared" si="2"/>
        <v>1</v>
      </c>
      <c r="R39" t="str">
        <f t="shared" si="3"/>
        <v>On Time</v>
      </c>
      <c r="S39">
        <f t="shared" si="4"/>
        <v>2024</v>
      </c>
      <c r="T39">
        <f t="shared" si="5"/>
        <v>3</v>
      </c>
    </row>
    <row r="40" spans="1:20" x14ac:dyDescent="0.25">
      <c r="A40" t="s">
        <v>118</v>
      </c>
      <c r="B40" t="s">
        <v>119</v>
      </c>
      <c r="C40" t="s">
        <v>115</v>
      </c>
      <c r="D40" s="1">
        <v>44712</v>
      </c>
      <c r="E40">
        <v>11</v>
      </c>
      <c r="F40">
        <v>46.250429069184797</v>
      </c>
      <c r="G40" s="1">
        <v>44727</v>
      </c>
      <c r="H40" s="1">
        <v>44729</v>
      </c>
      <c r="I40">
        <v>508.75471976103199</v>
      </c>
      <c r="J40">
        <f t="shared" si="0"/>
        <v>2</v>
      </c>
      <c r="K40" t="str">
        <f>VLOOKUP(B40,Raw_Suppliers!$A$2:$G$101,2,FALSE)</f>
        <v>Pioneer Apex Corp</v>
      </c>
      <c r="L40" t="str">
        <f>VLOOKUP(B40,Raw_Suppliers!$A$2:$G$101,3,FALSE)</f>
        <v>USA</v>
      </c>
      <c r="M40" t="str">
        <f>VLOOKUP(B40,Raw_Suppliers!$A$2:$G$101,4,FALSE)</f>
        <v>Central</v>
      </c>
      <c r="N40" t="str">
        <f>VLOOKUP(B40,Raw_Suppliers!$A$2:$G$101,6,FALSE)</f>
        <v>None</v>
      </c>
      <c r="O40">
        <f>VLOOKUP(B40,Raw_Suppliers!$A$2:$G$101,7,FALSE)</f>
        <v>0</v>
      </c>
      <c r="P40" t="str">
        <f t="shared" si="1"/>
        <v>No</v>
      </c>
      <c r="Q40">
        <f t="shared" si="2"/>
        <v>0</v>
      </c>
      <c r="R40" t="str">
        <f t="shared" si="3"/>
        <v>Late</v>
      </c>
      <c r="S40">
        <f t="shared" si="4"/>
        <v>2022</v>
      </c>
      <c r="T40">
        <f t="shared" si="5"/>
        <v>5</v>
      </c>
    </row>
    <row r="41" spans="1:20" x14ac:dyDescent="0.25">
      <c r="A41" t="s">
        <v>120</v>
      </c>
      <c r="B41" t="s">
        <v>121</v>
      </c>
      <c r="C41" t="s">
        <v>122</v>
      </c>
      <c r="D41" s="1">
        <v>45250</v>
      </c>
      <c r="E41">
        <v>10</v>
      </c>
      <c r="F41">
        <v>68.631449531045504</v>
      </c>
      <c r="G41" s="1">
        <v>45274</v>
      </c>
      <c r="H41" s="1">
        <v>45275</v>
      </c>
      <c r="I41">
        <v>686.31449531045496</v>
      </c>
      <c r="J41">
        <f t="shared" si="0"/>
        <v>1</v>
      </c>
      <c r="K41" t="str">
        <f>VLOOKUP(B41,Raw_Suppliers!$A$2:$G$101,2,FALSE)</f>
        <v>Vertex Vertex Inc</v>
      </c>
      <c r="L41" t="str">
        <f>VLOOKUP(B41,Raw_Suppliers!$A$2:$G$101,3,FALSE)</f>
        <v>USA</v>
      </c>
      <c r="M41" t="str">
        <f>VLOOKUP(B41,Raw_Suppliers!$A$2:$G$101,4,FALSE)</f>
        <v>West</v>
      </c>
      <c r="N41" t="str">
        <f>VLOOKUP(B41,Raw_Suppliers!$A$2:$G$101,6,FALSE)</f>
        <v>None</v>
      </c>
      <c r="O41">
        <f>VLOOKUP(B41,Raw_Suppliers!$A$2:$G$101,7,FALSE)</f>
        <v>0</v>
      </c>
      <c r="P41" t="str">
        <f t="shared" si="1"/>
        <v>No</v>
      </c>
      <c r="Q41">
        <f t="shared" si="2"/>
        <v>0</v>
      </c>
      <c r="R41" t="str">
        <f t="shared" si="3"/>
        <v>Late</v>
      </c>
      <c r="S41">
        <f t="shared" si="4"/>
        <v>2023</v>
      </c>
      <c r="T41">
        <f t="shared" si="5"/>
        <v>11</v>
      </c>
    </row>
    <row r="42" spans="1:20" x14ac:dyDescent="0.25">
      <c r="A42" t="s">
        <v>123</v>
      </c>
      <c r="B42" t="s">
        <v>124</v>
      </c>
      <c r="C42" t="s">
        <v>125</v>
      </c>
      <c r="D42" s="1">
        <v>44879</v>
      </c>
      <c r="E42">
        <v>12</v>
      </c>
      <c r="F42">
        <v>33.133835670211901</v>
      </c>
      <c r="G42" s="1">
        <v>44901</v>
      </c>
      <c r="H42" s="1">
        <v>44904</v>
      </c>
      <c r="I42">
        <v>397.60602804254302</v>
      </c>
      <c r="J42">
        <f t="shared" si="0"/>
        <v>3</v>
      </c>
      <c r="K42" t="str">
        <f>VLOOKUP(B42,Raw_Suppliers!$A$2:$G$101,2,FALSE)</f>
        <v>Vertex Delta Inc</v>
      </c>
      <c r="L42" t="str">
        <f>VLOOKUP(B42,Raw_Suppliers!$A$2:$G$101,3,FALSE)</f>
        <v>Germany</v>
      </c>
      <c r="M42" t="str">
        <f>VLOOKUP(B42,Raw_Suppliers!$A$2:$G$101,4,FALSE)</f>
        <v>South</v>
      </c>
      <c r="N42" t="str">
        <f>VLOOKUP(B42,Raw_Suppliers!$A$2:$G$101,6,FALSE)</f>
        <v>ISO 9001</v>
      </c>
      <c r="O42">
        <f>VLOOKUP(B42,Raw_Suppliers!$A$2:$G$101,7,FALSE)</f>
        <v>0</v>
      </c>
      <c r="P42" t="str">
        <f t="shared" si="1"/>
        <v>No</v>
      </c>
      <c r="Q42">
        <f t="shared" si="2"/>
        <v>0</v>
      </c>
      <c r="R42" t="str">
        <f t="shared" si="3"/>
        <v>Late</v>
      </c>
      <c r="S42">
        <f t="shared" si="4"/>
        <v>2022</v>
      </c>
      <c r="T42">
        <f t="shared" si="5"/>
        <v>11</v>
      </c>
    </row>
    <row r="43" spans="1:20" x14ac:dyDescent="0.25">
      <c r="A43" t="s">
        <v>126</v>
      </c>
      <c r="B43" t="s">
        <v>127</v>
      </c>
      <c r="C43" t="s">
        <v>128</v>
      </c>
      <c r="D43" s="1">
        <v>44355</v>
      </c>
      <c r="E43">
        <v>10</v>
      </c>
      <c r="F43">
        <v>22.468785943647301</v>
      </c>
      <c r="G43" s="1">
        <v>44368</v>
      </c>
      <c r="H43" s="1">
        <v>44372</v>
      </c>
      <c r="I43">
        <v>224.68785943647299</v>
      </c>
      <c r="J43">
        <f t="shared" si="0"/>
        <v>4</v>
      </c>
      <c r="K43" t="str">
        <f>VLOOKUP(B43,Raw_Suppliers!$A$2:$G$101,2,FALSE)</f>
        <v>Eco Gamma LLC</v>
      </c>
      <c r="L43" t="str">
        <f>VLOOKUP(B43,Raw_Suppliers!$A$2:$G$101,3,FALSE)</f>
        <v>Canada</v>
      </c>
      <c r="M43" t="str">
        <f>VLOOKUP(B43,Raw_Suppliers!$A$2:$G$101,4,FALSE)</f>
        <v>West</v>
      </c>
      <c r="N43" t="str">
        <f>VLOOKUP(B43,Raw_Suppliers!$A$2:$G$101,6,FALSE)</f>
        <v>ISO 9001</v>
      </c>
      <c r="O43">
        <f>VLOOKUP(B43,Raw_Suppliers!$A$2:$G$101,7,FALSE)</f>
        <v>1</v>
      </c>
      <c r="P43" t="str">
        <f t="shared" si="1"/>
        <v>Yes</v>
      </c>
      <c r="Q43">
        <f t="shared" si="2"/>
        <v>0</v>
      </c>
      <c r="R43" t="str">
        <f t="shared" si="3"/>
        <v>Late</v>
      </c>
      <c r="S43">
        <f t="shared" si="4"/>
        <v>2021</v>
      </c>
      <c r="T43">
        <f t="shared" si="5"/>
        <v>6</v>
      </c>
    </row>
    <row r="44" spans="1:20" x14ac:dyDescent="0.25">
      <c r="A44" t="s">
        <v>129</v>
      </c>
      <c r="B44" t="s">
        <v>130</v>
      </c>
      <c r="C44" t="s">
        <v>131</v>
      </c>
      <c r="D44" s="1">
        <v>44222</v>
      </c>
      <c r="E44">
        <v>13</v>
      </c>
      <c r="F44">
        <v>20.479569020345298</v>
      </c>
      <c r="G44" s="1">
        <v>44232</v>
      </c>
      <c r="H44" s="1">
        <v>44231</v>
      </c>
      <c r="I44">
        <v>266.234397264488</v>
      </c>
      <c r="J44">
        <f t="shared" si="0"/>
        <v>-1</v>
      </c>
      <c r="K44" t="str">
        <f>VLOOKUP(B44,Raw_Suppliers!$A$2:$G$101,2,FALSE)</f>
        <v>Beta Gamma Corp</v>
      </c>
      <c r="L44" t="str">
        <f>VLOOKUP(B44,Raw_Suppliers!$A$2:$G$101,3,FALSE)</f>
        <v>USA</v>
      </c>
      <c r="M44" t="str">
        <f>VLOOKUP(B44,Raw_Suppliers!$A$2:$G$101,4,FALSE)</f>
        <v>West</v>
      </c>
      <c r="N44" t="str">
        <f>VLOOKUP(B44,Raw_Suppliers!$A$2:$G$101,6,FALSE)</f>
        <v>None</v>
      </c>
      <c r="O44">
        <f>VLOOKUP(B44,Raw_Suppliers!$A$2:$G$101,7,FALSE)</f>
        <v>0</v>
      </c>
      <c r="P44" t="str">
        <f t="shared" si="1"/>
        <v>No</v>
      </c>
      <c r="Q44">
        <f t="shared" si="2"/>
        <v>1</v>
      </c>
      <c r="R44" t="str">
        <f t="shared" si="3"/>
        <v>On Time</v>
      </c>
      <c r="S44">
        <f t="shared" si="4"/>
        <v>2021</v>
      </c>
      <c r="T44">
        <f t="shared" si="5"/>
        <v>1</v>
      </c>
    </row>
    <row r="45" spans="1:20" x14ac:dyDescent="0.25">
      <c r="A45" t="s">
        <v>132</v>
      </c>
      <c r="B45" t="s">
        <v>124</v>
      </c>
      <c r="C45" t="s">
        <v>133</v>
      </c>
      <c r="D45" s="1">
        <v>44418</v>
      </c>
      <c r="E45">
        <v>11</v>
      </c>
      <c r="F45">
        <v>63.039713691771802</v>
      </c>
      <c r="G45" s="1">
        <v>44436</v>
      </c>
      <c r="H45" s="1">
        <v>44441</v>
      </c>
      <c r="I45">
        <v>693.43685060948997</v>
      </c>
      <c r="J45">
        <f t="shared" si="0"/>
        <v>5</v>
      </c>
      <c r="K45" t="str">
        <f>VLOOKUP(B45,Raw_Suppliers!$A$2:$G$101,2,FALSE)</f>
        <v>Vertex Delta Inc</v>
      </c>
      <c r="L45" t="str">
        <f>VLOOKUP(B45,Raw_Suppliers!$A$2:$G$101,3,FALSE)</f>
        <v>Germany</v>
      </c>
      <c r="M45" t="str">
        <f>VLOOKUP(B45,Raw_Suppliers!$A$2:$G$101,4,FALSE)</f>
        <v>South</v>
      </c>
      <c r="N45" t="str">
        <f>VLOOKUP(B45,Raw_Suppliers!$A$2:$G$101,6,FALSE)</f>
        <v>ISO 9001</v>
      </c>
      <c r="O45">
        <f>VLOOKUP(B45,Raw_Suppliers!$A$2:$G$101,7,FALSE)</f>
        <v>0</v>
      </c>
      <c r="P45" t="str">
        <f t="shared" si="1"/>
        <v>No</v>
      </c>
      <c r="Q45">
        <f t="shared" si="2"/>
        <v>0</v>
      </c>
      <c r="R45" t="str">
        <f t="shared" si="3"/>
        <v>Late</v>
      </c>
      <c r="S45">
        <f t="shared" si="4"/>
        <v>2021</v>
      </c>
      <c r="T45">
        <f t="shared" si="5"/>
        <v>8</v>
      </c>
    </row>
    <row r="46" spans="1:20" x14ac:dyDescent="0.25">
      <c r="A46" t="s">
        <v>134</v>
      </c>
      <c r="B46" t="s">
        <v>135</v>
      </c>
      <c r="C46" t="s">
        <v>136</v>
      </c>
      <c r="D46" s="1">
        <v>44388</v>
      </c>
      <c r="E46">
        <v>8</v>
      </c>
      <c r="F46">
        <v>25.4189593515414</v>
      </c>
      <c r="G46" s="1">
        <v>44408</v>
      </c>
      <c r="H46" s="1">
        <v>44406</v>
      </c>
      <c r="I46">
        <v>203.351674812331</v>
      </c>
      <c r="J46">
        <f t="shared" si="0"/>
        <v>-2</v>
      </c>
      <c r="K46" t="str">
        <f>VLOOKUP(B46,Raw_Suppliers!$A$2:$G$101,2,FALSE)</f>
        <v>Alpha Prime Ltd</v>
      </c>
      <c r="L46" t="str">
        <f>VLOOKUP(B46,Raw_Suppliers!$A$2:$G$101,3,FALSE)</f>
        <v>UK</v>
      </c>
      <c r="M46" t="str">
        <f>VLOOKUP(B46,Raw_Suppliers!$A$2:$G$101,4,FALSE)</f>
        <v>East</v>
      </c>
      <c r="N46" t="str">
        <f>VLOOKUP(B46,Raw_Suppliers!$A$2:$G$101,6,FALSE)</f>
        <v>None</v>
      </c>
      <c r="O46">
        <f>VLOOKUP(B46,Raw_Suppliers!$A$2:$G$101,7,FALSE)</f>
        <v>1</v>
      </c>
      <c r="P46" t="str">
        <f t="shared" si="1"/>
        <v>Yes</v>
      </c>
      <c r="Q46">
        <f t="shared" si="2"/>
        <v>1</v>
      </c>
      <c r="R46" t="str">
        <f t="shared" si="3"/>
        <v>On Time</v>
      </c>
      <c r="S46">
        <f t="shared" si="4"/>
        <v>2021</v>
      </c>
      <c r="T46">
        <f t="shared" si="5"/>
        <v>7</v>
      </c>
    </row>
    <row r="47" spans="1:20" x14ac:dyDescent="0.25">
      <c r="A47" t="s">
        <v>137</v>
      </c>
      <c r="B47" t="s">
        <v>135</v>
      </c>
      <c r="C47" t="s">
        <v>138</v>
      </c>
      <c r="D47" s="1">
        <v>45137</v>
      </c>
      <c r="E47">
        <v>8</v>
      </c>
      <c r="F47">
        <v>43.056329316659898</v>
      </c>
      <c r="G47" s="1">
        <v>45158</v>
      </c>
      <c r="H47" s="1">
        <v>45162</v>
      </c>
      <c r="I47">
        <v>344.45063453327901</v>
      </c>
      <c r="J47">
        <f t="shared" si="0"/>
        <v>4</v>
      </c>
      <c r="K47" t="str">
        <f>VLOOKUP(B47,Raw_Suppliers!$A$2:$G$101,2,FALSE)</f>
        <v>Alpha Prime Ltd</v>
      </c>
      <c r="L47" t="str">
        <f>VLOOKUP(B47,Raw_Suppliers!$A$2:$G$101,3,FALSE)</f>
        <v>UK</v>
      </c>
      <c r="M47" t="str">
        <f>VLOOKUP(B47,Raw_Suppliers!$A$2:$G$101,4,FALSE)</f>
        <v>East</v>
      </c>
      <c r="N47" t="str">
        <f>VLOOKUP(B47,Raw_Suppliers!$A$2:$G$101,6,FALSE)</f>
        <v>None</v>
      </c>
      <c r="O47">
        <f>VLOOKUP(B47,Raw_Suppliers!$A$2:$G$101,7,FALSE)</f>
        <v>1</v>
      </c>
      <c r="P47" t="str">
        <f t="shared" si="1"/>
        <v>Yes</v>
      </c>
      <c r="Q47">
        <f t="shared" si="2"/>
        <v>0</v>
      </c>
      <c r="R47" t="str">
        <f t="shared" si="3"/>
        <v>Late</v>
      </c>
      <c r="S47">
        <f t="shared" si="4"/>
        <v>2023</v>
      </c>
      <c r="T47">
        <f t="shared" si="5"/>
        <v>7</v>
      </c>
    </row>
    <row r="48" spans="1:20" x14ac:dyDescent="0.25">
      <c r="A48" t="s">
        <v>139</v>
      </c>
      <c r="B48" t="s">
        <v>140</v>
      </c>
      <c r="C48" t="s">
        <v>141</v>
      </c>
      <c r="D48" s="1">
        <v>44575</v>
      </c>
      <c r="E48">
        <v>15</v>
      </c>
      <c r="F48">
        <v>23.319825192023799</v>
      </c>
      <c r="G48" s="1">
        <v>44595</v>
      </c>
      <c r="H48" s="1">
        <v>44594</v>
      </c>
      <c r="I48">
        <v>349.79737788035698</v>
      </c>
      <c r="J48">
        <f t="shared" si="0"/>
        <v>-1</v>
      </c>
      <c r="K48" t="str">
        <f>VLOOKUP(B48,Raw_Suppliers!$A$2:$G$101,2,FALSE)</f>
        <v>Gamma Quantum Inc</v>
      </c>
      <c r="L48" t="str">
        <f>VLOOKUP(B48,Raw_Suppliers!$A$2:$G$101,3,FALSE)</f>
        <v>Germany</v>
      </c>
      <c r="M48" t="str">
        <f>VLOOKUP(B48,Raw_Suppliers!$A$2:$G$101,4,FALSE)</f>
        <v>North</v>
      </c>
      <c r="N48" t="str">
        <f>VLOOKUP(B48,Raw_Suppliers!$A$2:$G$101,6,FALSE)</f>
        <v>None</v>
      </c>
      <c r="O48">
        <f>VLOOKUP(B48,Raw_Suppliers!$A$2:$G$101,7,FALSE)</f>
        <v>1</v>
      </c>
      <c r="P48" t="str">
        <f t="shared" si="1"/>
        <v>Yes</v>
      </c>
      <c r="Q48">
        <f t="shared" si="2"/>
        <v>1</v>
      </c>
      <c r="R48" t="str">
        <f t="shared" si="3"/>
        <v>On Time</v>
      </c>
      <c r="S48">
        <f t="shared" si="4"/>
        <v>2022</v>
      </c>
      <c r="T48">
        <f t="shared" si="5"/>
        <v>1</v>
      </c>
    </row>
    <row r="49" spans="1:20" x14ac:dyDescent="0.25">
      <c r="A49" t="s">
        <v>142</v>
      </c>
      <c r="B49" t="s">
        <v>143</v>
      </c>
      <c r="C49" t="s">
        <v>144</v>
      </c>
      <c r="D49" s="1">
        <v>45059</v>
      </c>
      <c r="E49">
        <v>13</v>
      </c>
      <c r="F49">
        <v>44.617250749553499</v>
      </c>
      <c r="G49" s="1">
        <v>45076</v>
      </c>
      <c r="H49" s="1">
        <v>45082</v>
      </c>
      <c r="I49">
        <v>580.024259744196</v>
      </c>
      <c r="J49">
        <f t="shared" si="0"/>
        <v>6</v>
      </c>
      <c r="K49" t="str">
        <f>VLOOKUP(B49,Raw_Suppliers!$A$2:$G$101,2,FALSE)</f>
        <v>Prime Gamma Inc</v>
      </c>
      <c r="L49" t="str">
        <f>VLOOKUP(B49,Raw_Suppliers!$A$2:$G$101,3,FALSE)</f>
        <v>China</v>
      </c>
      <c r="M49" t="str">
        <f>VLOOKUP(B49,Raw_Suppliers!$A$2:$G$101,4,FALSE)</f>
        <v>East</v>
      </c>
      <c r="N49" t="str">
        <f>VLOOKUP(B49,Raw_Suppliers!$A$2:$G$101,6,FALSE)</f>
        <v>ISO 14001</v>
      </c>
      <c r="O49">
        <f>VLOOKUP(B49,Raw_Suppliers!$A$2:$G$101,7,FALSE)</f>
        <v>0</v>
      </c>
      <c r="P49" t="str">
        <f t="shared" si="1"/>
        <v>No</v>
      </c>
      <c r="Q49">
        <f t="shared" si="2"/>
        <v>0</v>
      </c>
      <c r="R49" t="str">
        <f t="shared" si="3"/>
        <v>Late</v>
      </c>
      <c r="S49">
        <f t="shared" si="4"/>
        <v>2023</v>
      </c>
      <c r="T49">
        <f t="shared" si="5"/>
        <v>5</v>
      </c>
    </row>
    <row r="50" spans="1:20" x14ac:dyDescent="0.25">
      <c r="A50" t="s">
        <v>145</v>
      </c>
      <c r="B50" t="s">
        <v>58</v>
      </c>
      <c r="C50" t="s">
        <v>146</v>
      </c>
      <c r="D50" s="1">
        <v>44562</v>
      </c>
      <c r="E50">
        <v>17</v>
      </c>
      <c r="F50">
        <v>7.0942582747983298</v>
      </c>
      <c r="G50" s="1">
        <v>44578</v>
      </c>
      <c r="H50" s="1">
        <v>44583</v>
      </c>
      <c r="I50">
        <v>120.602390671571</v>
      </c>
      <c r="J50">
        <f t="shared" si="0"/>
        <v>5</v>
      </c>
      <c r="K50" t="str">
        <f>VLOOKUP(B50,Raw_Suppliers!$A$2:$G$101,2,FALSE)</f>
        <v>Quantum Nano Inc</v>
      </c>
      <c r="L50" t="str">
        <f>VLOOKUP(B50,Raw_Suppliers!$A$2:$G$101,3,FALSE)</f>
        <v>Brazil</v>
      </c>
      <c r="M50" t="str">
        <f>VLOOKUP(B50,Raw_Suppliers!$A$2:$G$101,4,FALSE)</f>
        <v>East</v>
      </c>
      <c r="N50" t="str">
        <f>VLOOKUP(B50,Raw_Suppliers!$A$2:$G$101,6,FALSE)</f>
        <v>ISO 9001</v>
      </c>
      <c r="O50">
        <f>VLOOKUP(B50,Raw_Suppliers!$A$2:$G$101,7,FALSE)</f>
        <v>1</v>
      </c>
      <c r="P50" t="str">
        <f t="shared" si="1"/>
        <v>Yes</v>
      </c>
      <c r="Q50">
        <f t="shared" si="2"/>
        <v>0</v>
      </c>
      <c r="R50" t="str">
        <f t="shared" si="3"/>
        <v>Late</v>
      </c>
      <c r="S50">
        <f t="shared" si="4"/>
        <v>2022</v>
      </c>
      <c r="T50">
        <f t="shared" si="5"/>
        <v>1</v>
      </c>
    </row>
    <row r="51" spans="1:20" x14ac:dyDescent="0.25">
      <c r="A51" t="s">
        <v>147</v>
      </c>
      <c r="B51" t="s">
        <v>70</v>
      </c>
      <c r="C51" t="s">
        <v>100</v>
      </c>
      <c r="D51" s="1">
        <v>45157</v>
      </c>
      <c r="E51">
        <v>6</v>
      </c>
      <c r="F51">
        <v>53.156621331245397</v>
      </c>
      <c r="G51" s="1">
        <v>45175</v>
      </c>
      <c r="H51" s="1">
        <v>45179</v>
      </c>
      <c r="I51">
        <v>318.939727987472</v>
      </c>
      <c r="J51">
        <f t="shared" si="0"/>
        <v>4</v>
      </c>
      <c r="K51" t="str">
        <f>VLOOKUP(B51,Raw_Suppliers!$A$2:$G$101,2,FALSE)</f>
        <v>Prime Nano Ltd</v>
      </c>
      <c r="L51" t="str">
        <f>VLOOKUP(B51,Raw_Suppliers!$A$2:$G$101,3,FALSE)</f>
        <v>USA</v>
      </c>
      <c r="M51" t="str">
        <f>VLOOKUP(B51,Raw_Suppliers!$A$2:$G$101,4,FALSE)</f>
        <v>Central</v>
      </c>
      <c r="N51" t="str">
        <f>VLOOKUP(B51,Raw_Suppliers!$A$2:$G$101,6,FALSE)</f>
        <v>ISO 45001</v>
      </c>
      <c r="O51">
        <f>VLOOKUP(B51,Raw_Suppliers!$A$2:$G$101,7,FALSE)</f>
        <v>0</v>
      </c>
      <c r="P51" t="str">
        <f t="shared" si="1"/>
        <v>No</v>
      </c>
      <c r="Q51">
        <f t="shared" si="2"/>
        <v>0</v>
      </c>
      <c r="R51" t="str">
        <f t="shared" si="3"/>
        <v>Late</v>
      </c>
      <c r="S51">
        <f t="shared" si="4"/>
        <v>2023</v>
      </c>
      <c r="T51">
        <f t="shared" si="5"/>
        <v>8</v>
      </c>
    </row>
    <row r="52" spans="1:20" x14ac:dyDescent="0.25">
      <c r="A52" t="s">
        <v>148</v>
      </c>
      <c r="B52" t="s">
        <v>19</v>
      </c>
      <c r="C52" t="s">
        <v>128</v>
      </c>
      <c r="D52" s="1">
        <v>45307</v>
      </c>
      <c r="E52">
        <v>13</v>
      </c>
      <c r="F52">
        <v>45.288783242616702</v>
      </c>
      <c r="G52" s="1">
        <v>45330</v>
      </c>
      <c r="H52" s="1">
        <v>45336</v>
      </c>
      <c r="I52">
        <v>588.75418215401703</v>
      </c>
      <c r="J52">
        <f t="shared" si="0"/>
        <v>6</v>
      </c>
      <c r="K52" t="str">
        <f>VLOOKUP(B52,Raw_Suppliers!$A$2:$G$101,2,FALSE)</f>
        <v>Nova Beta Corp</v>
      </c>
      <c r="L52" t="str">
        <f>VLOOKUP(B52,Raw_Suppliers!$A$2:$G$101,3,FALSE)</f>
        <v>Brazil</v>
      </c>
      <c r="M52" t="str">
        <f>VLOOKUP(B52,Raw_Suppliers!$A$2:$G$101,4,FALSE)</f>
        <v>South</v>
      </c>
      <c r="N52" t="str">
        <f>VLOOKUP(B52,Raw_Suppliers!$A$2:$G$101,6,FALSE)</f>
        <v>ISO 14001</v>
      </c>
      <c r="O52">
        <f>VLOOKUP(B52,Raw_Suppliers!$A$2:$G$101,7,FALSE)</f>
        <v>1</v>
      </c>
      <c r="P52" t="str">
        <f t="shared" si="1"/>
        <v>Yes</v>
      </c>
      <c r="Q52">
        <f t="shared" si="2"/>
        <v>0</v>
      </c>
      <c r="R52" t="str">
        <f t="shared" si="3"/>
        <v>Late</v>
      </c>
      <c r="S52">
        <f t="shared" si="4"/>
        <v>2024</v>
      </c>
      <c r="T52">
        <f t="shared" si="5"/>
        <v>1</v>
      </c>
    </row>
    <row r="53" spans="1:20" x14ac:dyDescent="0.25">
      <c r="A53" t="s">
        <v>149</v>
      </c>
      <c r="B53" t="s">
        <v>104</v>
      </c>
      <c r="C53" t="s">
        <v>150</v>
      </c>
      <c r="D53" s="1">
        <v>45353</v>
      </c>
      <c r="E53">
        <v>20</v>
      </c>
      <c r="F53">
        <v>9.1748363153580499</v>
      </c>
      <c r="G53" s="1">
        <v>45373</v>
      </c>
      <c r="H53" s="1">
        <v>45372</v>
      </c>
      <c r="I53">
        <v>183.496726307161</v>
      </c>
      <c r="J53">
        <f t="shared" si="0"/>
        <v>-1</v>
      </c>
      <c r="K53" t="str">
        <f>VLOOKUP(B53,Raw_Suppliers!$A$2:$G$101,2,FALSE)</f>
        <v>Prime Omega Corp</v>
      </c>
      <c r="L53" t="str">
        <f>VLOOKUP(B53,Raw_Suppliers!$A$2:$G$101,3,FALSE)</f>
        <v>India</v>
      </c>
      <c r="M53" t="str">
        <f>VLOOKUP(B53,Raw_Suppliers!$A$2:$G$101,4,FALSE)</f>
        <v>Central</v>
      </c>
      <c r="N53" t="str">
        <f>VLOOKUP(B53,Raw_Suppliers!$A$2:$G$101,6,FALSE)</f>
        <v>ISO 14001</v>
      </c>
      <c r="O53">
        <f>VLOOKUP(B53,Raw_Suppliers!$A$2:$G$101,7,FALSE)</f>
        <v>0</v>
      </c>
      <c r="P53" t="str">
        <f t="shared" si="1"/>
        <v>No</v>
      </c>
      <c r="Q53">
        <f t="shared" si="2"/>
        <v>1</v>
      </c>
      <c r="R53" t="str">
        <f t="shared" si="3"/>
        <v>On Time</v>
      </c>
      <c r="S53">
        <f t="shared" si="4"/>
        <v>2024</v>
      </c>
      <c r="T53">
        <f t="shared" si="5"/>
        <v>3</v>
      </c>
    </row>
    <row r="54" spans="1:20" x14ac:dyDescent="0.25">
      <c r="A54" t="s">
        <v>151</v>
      </c>
      <c r="B54" t="s">
        <v>49</v>
      </c>
      <c r="C54" t="s">
        <v>152</v>
      </c>
      <c r="D54" s="1">
        <v>44377</v>
      </c>
      <c r="E54">
        <v>8</v>
      </c>
      <c r="F54">
        <v>4.9976941918426396</v>
      </c>
      <c r="G54" s="1">
        <v>44396</v>
      </c>
      <c r="H54" s="1">
        <v>44393</v>
      </c>
      <c r="I54">
        <v>39.981553534741103</v>
      </c>
      <c r="J54">
        <f t="shared" si="0"/>
        <v>-3</v>
      </c>
      <c r="K54" t="str">
        <f>VLOOKUP(B54,Raw_Suppliers!$A$2:$G$101,2,FALSE)</f>
        <v>Prime Prime Corp</v>
      </c>
      <c r="L54" t="str">
        <f>VLOOKUP(B54,Raw_Suppliers!$A$2:$G$101,3,FALSE)</f>
        <v>China</v>
      </c>
      <c r="M54" t="str">
        <f>VLOOKUP(B54,Raw_Suppliers!$A$2:$G$101,4,FALSE)</f>
        <v>North</v>
      </c>
      <c r="N54" t="str">
        <f>VLOOKUP(B54,Raw_Suppliers!$A$2:$G$101,6,FALSE)</f>
        <v>ISO 45001</v>
      </c>
      <c r="O54">
        <f>VLOOKUP(B54,Raw_Suppliers!$A$2:$G$101,7,FALSE)</f>
        <v>0</v>
      </c>
      <c r="P54" t="str">
        <f t="shared" si="1"/>
        <v>No</v>
      </c>
      <c r="Q54">
        <f t="shared" si="2"/>
        <v>1</v>
      </c>
      <c r="R54" t="str">
        <f t="shared" si="3"/>
        <v>On Time</v>
      </c>
      <c r="S54">
        <f t="shared" si="4"/>
        <v>2021</v>
      </c>
      <c r="T54">
        <f t="shared" si="5"/>
        <v>6</v>
      </c>
    </row>
    <row r="55" spans="1:20" x14ac:dyDescent="0.25">
      <c r="A55" t="s">
        <v>153</v>
      </c>
      <c r="B55" t="s">
        <v>154</v>
      </c>
      <c r="C55" t="s">
        <v>155</v>
      </c>
      <c r="D55" s="1">
        <v>44491</v>
      </c>
      <c r="E55">
        <v>10</v>
      </c>
      <c r="F55">
        <v>26.0575281180828</v>
      </c>
      <c r="G55" s="1">
        <v>44502</v>
      </c>
      <c r="H55" s="1">
        <v>44506</v>
      </c>
      <c r="I55">
        <v>260.57528118082797</v>
      </c>
      <c r="J55">
        <f t="shared" si="0"/>
        <v>4</v>
      </c>
      <c r="K55" t="str">
        <f>VLOOKUP(B55,Raw_Suppliers!$A$2:$G$101,2,FALSE)</f>
        <v>Apex Ultra Ltd</v>
      </c>
      <c r="L55" t="str">
        <f>VLOOKUP(B55,Raw_Suppliers!$A$2:$G$101,3,FALSE)</f>
        <v>Canada</v>
      </c>
      <c r="M55" t="str">
        <f>VLOOKUP(B55,Raw_Suppliers!$A$2:$G$101,4,FALSE)</f>
        <v>West</v>
      </c>
      <c r="N55" t="str">
        <f>VLOOKUP(B55,Raw_Suppliers!$A$2:$G$101,6,FALSE)</f>
        <v>None</v>
      </c>
      <c r="O55">
        <f>VLOOKUP(B55,Raw_Suppliers!$A$2:$G$101,7,FALSE)</f>
        <v>1</v>
      </c>
      <c r="P55" t="str">
        <f t="shared" si="1"/>
        <v>Yes</v>
      </c>
      <c r="Q55">
        <f t="shared" si="2"/>
        <v>0</v>
      </c>
      <c r="R55" t="str">
        <f t="shared" si="3"/>
        <v>Late</v>
      </c>
      <c r="S55">
        <f t="shared" si="4"/>
        <v>2021</v>
      </c>
      <c r="T55">
        <f t="shared" si="5"/>
        <v>10</v>
      </c>
    </row>
    <row r="56" spans="1:20" x14ac:dyDescent="0.25">
      <c r="A56" t="s">
        <v>156</v>
      </c>
      <c r="B56" t="s">
        <v>157</v>
      </c>
      <c r="C56" t="s">
        <v>158</v>
      </c>
      <c r="D56" s="1">
        <v>44436</v>
      </c>
      <c r="E56">
        <v>10</v>
      </c>
      <c r="F56">
        <v>26.2505489148853</v>
      </c>
      <c r="G56" s="1">
        <v>44454</v>
      </c>
      <c r="H56" s="1">
        <v>44458</v>
      </c>
      <c r="I56">
        <v>262.50548914885297</v>
      </c>
      <c r="J56">
        <f t="shared" si="0"/>
        <v>4</v>
      </c>
      <c r="K56" t="str">
        <f>VLOOKUP(B56,Raw_Suppliers!$A$2:$G$101,2,FALSE)</f>
        <v>Pioneer Omega Ltd</v>
      </c>
      <c r="L56" t="str">
        <f>VLOOKUP(B56,Raw_Suppliers!$A$2:$G$101,3,FALSE)</f>
        <v>Brazil</v>
      </c>
      <c r="M56" t="str">
        <f>VLOOKUP(B56,Raw_Suppliers!$A$2:$G$101,4,FALSE)</f>
        <v>East</v>
      </c>
      <c r="N56" t="str">
        <f>VLOOKUP(B56,Raw_Suppliers!$A$2:$G$101,6,FALSE)</f>
        <v>None</v>
      </c>
      <c r="O56">
        <f>VLOOKUP(B56,Raw_Suppliers!$A$2:$G$101,7,FALSE)</f>
        <v>0</v>
      </c>
      <c r="P56" t="str">
        <f t="shared" si="1"/>
        <v>No</v>
      </c>
      <c r="Q56">
        <f t="shared" si="2"/>
        <v>0</v>
      </c>
      <c r="R56" t="str">
        <f t="shared" si="3"/>
        <v>Late</v>
      </c>
      <c r="S56">
        <f t="shared" si="4"/>
        <v>2021</v>
      </c>
      <c r="T56">
        <f t="shared" si="5"/>
        <v>8</v>
      </c>
    </row>
    <row r="57" spans="1:20" x14ac:dyDescent="0.25">
      <c r="A57" t="s">
        <v>159</v>
      </c>
      <c r="B57" t="s">
        <v>160</v>
      </c>
      <c r="C57" t="s">
        <v>161</v>
      </c>
      <c r="D57" s="1">
        <v>44326</v>
      </c>
      <c r="E57">
        <v>17</v>
      </c>
      <c r="F57">
        <v>24.339096252842602</v>
      </c>
      <c r="G57" s="1">
        <v>44345</v>
      </c>
      <c r="H57" s="1">
        <v>44347</v>
      </c>
      <c r="I57">
        <v>413.76463629832398</v>
      </c>
      <c r="J57">
        <f t="shared" si="0"/>
        <v>2</v>
      </c>
      <c r="K57" t="str">
        <f>VLOOKUP(B57,Raw_Suppliers!$A$2:$G$101,2,FALSE)</f>
        <v>Omega Beta Corp</v>
      </c>
      <c r="L57" t="str">
        <f>VLOOKUP(B57,Raw_Suppliers!$A$2:$G$101,3,FALSE)</f>
        <v>China</v>
      </c>
      <c r="M57" t="str">
        <f>VLOOKUP(B57,Raw_Suppliers!$A$2:$G$101,4,FALSE)</f>
        <v>East</v>
      </c>
      <c r="N57" t="str">
        <f>VLOOKUP(B57,Raw_Suppliers!$A$2:$G$101,6,FALSE)</f>
        <v>ISO 45001</v>
      </c>
      <c r="O57">
        <f>VLOOKUP(B57,Raw_Suppliers!$A$2:$G$101,7,FALSE)</f>
        <v>1</v>
      </c>
      <c r="P57" t="str">
        <f t="shared" si="1"/>
        <v>Yes</v>
      </c>
      <c r="Q57">
        <f t="shared" si="2"/>
        <v>0</v>
      </c>
      <c r="R57" t="str">
        <f t="shared" si="3"/>
        <v>Late</v>
      </c>
      <c r="S57">
        <f t="shared" si="4"/>
        <v>2021</v>
      </c>
      <c r="T57">
        <f t="shared" si="5"/>
        <v>5</v>
      </c>
    </row>
    <row r="58" spans="1:20" x14ac:dyDescent="0.25">
      <c r="A58" t="s">
        <v>162</v>
      </c>
      <c r="B58" t="s">
        <v>25</v>
      </c>
      <c r="C58" t="s">
        <v>163</v>
      </c>
      <c r="D58" s="1">
        <v>44991</v>
      </c>
      <c r="E58">
        <v>18</v>
      </c>
      <c r="F58">
        <v>71.034218465793501</v>
      </c>
      <c r="G58" s="1">
        <v>45012</v>
      </c>
      <c r="H58" s="1">
        <v>45013</v>
      </c>
      <c r="I58">
        <v>1278.6159323842801</v>
      </c>
      <c r="J58">
        <f t="shared" si="0"/>
        <v>1</v>
      </c>
      <c r="K58" t="str">
        <f>VLOOKUP(B58,Raw_Suppliers!$A$2:$G$101,2,FALSE)</f>
        <v>Quantum Fusion Corp</v>
      </c>
      <c r="L58" t="str">
        <f>VLOOKUP(B58,Raw_Suppliers!$A$2:$G$101,3,FALSE)</f>
        <v>UK</v>
      </c>
      <c r="M58" t="str">
        <f>VLOOKUP(B58,Raw_Suppliers!$A$2:$G$101,4,FALSE)</f>
        <v>North</v>
      </c>
      <c r="N58" t="str">
        <f>VLOOKUP(B58,Raw_Suppliers!$A$2:$G$101,6,FALSE)</f>
        <v>ISO 9001</v>
      </c>
      <c r="O58">
        <f>VLOOKUP(B58,Raw_Suppliers!$A$2:$G$101,7,FALSE)</f>
        <v>0</v>
      </c>
      <c r="P58" t="str">
        <f t="shared" si="1"/>
        <v>No</v>
      </c>
      <c r="Q58">
        <f t="shared" si="2"/>
        <v>0</v>
      </c>
      <c r="R58" t="str">
        <f t="shared" si="3"/>
        <v>Late</v>
      </c>
      <c r="S58">
        <f t="shared" si="4"/>
        <v>2023</v>
      </c>
      <c r="T58">
        <f t="shared" si="5"/>
        <v>3</v>
      </c>
    </row>
    <row r="59" spans="1:20" x14ac:dyDescent="0.25">
      <c r="A59" t="s">
        <v>164</v>
      </c>
      <c r="B59" t="s">
        <v>85</v>
      </c>
      <c r="C59" t="s">
        <v>165</v>
      </c>
      <c r="D59" s="1">
        <v>44657</v>
      </c>
      <c r="E59">
        <v>15</v>
      </c>
      <c r="F59">
        <v>60.100097294462103</v>
      </c>
      <c r="G59" s="1">
        <v>44671</v>
      </c>
      <c r="H59" s="1">
        <v>44673</v>
      </c>
      <c r="I59">
        <v>901.50145941693199</v>
      </c>
      <c r="J59">
        <f t="shared" si="0"/>
        <v>2</v>
      </c>
      <c r="K59" t="str">
        <f>VLOOKUP(B59,Raw_Suppliers!$A$2:$G$101,2,FALSE)</f>
        <v>Fusion Gamma LLC</v>
      </c>
      <c r="L59" t="str">
        <f>VLOOKUP(B59,Raw_Suppliers!$A$2:$G$101,3,FALSE)</f>
        <v>China</v>
      </c>
      <c r="M59" t="str">
        <f>VLOOKUP(B59,Raw_Suppliers!$A$2:$G$101,4,FALSE)</f>
        <v>East</v>
      </c>
      <c r="N59" t="str">
        <f>VLOOKUP(B59,Raw_Suppliers!$A$2:$G$101,6,FALSE)</f>
        <v>ISO 9001</v>
      </c>
      <c r="O59">
        <f>VLOOKUP(B59,Raw_Suppliers!$A$2:$G$101,7,FALSE)</f>
        <v>1</v>
      </c>
      <c r="P59" t="str">
        <f t="shared" si="1"/>
        <v>Yes</v>
      </c>
      <c r="Q59">
        <f t="shared" si="2"/>
        <v>0</v>
      </c>
      <c r="R59" t="str">
        <f t="shared" si="3"/>
        <v>Late</v>
      </c>
      <c r="S59">
        <f t="shared" si="4"/>
        <v>2022</v>
      </c>
      <c r="T59">
        <f t="shared" si="5"/>
        <v>4</v>
      </c>
    </row>
    <row r="60" spans="1:20" x14ac:dyDescent="0.25">
      <c r="A60" t="s">
        <v>166</v>
      </c>
      <c r="B60" t="s">
        <v>96</v>
      </c>
      <c r="C60" t="s">
        <v>167</v>
      </c>
      <c r="D60" s="1">
        <v>44254</v>
      </c>
      <c r="E60">
        <v>13</v>
      </c>
      <c r="F60">
        <v>37.311239872485601</v>
      </c>
      <c r="G60" s="1">
        <v>44277</v>
      </c>
      <c r="H60" s="1">
        <v>44274</v>
      </c>
      <c r="I60">
        <v>485.04611834231201</v>
      </c>
      <c r="J60">
        <f t="shared" si="0"/>
        <v>-3</v>
      </c>
      <c r="K60" t="str">
        <f>VLOOKUP(B60,Raw_Suppliers!$A$2:$G$101,2,FALSE)</f>
        <v>Alpha Nova Ltd</v>
      </c>
      <c r="L60" t="str">
        <f>VLOOKUP(B60,Raw_Suppliers!$A$2:$G$101,3,FALSE)</f>
        <v>UK</v>
      </c>
      <c r="M60" t="str">
        <f>VLOOKUP(B60,Raw_Suppliers!$A$2:$G$101,4,FALSE)</f>
        <v>West</v>
      </c>
      <c r="N60" t="str">
        <f>VLOOKUP(B60,Raw_Suppliers!$A$2:$G$101,6,FALSE)</f>
        <v>ISO 14001</v>
      </c>
      <c r="O60">
        <f>VLOOKUP(B60,Raw_Suppliers!$A$2:$G$101,7,FALSE)</f>
        <v>0</v>
      </c>
      <c r="P60" t="str">
        <f t="shared" si="1"/>
        <v>No</v>
      </c>
      <c r="Q60">
        <f t="shared" si="2"/>
        <v>1</v>
      </c>
      <c r="R60" t="str">
        <f t="shared" si="3"/>
        <v>On Time</v>
      </c>
      <c r="S60">
        <f t="shared" si="4"/>
        <v>2021</v>
      </c>
      <c r="T60">
        <f t="shared" si="5"/>
        <v>2</v>
      </c>
    </row>
    <row r="61" spans="1:20" x14ac:dyDescent="0.25">
      <c r="A61" t="s">
        <v>168</v>
      </c>
      <c r="B61" t="s">
        <v>169</v>
      </c>
      <c r="C61" t="s">
        <v>170</v>
      </c>
      <c r="D61" s="1">
        <v>45286</v>
      </c>
      <c r="E61">
        <v>12</v>
      </c>
      <c r="F61">
        <v>19.8419335908467</v>
      </c>
      <c r="G61" s="1">
        <v>45309</v>
      </c>
      <c r="H61" s="1">
        <v>45307</v>
      </c>
      <c r="I61">
        <v>238.10320309016001</v>
      </c>
      <c r="J61">
        <f t="shared" si="0"/>
        <v>-2</v>
      </c>
      <c r="K61" t="str">
        <f>VLOOKUP(B61,Raw_Suppliers!$A$2:$G$101,2,FALSE)</f>
        <v>Vertex Beta LLC</v>
      </c>
      <c r="L61" t="str">
        <f>VLOOKUP(B61,Raw_Suppliers!$A$2:$G$101,3,FALSE)</f>
        <v>China</v>
      </c>
      <c r="M61" t="str">
        <f>VLOOKUP(B61,Raw_Suppliers!$A$2:$G$101,4,FALSE)</f>
        <v>South</v>
      </c>
      <c r="N61" t="str">
        <f>VLOOKUP(B61,Raw_Suppliers!$A$2:$G$101,6,FALSE)</f>
        <v>ISO 14001</v>
      </c>
      <c r="O61">
        <f>VLOOKUP(B61,Raw_Suppliers!$A$2:$G$101,7,FALSE)</f>
        <v>0</v>
      </c>
      <c r="P61" t="str">
        <f t="shared" si="1"/>
        <v>No</v>
      </c>
      <c r="Q61">
        <f t="shared" si="2"/>
        <v>1</v>
      </c>
      <c r="R61" t="str">
        <f t="shared" si="3"/>
        <v>On Time</v>
      </c>
      <c r="S61">
        <f t="shared" si="4"/>
        <v>2023</v>
      </c>
      <c r="T61">
        <f t="shared" si="5"/>
        <v>12</v>
      </c>
    </row>
    <row r="62" spans="1:20" x14ac:dyDescent="0.25">
      <c r="A62" t="s">
        <v>171</v>
      </c>
      <c r="B62" t="s">
        <v>160</v>
      </c>
      <c r="C62" t="s">
        <v>172</v>
      </c>
      <c r="D62" s="1">
        <v>44994</v>
      </c>
      <c r="E62">
        <v>16</v>
      </c>
      <c r="F62">
        <v>40.255346353670802</v>
      </c>
      <c r="G62" s="1">
        <v>45009</v>
      </c>
      <c r="H62" s="1">
        <v>45006</v>
      </c>
      <c r="I62">
        <v>644.08554165873295</v>
      </c>
      <c r="J62">
        <f t="shared" si="0"/>
        <v>-3</v>
      </c>
      <c r="K62" t="str">
        <f>VLOOKUP(B62,Raw_Suppliers!$A$2:$G$101,2,FALSE)</f>
        <v>Omega Beta Corp</v>
      </c>
      <c r="L62" t="str">
        <f>VLOOKUP(B62,Raw_Suppliers!$A$2:$G$101,3,FALSE)</f>
        <v>China</v>
      </c>
      <c r="M62" t="str">
        <f>VLOOKUP(B62,Raw_Suppliers!$A$2:$G$101,4,FALSE)</f>
        <v>East</v>
      </c>
      <c r="N62" t="str">
        <f>VLOOKUP(B62,Raw_Suppliers!$A$2:$G$101,6,FALSE)</f>
        <v>ISO 45001</v>
      </c>
      <c r="O62">
        <f>VLOOKUP(B62,Raw_Suppliers!$A$2:$G$101,7,FALSE)</f>
        <v>1</v>
      </c>
      <c r="P62" t="str">
        <f t="shared" si="1"/>
        <v>Yes</v>
      </c>
      <c r="Q62">
        <f t="shared" si="2"/>
        <v>1</v>
      </c>
      <c r="R62" t="str">
        <f t="shared" si="3"/>
        <v>On Time</v>
      </c>
      <c r="S62">
        <f t="shared" si="4"/>
        <v>2023</v>
      </c>
      <c r="T62">
        <f t="shared" si="5"/>
        <v>3</v>
      </c>
    </row>
    <row r="63" spans="1:20" x14ac:dyDescent="0.25">
      <c r="A63" t="s">
        <v>173</v>
      </c>
      <c r="B63" t="s">
        <v>174</v>
      </c>
      <c r="C63" t="s">
        <v>122</v>
      </c>
      <c r="D63" s="1">
        <v>44451</v>
      </c>
      <c r="E63">
        <v>9</v>
      </c>
      <c r="F63">
        <v>54.887526130979097</v>
      </c>
      <c r="G63" s="1">
        <v>44462</v>
      </c>
      <c r="H63" s="1">
        <v>44467</v>
      </c>
      <c r="I63">
        <v>493.98773517881199</v>
      </c>
      <c r="J63">
        <f t="shared" si="0"/>
        <v>5</v>
      </c>
      <c r="K63" t="str">
        <f>VLOOKUP(B63,Raw_Suppliers!$A$2:$G$101,2,FALSE)</f>
        <v>Quantum Eco LLC</v>
      </c>
      <c r="L63" t="str">
        <f>VLOOKUP(B63,Raw_Suppliers!$A$2:$G$101,3,FALSE)</f>
        <v>Denmark</v>
      </c>
      <c r="M63" t="str">
        <f>VLOOKUP(B63,Raw_Suppliers!$A$2:$G$101,4,FALSE)</f>
        <v>East</v>
      </c>
      <c r="N63" t="str">
        <f>VLOOKUP(B63,Raw_Suppliers!$A$2:$G$101,6,FALSE)</f>
        <v>ISO 9001</v>
      </c>
      <c r="O63">
        <f>VLOOKUP(B63,Raw_Suppliers!$A$2:$G$101,7,FALSE)</f>
        <v>1</v>
      </c>
      <c r="P63" t="str">
        <f t="shared" si="1"/>
        <v>Yes</v>
      </c>
      <c r="Q63">
        <f t="shared" si="2"/>
        <v>0</v>
      </c>
      <c r="R63" t="str">
        <f t="shared" si="3"/>
        <v>Late</v>
      </c>
      <c r="S63">
        <f t="shared" si="4"/>
        <v>2021</v>
      </c>
      <c r="T63">
        <f t="shared" si="5"/>
        <v>9</v>
      </c>
    </row>
    <row r="64" spans="1:20" x14ac:dyDescent="0.25">
      <c r="A64" t="s">
        <v>175</v>
      </c>
      <c r="B64" t="s">
        <v>176</v>
      </c>
      <c r="C64" t="s">
        <v>177</v>
      </c>
      <c r="D64" s="1">
        <v>45124</v>
      </c>
      <c r="E64">
        <v>11</v>
      </c>
      <c r="F64">
        <v>35.121807422929201</v>
      </c>
      <c r="G64" s="1">
        <v>45137</v>
      </c>
      <c r="H64" s="1">
        <v>45141</v>
      </c>
      <c r="I64">
        <v>386.33988165222098</v>
      </c>
      <c r="J64">
        <f t="shared" si="0"/>
        <v>4</v>
      </c>
      <c r="K64" t="str">
        <f>VLOOKUP(B64,Raw_Suppliers!$A$2:$G$101,2,FALSE)</f>
        <v>Nano Ultra Corp</v>
      </c>
      <c r="L64" t="str">
        <f>VLOOKUP(B64,Raw_Suppliers!$A$2:$G$101,3,FALSE)</f>
        <v>Canada</v>
      </c>
      <c r="M64" t="str">
        <f>VLOOKUP(B64,Raw_Suppliers!$A$2:$G$101,4,FALSE)</f>
        <v>Central</v>
      </c>
      <c r="N64" t="str">
        <f>VLOOKUP(B64,Raw_Suppliers!$A$2:$G$101,6,FALSE)</f>
        <v>ISO 9001</v>
      </c>
      <c r="O64">
        <f>VLOOKUP(B64,Raw_Suppliers!$A$2:$G$101,7,FALSE)</f>
        <v>0</v>
      </c>
      <c r="P64" t="str">
        <f t="shared" si="1"/>
        <v>No</v>
      </c>
      <c r="Q64">
        <f t="shared" si="2"/>
        <v>0</v>
      </c>
      <c r="R64" t="str">
        <f t="shared" si="3"/>
        <v>Late</v>
      </c>
      <c r="S64">
        <f t="shared" si="4"/>
        <v>2023</v>
      </c>
      <c r="T64">
        <f t="shared" si="5"/>
        <v>7</v>
      </c>
    </row>
    <row r="65" spans="1:20" x14ac:dyDescent="0.25">
      <c r="A65" t="s">
        <v>178</v>
      </c>
      <c r="B65" t="s">
        <v>179</v>
      </c>
      <c r="C65" t="s">
        <v>180</v>
      </c>
      <c r="D65" s="1">
        <v>44788</v>
      </c>
      <c r="E65">
        <v>10</v>
      </c>
      <c r="F65">
        <v>74.938832400096004</v>
      </c>
      <c r="G65" s="1">
        <v>44802</v>
      </c>
      <c r="H65" s="1">
        <v>44800</v>
      </c>
      <c r="I65">
        <v>749.38832400095998</v>
      </c>
      <c r="J65">
        <f t="shared" si="0"/>
        <v>-2</v>
      </c>
      <c r="K65" t="str">
        <f>VLOOKUP(B65,Raw_Suppliers!$A$2:$G$101,2,FALSE)</f>
        <v>Nova Gamma Ltd</v>
      </c>
      <c r="L65" t="str">
        <f>VLOOKUP(B65,Raw_Suppliers!$A$2:$G$101,3,FALSE)</f>
        <v>Denmark</v>
      </c>
      <c r="M65" t="str">
        <f>VLOOKUP(B65,Raw_Suppliers!$A$2:$G$101,4,FALSE)</f>
        <v>East</v>
      </c>
      <c r="N65" t="str">
        <f>VLOOKUP(B65,Raw_Suppliers!$A$2:$G$101,6,FALSE)</f>
        <v>ISO 9001</v>
      </c>
      <c r="O65">
        <f>VLOOKUP(B65,Raw_Suppliers!$A$2:$G$101,7,FALSE)</f>
        <v>0</v>
      </c>
      <c r="P65" t="str">
        <f t="shared" si="1"/>
        <v>No</v>
      </c>
      <c r="Q65">
        <f t="shared" si="2"/>
        <v>1</v>
      </c>
      <c r="R65" t="str">
        <f t="shared" si="3"/>
        <v>On Time</v>
      </c>
      <c r="S65">
        <f t="shared" si="4"/>
        <v>2022</v>
      </c>
      <c r="T65">
        <f t="shared" si="5"/>
        <v>8</v>
      </c>
    </row>
    <row r="66" spans="1:20" x14ac:dyDescent="0.25">
      <c r="A66" t="s">
        <v>181</v>
      </c>
      <c r="B66" t="s">
        <v>61</v>
      </c>
      <c r="C66" t="s">
        <v>182</v>
      </c>
      <c r="D66" s="1">
        <v>44660</v>
      </c>
      <c r="E66">
        <v>15</v>
      </c>
      <c r="F66">
        <v>27.4250907139524</v>
      </c>
      <c r="G66" s="1">
        <v>44684</v>
      </c>
      <c r="H66" s="1">
        <v>44689</v>
      </c>
      <c r="I66">
        <v>411.37636070928602</v>
      </c>
      <c r="J66">
        <f t="shared" si="0"/>
        <v>5</v>
      </c>
      <c r="K66" t="str">
        <f>VLOOKUP(B66,Raw_Suppliers!$A$2:$G$101,2,FALSE)</f>
        <v>Ultra Gamma LLC</v>
      </c>
      <c r="L66" t="str">
        <f>VLOOKUP(B66,Raw_Suppliers!$A$2:$G$101,3,FALSE)</f>
        <v>Canada</v>
      </c>
      <c r="M66" t="str">
        <f>VLOOKUP(B66,Raw_Suppliers!$A$2:$G$101,4,FALSE)</f>
        <v>North</v>
      </c>
      <c r="N66" t="str">
        <f>VLOOKUP(B66,Raw_Suppliers!$A$2:$G$101,6,FALSE)</f>
        <v>ISO 9001</v>
      </c>
      <c r="O66">
        <f>VLOOKUP(B66,Raw_Suppliers!$A$2:$G$101,7,FALSE)</f>
        <v>1</v>
      </c>
      <c r="P66" t="str">
        <f t="shared" si="1"/>
        <v>Yes</v>
      </c>
      <c r="Q66">
        <f t="shared" si="2"/>
        <v>0</v>
      </c>
      <c r="R66" t="str">
        <f t="shared" si="3"/>
        <v>Late</v>
      </c>
      <c r="S66">
        <f t="shared" si="4"/>
        <v>2022</v>
      </c>
      <c r="T66">
        <f t="shared" si="5"/>
        <v>4</v>
      </c>
    </row>
    <row r="67" spans="1:20" x14ac:dyDescent="0.25">
      <c r="A67" t="s">
        <v>183</v>
      </c>
      <c r="B67" t="s">
        <v>88</v>
      </c>
      <c r="C67" t="s">
        <v>184</v>
      </c>
      <c r="D67" s="1">
        <v>44341</v>
      </c>
      <c r="E67">
        <v>20</v>
      </c>
      <c r="F67">
        <v>17.905812008867098</v>
      </c>
      <c r="G67" s="1">
        <v>44362</v>
      </c>
      <c r="H67" s="1">
        <v>44366</v>
      </c>
      <c r="I67">
        <v>358.11624017734198</v>
      </c>
      <c r="J67">
        <f t="shared" ref="J67:J130" si="6">H67-G67</f>
        <v>4</v>
      </c>
      <c r="K67" t="str">
        <f>VLOOKUP(B67,Raw_Suppliers!$A$2:$G$101,2,FALSE)</f>
        <v>Eco Nano GmbH</v>
      </c>
      <c r="L67" t="str">
        <f>VLOOKUP(B67,Raw_Suppliers!$A$2:$G$101,3,FALSE)</f>
        <v>Denmark</v>
      </c>
      <c r="M67" t="str">
        <f>VLOOKUP(B67,Raw_Suppliers!$A$2:$G$101,4,FALSE)</f>
        <v>Central</v>
      </c>
      <c r="N67" t="str">
        <f>VLOOKUP(B67,Raw_Suppliers!$A$2:$G$101,6,FALSE)</f>
        <v>ISO 9001</v>
      </c>
      <c r="O67">
        <f>VLOOKUP(B67,Raw_Suppliers!$A$2:$G$101,7,FALSE)</f>
        <v>1</v>
      </c>
      <c r="P67" t="str">
        <f t="shared" ref="P67:P130" si="7">IF(O67=1,"Yes","No")</f>
        <v>Yes</v>
      </c>
      <c r="Q67">
        <f t="shared" ref="Q67:Q130" si="8">IF(J67&lt;=0,1,0)</f>
        <v>0</v>
      </c>
      <c r="R67" t="str">
        <f t="shared" ref="R67:R130" si="9">IF(Q67=1,"On Time","Late")</f>
        <v>Late</v>
      </c>
      <c r="S67">
        <f t="shared" ref="S67:S130" si="10">YEAR(D67)</f>
        <v>2021</v>
      </c>
      <c r="T67">
        <f t="shared" ref="T67:T130" si="11">MONTH(D67)</f>
        <v>5</v>
      </c>
    </row>
    <row r="68" spans="1:20" x14ac:dyDescent="0.25">
      <c r="A68" t="s">
        <v>185</v>
      </c>
      <c r="B68" t="s">
        <v>186</v>
      </c>
      <c r="C68" t="s">
        <v>187</v>
      </c>
      <c r="D68" s="1">
        <v>44253</v>
      </c>
      <c r="E68">
        <v>10</v>
      </c>
      <c r="F68">
        <v>54.933721898361902</v>
      </c>
      <c r="G68" s="1">
        <v>44271</v>
      </c>
      <c r="H68" s="1">
        <v>44272</v>
      </c>
      <c r="I68">
        <v>549.33721898361898</v>
      </c>
      <c r="J68">
        <f t="shared" si="6"/>
        <v>1</v>
      </c>
      <c r="K68" t="str">
        <f>VLOOKUP(B68,Raw_Suppliers!$A$2:$G$101,2,FALSE)</f>
        <v>Omega Vertex Inc</v>
      </c>
      <c r="L68" t="str">
        <f>VLOOKUP(B68,Raw_Suppliers!$A$2:$G$101,3,FALSE)</f>
        <v>China</v>
      </c>
      <c r="M68" t="str">
        <f>VLOOKUP(B68,Raw_Suppliers!$A$2:$G$101,4,FALSE)</f>
        <v>West</v>
      </c>
      <c r="N68" t="str">
        <f>VLOOKUP(B68,Raw_Suppliers!$A$2:$G$101,6,FALSE)</f>
        <v>ISO 14001</v>
      </c>
      <c r="O68">
        <f>VLOOKUP(B68,Raw_Suppliers!$A$2:$G$101,7,FALSE)</f>
        <v>1</v>
      </c>
      <c r="P68" t="str">
        <f t="shared" si="7"/>
        <v>Yes</v>
      </c>
      <c r="Q68">
        <f t="shared" si="8"/>
        <v>0</v>
      </c>
      <c r="R68" t="str">
        <f t="shared" si="9"/>
        <v>Late</v>
      </c>
      <c r="S68">
        <f t="shared" si="10"/>
        <v>2021</v>
      </c>
      <c r="T68">
        <f t="shared" si="11"/>
        <v>2</v>
      </c>
    </row>
    <row r="69" spans="1:20" x14ac:dyDescent="0.25">
      <c r="A69" t="s">
        <v>188</v>
      </c>
      <c r="B69" t="s">
        <v>189</v>
      </c>
      <c r="C69" t="s">
        <v>190</v>
      </c>
      <c r="D69" s="1">
        <v>44697</v>
      </c>
      <c r="E69">
        <v>8</v>
      </c>
      <c r="F69">
        <v>32.209555444085296</v>
      </c>
      <c r="G69" s="1">
        <v>44714</v>
      </c>
      <c r="H69" s="1">
        <v>44719</v>
      </c>
      <c r="I69">
        <v>257.67644355268197</v>
      </c>
      <c r="J69">
        <f t="shared" si="6"/>
        <v>5</v>
      </c>
      <c r="K69" t="str">
        <f>VLOOKUP(B69,Raw_Suppliers!$A$2:$G$101,2,FALSE)</f>
        <v>Apex Pioneer Ltd</v>
      </c>
      <c r="L69" t="str">
        <f>VLOOKUP(B69,Raw_Suppliers!$A$2:$G$101,3,FALSE)</f>
        <v>Canada</v>
      </c>
      <c r="M69" t="str">
        <f>VLOOKUP(B69,Raw_Suppliers!$A$2:$G$101,4,FALSE)</f>
        <v>South</v>
      </c>
      <c r="N69" t="str">
        <f>VLOOKUP(B69,Raw_Suppliers!$A$2:$G$101,6,FALSE)</f>
        <v>ISO 14001</v>
      </c>
      <c r="O69">
        <f>VLOOKUP(B69,Raw_Suppliers!$A$2:$G$101,7,FALSE)</f>
        <v>1</v>
      </c>
      <c r="P69" t="str">
        <f t="shared" si="7"/>
        <v>Yes</v>
      </c>
      <c r="Q69">
        <f t="shared" si="8"/>
        <v>0</v>
      </c>
      <c r="R69" t="str">
        <f t="shared" si="9"/>
        <v>Late</v>
      </c>
      <c r="S69">
        <f t="shared" si="10"/>
        <v>2022</v>
      </c>
      <c r="T69">
        <f t="shared" si="11"/>
        <v>5</v>
      </c>
    </row>
    <row r="70" spans="1:20" x14ac:dyDescent="0.25">
      <c r="A70" t="s">
        <v>191</v>
      </c>
      <c r="B70" t="s">
        <v>73</v>
      </c>
      <c r="C70" t="s">
        <v>192</v>
      </c>
      <c r="D70" s="1">
        <v>45241</v>
      </c>
      <c r="E70">
        <v>11</v>
      </c>
      <c r="F70">
        <v>6.4570094852955204</v>
      </c>
      <c r="G70" s="1">
        <v>45253</v>
      </c>
      <c r="H70" s="1">
        <v>45250</v>
      </c>
      <c r="I70">
        <v>71.027104338250695</v>
      </c>
      <c r="J70">
        <f t="shared" si="6"/>
        <v>-3</v>
      </c>
      <c r="K70" t="str">
        <f>VLOOKUP(B70,Raw_Suppliers!$A$2:$G$101,2,FALSE)</f>
        <v>Gamma Quantum LLC</v>
      </c>
      <c r="L70" t="str">
        <f>VLOOKUP(B70,Raw_Suppliers!$A$2:$G$101,3,FALSE)</f>
        <v>Germany</v>
      </c>
      <c r="M70" t="str">
        <f>VLOOKUP(B70,Raw_Suppliers!$A$2:$G$101,4,FALSE)</f>
        <v>Central</v>
      </c>
      <c r="N70" t="str">
        <f>VLOOKUP(B70,Raw_Suppliers!$A$2:$G$101,6,FALSE)</f>
        <v>ISO 9001</v>
      </c>
      <c r="O70">
        <f>VLOOKUP(B70,Raw_Suppliers!$A$2:$G$101,7,FALSE)</f>
        <v>1</v>
      </c>
      <c r="P70" t="str">
        <f t="shared" si="7"/>
        <v>Yes</v>
      </c>
      <c r="Q70">
        <f t="shared" si="8"/>
        <v>1</v>
      </c>
      <c r="R70" t="str">
        <f t="shared" si="9"/>
        <v>On Time</v>
      </c>
      <c r="S70">
        <f t="shared" si="10"/>
        <v>2023</v>
      </c>
      <c r="T70">
        <f t="shared" si="11"/>
        <v>11</v>
      </c>
    </row>
    <row r="71" spans="1:20" x14ac:dyDescent="0.25">
      <c r="A71" t="s">
        <v>193</v>
      </c>
      <c r="B71" t="s">
        <v>194</v>
      </c>
      <c r="C71" t="s">
        <v>195</v>
      </c>
      <c r="D71" s="1">
        <v>44464</v>
      </c>
      <c r="E71">
        <v>9</v>
      </c>
      <c r="F71">
        <v>26.040393574162</v>
      </c>
      <c r="G71" s="1">
        <v>44478</v>
      </c>
      <c r="H71" s="1">
        <v>44475</v>
      </c>
      <c r="I71">
        <v>234.36354216745801</v>
      </c>
      <c r="J71">
        <f t="shared" si="6"/>
        <v>-3</v>
      </c>
      <c r="K71" t="str">
        <f>VLOOKUP(B71,Raw_Suppliers!$A$2:$G$101,2,FALSE)</f>
        <v>Eco Pioneer Corp</v>
      </c>
      <c r="L71" t="str">
        <f>VLOOKUP(B71,Raw_Suppliers!$A$2:$G$101,3,FALSE)</f>
        <v>China</v>
      </c>
      <c r="M71" t="str">
        <f>VLOOKUP(B71,Raw_Suppliers!$A$2:$G$101,4,FALSE)</f>
        <v>East</v>
      </c>
      <c r="N71" t="str">
        <f>VLOOKUP(B71,Raw_Suppliers!$A$2:$G$101,6,FALSE)</f>
        <v>ISO 14001</v>
      </c>
      <c r="O71">
        <f>VLOOKUP(B71,Raw_Suppliers!$A$2:$G$101,7,FALSE)</f>
        <v>1</v>
      </c>
      <c r="P71" t="str">
        <f t="shared" si="7"/>
        <v>Yes</v>
      </c>
      <c r="Q71">
        <f t="shared" si="8"/>
        <v>1</v>
      </c>
      <c r="R71" t="str">
        <f t="shared" si="9"/>
        <v>On Time</v>
      </c>
      <c r="S71">
        <f t="shared" si="10"/>
        <v>2021</v>
      </c>
      <c r="T71">
        <f t="shared" si="11"/>
        <v>9</v>
      </c>
    </row>
    <row r="72" spans="1:20" x14ac:dyDescent="0.25">
      <c r="A72" t="s">
        <v>196</v>
      </c>
      <c r="B72" t="s">
        <v>160</v>
      </c>
      <c r="C72" t="s">
        <v>125</v>
      </c>
      <c r="D72" s="1">
        <v>45224</v>
      </c>
      <c r="E72">
        <v>8</v>
      </c>
      <c r="F72">
        <v>75.799893827958599</v>
      </c>
      <c r="G72" s="1">
        <v>45235</v>
      </c>
      <c r="H72" s="1">
        <v>45241</v>
      </c>
      <c r="I72">
        <v>606.39915062366799</v>
      </c>
      <c r="J72">
        <f t="shared" si="6"/>
        <v>6</v>
      </c>
      <c r="K72" t="str">
        <f>VLOOKUP(B72,Raw_Suppliers!$A$2:$G$101,2,FALSE)</f>
        <v>Omega Beta Corp</v>
      </c>
      <c r="L72" t="str">
        <f>VLOOKUP(B72,Raw_Suppliers!$A$2:$G$101,3,FALSE)</f>
        <v>China</v>
      </c>
      <c r="M72" t="str">
        <f>VLOOKUP(B72,Raw_Suppliers!$A$2:$G$101,4,FALSE)</f>
        <v>East</v>
      </c>
      <c r="N72" t="str">
        <f>VLOOKUP(B72,Raw_Suppliers!$A$2:$G$101,6,FALSE)</f>
        <v>ISO 45001</v>
      </c>
      <c r="O72">
        <f>VLOOKUP(B72,Raw_Suppliers!$A$2:$G$101,7,FALSE)</f>
        <v>1</v>
      </c>
      <c r="P72" t="str">
        <f t="shared" si="7"/>
        <v>Yes</v>
      </c>
      <c r="Q72">
        <f t="shared" si="8"/>
        <v>0</v>
      </c>
      <c r="R72" t="str">
        <f t="shared" si="9"/>
        <v>Late</v>
      </c>
      <c r="S72">
        <f t="shared" si="10"/>
        <v>2023</v>
      </c>
      <c r="T72">
        <f t="shared" si="11"/>
        <v>10</v>
      </c>
    </row>
    <row r="73" spans="1:20" x14ac:dyDescent="0.25">
      <c r="A73" t="s">
        <v>197</v>
      </c>
      <c r="B73" t="s">
        <v>198</v>
      </c>
      <c r="C73" t="s">
        <v>199</v>
      </c>
      <c r="D73" s="1">
        <v>44396</v>
      </c>
      <c r="E73">
        <v>11</v>
      </c>
      <c r="F73">
        <v>18.1608221162377</v>
      </c>
      <c r="G73" s="1">
        <v>44417</v>
      </c>
      <c r="H73" s="1">
        <v>44420</v>
      </c>
      <c r="I73">
        <v>199.76904327861499</v>
      </c>
      <c r="J73">
        <f t="shared" si="6"/>
        <v>3</v>
      </c>
      <c r="K73" t="str">
        <f>VLOOKUP(B73,Raw_Suppliers!$A$2:$G$101,2,FALSE)</f>
        <v>Gamma Vertex Corp</v>
      </c>
      <c r="L73" t="str">
        <f>VLOOKUP(B73,Raw_Suppliers!$A$2:$G$101,3,FALSE)</f>
        <v>Denmark</v>
      </c>
      <c r="M73" t="str">
        <f>VLOOKUP(B73,Raw_Suppliers!$A$2:$G$101,4,FALSE)</f>
        <v>South</v>
      </c>
      <c r="N73" t="str">
        <f>VLOOKUP(B73,Raw_Suppliers!$A$2:$G$101,6,FALSE)</f>
        <v>None</v>
      </c>
      <c r="O73">
        <f>VLOOKUP(B73,Raw_Suppliers!$A$2:$G$101,7,FALSE)</f>
        <v>1</v>
      </c>
      <c r="P73" t="str">
        <f t="shared" si="7"/>
        <v>Yes</v>
      </c>
      <c r="Q73">
        <f t="shared" si="8"/>
        <v>0</v>
      </c>
      <c r="R73" t="str">
        <f t="shared" si="9"/>
        <v>Late</v>
      </c>
      <c r="S73">
        <f t="shared" si="10"/>
        <v>2021</v>
      </c>
      <c r="T73">
        <f t="shared" si="11"/>
        <v>7</v>
      </c>
    </row>
    <row r="74" spans="1:20" x14ac:dyDescent="0.25">
      <c r="A74" t="s">
        <v>200</v>
      </c>
      <c r="B74" t="s">
        <v>119</v>
      </c>
      <c r="C74" t="s">
        <v>201</v>
      </c>
      <c r="D74" s="1">
        <v>45193</v>
      </c>
      <c r="E74">
        <v>13</v>
      </c>
      <c r="F74">
        <v>49.232652626469203</v>
      </c>
      <c r="G74" s="1">
        <v>45204</v>
      </c>
      <c r="H74" s="1">
        <v>45208</v>
      </c>
      <c r="I74">
        <v>640.02448414410003</v>
      </c>
      <c r="J74">
        <f t="shared" si="6"/>
        <v>4</v>
      </c>
      <c r="K74" t="str">
        <f>VLOOKUP(B74,Raw_Suppliers!$A$2:$G$101,2,FALSE)</f>
        <v>Pioneer Apex Corp</v>
      </c>
      <c r="L74" t="str">
        <f>VLOOKUP(B74,Raw_Suppliers!$A$2:$G$101,3,FALSE)</f>
        <v>USA</v>
      </c>
      <c r="M74" t="str">
        <f>VLOOKUP(B74,Raw_Suppliers!$A$2:$G$101,4,FALSE)</f>
        <v>Central</v>
      </c>
      <c r="N74" t="str">
        <f>VLOOKUP(B74,Raw_Suppliers!$A$2:$G$101,6,FALSE)</f>
        <v>None</v>
      </c>
      <c r="O74">
        <f>VLOOKUP(B74,Raw_Suppliers!$A$2:$G$101,7,FALSE)</f>
        <v>0</v>
      </c>
      <c r="P74" t="str">
        <f t="shared" si="7"/>
        <v>No</v>
      </c>
      <c r="Q74">
        <f t="shared" si="8"/>
        <v>0</v>
      </c>
      <c r="R74" t="str">
        <f t="shared" si="9"/>
        <v>Late</v>
      </c>
      <c r="S74">
        <f t="shared" si="10"/>
        <v>2023</v>
      </c>
      <c r="T74">
        <f t="shared" si="11"/>
        <v>9</v>
      </c>
    </row>
    <row r="75" spans="1:20" x14ac:dyDescent="0.25">
      <c r="A75" t="s">
        <v>202</v>
      </c>
      <c r="B75" t="s">
        <v>203</v>
      </c>
      <c r="C75" t="s">
        <v>170</v>
      </c>
      <c r="D75" s="1">
        <v>44627</v>
      </c>
      <c r="E75">
        <v>3</v>
      </c>
      <c r="F75">
        <v>29.1416936652126</v>
      </c>
      <c r="G75" s="1">
        <v>44640</v>
      </c>
      <c r="H75" s="1">
        <v>44639</v>
      </c>
      <c r="I75">
        <v>87.425080995637899</v>
      </c>
      <c r="J75">
        <f t="shared" si="6"/>
        <v>-1</v>
      </c>
      <c r="K75" t="str">
        <f>VLOOKUP(B75,Raw_Suppliers!$A$2:$G$101,2,FALSE)</f>
        <v>Nova Eco LLC</v>
      </c>
      <c r="L75" t="str">
        <f>VLOOKUP(B75,Raw_Suppliers!$A$2:$G$101,3,FALSE)</f>
        <v>Denmark</v>
      </c>
      <c r="M75" t="str">
        <f>VLOOKUP(B75,Raw_Suppliers!$A$2:$G$101,4,FALSE)</f>
        <v>South</v>
      </c>
      <c r="N75" t="str">
        <f>VLOOKUP(B75,Raw_Suppliers!$A$2:$G$101,6,FALSE)</f>
        <v>ISO 14001</v>
      </c>
      <c r="O75">
        <f>VLOOKUP(B75,Raw_Suppliers!$A$2:$G$101,7,FALSE)</f>
        <v>0</v>
      </c>
      <c r="P75" t="str">
        <f t="shared" si="7"/>
        <v>No</v>
      </c>
      <c r="Q75">
        <f t="shared" si="8"/>
        <v>1</v>
      </c>
      <c r="R75" t="str">
        <f t="shared" si="9"/>
        <v>On Time</v>
      </c>
      <c r="S75">
        <f t="shared" si="10"/>
        <v>2022</v>
      </c>
      <c r="T75">
        <f t="shared" si="11"/>
        <v>3</v>
      </c>
    </row>
    <row r="76" spans="1:20" x14ac:dyDescent="0.25">
      <c r="A76" t="s">
        <v>204</v>
      </c>
      <c r="B76" t="s">
        <v>205</v>
      </c>
      <c r="C76" t="s">
        <v>100</v>
      </c>
      <c r="D76" s="1">
        <v>44403</v>
      </c>
      <c r="E76">
        <v>12</v>
      </c>
      <c r="F76">
        <v>52.342986247763399</v>
      </c>
      <c r="G76" s="1">
        <v>44414</v>
      </c>
      <c r="H76" s="1">
        <v>44417</v>
      </c>
      <c r="I76">
        <v>628.11583497316099</v>
      </c>
      <c r="J76">
        <f t="shared" si="6"/>
        <v>3</v>
      </c>
      <c r="K76" t="str">
        <f>VLOOKUP(B76,Raw_Suppliers!$A$2:$G$101,2,FALSE)</f>
        <v>Ultra Eco LLC</v>
      </c>
      <c r="L76" t="str">
        <f>VLOOKUP(B76,Raw_Suppliers!$A$2:$G$101,3,FALSE)</f>
        <v>China</v>
      </c>
      <c r="M76" t="str">
        <f>VLOOKUP(B76,Raw_Suppliers!$A$2:$G$101,4,FALSE)</f>
        <v>South</v>
      </c>
      <c r="N76" t="str">
        <f>VLOOKUP(B76,Raw_Suppliers!$A$2:$G$101,6,FALSE)</f>
        <v>ISO 14001</v>
      </c>
      <c r="O76">
        <f>VLOOKUP(B76,Raw_Suppliers!$A$2:$G$101,7,FALSE)</f>
        <v>1</v>
      </c>
      <c r="P76" t="str">
        <f t="shared" si="7"/>
        <v>Yes</v>
      </c>
      <c r="Q76">
        <f t="shared" si="8"/>
        <v>0</v>
      </c>
      <c r="R76" t="str">
        <f t="shared" si="9"/>
        <v>Late</v>
      </c>
      <c r="S76">
        <f t="shared" si="10"/>
        <v>2021</v>
      </c>
      <c r="T76">
        <f t="shared" si="11"/>
        <v>7</v>
      </c>
    </row>
    <row r="77" spans="1:20" x14ac:dyDescent="0.25">
      <c r="A77" t="s">
        <v>206</v>
      </c>
      <c r="B77" t="s">
        <v>207</v>
      </c>
      <c r="C77" t="s">
        <v>208</v>
      </c>
      <c r="D77" s="1">
        <v>45114</v>
      </c>
      <c r="E77">
        <v>11</v>
      </c>
      <c r="F77">
        <v>66.526076913742799</v>
      </c>
      <c r="G77" s="1">
        <v>45130</v>
      </c>
      <c r="H77" s="1">
        <v>45129</v>
      </c>
      <c r="I77">
        <v>731.78684605117098</v>
      </c>
      <c r="J77">
        <f t="shared" si="6"/>
        <v>-1</v>
      </c>
      <c r="K77" t="str">
        <f>VLOOKUP(B77,Raw_Suppliers!$A$2:$G$101,2,FALSE)</f>
        <v>Nova Alpha Ltd</v>
      </c>
      <c r="L77" t="str">
        <f>VLOOKUP(B77,Raw_Suppliers!$A$2:$G$101,3,FALSE)</f>
        <v>India</v>
      </c>
      <c r="M77" t="str">
        <f>VLOOKUP(B77,Raw_Suppliers!$A$2:$G$101,4,FALSE)</f>
        <v>East</v>
      </c>
      <c r="N77" t="str">
        <f>VLOOKUP(B77,Raw_Suppliers!$A$2:$G$101,6,FALSE)</f>
        <v>ISO 9001</v>
      </c>
      <c r="O77">
        <f>VLOOKUP(B77,Raw_Suppliers!$A$2:$G$101,7,FALSE)</f>
        <v>0</v>
      </c>
      <c r="P77" t="str">
        <f t="shared" si="7"/>
        <v>No</v>
      </c>
      <c r="Q77">
        <f t="shared" si="8"/>
        <v>1</v>
      </c>
      <c r="R77" t="str">
        <f t="shared" si="9"/>
        <v>On Time</v>
      </c>
      <c r="S77">
        <f t="shared" si="10"/>
        <v>2023</v>
      </c>
      <c r="T77">
        <f t="shared" si="11"/>
        <v>7</v>
      </c>
    </row>
    <row r="78" spans="1:20" x14ac:dyDescent="0.25">
      <c r="A78" t="s">
        <v>209</v>
      </c>
      <c r="B78" t="s">
        <v>203</v>
      </c>
      <c r="C78" t="s">
        <v>210</v>
      </c>
      <c r="D78" s="1">
        <v>45286</v>
      </c>
      <c r="E78">
        <v>11</v>
      </c>
      <c r="F78">
        <v>36.004037055706902</v>
      </c>
      <c r="G78" s="1">
        <v>45302</v>
      </c>
      <c r="H78" s="1">
        <v>45300</v>
      </c>
      <c r="I78">
        <v>396.04440761277601</v>
      </c>
      <c r="J78">
        <f t="shared" si="6"/>
        <v>-2</v>
      </c>
      <c r="K78" t="str">
        <f>VLOOKUP(B78,Raw_Suppliers!$A$2:$G$101,2,FALSE)</f>
        <v>Nova Eco LLC</v>
      </c>
      <c r="L78" t="str">
        <f>VLOOKUP(B78,Raw_Suppliers!$A$2:$G$101,3,FALSE)</f>
        <v>Denmark</v>
      </c>
      <c r="M78" t="str">
        <f>VLOOKUP(B78,Raw_Suppliers!$A$2:$G$101,4,FALSE)</f>
        <v>South</v>
      </c>
      <c r="N78" t="str">
        <f>VLOOKUP(B78,Raw_Suppliers!$A$2:$G$101,6,FALSE)</f>
        <v>ISO 14001</v>
      </c>
      <c r="O78">
        <f>VLOOKUP(B78,Raw_Suppliers!$A$2:$G$101,7,FALSE)</f>
        <v>0</v>
      </c>
      <c r="P78" t="str">
        <f t="shared" si="7"/>
        <v>No</v>
      </c>
      <c r="Q78">
        <f t="shared" si="8"/>
        <v>1</v>
      </c>
      <c r="R78" t="str">
        <f t="shared" si="9"/>
        <v>On Time</v>
      </c>
      <c r="S78">
        <f t="shared" si="10"/>
        <v>2023</v>
      </c>
      <c r="T78">
        <f t="shared" si="11"/>
        <v>12</v>
      </c>
    </row>
    <row r="79" spans="1:20" x14ac:dyDescent="0.25">
      <c r="A79" t="s">
        <v>211</v>
      </c>
      <c r="B79" t="s">
        <v>28</v>
      </c>
      <c r="C79" t="s">
        <v>212</v>
      </c>
      <c r="D79" s="1">
        <v>45287</v>
      </c>
      <c r="E79">
        <v>7</v>
      </c>
      <c r="F79">
        <v>38.560018844862697</v>
      </c>
      <c r="G79" s="1">
        <v>45309</v>
      </c>
      <c r="H79" s="1">
        <v>45311</v>
      </c>
      <c r="I79">
        <v>269.92013191403902</v>
      </c>
      <c r="J79">
        <f t="shared" si="6"/>
        <v>2</v>
      </c>
      <c r="K79" t="str">
        <f>VLOOKUP(B79,Raw_Suppliers!$A$2:$G$101,2,FALSE)</f>
        <v>Fusion Vertex Inc</v>
      </c>
      <c r="L79" t="str">
        <f>VLOOKUP(B79,Raw_Suppliers!$A$2:$G$101,3,FALSE)</f>
        <v>Denmark</v>
      </c>
      <c r="M79" t="str">
        <f>VLOOKUP(B79,Raw_Suppliers!$A$2:$G$101,4,FALSE)</f>
        <v>Central</v>
      </c>
      <c r="N79" t="str">
        <f>VLOOKUP(B79,Raw_Suppliers!$A$2:$G$101,6,FALSE)</f>
        <v>ISO 45001</v>
      </c>
      <c r="O79">
        <f>VLOOKUP(B79,Raw_Suppliers!$A$2:$G$101,7,FALSE)</f>
        <v>0</v>
      </c>
      <c r="P79" t="str">
        <f t="shared" si="7"/>
        <v>No</v>
      </c>
      <c r="Q79">
        <f t="shared" si="8"/>
        <v>0</v>
      </c>
      <c r="R79" t="str">
        <f t="shared" si="9"/>
        <v>Late</v>
      </c>
      <c r="S79">
        <f t="shared" si="10"/>
        <v>2023</v>
      </c>
      <c r="T79">
        <f t="shared" si="11"/>
        <v>12</v>
      </c>
    </row>
    <row r="80" spans="1:20" x14ac:dyDescent="0.25">
      <c r="A80" t="s">
        <v>213</v>
      </c>
      <c r="B80" t="s">
        <v>25</v>
      </c>
      <c r="C80" t="s">
        <v>214</v>
      </c>
      <c r="D80" s="1">
        <v>44730</v>
      </c>
      <c r="E80">
        <v>7</v>
      </c>
      <c r="F80">
        <v>44.565917882768296</v>
      </c>
      <c r="G80" s="1">
        <v>44745</v>
      </c>
      <c r="H80" s="1">
        <v>44749</v>
      </c>
      <c r="I80">
        <v>311.96142517937801</v>
      </c>
      <c r="J80">
        <f t="shared" si="6"/>
        <v>4</v>
      </c>
      <c r="K80" t="str">
        <f>VLOOKUP(B80,Raw_Suppliers!$A$2:$G$101,2,FALSE)</f>
        <v>Quantum Fusion Corp</v>
      </c>
      <c r="L80" t="str">
        <f>VLOOKUP(B80,Raw_Suppliers!$A$2:$G$101,3,FALSE)</f>
        <v>UK</v>
      </c>
      <c r="M80" t="str">
        <f>VLOOKUP(B80,Raw_Suppliers!$A$2:$G$101,4,FALSE)</f>
        <v>North</v>
      </c>
      <c r="N80" t="str">
        <f>VLOOKUP(B80,Raw_Suppliers!$A$2:$G$101,6,FALSE)</f>
        <v>ISO 9001</v>
      </c>
      <c r="O80">
        <f>VLOOKUP(B80,Raw_Suppliers!$A$2:$G$101,7,FALSE)</f>
        <v>0</v>
      </c>
      <c r="P80" t="str">
        <f t="shared" si="7"/>
        <v>No</v>
      </c>
      <c r="Q80">
        <f t="shared" si="8"/>
        <v>0</v>
      </c>
      <c r="R80" t="str">
        <f t="shared" si="9"/>
        <v>Late</v>
      </c>
      <c r="S80">
        <f t="shared" si="10"/>
        <v>2022</v>
      </c>
      <c r="T80">
        <f t="shared" si="11"/>
        <v>6</v>
      </c>
    </row>
    <row r="81" spans="1:20" x14ac:dyDescent="0.25">
      <c r="A81" t="s">
        <v>215</v>
      </c>
      <c r="B81" t="s">
        <v>216</v>
      </c>
      <c r="C81" t="s">
        <v>217</v>
      </c>
      <c r="D81" s="1">
        <v>44969</v>
      </c>
      <c r="E81">
        <v>12</v>
      </c>
      <c r="F81">
        <v>18.788863339445999</v>
      </c>
      <c r="G81" s="1">
        <v>44984</v>
      </c>
      <c r="H81" s="1">
        <v>44985</v>
      </c>
      <c r="I81">
        <v>225.46636007335201</v>
      </c>
      <c r="J81">
        <f t="shared" si="6"/>
        <v>1</v>
      </c>
      <c r="K81" t="str">
        <f>VLOOKUP(B81,Raw_Suppliers!$A$2:$G$101,2,FALSE)</f>
        <v>Fusion Delta LLC</v>
      </c>
      <c r="L81" t="str">
        <f>VLOOKUP(B81,Raw_Suppliers!$A$2:$G$101,3,FALSE)</f>
        <v>Brazil</v>
      </c>
      <c r="M81" t="str">
        <f>VLOOKUP(B81,Raw_Suppliers!$A$2:$G$101,4,FALSE)</f>
        <v>Central</v>
      </c>
      <c r="N81" t="str">
        <f>VLOOKUP(B81,Raw_Suppliers!$A$2:$G$101,6,FALSE)</f>
        <v>ISO 14001</v>
      </c>
      <c r="O81">
        <f>VLOOKUP(B81,Raw_Suppliers!$A$2:$G$101,7,FALSE)</f>
        <v>0</v>
      </c>
      <c r="P81" t="str">
        <f t="shared" si="7"/>
        <v>No</v>
      </c>
      <c r="Q81">
        <f t="shared" si="8"/>
        <v>0</v>
      </c>
      <c r="R81" t="str">
        <f t="shared" si="9"/>
        <v>Late</v>
      </c>
      <c r="S81">
        <f t="shared" si="10"/>
        <v>2023</v>
      </c>
      <c r="T81">
        <f t="shared" si="11"/>
        <v>2</v>
      </c>
    </row>
    <row r="82" spans="1:20" x14ac:dyDescent="0.25">
      <c r="A82" t="s">
        <v>218</v>
      </c>
      <c r="B82" t="s">
        <v>219</v>
      </c>
      <c r="C82" t="s">
        <v>220</v>
      </c>
      <c r="D82" s="1">
        <v>44483</v>
      </c>
      <c r="E82">
        <v>12</v>
      </c>
      <c r="F82">
        <v>73.116428720631106</v>
      </c>
      <c r="G82" s="1">
        <v>44501</v>
      </c>
      <c r="H82" s="1">
        <v>44506</v>
      </c>
      <c r="I82">
        <v>877.39714464757401</v>
      </c>
      <c r="J82">
        <f t="shared" si="6"/>
        <v>5</v>
      </c>
      <c r="K82" t="str">
        <f>VLOOKUP(B82,Raw_Suppliers!$A$2:$G$101,2,FALSE)</f>
        <v>Quantum Quantum Ltd</v>
      </c>
      <c r="L82" t="str">
        <f>VLOOKUP(B82,Raw_Suppliers!$A$2:$G$101,3,FALSE)</f>
        <v>USA</v>
      </c>
      <c r="M82" t="str">
        <f>VLOOKUP(B82,Raw_Suppliers!$A$2:$G$101,4,FALSE)</f>
        <v>South</v>
      </c>
      <c r="N82" t="str">
        <f>VLOOKUP(B82,Raw_Suppliers!$A$2:$G$101,6,FALSE)</f>
        <v>ISO 14001</v>
      </c>
      <c r="O82">
        <f>VLOOKUP(B82,Raw_Suppliers!$A$2:$G$101,7,FALSE)</f>
        <v>0</v>
      </c>
      <c r="P82" t="str">
        <f t="shared" si="7"/>
        <v>No</v>
      </c>
      <c r="Q82">
        <f t="shared" si="8"/>
        <v>0</v>
      </c>
      <c r="R82" t="str">
        <f t="shared" si="9"/>
        <v>Late</v>
      </c>
      <c r="S82">
        <f t="shared" si="10"/>
        <v>2021</v>
      </c>
      <c r="T82">
        <f t="shared" si="11"/>
        <v>10</v>
      </c>
    </row>
    <row r="83" spans="1:20" x14ac:dyDescent="0.25">
      <c r="A83" t="s">
        <v>221</v>
      </c>
      <c r="B83" t="s">
        <v>67</v>
      </c>
      <c r="C83" t="s">
        <v>222</v>
      </c>
      <c r="D83" s="1">
        <v>44804</v>
      </c>
      <c r="E83">
        <v>12</v>
      </c>
      <c r="F83">
        <v>45.982751390479002</v>
      </c>
      <c r="G83" s="1">
        <v>44825</v>
      </c>
      <c r="H83" s="1">
        <v>44822</v>
      </c>
      <c r="I83">
        <v>551.79301668574794</v>
      </c>
      <c r="J83">
        <f t="shared" si="6"/>
        <v>-3</v>
      </c>
      <c r="K83" t="str">
        <f>VLOOKUP(B83,Raw_Suppliers!$A$2:$G$101,2,FALSE)</f>
        <v>Nova Eco LLC</v>
      </c>
      <c r="L83" t="str">
        <f>VLOOKUP(B83,Raw_Suppliers!$A$2:$G$101,3,FALSE)</f>
        <v>Germany</v>
      </c>
      <c r="M83" t="str">
        <f>VLOOKUP(B83,Raw_Suppliers!$A$2:$G$101,4,FALSE)</f>
        <v>Central</v>
      </c>
      <c r="N83" t="str">
        <f>VLOOKUP(B83,Raw_Suppliers!$A$2:$G$101,6,FALSE)</f>
        <v>ISO 9001</v>
      </c>
      <c r="O83">
        <f>VLOOKUP(B83,Raw_Suppliers!$A$2:$G$101,7,FALSE)</f>
        <v>1</v>
      </c>
      <c r="P83" t="str">
        <f t="shared" si="7"/>
        <v>Yes</v>
      </c>
      <c r="Q83">
        <f t="shared" si="8"/>
        <v>1</v>
      </c>
      <c r="R83" t="str">
        <f t="shared" si="9"/>
        <v>On Time</v>
      </c>
      <c r="S83">
        <f t="shared" si="10"/>
        <v>2022</v>
      </c>
      <c r="T83">
        <f t="shared" si="11"/>
        <v>8</v>
      </c>
    </row>
    <row r="84" spans="1:20" x14ac:dyDescent="0.25">
      <c r="A84" t="s">
        <v>223</v>
      </c>
      <c r="B84" t="s">
        <v>143</v>
      </c>
      <c r="C84" t="s">
        <v>224</v>
      </c>
      <c r="D84" s="1">
        <v>45006</v>
      </c>
      <c r="E84">
        <v>10</v>
      </c>
      <c r="F84">
        <v>31.953227687396399</v>
      </c>
      <c r="G84" s="1">
        <v>45030</v>
      </c>
      <c r="H84" s="1">
        <v>45032</v>
      </c>
      <c r="I84">
        <v>319.53227687396401</v>
      </c>
      <c r="J84">
        <f t="shared" si="6"/>
        <v>2</v>
      </c>
      <c r="K84" t="str">
        <f>VLOOKUP(B84,Raw_Suppliers!$A$2:$G$101,2,FALSE)</f>
        <v>Prime Gamma Inc</v>
      </c>
      <c r="L84" t="str">
        <f>VLOOKUP(B84,Raw_Suppliers!$A$2:$G$101,3,FALSE)</f>
        <v>China</v>
      </c>
      <c r="M84" t="str">
        <f>VLOOKUP(B84,Raw_Suppliers!$A$2:$G$101,4,FALSE)</f>
        <v>East</v>
      </c>
      <c r="N84" t="str">
        <f>VLOOKUP(B84,Raw_Suppliers!$A$2:$G$101,6,FALSE)</f>
        <v>ISO 14001</v>
      </c>
      <c r="O84">
        <f>VLOOKUP(B84,Raw_Suppliers!$A$2:$G$101,7,FALSE)</f>
        <v>0</v>
      </c>
      <c r="P84" t="str">
        <f t="shared" si="7"/>
        <v>No</v>
      </c>
      <c r="Q84">
        <f t="shared" si="8"/>
        <v>0</v>
      </c>
      <c r="R84" t="str">
        <f t="shared" si="9"/>
        <v>Late</v>
      </c>
      <c r="S84">
        <f t="shared" si="10"/>
        <v>2023</v>
      </c>
      <c r="T84">
        <f t="shared" si="11"/>
        <v>3</v>
      </c>
    </row>
    <row r="85" spans="1:20" x14ac:dyDescent="0.25">
      <c r="A85" t="s">
        <v>225</v>
      </c>
      <c r="B85" t="s">
        <v>216</v>
      </c>
      <c r="C85" t="s">
        <v>125</v>
      </c>
      <c r="D85" s="1">
        <v>45328</v>
      </c>
      <c r="E85">
        <v>10</v>
      </c>
      <c r="F85">
        <v>46.812741421208401</v>
      </c>
      <c r="G85" s="1">
        <v>45339</v>
      </c>
      <c r="H85" s="1">
        <v>45341</v>
      </c>
      <c r="I85">
        <v>468.12741421208398</v>
      </c>
      <c r="J85">
        <f t="shared" si="6"/>
        <v>2</v>
      </c>
      <c r="K85" t="str">
        <f>VLOOKUP(B85,Raw_Suppliers!$A$2:$G$101,2,FALSE)</f>
        <v>Fusion Delta LLC</v>
      </c>
      <c r="L85" t="str">
        <f>VLOOKUP(B85,Raw_Suppliers!$A$2:$G$101,3,FALSE)</f>
        <v>Brazil</v>
      </c>
      <c r="M85" t="str">
        <f>VLOOKUP(B85,Raw_Suppliers!$A$2:$G$101,4,FALSE)</f>
        <v>Central</v>
      </c>
      <c r="N85" t="str">
        <f>VLOOKUP(B85,Raw_Suppliers!$A$2:$G$101,6,FALSE)</f>
        <v>ISO 14001</v>
      </c>
      <c r="O85">
        <f>VLOOKUP(B85,Raw_Suppliers!$A$2:$G$101,7,FALSE)</f>
        <v>0</v>
      </c>
      <c r="P85" t="str">
        <f t="shared" si="7"/>
        <v>No</v>
      </c>
      <c r="Q85">
        <f t="shared" si="8"/>
        <v>0</v>
      </c>
      <c r="R85" t="str">
        <f t="shared" si="9"/>
        <v>Late</v>
      </c>
      <c r="S85">
        <f t="shared" si="10"/>
        <v>2024</v>
      </c>
      <c r="T85">
        <f t="shared" si="11"/>
        <v>2</v>
      </c>
    </row>
    <row r="86" spans="1:20" x14ac:dyDescent="0.25">
      <c r="A86" t="s">
        <v>226</v>
      </c>
      <c r="B86" t="s">
        <v>227</v>
      </c>
      <c r="C86" t="s">
        <v>228</v>
      </c>
      <c r="D86" s="1">
        <v>44667</v>
      </c>
      <c r="E86">
        <v>16</v>
      </c>
      <c r="F86">
        <v>71.103499984905795</v>
      </c>
      <c r="G86" s="1">
        <v>44677</v>
      </c>
      <c r="H86" s="1">
        <v>44677</v>
      </c>
      <c r="I86">
        <v>1137.65599975849</v>
      </c>
      <c r="J86">
        <f t="shared" si="6"/>
        <v>0</v>
      </c>
      <c r="K86" t="str">
        <f>VLOOKUP(B86,Raw_Suppliers!$A$2:$G$101,2,FALSE)</f>
        <v>Delta Prime Inc</v>
      </c>
      <c r="L86" t="str">
        <f>VLOOKUP(B86,Raw_Suppliers!$A$2:$G$101,3,FALSE)</f>
        <v>Denmark</v>
      </c>
      <c r="M86" t="str">
        <f>VLOOKUP(B86,Raw_Suppliers!$A$2:$G$101,4,FALSE)</f>
        <v>South</v>
      </c>
      <c r="N86" t="str">
        <f>VLOOKUP(B86,Raw_Suppliers!$A$2:$G$101,6,FALSE)</f>
        <v>ISO 14001</v>
      </c>
      <c r="O86">
        <f>VLOOKUP(B86,Raw_Suppliers!$A$2:$G$101,7,FALSE)</f>
        <v>0</v>
      </c>
      <c r="P86" t="str">
        <f t="shared" si="7"/>
        <v>No</v>
      </c>
      <c r="Q86">
        <f t="shared" si="8"/>
        <v>1</v>
      </c>
      <c r="R86" t="str">
        <f t="shared" si="9"/>
        <v>On Time</v>
      </c>
      <c r="S86">
        <f t="shared" si="10"/>
        <v>2022</v>
      </c>
      <c r="T86">
        <f t="shared" si="11"/>
        <v>4</v>
      </c>
    </row>
    <row r="87" spans="1:20" x14ac:dyDescent="0.25">
      <c r="A87" t="s">
        <v>229</v>
      </c>
      <c r="B87" t="s">
        <v>99</v>
      </c>
      <c r="C87" t="s">
        <v>230</v>
      </c>
      <c r="D87" s="1">
        <v>45265</v>
      </c>
      <c r="E87">
        <v>15</v>
      </c>
      <c r="F87">
        <v>39.617637272387199</v>
      </c>
      <c r="G87" s="1">
        <v>45287</v>
      </c>
      <c r="H87" s="1">
        <v>45284</v>
      </c>
      <c r="I87">
        <v>594.26455908580795</v>
      </c>
      <c r="J87">
        <f t="shared" si="6"/>
        <v>-3</v>
      </c>
      <c r="K87" t="str">
        <f>VLOOKUP(B87,Raw_Suppliers!$A$2:$G$101,2,FALSE)</f>
        <v>Gamma Nova LLC</v>
      </c>
      <c r="L87" t="str">
        <f>VLOOKUP(B87,Raw_Suppliers!$A$2:$G$101,3,FALSE)</f>
        <v>USA</v>
      </c>
      <c r="M87" t="str">
        <f>VLOOKUP(B87,Raw_Suppliers!$A$2:$G$101,4,FALSE)</f>
        <v>North</v>
      </c>
      <c r="N87" t="str">
        <f>VLOOKUP(B87,Raw_Suppliers!$A$2:$G$101,6,FALSE)</f>
        <v>ISO 9001</v>
      </c>
      <c r="O87">
        <f>VLOOKUP(B87,Raw_Suppliers!$A$2:$G$101,7,FALSE)</f>
        <v>0</v>
      </c>
      <c r="P87" t="str">
        <f t="shared" si="7"/>
        <v>No</v>
      </c>
      <c r="Q87">
        <f t="shared" si="8"/>
        <v>1</v>
      </c>
      <c r="R87" t="str">
        <f t="shared" si="9"/>
        <v>On Time</v>
      </c>
      <c r="S87">
        <f t="shared" si="10"/>
        <v>2023</v>
      </c>
      <c r="T87">
        <f t="shared" si="11"/>
        <v>12</v>
      </c>
    </row>
    <row r="88" spans="1:20" x14ac:dyDescent="0.25">
      <c r="A88" t="s">
        <v>231</v>
      </c>
      <c r="B88" t="s">
        <v>43</v>
      </c>
      <c r="C88" t="s">
        <v>94</v>
      </c>
      <c r="D88" s="1">
        <v>44618</v>
      </c>
      <c r="E88">
        <v>9</v>
      </c>
      <c r="F88">
        <v>19.449254837386299</v>
      </c>
      <c r="G88" s="1">
        <v>44637</v>
      </c>
      <c r="H88" s="1">
        <v>44636</v>
      </c>
      <c r="I88">
        <v>175.04329353647699</v>
      </c>
      <c r="J88">
        <f t="shared" si="6"/>
        <v>-1</v>
      </c>
      <c r="K88" t="str">
        <f>VLOOKUP(B88,Raw_Suppliers!$A$2:$G$101,2,FALSE)</f>
        <v>Alpha Ultra Corp</v>
      </c>
      <c r="L88" t="str">
        <f>VLOOKUP(B88,Raw_Suppliers!$A$2:$G$101,3,FALSE)</f>
        <v>USA</v>
      </c>
      <c r="M88" t="str">
        <f>VLOOKUP(B88,Raw_Suppliers!$A$2:$G$101,4,FALSE)</f>
        <v>Central</v>
      </c>
      <c r="N88" t="str">
        <f>VLOOKUP(B88,Raw_Suppliers!$A$2:$G$101,6,FALSE)</f>
        <v>ISO 9001</v>
      </c>
      <c r="O88">
        <f>VLOOKUP(B88,Raw_Suppliers!$A$2:$G$101,7,FALSE)</f>
        <v>1</v>
      </c>
      <c r="P88" t="str">
        <f t="shared" si="7"/>
        <v>Yes</v>
      </c>
      <c r="Q88">
        <f t="shared" si="8"/>
        <v>1</v>
      </c>
      <c r="R88" t="str">
        <f t="shared" si="9"/>
        <v>On Time</v>
      </c>
      <c r="S88">
        <f t="shared" si="10"/>
        <v>2022</v>
      </c>
      <c r="T88">
        <f t="shared" si="11"/>
        <v>2</v>
      </c>
    </row>
    <row r="89" spans="1:20" x14ac:dyDescent="0.25">
      <c r="A89" t="s">
        <v>232</v>
      </c>
      <c r="B89" t="s">
        <v>205</v>
      </c>
      <c r="C89" t="s">
        <v>233</v>
      </c>
      <c r="D89" s="1">
        <v>44982</v>
      </c>
      <c r="E89">
        <v>8</v>
      </c>
      <c r="F89">
        <v>75.334705625846695</v>
      </c>
      <c r="G89" s="1">
        <v>44996</v>
      </c>
      <c r="H89" s="1">
        <v>44996</v>
      </c>
      <c r="I89">
        <v>602.67764500677299</v>
      </c>
      <c r="J89">
        <f t="shared" si="6"/>
        <v>0</v>
      </c>
      <c r="K89" t="str">
        <f>VLOOKUP(B89,Raw_Suppliers!$A$2:$G$101,2,FALSE)</f>
        <v>Ultra Eco LLC</v>
      </c>
      <c r="L89" t="str">
        <f>VLOOKUP(B89,Raw_Suppliers!$A$2:$G$101,3,FALSE)</f>
        <v>China</v>
      </c>
      <c r="M89" t="str">
        <f>VLOOKUP(B89,Raw_Suppliers!$A$2:$G$101,4,FALSE)</f>
        <v>South</v>
      </c>
      <c r="N89" t="str">
        <f>VLOOKUP(B89,Raw_Suppliers!$A$2:$G$101,6,FALSE)</f>
        <v>ISO 14001</v>
      </c>
      <c r="O89">
        <f>VLOOKUP(B89,Raw_Suppliers!$A$2:$G$101,7,FALSE)</f>
        <v>1</v>
      </c>
      <c r="P89" t="str">
        <f t="shared" si="7"/>
        <v>Yes</v>
      </c>
      <c r="Q89">
        <f t="shared" si="8"/>
        <v>1</v>
      </c>
      <c r="R89" t="str">
        <f t="shared" si="9"/>
        <v>On Time</v>
      </c>
      <c r="S89">
        <f t="shared" si="10"/>
        <v>2023</v>
      </c>
      <c r="T89">
        <f t="shared" si="11"/>
        <v>2</v>
      </c>
    </row>
    <row r="90" spans="1:20" x14ac:dyDescent="0.25">
      <c r="A90" t="s">
        <v>234</v>
      </c>
      <c r="B90" t="s">
        <v>52</v>
      </c>
      <c r="C90" t="s">
        <v>235</v>
      </c>
      <c r="D90" s="1">
        <v>45002</v>
      </c>
      <c r="E90">
        <v>13</v>
      </c>
      <c r="F90">
        <v>79.133585694662699</v>
      </c>
      <c r="G90" s="1">
        <v>45022</v>
      </c>
      <c r="H90" s="1">
        <v>45022</v>
      </c>
      <c r="I90">
        <v>1028.7366140306101</v>
      </c>
      <c r="J90">
        <f t="shared" si="6"/>
        <v>0</v>
      </c>
      <c r="K90" t="str">
        <f>VLOOKUP(B90,Raw_Suppliers!$A$2:$G$101,2,FALSE)</f>
        <v>Beta Nano Corp</v>
      </c>
      <c r="L90" t="str">
        <f>VLOOKUP(B90,Raw_Suppliers!$A$2:$G$101,3,FALSE)</f>
        <v>UK</v>
      </c>
      <c r="M90" t="str">
        <f>VLOOKUP(B90,Raw_Suppliers!$A$2:$G$101,4,FALSE)</f>
        <v>Central</v>
      </c>
      <c r="N90" t="str">
        <f>VLOOKUP(B90,Raw_Suppliers!$A$2:$G$101,6,FALSE)</f>
        <v>ISO 45001</v>
      </c>
      <c r="O90">
        <f>VLOOKUP(B90,Raw_Suppliers!$A$2:$G$101,7,FALSE)</f>
        <v>0</v>
      </c>
      <c r="P90" t="str">
        <f t="shared" si="7"/>
        <v>No</v>
      </c>
      <c r="Q90">
        <f t="shared" si="8"/>
        <v>1</v>
      </c>
      <c r="R90" t="str">
        <f t="shared" si="9"/>
        <v>On Time</v>
      </c>
      <c r="S90">
        <f t="shared" si="10"/>
        <v>2023</v>
      </c>
      <c r="T90">
        <f t="shared" si="11"/>
        <v>3</v>
      </c>
    </row>
    <row r="91" spans="1:20" x14ac:dyDescent="0.25">
      <c r="A91" t="s">
        <v>236</v>
      </c>
      <c r="B91" t="s">
        <v>237</v>
      </c>
      <c r="C91" t="s">
        <v>238</v>
      </c>
      <c r="D91" s="1">
        <v>45191</v>
      </c>
      <c r="E91">
        <v>13</v>
      </c>
      <c r="F91">
        <v>67.895754189368105</v>
      </c>
      <c r="G91" s="1">
        <v>45205</v>
      </c>
      <c r="H91" s="1">
        <v>45205</v>
      </c>
      <c r="I91">
        <v>882.64480446178595</v>
      </c>
      <c r="J91">
        <f t="shared" si="6"/>
        <v>0</v>
      </c>
      <c r="K91" t="str">
        <f>VLOOKUP(B91,Raw_Suppliers!$A$2:$G$101,2,FALSE)</f>
        <v>Eco Beta Inc</v>
      </c>
      <c r="L91" t="str">
        <f>VLOOKUP(B91,Raw_Suppliers!$A$2:$G$101,3,FALSE)</f>
        <v>Germany</v>
      </c>
      <c r="M91" t="str">
        <f>VLOOKUP(B91,Raw_Suppliers!$A$2:$G$101,4,FALSE)</f>
        <v>North</v>
      </c>
      <c r="N91" t="str">
        <f>VLOOKUP(B91,Raw_Suppliers!$A$2:$G$101,6,FALSE)</f>
        <v>ISO 14001</v>
      </c>
      <c r="O91">
        <f>VLOOKUP(B91,Raw_Suppliers!$A$2:$G$101,7,FALSE)</f>
        <v>0</v>
      </c>
      <c r="P91" t="str">
        <f t="shared" si="7"/>
        <v>No</v>
      </c>
      <c r="Q91">
        <f t="shared" si="8"/>
        <v>1</v>
      </c>
      <c r="R91" t="str">
        <f t="shared" si="9"/>
        <v>On Time</v>
      </c>
      <c r="S91">
        <f t="shared" si="10"/>
        <v>2023</v>
      </c>
      <c r="T91">
        <f t="shared" si="11"/>
        <v>9</v>
      </c>
    </row>
    <row r="92" spans="1:20" x14ac:dyDescent="0.25">
      <c r="A92" t="s">
        <v>239</v>
      </c>
      <c r="B92" t="s">
        <v>240</v>
      </c>
      <c r="C92" t="s">
        <v>74</v>
      </c>
      <c r="D92" s="1">
        <v>44749</v>
      </c>
      <c r="E92">
        <v>13</v>
      </c>
      <c r="F92">
        <v>46.646231971667298</v>
      </c>
      <c r="G92" s="1">
        <v>44772</v>
      </c>
      <c r="H92" s="1">
        <v>44774</v>
      </c>
      <c r="I92">
        <v>606.40101563167502</v>
      </c>
      <c r="J92">
        <f t="shared" si="6"/>
        <v>2</v>
      </c>
      <c r="K92" t="str">
        <f>VLOOKUP(B92,Raw_Suppliers!$A$2:$G$101,2,FALSE)</f>
        <v>Apex Omega LLC</v>
      </c>
      <c r="L92" t="str">
        <f>VLOOKUP(B92,Raw_Suppliers!$A$2:$G$101,3,FALSE)</f>
        <v>UK</v>
      </c>
      <c r="M92" t="str">
        <f>VLOOKUP(B92,Raw_Suppliers!$A$2:$G$101,4,FALSE)</f>
        <v>South</v>
      </c>
      <c r="N92" t="str">
        <f>VLOOKUP(B92,Raw_Suppliers!$A$2:$G$101,6,FALSE)</f>
        <v>ISO 9001</v>
      </c>
      <c r="O92">
        <f>VLOOKUP(B92,Raw_Suppliers!$A$2:$G$101,7,FALSE)</f>
        <v>0</v>
      </c>
      <c r="P92" t="str">
        <f t="shared" si="7"/>
        <v>No</v>
      </c>
      <c r="Q92">
        <f t="shared" si="8"/>
        <v>0</v>
      </c>
      <c r="R92" t="str">
        <f t="shared" si="9"/>
        <v>Late</v>
      </c>
      <c r="S92">
        <f t="shared" si="10"/>
        <v>2022</v>
      </c>
      <c r="T92">
        <f t="shared" si="11"/>
        <v>7</v>
      </c>
    </row>
    <row r="93" spans="1:20" x14ac:dyDescent="0.25">
      <c r="A93" t="s">
        <v>241</v>
      </c>
      <c r="B93" t="s">
        <v>242</v>
      </c>
      <c r="C93" t="s">
        <v>243</v>
      </c>
      <c r="D93" s="1">
        <v>45386</v>
      </c>
      <c r="E93">
        <v>9</v>
      </c>
      <c r="F93">
        <v>41.161397781506103</v>
      </c>
      <c r="G93" s="1">
        <v>45409</v>
      </c>
      <c r="H93" s="1">
        <v>45413</v>
      </c>
      <c r="I93">
        <v>370.45258003355502</v>
      </c>
      <c r="J93">
        <f t="shared" si="6"/>
        <v>4</v>
      </c>
      <c r="K93" t="str">
        <f>VLOOKUP(B93,Raw_Suppliers!$A$2:$G$101,2,FALSE)</f>
        <v>Omega Nova GmbH</v>
      </c>
      <c r="L93" t="str">
        <f>VLOOKUP(B93,Raw_Suppliers!$A$2:$G$101,3,FALSE)</f>
        <v>Denmark</v>
      </c>
      <c r="M93" t="str">
        <f>VLOOKUP(B93,Raw_Suppliers!$A$2:$G$101,4,FALSE)</f>
        <v>East</v>
      </c>
      <c r="N93" t="str">
        <f>VLOOKUP(B93,Raw_Suppliers!$A$2:$G$101,6,FALSE)</f>
        <v>ISO 45001</v>
      </c>
      <c r="O93">
        <f>VLOOKUP(B93,Raw_Suppliers!$A$2:$G$101,7,FALSE)</f>
        <v>0</v>
      </c>
      <c r="P93" t="str">
        <f t="shared" si="7"/>
        <v>No</v>
      </c>
      <c r="Q93">
        <f t="shared" si="8"/>
        <v>0</v>
      </c>
      <c r="R93" t="str">
        <f t="shared" si="9"/>
        <v>Late</v>
      </c>
      <c r="S93">
        <f t="shared" si="10"/>
        <v>2024</v>
      </c>
      <c r="T93">
        <f t="shared" si="11"/>
        <v>4</v>
      </c>
    </row>
    <row r="94" spans="1:20" x14ac:dyDescent="0.25">
      <c r="A94" t="s">
        <v>244</v>
      </c>
      <c r="B94" t="s">
        <v>207</v>
      </c>
      <c r="C94" t="s">
        <v>245</v>
      </c>
      <c r="D94" s="1">
        <v>44273</v>
      </c>
      <c r="E94">
        <v>10</v>
      </c>
      <c r="F94">
        <v>37.949678856455797</v>
      </c>
      <c r="G94" s="1">
        <v>44295</v>
      </c>
      <c r="H94" s="1">
        <v>44301</v>
      </c>
      <c r="I94">
        <v>379.49678856455802</v>
      </c>
      <c r="J94">
        <f t="shared" si="6"/>
        <v>6</v>
      </c>
      <c r="K94" t="str">
        <f>VLOOKUP(B94,Raw_Suppliers!$A$2:$G$101,2,FALSE)</f>
        <v>Nova Alpha Ltd</v>
      </c>
      <c r="L94" t="str">
        <f>VLOOKUP(B94,Raw_Suppliers!$A$2:$G$101,3,FALSE)</f>
        <v>India</v>
      </c>
      <c r="M94" t="str">
        <f>VLOOKUP(B94,Raw_Suppliers!$A$2:$G$101,4,FALSE)</f>
        <v>East</v>
      </c>
      <c r="N94" t="str">
        <f>VLOOKUP(B94,Raw_Suppliers!$A$2:$G$101,6,FALSE)</f>
        <v>ISO 9001</v>
      </c>
      <c r="O94">
        <f>VLOOKUP(B94,Raw_Suppliers!$A$2:$G$101,7,FALSE)</f>
        <v>0</v>
      </c>
      <c r="P94" t="str">
        <f t="shared" si="7"/>
        <v>No</v>
      </c>
      <c r="Q94">
        <f t="shared" si="8"/>
        <v>0</v>
      </c>
      <c r="R94" t="str">
        <f t="shared" si="9"/>
        <v>Late</v>
      </c>
      <c r="S94">
        <f t="shared" si="10"/>
        <v>2021</v>
      </c>
      <c r="T94">
        <f t="shared" si="11"/>
        <v>3</v>
      </c>
    </row>
    <row r="95" spans="1:20" x14ac:dyDescent="0.25">
      <c r="A95" t="s">
        <v>246</v>
      </c>
      <c r="B95" t="s">
        <v>247</v>
      </c>
      <c r="C95" t="s">
        <v>222</v>
      </c>
      <c r="D95" s="1">
        <v>44934</v>
      </c>
      <c r="E95">
        <v>13</v>
      </c>
      <c r="F95">
        <v>23.473933298333002</v>
      </c>
      <c r="G95" s="1">
        <v>44946</v>
      </c>
      <c r="H95" s="1">
        <v>44947</v>
      </c>
      <c r="I95">
        <v>305.161132878329</v>
      </c>
      <c r="J95">
        <f t="shared" si="6"/>
        <v>1</v>
      </c>
      <c r="K95" t="str">
        <f>VLOOKUP(B95,Raw_Suppliers!$A$2:$G$101,2,FALSE)</f>
        <v>Ultra Apex LLC</v>
      </c>
      <c r="L95" t="str">
        <f>VLOOKUP(B95,Raw_Suppliers!$A$2:$G$101,3,FALSE)</f>
        <v>Germany</v>
      </c>
      <c r="M95" t="str">
        <f>VLOOKUP(B95,Raw_Suppliers!$A$2:$G$101,4,FALSE)</f>
        <v>West</v>
      </c>
      <c r="N95" t="str">
        <f>VLOOKUP(B95,Raw_Suppliers!$A$2:$G$101,6,FALSE)</f>
        <v>ISO 9001</v>
      </c>
      <c r="O95">
        <f>VLOOKUP(B95,Raw_Suppliers!$A$2:$G$101,7,FALSE)</f>
        <v>0</v>
      </c>
      <c r="P95" t="str">
        <f t="shared" si="7"/>
        <v>No</v>
      </c>
      <c r="Q95">
        <f t="shared" si="8"/>
        <v>0</v>
      </c>
      <c r="R95" t="str">
        <f t="shared" si="9"/>
        <v>Late</v>
      </c>
      <c r="S95">
        <f t="shared" si="10"/>
        <v>2023</v>
      </c>
      <c r="T95">
        <f t="shared" si="11"/>
        <v>1</v>
      </c>
    </row>
    <row r="96" spans="1:20" x14ac:dyDescent="0.25">
      <c r="A96" t="s">
        <v>248</v>
      </c>
      <c r="B96" t="s">
        <v>127</v>
      </c>
      <c r="C96" t="s">
        <v>136</v>
      </c>
      <c r="D96" s="1">
        <v>45153</v>
      </c>
      <c r="E96">
        <v>5</v>
      </c>
      <c r="F96">
        <v>54.933383324469702</v>
      </c>
      <c r="G96" s="1">
        <v>45173</v>
      </c>
      <c r="H96" s="1">
        <v>45178</v>
      </c>
      <c r="I96">
        <v>274.66691662234803</v>
      </c>
      <c r="J96">
        <f t="shared" si="6"/>
        <v>5</v>
      </c>
      <c r="K96" t="str">
        <f>VLOOKUP(B96,Raw_Suppliers!$A$2:$G$101,2,FALSE)</f>
        <v>Eco Gamma LLC</v>
      </c>
      <c r="L96" t="str">
        <f>VLOOKUP(B96,Raw_Suppliers!$A$2:$G$101,3,FALSE)</f>
        <v>Canada</v>
      </c>
      <c r="M96" t="str">
        <f>VLOOKUP(B96,Raw_Suppliers!$A$2:$G$101,4,FALSE)</f>
        <v>West</v>
      </c>
      <c r="N96" t="str">
        <f>VLOOKUP(B96,Raw_Suppliers!$A$2:$G$101,6,FALSE)</f>
        <v>ISO 9001</v>
      </c>
      <c r="O96">
        <f>VLOOKUP(B96,Raw_Suppliers!$A$2:$G$101,7,FALSE)</f>
        <v>1</v>
      </c>
      <c r="P96" t="str">
        <f t="shared" si="7"/>
        <v>Yes</v>
      </c>
      <c r="Q96">
        <f t="shared" si="8"/>
        <v>0</v>
      </c>
      <c r="R96" t="str">
        <f t="shared" si="9"/>
        <v>Late</v>
      </c>
      <c r="S96">
        <f t="shared" si="10"/>
        <v>2023</v>
      </c>
      <c r="T96">
        <f t="shared" si="11"/>
        <v>8</v>
      </c>
    </row>
    <row r="97" spans="1:20" x14ac:dyDescent="0.25">
      <c r="A97" t="s">
        <v>249</v>
      </c>
      <c r="B97" t="s">
        <v>250</v>
      </c>
      <c r="C97" t="s">
        <v>251</v>
      </c>
      <c r="D97" s="1">
        <v>44836</v>
      </c>
      <c r="E97">
        <v>11</v>
      </c>
      <c r="F97">
        <v>69.916030437220002</v>
      </c>
      <c r="G97" s="1">
        <v>44854</v>
      </c>
      <c r="H97" s="1">
        <v>44851</v>
      </c>
      <c r="I97">
        <v>769.07633480942002</v>
      </c>
      <c r="J97">
        <f t="shared" si="6"/>
        <v>-3</v>
      </c>
      <c r="K97" t="str">
        <f>VLOOKUP(B97,Raw_Suppliers!$A$2:$G$101,2,FALSE)</f>
        <v>Fusion Fusion Inc</v>
      </c>
      <c r="L97" t="str">
        <f>VLOOKUP(B97,Raw_Suppliers!$A$2:$G$101,3,FALSE)</f>
        <v>India</v>
      </c>
      <c r="M97" t="str">
        <f>VLOOKUP(B97,Raw_Suppliers!$A$2:$G$101,4,FALSE)</f>
        <v>South</v>
      </c>
      <c r="N97" t="str">
        <f>VLOOKUP(B97,Raw_Suppliers!$A$2:$G$101,6,FALSE)</f>
        <v>ISO 9001</v>
      </c>
      <c r="O97">
        <f>VLOOKUP(B97,Raw_Suppliers!$A$2:$G$101,7,FALSE)</f>
        <v>0</v>
      </c>
      <c r="P97" t="str">
        <f t="shared" si="7"/>
        <v>No</v>
      </c>
      <c r="Q97">
        <f t="shared" si="8"/>
        <v>1</v>
      </c>
      <c r="R97" t="str">
        <f t="shared" si="9"/>
        <v>On Time</v>
      </c>
      <c r="S97">
        <f t="shared" si="10"/>
        <v>2022</v>
      </c>
      <c r="T97">
        <f t="shared" si="11"/>
        <v>10</v>
      </c>
    </row>
    <row r="98" spans="1:20" x14ac:dyDescent="0.25">
      <c r="A98" t="s">
        <v>252</v>
      </c>
      <c r="B98" t="s">
        <v>253</v>
      </c>
      <c r="C98" t="s">
        <v>254</v>
      </c>
      <c r="D98" s="1">
        <v>44532</v>
      </c>
      <c r="E98">
        <v>15</v>
      </c>
      <c r="F98">
        <v>9.0338681482347205</v>
      </c>
      <c r="G98" s="1">
        <v>44555</v>
      </c>
      <c r="H98" s="1">
        <v>44552</v>
      </c>
      <c r="I98">
        <v>135.50802222351999</v>
      </c>
      <c r="J98">
        <f t="shared" si="6"/>
        <v>-3</v>
      </c>
      <c r="K98" t="str">
        <f>VLOOKUP(B98,Raw_Suppliers!$A$2:$G$101,2,FALSE)</f>
        <v>Vertex Apex Ltd</v>
      </c>
      <c r="L98" t="str">
        <f>VLOOKUP(B98,Raw_Suppliers!$A$2:$G$101,3,FALSE)</f>
        <v>Brazil</v>
      </c>
      <c r="M98" t="str">
        <f>VLOOKUP(B98,Raw_Suppliers!$A$2:$G$101,4,FALSE)</f>
        <v>South</v>
      </c>
      <c r="N98" t="str">
        <f>VLOOKUP(B98,Raw_Suppliers!$A$2:$G$101,6,FALSE)</f>
        <v>None</v>
      </c>
      <c r="O98">
        <f>VLOOKUP(B98,Raw_Suppliers!$A$2:$G$101,7,FALSE)</f>
        <v>1</v>
      </c>
      <c r="P98" t="str">
        <f t="shared" si="7"/>
        <v>Yes</v>
      </c>
      <c r="Q98">
        <f t="shared" si="8"/>
        <v>1</v>
      </c>
      <c r="R98" t="str">
        <f t="shared" si="9"/>
        <v>On Time</v>
      </c>
      <c r="S98">
        <f t="shared" si="10"/>
        <v>2021</v>
      </c>
      <c r="T98">
        <f t="shared" si="11"/>
        <v>12</v>
      </c>
    </row>
    <row r="99" spans="1:20" x14ac:dyDescent="0.25">
      <c r="A99" t="s">
        <v>255</v>
      </c>
      <c r="B99" t="s">
        <v>256</v>
      </c>
      <c r="C99" t="s">
        <v>257</v>
      </c>
      <c r="D99" s="1">
        <v>44411</v>
      </c>
      <c r="E99">
        <v>7</v>
      </c>
      <c r="F99">
        <v>26.0202472167853</v>
      </c>
      <c r="G99" s="1">
        <v>44426</v>
      </c>
      <c r="H99" s="1">
        <v>44432</v>
      </c>
      <c r="I99">
        <v>182.141730517497</v>
      </c>
      <c r="J99">
        <f t="shared" si="6"/>
        <v>6</v>
      </c>
      <c r="K99" t="str">
        <f>VLOOKUP(B99,Raw_Suppliers!$A$2:$G$101,2,FALSE)</f>
        <v>Apex Eco Ltd</v>
      </c>
      <c r="L99" t="str">
        <f>VLOOKUP(B99,Raw_Suppliers!$A$2:$G$101,3,FALSE)</f>
        <v>USA</v>
      </c>
      <c r="M99" t="str">
        <f>VLOOKUP(B99,Raw_Suppliers!$A$2:$G$101,4,FALSE)</f>
        <v>North</v>
      </c>
      <c r="N99" t="str">
        <f>VLOOKUP(B99,Raw_Suppliers!$A$2:$G$101,6,FALSE)</f>
        <v>ISO 45001</v>
      </c>
      <c r="O99">
        <f>VLOOKUP(B99,Raw_Suppliers!$A$2:$G$101,7,FALSE)</f>
        <v>0</v>
      </c>
      <c r="P99" t="str">
        <f t="shared" si="7"/>
        <v>No</v>
      </c>
      <c r="Q99">
        <f t="shared" si="8"/>
        <v>0</v>
      </c>
      <c r="R99" t="str">
        <f t="shared" si="9"/>
        <v>Late</v>
      </c>
      <c r="S99">
        <f t="shared" si="10"/>
        <v>2021</v>
      </c>
      <c r="T99">
        <f t="shared" si="11"/>
        <v>8</v>
      </c>
    </row>
    <row r="100" spans="1:20" x14ac:dyDescent="0.25">
      <c r="A100" t="s">
        <v>258</v>
      </c>
      <c r="B100" t="s">
        <v>55</v>
      </c>
      <c r="C100" t="s">
        <v>259</v>
      </c>
      <c r="D100" s="1">
        <v>44375</v>
      </c>
      <c r="E100">
        <v>12</v>
      </c>
      <c r="F100">
        <v>40.5625854437559</v>
      </c>
      <c r="G100" s="1">
        <v>44391</v>
      </c>
      <c r="H100" s="1">
        <v>44393</v>
      </c>
      <c r="I100">
        <v>486.751025325071</v>
      </c>
      <c r="J100">
        <f t="shared" si="6"/>
        <v>2</v>
      </c>
      <c r="K100" t="str">
        <f>VLOOKUP(B100,Raw_Suppliers!$A$2:$G$101,2,FALSE)</f>
        <v>Prime Vertex Inc</v>
      </c>
      <c r="L100" t="str">
        <f>VLOOKUP(B100,Raw_Suppliers!$A$2:$G$101,3,FALSE)</f>
        <v>Germany</v>
      </c>
      <c r="M100" t="str">
        <f>VLOOKUP(B100,Raw_Suppliers!$A$2:$G$101,4,FALSE)</f>
        <v>South</v>
      </c>
      <c r="N100" t="str">
        <f>VLOOKUP(B100,Raw_Suppliers!$A$2:$G$101,6,FALSE)</f>
        <v>ISO 14001</v>
      </c>
      <c r="O100">
        <f>VLOOKUP(B100,Raw_Suppliers!$A$2:$G$101,7,FALSE)</f>
        <v>0</v>
      </c>
      <c r="P100" t="str">
        <f t="shared" si="7"/>
        <v>No</v>
      </c>
      <c r="Q100">
        <f t="shared" si="8"/>
        <v>0</v>
      </c>
      <c r="R100" t="str">
        <f t="shared" si="9"/>
        <v>Late</v>
      </c>
      <c r="S100">
        <f t="shared" si="10"/>
        <v>2021</v>
      </c>
      <c r="T100">
        <f t="shared" si="11"/>
        <v>6</v>
      </c>
    </row>
    <row r="101" spans="1:20" x14ac:dyDescent="0.25">
      <c r="A101" t="s">
        <v>260</v>
      </c>
      <c r="B101" t="s">
        <v>261</v>
      </c>
      <c r="C101" t="s">
        <v>262</v>
      </c>
      <c r="D101" s="1">
        <v>45051</v>
      </c>
      <c r="E101">
        <v>13</v>
      </c>
      <c r="F101">
        <v>20.361791464841598</v>
      </c>
      <c r="G101" s="1">
        <v>45072</v>
      </c>
      <c r="H101" s="1">
        <v>45069</v>
      </c>
      <c r="I101">
        <v>264.70328904294098</v>
      </c>
      <c r="J101">
        <f t="shared" si="6"/>
        <v>-3</v>
      </c>
      <c r="K101" t="str">
        <f>VLOOKUP(B101,Raw_Suppliers!$A$2:$G$101,2,FALSE)</f>
        <v>Delta Fusion Corp</v>
      </c>
      <c r="L101" t="str">
        <f>VLOOKUP(B101,Raw_Suppliers!$A$2:$G$101,3,FALSE)</f>
        <v>Denmark</v>
      </c>
      <c r="M101" t="str">
        <f>VLOOKUP(B101,Raw_Suppliers!$A$2:$G$101,4,FALSE)</f>
        <v>West</v>
      </c>
      <c r="N101" t="str">
        <f>VLOOKUP(B101,Raw_Suppliers!$A$2:$G$101,6,FALSE)</f>
        <v>ISO 45001</v>
      </c>
      <c r="O101">
        <f>VLOOKUP(B101,Raw_Suppliers!$A$2:$G$101,7,FALSE)</f>
        <v>0</v>
      </c>
      <c r="P101" t="str">
        <f t="shared" si="7"/>
        <v>No</v>
      </c>
      <c r="Q101">
        <f t="shared" si="8"/>
        <v>1</v>
      </c>
      <c r="R101" t="str">
        <f t="shared" si="9"/>
        <v>On Time</v>
      </c>
      <c r="S101">
        <f t="shared" si="10"/>
        <v>2023</v>
      </c>
      <c r="T101">
        <f t="shared" si="11"/>
        <v>5</v>
      </c>
    </row>
    <row r="102" spans="1:20" x14ac:dyDescent="0.25">
      <c r="A102" t="s">
        <v>263</v>
      </c>
      <c r="B102" t="s">
        <v>58</v>
      </c>
      <c r="C102" t="s">
        <v>158</v>
      </c>
      <c r="D102" s="1">
        <v>44778</v>
      </c>
      <c r="E102">
        <v>9</v>
      </c>
      <c r="F102">
        <v>17.315159371744201</v>
      </c>
      <c r="G102" s="1">
        <v>44798</v>
      </c>
      <c r="H102" s="1">
        <v>44804</v>
      </c>
      <c r="I102">
        <v>155.836434345698</v>
      </c>
      <c r="J102">
        <f t="shared" si="6"/>
        <v>6</v>
      </c>
      <c r="K102" t="str">
        <f>VLOOKUP(B102,Raw_Suppliers!$A$2:$G$101,2,FALSE)</f>
        <v>Quantum Nano Inc</v>
      </c>
      <c r="L102" t="str">
        <f>VLOOKUP(B102,Raw_Suppliers!$A$2:$G$101,3,FALSE)</f>
        <v>Brazil</v>
      </c>
      <c r="M102" t="str">
        <f>VLOOKUP(B102,Raw_Suppliers!$A$2:$G$101,4,FALSE)</f>
        <v>East</v>
      </c>
      <c r="N102" t="str">
        <f>VLOOKUP(B102,Raw_Suppliers!$A$2:$G$101,6,FALSE)</f>
        <v>ISO 9001</v>
      </c>
      <c r="O102">
        <f>VLOOKUP(B102,Raw_Suppliers!$A$2:$G$101,7,FALSE)</f>
        <v>1</v>
      </c>
      <c r="P102" t="str">
        <f t="shared" si="7"/>
        <v>Yes</v>
      </c>
      <c r="Q102">
        <f t="shared" si="8"/>
        <v>0</v>
      </c>
      <c r="R102" t="str">
        <f t="shared" si="9"/>
        <v>Late</v>
      </c>
      <c r="S102">
        <f t="shared" si="10"/>
        <v>2022</v>
      </c>
      <c r="T102">
        <f t="shared" si="11"/>
        <v>8</v>
      </c>
    </row>
    <row r="103" spans="1:20" x14ac:dyDescent="0.25">
      <c r="A103" t="s">
        <v>264</v>
      </c>
      <c r="B103" t="s">
        <v>19</v>
      </c>
      <c r="C103" t="s">
        <v>131</v>
      </c>
      <c r="D103" s="1">
        <v>44286</v>
      </c>
      <c r="E103">
        <v>18</v>
      </c>
      <c r="F103">
        <v>65.441869780791194</v>
      </c>
      <c r="G103" s="1">
        <v>44309</v>
      </c>
      <c r="H103" s="1">
        <v>44314</v>
      </c>
      <c r="I103">
        <v>1177.9536560542399</v>
      </c>
      <c r="J103">
        <f t="shared" si="6"/>
        <v>5</v>
      </c>
      <c r="K103" t="str">
        <f>VLOOKUP(B103,Raw_Suppliers!$A$2:$G$101,2,FALSE)</f>
        <v>Nova Beta Corp</v>
      </c>
      <c r="L103" t="str">
        <f>VLOOKUP(B103,Raw_Suppliers!$A$2:$G$101,3,FALSE)</f>
        <v>Brazil</v>
      </c>
      <c r="M103" t="str">
        <f>VLOOKUP(B103,Raw_Suppliers!$A$2:$G$101,4,FALSE)</f>
        <v>South</v>
      </c>
      <c r="N103" t="str">
        <f>VLOOKUP(B103,Raw_Suppliers!$A$2:$G$101,6,FALSE)</f>
        <v>ISO 14001</v>
      </c>
      <c r="O103">
        <f>VLOOKUP(B103,Raw_Suppliers!$A$2:$G$101,7,FALSE)</f>
        <v>1</v>
      </c>
      <c r="P103" t="str">
        <f t="shared" si="7"/>
        <v>Yes</v>
      </c>
      <c r="Q103">
        <f t="shared" si="8"/>
        <v>0</v>
      </c>
      <c r="R103" t="str">
        <f t="shared" si="9"/>
        <v>Late</v>
      </c>
      <c r="S103">
        <f t="shared" si="10"/>
        <v>2021</v>
      </c>
      <c r="T103">
        <f t="shared" si="11"/>
        <v>3</v>
      </c>
    </row>
    <row r="104" spans="1:20" x14ac:dyDescent="0.25">
      <c r="A104" t="s">
        <v>265</v>
      </c>
      <c r="B104" t="s">
        <v>13</v>
      </c>
      <c r="C104" t="s">
        <v>102</v>
      </c>
      <c r="D104" s="1">
        <v>44716</v>
      </c>
      <c r="E104">
        <v>12</v>
      </c>
      <c r="F104">
        <v>45.508374942609997</v>
      </c>
      <c r="G104" s="1">
        <v>44736</v>
      </c>
      <c r="H104" s="1">
        <v>44734</v>
      </c>
      <c r="I104">
        <v>546.10049931132005</v>
      </c>
      <c r="J104">
        <f t="shared" si="6"/>
        <v>-2</v>
      </c>
      <c r="K104" t="str">
        <f>VLOOKUP(B104,Raw_Suppliers!$A$2:$G$101,2,FALSE)</f>
        <v>Beta Delta LLC</v>
      </c>
      <c r="L104" t="str">
        <f>VLOOKUP(B104,Raw_Suppliers!$A$2:$G$101,3,FALSE)</f>
        <v>Germany</v>
      </c>
      <c r="M104" t="str">
        <f>VLOOKUP(B104,Raw_Suppliers!$A$2:$G$101,4,FALSE)</f>
        <v>Central</v>
      </c>
      <c r="N104" t="str">
        <f>VLOOKUP(B104,Raw_Suppliers!$A$2:$G$101,6,FALSE)</f>
        <v>ISO 9001</v>
      </c>
      <c r="O104">
        <f>VLOOKUP(B104,Raw_Suppliers!$A$2:$G$101,7,FALSE)</f>
        <v>1</v>
      </c>
      <c r="P104" t="str">
        <f t="shared" si="7"/>
        <v>Yes</v>
      </c>
      <c r="Q104">
        <f t="shared" si="8"/>
        <v>1</v>
      </c>
      <c r="R104" t="str">
        <f t="shared" si="9"/>
        <v>On Time</v>
      </c>
      <c r="S104">
        <f t="shared" si="10"/>
        <v>2022</v>
      </c>
      <c r="T104">
        <f t="shared" si="11"/>
        <v>6</v>
      </c>
    </row>
    <row r="105" spans="1:20" x14ac:dyDescent="0.25">
      <c r="A105" t="s">
        <v>266</v>
      </c>
      <c r="B105" t="s">
        <v>267</v>
      </c>
      <c r="C105" t="s">
        <v>268</v>
      </c>
      <c r="D105" s="1">
        <v>45381</v>
      </c>
      <c r="E105">
        <v>14</v>
      </c>
      <c r="F105">
        <v>78.501627196440296</v>
      </c>
      <c r="G105" s="1">
        <v>45391</v>
      </c>
      <c r="H105" s="1">
        <v>45395</v>
      </c>
      <c r="I105">
        <v>1099.0227807501601</v>
      </c>
      <c r="J105">
        <f t="shared" si="6"/>
        <v>4</v>
      </c>
      <c r="K105" t="str">
        <f>VLOOKUP(B105,Raw_Suppliers!$A$2:$G$101,2,FALSE)</f>
        <v>Omega Nova Corp</v>
      </c>
      <c r="L105" t="str">
        <f>VLOOKUP(B105,Raw_Suppliers!$A$2:$G$101,3,FALSE)</f>
        <v>India</v>
      </c>
      <c r="M105" t="str">
        <f>VLOOKUP(B105,Raw_Suppliers!$A$2:$G$101,4,FALSE)</f>
        <v>West</v>
      </c>
      <c r="N105" t="str">
        <f>VLOOKUP(B105,Raw_Suppliers!$A$2:$G$101,6,FALSE)</f>
        <v>ISO 45001</v>
      </c>
      <c r="O105">
        <f>VLOOKUP(B105,Raw_Suppliers!$A$2:$G$101,7,FALSE)</f>
        <v>0</v>
      </c>
      <c r="P105" t="str">
        <f t="shared" si="7"/>
        <v>No</v>
      </c>
      <c r="Q105">
        <f t="shared" si="8"/>
        <v>0</v>
      </c>
      <c r="R105" t="str">
        <f t="shared" si="9"/>
        <v>Late</v>
      </c>
      <c r="S105">
        <f t="shared" si="10"/>
        <v>2024</v>
      </c>
      <c r="T105">
        <f t="shared" si="11"/>
        <v>3</v>
      </c>
    </row>
    <row r="106" spans="1:20" x14ac:dyDescent="0.25">
      <c r="A106" t="s">
        <v>269</v>
      </c>
      <c r="B106" t="s">
        <v>124</v>
      </c>
      <c r="C106" t="s">
        <v>270</v>
      </c>
      <c r="D106" s="1">
        <v>45266</v>
      </c>
      <c r="E106">
        <v>9</v>
      </c>
      <c r="F106">
        <v>5.08304515821394</v>
      </c>
      <c r="G106" s="1">
        <v>45278</v>
      </c>
      <c r="H106" s="1">
        <v>45278</v>
      </c>
      <c r="I106">
        <v>45.747406423925398</v>
      </c>
      <c r="J106">
        <f t="shared" si="6"/>
        <v>0</v>
      </c>
      <c r="K106" t="str">
        <f>VLOOKUP(B106,Raw_Suppliers!$A$2:$G$101,2,FALSE)</f>
        <v>Vertex Delta Inc</v>
      </c>
      <c r="L106" t="str">
        <f>VLOOKUP(B106,Raw_Suppliers!$A$2:$G$101,3,FALSE)</f>
        <v>Germany</v>
      </c>
      <c r="M106" t="str">
        <f>VLOOKUP(B106,Raw_Suppliers!$A$2:$G$101,4,FALSE)</f>
        <v>South</v>
      </c>
      <c r="N106" t="str">
        <f>VLOOKUP(B106,Raw_Suppliers!$A$2:$G$101,6,FALSE)</f>
        <v>ISO 9001</v>
      </c>
      <c r="O106">
        <f>VLOOKUP(B106,Raw_Suppliers!$A$2:$G$101,7,FALSE)</f>
        <v>0</v>
      </c>
      <c r="P106" t="str">
        <f t="shared" si="7"/>
        <v>No</v>
      </c>
      <c r="Q106">
        <f t="shared" si="8"/>
        <v>1</v>
      </c>
      <c r="R106" t="str">
        <f t="shared" si="9"/>
        <v>On Time</v>
      </c>
      <c r="S106">
        <f t="shared" si="10"/>
        <v>2023</v>
      </c>
      <c r="T106">
        <f t="shared" si="11"/>
        <v>12</v>
      </c>
    </row>
    <row r="107" spans="1:20" x14ac:dyDescent="0.25">
      <c r="A107" t="s">
        <v>271</v>
      </c>
      <c r="B107" t="s">
        <v>121</v>
      </c>
      <c r="C107" t="s">
        <v>272</v>
      </c>
      <c r="D107" s="1">
        <v>44440</v>
      </c>
      <c r="E107">
        <v>10</v>
      </c>
      <c r="F107">
        <v>73.543535091207502</v>
      </c>
      <c r="G107" s="1">
        <v>44463</v>
      </c>
      <c r="H107" s="1">
        <v>44460</v>
      </c>
      <c r="I107">
        <v>735.43535091207502</v>
      </c>
      <c r="J107">
        <f t="shared" si="6"/>
        <v>-3</v>
      </c>
      <c r="K107" t="str">
        <f>VLOOKUP(B107,Raw_Suppliers!$A$2:$G$101,2,FALSE)</f>
        <v>Vertex Vertex Inc</v>
      </c>
      <c r="L107" t="str">
        <f>VLOOKUP(B107,Raw_Suppliers!$A$2:$G$101,3,FALSE)</f>
        <v>USA</v>
      </c>
      <c r="M107" t="str">
        <f>VLOOKUP(B107,Raw_Suppliers!$A$2:$G$101,4,FALSE)</f>
        <v>West</v>
      </c>
      <c r="N107" t="str">
        <f>VLOOKUP(B107,Raw_Suppliers!$A$2:$G$101,6,FALSE)</f>
        <v>None</v>
      </c>
      <c r="O107">
        <f>VLOOKUP(B107,Raw_Suppliers!$A$2:$G$101,7,FALSE)</f>
        <v>0</v>
      </c>
      <c r="P107" t="str">
        <f t="shared" si="7"/>
        <v>No</v>
      </c>
      <c r="Q107">
        <f t="shared" si="8"/>
        <v>1</v>
      </c>
      <c r="R107" t="str">
        <f t="shared" si="9"/>
        <v>On Time</v>
      </c>
      <c r="S107">
        <f t="shared" si="10"/>
        <v>2021</v>
      </c>
      <c r="T107">
        <f t="shared" si="11"/>
        <v>9</v>
      </c>
    </row>
    <row r="108" spans="1:20" x14ac:dyDescent="0.25">
      <c r="A108" t="s">
        <v>273</v>
      </c>
      <c r="B108" t="s">
        <v>216</v>
      </c>
      <c r="C108" t="s">
        <v>274</v>
      </c>
      <c r="D108" s="1">
        <v>44303</v>
      </c>
      <c r="E108">
        <v>10</v>
      </c>
      <c r="F108">
        <v>65.159655638704805</v>
      </c>
      <c r="G108" s="1">
        <v>44320</v>
      </c>
      <c r="H108" s="1">
        <v>44326</v>
      </c>
      <c r="I108">
        <v>651.59655638704805</v>
      </c>
      <c r="J108">
        <f t="shared" si="6"/>
        <v>6</v>
      </c>
      <c r="K108" t="str">
        <f>VLOOKUP(B108,Raw_Suppliers!$A$2:$G$101,2,FALSE)</f>
        <v>Fusion Delta LLC</v>
      </c>
      <c r="L108" t="str">
        <f>VLOOKUP(B108,Raw_Suppliers!$A$2:$G$101,3,FALSE)</f>
        <v>Brazil</v>
      </c>
      <c r="M108" t="str">
        <f>VLOOKUP(B108,Raw_Suppliers!$A$2:$G$101,4,FALSE)</f>
        <v>Central</v>
      </c>
      <c r="N108" t="str">
        <f>VLOOKUP(B108,Raw_Suppliers!$A$2:$G$101,6,FALSE)</f>
        <v>ISO 14001</v>
      </c>
      <c r="O108">
        <f>VLOOKUP(B108,Raw_Suppliers!$A$2:$G$101,7,FALSE)</f>
        <v>0</v>
      </c>
      <c r="P108" t="str">
        <f t="shared" si="7"/>
        <v>No</v>
      </c>
      <c r="Q108">
        <f t="shared" si="8"/>
        <v>0</v>
      </c>
      <c r="R108" t="str">
        <f t="shared" si="9"/>
        <v>Late</v>
      </c>
      <c r="S108">
        <f t="shared" si="10"/>
        <v>2021</v>
      </c>
      <c r="T108">
        <f t="shared" si="11"/>
        <v>4</v>
      </c>
    </row>
    <row r="109" spans="1:20" x14ac:dyDescent="0.25">
      <c r="A109" t="s">
        <v>275</v>
      </c>
      <c r="B109" t="s">
        <v>174</v>
      </c>
      <c r="C109" t="s">
        <v>276</v>
      </c>
      <c r="D109" s="1">
        <v>45355</v>
      </c>
      <c r="E109">
        <v>12</v>
      </c>
      <c r="F109">
        <v>73.396739510924803</v>
      </c>
      <c r="G109" s="1">
        <v>45379</v>
      </c>
      <c r="H109" s="1">
        <v>45379</v>
      </c>
      <c r="I109">
        <v>880.76087413109701</v>
      </c>
      <c r="J109">
        <f t="shared" si="6"/>
        <v>0</v>
      </c>
      <c r="K109" t="str">
        <f>VLOOKUP(B109,Raw_Suppliers!$A$2:$G$101,2,FALSE)</f>
        <v>Quantum Eco LLC</v>
      </c>
      <c r="L109" t="str">
        <f>VLOOKUP(B109,Raw_Suppliers!$A$2:$G$101,3,FALSE)</f>
        <v>Denmark</v>
      </c>
      <c r="M109" t="str">
        <f>VLOOKUP(B109,Raw_Suppliers!$A$2:$G$101,4,FALSE)</f>
        <v>East</v>
      </c>
      <c r="N109" t="str">
        <f>VLOOKUP(B109,Raw_Suppliers!$A$2:$G$101,6,FALSE)</f>
        <v>ISO 9001</v>
      </c>
      <c r="O109">
        <f>VLOOKUP(B109,Raw_Suppliers!$A$2:$G$101,7,FALSE)</f>
        <v>1</v>
      </c>
      <c r="P109" t="str">
        <f t="shared" si="7"/>
        <v>Yes</v>
      </c>
      <c r="Q109">
        <f t="shared" si="8"/>
        <v>1</v>
      </c>
      <c r="R109" t="str">
        <f t="shared" si="9"/>
        <v>On Time</v>
      </c>
      <c r="S109">
        <f t="shared" si="10"/>
        <v>2024</v>
      </c>
      <c r="T109">
        <f t="shared" si="11"/>
        <v>3</v>
      </c>
    </row>
    <row r="110" spans="1:20" x14ac:dyDescent="0.25">
      <c r="A110" t="s">
        <v>277</v>
      </c>
      <c r="B110" t="s">
        <v>205</v>
      </c>
      <c r="C110" t="s">
        <v>47</v>
      </c>
      <c r="D110" s="1">
        <v>45175</v>
      </c>
      <c r="E110">
        <v>13</v>
      </c>
      <c r="F110">
        <v>6.5698577967349197</v>
      </c>
      <c r="G110" s="1">
        <v>45198</v>
      </c>
      <c r="H110" s="1">
        <v>45201</v>
      </c>
      <c r="I110">
        <v>85.408151357553905</v>
      </c>
      <c r="J110">
        <f t="shared" si="6"/>
        <v>3</v>
      </c>
      <c r="K110" t="str">
        <f>VLOOKUP(B110,Raw_Suppliers!$A$2:$G$101,2,FALSE)</f>
        <v>Ultra Eco LLC</v>
      </c>
      <c r="L110" t="str">
        <f>VLOOKUP(B110,Raw_Suppliers!$A$2:$G$101,3,FALSE)</f>
        <v>China</v>
      </c>
      <c r="M110" t="str">
        <f>VLOOKUP(B110,Raw_Suppliers!$A$2:$G$101,4,FALSE)</f>
        <v>South</v>
      </c>
      <c r="N110" t="str">
        <f>VLOOKUP(B110,Raw_Suppliers!$A$2:$G$101,6,FALSE)</f>
        <v>ISO 14001</v>
      </c>
      <c r="O110">
        <f>VLOOKUP(B110,Raw_Suppliers!$A$2:$G$101,7,FALSE)</f>
        <v>1</v>
      </c>
      <c r="P110" t="str">
        <f t="shared" si="7"/>
        <v>Yes</v>
      </c>
      <c r="Q110">
        <f t="shared" si="8"/>
        <v>0</v>
      </c>
      <c r="R110" t="str">
        <f t="shared" si="9"/>
        <v>Late</v>
      </c>
      <c r="S110">
        <f t="shared" si="10"/>
        <v>2023</v>
      </c>
      <c r="T110">
        <f t="shared" si="11"/>
        <v>9</v>
      </c>
    </row>
    <row r="111" spans="1:20" x14ac:dyDescent="0.25">
      <c r="A111" t="s">
        <v>278</v>
      </c>
      <c r="B111" t="s">
        <v>34</v>
      </c>
      <c r="C111" t="s">
        <v>279</v>
      </c>
      <c r="D111" s="1">
        <v>44699</v>
      </c>
      <c r="E111">
        <v>7</v>
      </c>
      <c r="F111">
        <v>65.943469203655098</v>
      </c>
      <c r="G111" s="1">
        <v>44723</v>
      </c>
      <c r="H111" s="1">
        <v>44720</v>
      </c>
      <c r="I111">
        <v>461.60428442558498</v>
      </c>
      <c r="J111">
        <f t="shared" si="6"/>
        <v>-3</v>
      </c>
      <c r="K111" t="str">
        <f>VLOOKUP(B111,Raw_Suppliers!$A$2:$G$101,2,FALSE)</f>
        <v>Omega Alpha Corp</v>
      </c>
      <c r="L111" t="str">
        <f>VLOOKUP(B111,Raw_Suppliers!$A$2:$G$101,3,FALSE)</f>
        <v>UK</v>
      </c>
      <c r="M111" t="str">
        <f>VLOOKUP(B111,Raw_Suppliers!$A$2:$G$101,4,FALSE)</f>
        <v>West</v>
      </c>
      <c r="N111" t="str">
        <f>VLOOKUP(B111,Raw_Suppliers!$A$2:$G$101,6,FALSE)</f>
        <v>ISO 45001</v>
      </c>
      <c r="O111">
        <f>VLOOKUP(B111,Raw_Suppliers!$A$2:$G$101,7,FALSE)</f>
        <v>0</v>
      </c>
      <c r="P111" t="str">
        <f t="shared" si="7"/>
        <v>No</v>
      </c>
      <c r="Q111">
        <f t="shared" si="8"/>
        <v>1</v>
      </c>
      <c r="R111" t="str">
        <f t="shared" si="9"/>
        <v>On Time</v>
      </c>
      <c r="S111">
        <f t="shared" si="10"/>
        <v>2022</v>
      </c>
      <c r="T111">
        <f t="shared" si="11"/>
        <v>5</v>
      </c>
    </row>
    <row r="112" spans="1:20" x14ac:dyDescent="0.25">
      <c r="A112" t="s">
        <v>280</v>
      </c>
      <c r="B112" t="s">
        <v>37</v>
      </c>
      <c r="C112" t="s">
        <v>281</v>
      </c>
      <c r="D112" s="1">
        <v>44766</v>
      </c>
      <c r="E112">
        <v>15</v>
      </c>
      <c r="F112">
        <v>26.399777908226898</v>
      </c>
      <c r="G112" s="1">
        <v>44780</v>
      </c>
      <c r="H112" s="1">
        <v>44783</v>
      </c>
      <c r="I112">
        <v>395.99666862340302</v>
      </c>
      <c r="J112">
        <f t="shared" si="6"/>
        <v>3</v>
      </c>
      <c r="K112" t="str">
        <f>VLOOKUP(B112,Raw_Suppliers!$A$2:$G$101,2,FALSE)</f>
        <v>Apex Apex Ltd</v>
      </c>
      <c r="L112" t="str">
        <f>VLOOKUP(B112,Raw_Suppliers!$A$2:$G$101,3,FALSE)</f>
        <v>Canada</v>
      </c>
      <c r="M112" t="str">
        <f>VLOOKUP(B112,Raw_Suppliers!$A$2:$G$101,4,FALSE)</f>
        <v>East</v>
      </c>
      <c r="N112" t="str">
        <f>VLOOKUP(B112,Raw_Suppliers!$A$2:$G$101,6,FALSE)</f>
        <v>ISO 9001</v>
      </c>
      <c r="O112">
        <f>VLOOKUP(B112,Raw_Suppliers!$A$2:$G$101,7,FALSE)</f>
        <v>1</v>
      </c>
      <c r="P112" t="str">
        <f t="shared" si="7"/>
        <v>Yes</v>
      </c>
      <c r="Q112">
        <f t="shared" si="8"/>
        <v>0</v>
      </c>
      <c r="R112" t="str">
        <f t="shared" si="9"/>
        <v>Late</v>
      </c>
      <c r="S112">
        <f t="shared" si="10"/>
        <v>2022</v>
      </c>
      <c r="T112">
        <f t="shared" si="11"/>
        <v>7</v>
      </c>
    </row>
    <row r="113" spans="1:20" x14ac:dyDescent="0.25">
      <c r="A113" t="s">
        <v>282</v>
      </c>
      <c r="B113" t="s">
        <v>109</v>
      </c>
      <c r="C113" t="s">
        <v>283</v>
      </c>
      <c r="D113" s="1">
        <v>44373</v>
      </c>
      <c r="E113">
        <v>17</v>
      </c>
      <c r="F113">
        <v>51.537475405087498</v>
      </c>
      <c r="G113" s="1">
        <v>44383</v>
      </c>
      <c r="H113" s="1">
        <v>44380</v>
      </c>
      <c r="I113">
        <v>876.13708188648695</v>
      </c>
      <c r="J113">
        <f t="shared" si="6"/>
        <v>-3</v>
      </c>
      <c r="K113" t="str">
        <f>VLOOKUP(B113,Raw_Suppliers!$A$2:$G$101,2,FALSE)</f>
        <v>Nano Fusion GmbH</v>
      </c>
      <c r="L113" t="str">
        <f>VLOOKUP(B113,Raw_Suppliers!$A$2:$G$101,3,FALSE)</f>
        <v>Denmark</v>
      </c>
      <c r="M113" t="str">
        <f>VLOOKUP(B113,Raw_Suppliers!$A$2:$G$101,4,FALSE)</f>
        <v>North</v>
      </c>
      <c r="N113" t="str">
        <f>VLOOKUP(B113,Raw_Suppliers!$A$2:$G$101,6,FALSE)</f>
        <v>ISO 9001</v>
      </c>
      <c r="O113">
        <f>VLOOKUP(B113,Raw_Suppliers!$A$2:$G$101,7,FALSE)</f>
        <v>0</v>
      </c>
      <c r="P113" t="str">
        <f t="shared" si="7"/>
        <v>No</v>
      </c>
      <c r="Q113">
        <f t="shared" si="8"/>
        <v>1</v>
      </c>
      <c r="R113" t="str">
        <f t="shared" si="9"/>
        <v>On Time</v>
      </c>
      <c r="S113">
        <f t="shared" si="10"/>
        <v>2021</v>
      </c>
      <c r="T113">
        <f t="shared" si="11"/>
        <v>6</v>
      </c>
    </row>
    <row r="114" spans="1:20" x14ac:dyDescent="0.25">
      <c r="A114" t="s">
        <v>284</v>
      </c>
      <c r="B114" t="s">
        <v>28</v>
      </c>
      <c r="C114" t="s">
        <v>117</v>
      </c>
      <c r="D114" s="1">
        <v>45324</v>
      </c>
      <c r="E114">
        <v>9</v>
      </c>
      <c r="F114">
        <v>36.551375621021897</v>
      </c>
      <c r="G114" s="1">
        <v>45344</v>
      </c>
      <c r="H114" s="1">
        <v>45347</v>
      </c>
      <c r="I114">
        <v>328.96238058919698</v>
      </c>
      <c r="J114">
        <f t="shared" si="6"/>
        <v>3</v>
      </c>
      <c r="K114" t="str">
        <f>VLOOKUP(B114,Raw_Suppliers!$A$2:$G$101,2,FALSE)</f>
        <v>Fusion Vertex Inc</v>
      </c>
      <c r="L114" t="str">
        <f>VLOOKUP(B114,Raw_Suppliers!$A$2:$G$101,3,FALSE)</f>
        <v>Denmark</v>
      </c>
      <c r="M114" t="str">
        <f>VLOOKUP(B114,Raw_Suppliers!$A$2:$G$101,4,FALSE)</f>
        <v>Central</v>
      </c>
      <c r="N114" t="str">
        <f>VLOOKUP(B114,Raw_Suppliers!$A$2:$G$101,6,FALSE)</f>
        <v>ISO 45001</v>
      </c>
      <c r="O114">
        <f>VLOOKUP(B114,Raw_Suppliers!$A$2:$G$101,7,FALSE)</f>
        <v>0</v>
      </c>
      <c r="P114" t="str">
        <f t="shared" si="7"/>
        <v>No</v>
      </c>
      <c r="Q114">
        <f t="shared" si="8"/>
        <v>0</v>
      </c>
      <c r="R114" t="str">
        <f t="shared" si="9"/>
        <v>Late</v>
      </c>
      <c r="S114">
        <f t="shared" si="10"/>
        <v>2024</v>
      </c>
      <c r="T114">
        <f t="shared" si="11"/>
        <v>2</v>
      </c>
    </row>
    <row r="115" spans="1:20" x14ac:dyDescent="0.25">
      <c r="A115" t="s">
        <v>285</v>
      </c>
      <c r="B115" t="s">
        <v>237</v>
      </c>
      <c r="C115" t="s">
        <v>172</v>
      </c>
      <c r="D115" s="1">
        <v>44288</v>
      </c>
      <c r="E115">
        <v>10</v>
      </c>
      <c r="F115">
        <v>75.868877780141403</v>
      </c>
      <c r="G115" s="1">
        <v>44309</v>
      </c>
      <c r="H115" s="1">
        <v>44313</v>
      </c>
      <c r="I115">
        <v>758.68877780141395</v>
      </c>
      <c r="J115">
        <f t="shared" si="6"/>
        <v>4</v>
      </c>
      <c r="K115" t="str">
        <f>VLOOKUP(B115,Raw_Suppliers!$A$2:$G$101,2,FALSE)</f>
        <v>Eco Beta Inc</v>
      </c>
      <c r="L115" t="str">
        <f>VLOOKUP(B115,Raw_Suppliers!$A$2:$G$101,3,FALSE)</f>
        <v>Germany</v>
      </c>
      <c r="M115" t="str">
        <f>VLOOKUP(B115,Raw_Suppliers!$A$2:$G$101,4,FALSE)</f>
        <v>North</v>
      </c>
      <c r="N115" t="str">
        <f>VLOOKUP(B115,Raw_Suppliers!$A$2:$G$101,6,FALSE)</f>
        <v>ISO 14001</v>
      </c>
      <c r="O115">
        <f>VLOOKUP(B115,Raw_Suppliers!$A$2:$G$101,7,FALSE)</f>
        <v>0</v>
      </c>
      <c r="P115" t="str">
        <f t="shared" si="7"/>
        <v>No</v>
      </c>
      <c r="Q115">
        <f t="shared" si="8"/>
        <v>0</v>
      </c>
      <c r="R115" t="str">
        <f t="shared" si="9"/>
        <v>Late</v>
      </c>
      <c r="S115">
        <f t="shared" si="10"/>
        <v>2021</v>
      </c>
      <c r="T115">
        <f t="shared" si="11"/>
        <v>4</v>
      </c>
    </row>
    <row r="116" spans="1:20" x14ac:dyDescent="0.25">
      <c r="A116" t="s">
        <v>286</v>
      </c>
      <c r="B116" t="s">
        <v>61</v>
      </c>
      <c r="C116" t="s">
        <v>14</v>
      </c>
      <c r="D116" s="1">
        <v>44877</v>
      </c>
      <c r="E116">
        <v>18</v>
      </c>
      <c r="F116">
        <v>12.653372532484999</v>
      </c>
      <c r="G116" s="1">
        <v>44887</v>
      </c>
      <c r="H116" s="1">
        <v>44892</v>
      </c>
      <c r="I116">
        <v>227.76070558473</v>
      </c>
      <c r="J116">
        <f t="shared" si="6"/>
        <v>5</v>
      </c>
      <c r="K116" t="str">
        <f>VLOOKUP(B116,Raw_Suppliers!$A$2:$G$101,2,FALSE)</f>
        <v>Ultra Gamma LLC</v>
      </c>
      <c r="L116" t="str">
        <f>VLOOKUP(B116,Raw_Suppliers!$A$2:$G$101,3,FALSE)</f>
        <v>Canada</v>
      </c>
      <c r="M116" t="str">
        <f>VLOOKUP(B116,Raw_Suppliers!$A$2:$G$101,4,FALSE)</f>
        <v>North</v>
      </c>
      <c r="N116" t="str">
        <f>VLOOKUP(B116,Raw_Suppliers!$A$2:$G$101,6,FALSE)</f>
        <v>ISO 9001</v>
      </c>
      <c r="O116">
        <f>VLOOKUP(B116,Raw_Suppliers!$A$2:$G$101,7,FALSE)</f>
        <v>1</v>
      </c>
      <c r="P116" t="str">
        <f t="shared" si="7"/>
        <v>Yes</v>
      </c>
      <c r="Q116">
        <f t="shared" si="8"/>
        <v>0</v>
      </c>
      <c r="R116" t="str">
        <f t="shared" si="9"/>
        <v>Late</v>
      </c>
      <c r="S116">
        <f t="shared" si="10"/>
        <v>2022</v>
      </c>
      <c r="T116">
        <f t="shared" si="11"/>
        <v>11</v>
      </c>
    </row>
    <row r="117" spans="1:20" x14ac:dyDescent="0.25">
      <c r="A117" t="s">
        <v>287</v>
      </c>
      <c r="B117" t="s">
        <v>288</v>
      </c>
      <c r="C117" t="s">
        <v>243</v>
      </c>
      <c r="D117" s="1">
        <v>44365</v>
      </c>
      <c r="E117">
        <v>10</v>
      </c>
      <c r="F117">
        <v>32.6735301654968</v>
      </c>
      <c r="G117" s="1">
        <v>44380</v>
      </c>
      <c r="H117" s="1">
        <v>44386</v>
      </c>
      <c r="I117">
        <v>326.735301654968</v>
      </c>
      <c r="J117">
        <f t="shared" si="6"/>
        <v>6</v>
      </c>
      <c r="K117" t="str">
        <f>VLOOKUP(B117,Raw_Suppliers!$A$2:$G$101,2,FALSE)</f>
        <v>Alpha Beta LLC</v>
      </c>
      <c r="L117" t="str">
        <f>VLOOKUP(B117,Raw_Suppliers!$A$2:$G$101,3,FALSE)</f>
        <v>India</v>
      </c>
      <c r="M117" t="str">
        <f>VLOOKUP(B117,Raw_Suppliers!$A$2:$G$101,4,FALSE)</f>
        <v>West</v>
      </c>
      <c r="N117" t="str">
        <f>VLOOKUP(B117,Raw_Suppliers!$A$2:$G$101,6,FALSE)</f>
        <v>ISO 45001</v>
      </c>
      <c r="O117">
        <f>VLOOKUP(B117,Raw_Suppliers!$A$2:$G$101,7,FALSE)</f>
        <v>0</v>
      </c>
      <c r="P117" t="str">
        <f t="shared" si="7"/>
        <v>No</v>
      </c>
      <c r="Q117">
        <f t="shared" si="8"/>
        <v>0</v>
      </c>
      <c r="R117" t="str">
        <f t="shared" si="9"/>
        <v>Late</v>
      </c>
      <c r="S117">
        <f t="shared" si="10"/>
        <v>2021</v>
      </c>
      <c r="T117">
        <f t="shared" si="11"/>
        <v>6</v>
      </c>
    </row>
    <row r="118" spans="1:20" x14ac:dyDescent="0.25">
      <c r="A118" t="s">
        <v>289</v>
      </c>
      <c r="B118" t="s">
        <v>237</v>
      </c>
      <c r="C118" t="s">
        <v>290</v>
      </c>
      <c r="D118" s="1">
        <v>45286</v>
      </c>
      <c r="E118">
        <v>8</v>
      </c>
      <c r="F118">
        <v>5.0876208582025999</v>
      </c>
      <c r="G118" s="1">
        <v>45298</v>
      </c>
      <c r="H118" s="1">
        <v>45297</v>
      </c>
      <c r="I118">
        <v>40.700966865620799</v>
      </c>
      <c r="J118">
        <f t="shared" si="6"/>
        <v>-1</v>
      </c>
      <c r="K118" t="str">
        <f>VLOOKUP(B118,Raw_Suppliers!$A$2:$G$101,2,FALSE)</f>
        <v>Eco Beta Inc</v>
      </c>
      <c r="L118" t="str">
        <f>VLOOKUP(B118,Raw_Suppliers!$A$2:$G$101,3,FALSE)</f>
        <v>Germany</v>
      </c>
      <c r="M118" t="str">
        <f>VLOOKUP(B118,Raw_Suppliers!$A$2:$G$101,4,FALSE)</f>
        <v>North</v>
      </c>
      <c r="N118" t="str">
        <f>VLOOKUP(B118,Raw_Suppliers!$A$2:$G$101,6,FALSE)</f>
        <v>ISO 14001</v>
      </c>
      <c r="O118">
        <f>VLOOKUP(B118,Raw_Suppliers!$A$2:$G$101,7,FALSE)</f>
        <v>0</v>
      </c>
      <c r="P118" t="str">
        <f t="shared" si="7"/>
        <v>No</v>
      </c>
      <c r="Q118">
        <f t="shared" si="8"/>
        <v>1</v>
      </c>
      <c r="R118" t="str">
        <f t="shared" si="9"/>
        <v>On Time</v>
      </c>
      <c r="S118">
        <f t="shared" si="10"/>
        <v>2023</v>
      </c>
      <c r="T118">
        <f t="shared" si="11"/>
        <v>12</v>
      </c>
    </row>
    <row r="119" spans="1:20" x14ac:dyDescent="0.25">
      <c r="A119" t="s">
        <v>291</v>
      </c>
      <c r="B119" t="s">
        <v>88</v>
      </c>
      <c r="C119" t="s">
        <v>214</v>
      </c>
      <c r="D119" s="1">
        <v>44315</v>
      </c>
      <c r="E119">
        <v>7</v>
      </c>
      <c r="F119">
        <v>58.599790489647503</v>
      </c>
      <c r="G119" s="1">
        <v>44336</v>
      </c>
      <c r="H119" s="1">
        <v>44336</v>
      </c>
      <c r="I119">
        <v>410.19853342753203</v>
      </c>
      <c r="J119">
        <f t="shared" si="6"/>
        <v>0</v>
      </c>
      <c r="K119" t="str">
        <f>VLOOKUP(B119,Raw_Suppliers!$A$2:$G$101,2,FALSE)</f>
        <v>Eco Nano GmbH</v>
      </c>
      <c r="L119" t="str">
        <f>VLOOKUP(B119,Raw_Suppliers!$A$2:$G$101,3,FALSE)</f>
        <v>Denmark</v>
      </c>
      <c r="M119" t="str">
        <f>VLOOKUP(B119,Raw_Suppliers!$A$2:$G$101,4,FALSE)</f>
        <v>Central</v>
      </c>
      <c r="N119" t="str">
        <f>VLOOKUP(B119,Raw_Suppliers!$A$2:$G$101,6,FALSE)</f>
        <v>ISO 9001</v>
      </c>
      <c r="O119">
        <f>VLOOKUP(B119,Raw_Suppliers!$A$2:$G$101,7,FALSE)</f>
        <v>1</v>
      </c>
      <c r="P119" t="str">
        <f t="shared" si="7"/>
        <v>Yes</v>
      </c>
      <c r="Q119">
        <f t="shared" si="8"/>
        <v>1</v>
      </c>
      <c r="R119" t="str">
        <f t="shared" si="9"/>
        <v>On Time</v>
      </c>
      <c r="S119">
        <f t="shared" si="10"/>
        <v>2021</v>
      </c>
      <c r="T119">
        <f t="shared" si="11"/>
        <v>4</v>
      </c>
    </row>
    <row r="120" spans="1:20" x14ac:dyDescent="0.25">
      <c r="A120" t="s">
        <v>292</v>
      </c>
      <c r="B120" t="s">
        <v>293</v>
      </c>
      <c r="C120" t="s">
        <v>155</v>
      </c>
      <c r="D120" s="1">
        <v>44713</v>
      </c>
      <c r="E120">
        <v>11</v>
      </c>
      <c r="F120">
        <v>69.283319977685693</v>
      </c>
      <c r="G120" s="1">
        <v>44727</v>
      </c>
      <c r="H120" s="1">
        <v>44732</v>
      </c>
      <c r="I120">
        <v>762.11651975454299</v>
      </c>
      <c r="J120">
        <f t="shared" si="6"/>
        <v>5</v>
      </c>
      <c r="K120" t="str">
        <f>VLOOKUP(B120,Raw_Suppliers!$A$2:$G$101,2,FALSE)</f>
        <v>Fusion Apex LLC</v>
      </c>
      <c r="L120" t="str">
        <f>VLOOKUP(B120,Raw_Suppliers!$A$2:$G$101,3,FALSE)</f>
        <v>India</v>
      </c>
      <c r="M120" t="str">
        <f>VLOOKUP(B120,Raw_Suppliers!$A$2:$G$101,4,FALSE)</f>
        <v>Central</v>
      </c>
      <c r="N120" t="str">
        <f>VLOOKUP(B120,Raw_Suppliers!$A$2:$G$101,6,FALSE)</f>
        <v>ISO 14001</v>
      </c>
      <c r="O120">
        <f>VLOOKUP(B120,Raw_Suppliers!$A$2:$G$101,7,FALSE)</f>
        <v>1</v>
      </c>
      <c r="P120" t="str">
        <f t="shared" si="7"/>
        <v>Yes</v>
      </c>
      <c r="Q120">
        <f t="shared" si="8"/>
        <v>0</v>
      </c>
      <c r="R120" t="str">
        <f t="shared" si="9"/>
        <v>Late</v>
      </c>
      <c r="S120">
        <f t="shared" si="10"/>
        <v>2022</v>
      </c>
      <c r="T120">
        <f t="shared" si="11"/>
        <v>6</v>
      </c>
    </row>
    <row r="121" spans="1:20" x14ac:dyDescent="0.25">
      <c r="A121" t="s">
        <v>294</v>
      </c>
      <c r="B121" t="s">
        <v>295</v>
      </c>
      <c r="C121" t="s">
        <v>220</v>
      </c>
      <c r="D121" s="1">
        <v>44680</v>
      </c>
      <c r="E121">
        <v>9</v>
      </c>
      <c r="F121">
        <v>15.7960853461518</v>
      </c>
      <c r="G121" s="1">
        <v>44702</v>
      </c>
      <c r="H121" s="1">
        <v>44702</v>
      </c>
      <c r="I121">
        <v>142.164768115366</v>
      </c>
      <c r="J121">
        <f t="shared" si="6"/>
        <v>0</v>
      </c>
      <c r="K121" t="str">
        <f>VLOOKUP(B121,Raw_Suppliers!$A$2:$G$101,2,FALSE)</f>
        <v>Delta Quantum GmbH</v>
      </c>
      <c r="L121" t="str">
        <f>VLOOKUP(B121,Raw_Suppliers!$A$2:$G$101,3,FALSE)</f>
        <v>Brazil</v>
      </c>
      <c r="M121" t="str">
        <f>VLOOKUP(B121,Raw_Suppliers!$A$2:$G$101,4,FALSE)</f>
        <v>North</v>
      </c>
      <c r="N121" t="str">
        <f>VLOOKUP(B121,Raw_Suppliers!$A$2:$G$101,6,FALSE)</f>
        <v>ISO 9001</v>
      </c>
      <c r="O121">
        <f>VLOOKUP(B121,Raw_Suppliers!$A$2:$G$101,7,FALSE)</f>
        <v>1</v>
      </c>
      <c r="P121" t="str">
        <f t="shared" si="7"/>
        <v>Yes</v>
      </c>
      <c r="Q121">
        <f t="shared" si="8"/>
        <v>1</v>
      </c>
      <c r="R121" t="str">
        <f t="shared" si="9"/>
        <v>On Time</v>
      </c>
      <c r="S121">
        <f t="shared" si="10"/>
        <v>2022</v>
      </c>
      <c r="T121">
        <f t="shared" si="11"/>
        <v>4</v>
      </c>
    </row>
    <row r="122" spans="1:20" x14ac:dyDescent="0.25">
      <c r="A122" t="s">
        <v>296</v>
      </c>
      <c r="B122" t="s">
        <v>76</v>
      </c>
      <c r="C122" t="s">
        <v>297</v>
      </c>
      <c r="D122" s="1">
        <v>44901</v>
      </c>
      <c r="E122">
        <v>10</v>
      </c>
      <c r="F122">
        <v>49.689895957138098</v>
      </c>
      <c r="G122" s="1">
        <v>44921</v>
      </c>
      <c r="H122" s="1">
        <v>44926</v>
      </c>
      <c r="I122">
        <v>496.898959571381</v>
      </c>
      <c r="J122">
        <f t="shared" si="6"/>
        <v>5</v>
      </c>
      <c r="K122" t="str">
        <f>VLOOKUP(B122,Raw_Suppliers!$A$2:$G$101,2,FALSE)</f>
        <v>Alpha Beta Ltd</v>
      </c>
      <c r="L122" t="str">
        <f>VLOOKUP(B122,Raw_Suppliers!$A$2:$G$101,3,FALSE)</f>
        <v>UK</v>
      </c>
      <c r="M122" t="str">
        <f>VLOOKUP(B122,Raw_Suppliers!$A$2:$G$101,4,FALSE)</f>
        <v>South</v>
      </c>
      <c r="N122" t="str">
        <f>VLOOKUP(B122,Raw_Suppliers!$A$2:$G$101,6,FALSE)</f>
        <v>None</v>
      </c>
      <c r="O122">
        <f>VLOOKUP(B122,Raw_Suppliers!$A$2:$G$101,7,FALSE)</f>
        <v>1</v>
      </c>
      <c r="P122" t="str">
        <f t="shared" si="7"/>
        <v>Yes</v>
      </c>
      <c r="Q122">
        <f t="shared" si="8"/>
        <v>0</v>
      </c>
      <c r="R122" t="str">
        <f t="shared" si="9"/>
        <v>Late</v>
      </c>
      <c r="S122">
        <f t="shared" si="10"/>
        <v>2022</v>
      </c>
      <c r="T122">
        <f t="shared" si="11"/>
        <v>12</v>
      </c>
    </row>
    <row r="123" spans="1:20" x14ac:dyDescent="0.25">
      <c r="A123" t="s">
        <v>298</v>
      </c>
      <c r="B123" t="s">
        <v>299</v>
      </c>
      <c r="C123" t="s">
        <v>155</v>
      </c>
      <c r="D123" s="1">
        <v>44711</v>
      </c>
      <c r="E123">
        <v>14</v>
      </c>
      <c r="F123">
        <v>19.815473449609399</v>
      </c>
      <c r="G123" s="1">
        <v>44729</v>
      </c>
      <c r="H123" s="1">
        <v>44731</v>
      </c>
      <c r="I123">
        <v>277.41662829453202</v>
      </c>
      <c r="J123">
        <f t="shared" si="6"/>
        <v>2</v>
      </c>
      <c r="K123" t="str">
        <f>VLOOKUP(B123,Raw_Suppliers!$A$2:$G$101,2,FALSE)</f>
        <v>Nova Alpha Inc</v>
      </c>
      <c r="L123" t="str">
        <f>VLOOKUP(B123,Raw_Suppliers!$A$2:$G$101,3,FALSE)</f>
        <v>UK</v>
      </c>
      <c r="M123" t="str">
        <f>VLOOKUP(B123,Raw_Suppliers!$A$2:$G$101,4,FALSE)</f>
        <v>South</v>
      </c>
      <c r="N123" t="str">
        <f>VLOOKUP(B123,Raw_Suppliers!$A$2:$G$101,6,FALSE)</f>
        <v>None</v>
      </c>
      <c r="O123">
        <f>VLOOKUP(B123,Raw_Suppliers!$A$2:$G$101,7,FALSE)</f>
        <v>1</v>
      </c>
      <c r="P123" t="str">
        <f t="shared" si="7"/>
        <v>Yes</v>
      </c>
      <c r="Q123">
        <f t="shared" si="8"/>
        <v>0</v>
      </c>
      <c r="R123" t="str">
        <f t="shared" si="9"/>
        <v>Late</v>
      </c>
      <c r="S123">
        <f t="shared" si="10"/>
        <v>2022</v>
      </c>
      <c r="T123">
        <f t="shared" si="11"/>
        <v>5</v>
      </c>
    </row>
    <row r="124" spans="1:20" x14ac:dyDescent="0.25">
      <c r="A124" t="s">
        <v>300</v>
      </c>
      <c r="B124" t="s">
        <v>301</v>
      </c>
      <c r="C124" t="s">
        <v>302</v>
      </c>
      <c r="D124" s="1">
        <v>45108</v>
      </c>
      <c r="E124">
        <v>5</v>
      </c>
      <c r="F124">
        <v>13.3592082285743</v>
      </c>
      <c r="G124" s="1">
        <v>45125</v>
      </c>
      <c r="H124" s="1">
        <v>45129</v>
      </c>
      <c r="I124">
        <v>66.7960411428719</v>
      </c>
      <c r="J124">
        <f t="shared" si="6"/>
        <v>4</v>
      </c>
      <c r="K124" t="str">
        <f>VLOOKUP(B124,Raw_Suppliers!$A$2:$G$101,2,FALSE)</f>
        <v>Beta Eco Inc</v>
      </c>
      <c r="L124" t="str">
        <f>VLOOKUP(B124,Raw_Suppliers!$A$2:$G$101,3,FALSE)</f>
        <v>Denmark</v>
      </c>
      <c r="M124" t="str">
        <f>VLOOKUP(B124,Raw_Suppliers!$A$2:$G$101,4,FALSE)</f>
        <v>South</v>
      </c>
      <c r="N124" t="str">
        <f>VLOOKUP(B124,Raw_Suppliers!$A$2:$G$101,6,FALSE)</f>
        <v>ISO 14001</v>
      </c>
      <c r="O124">
        <f>VLOOKUP(B124,Raw_Suppliers!$A$2:$G$101,7,FALSE)</f>
        <v>1</v>
      </c>
      <c r="P124" t="str">
        <f t="shared" si="7"/>
        <v>Yes</v>
      </c>
      <c r="Q124">
        <f t="shared" si="8"/>
        <v>0</v>
      </c>
      <c r="R124" t="str">
        <f t="shared" si="9"/>
        <v>Late</v>
      </c>
      <c r="S124">
        <f t="shared" si="10"/>
        <v>2023</v>
      </c>
      <c r="T124">
        <f t="shared" si="11"/>
        <v>7</v>
      </c>
    </row>
    <row r="125" spans="1:20" x14ac:dyDescent="0.25">
      <c r="A125" t="s">
        <v>303</v>
      </c>
      <c r="B125" t="s">
        <v>37</v>
      </c>
      <c r="C125" t="s">
        <v>304</v>
      </c>
      <c r="D125" s="1">
        <v>45265</v>
      </c>
      <c r="E125">
        <v>5</v>
      </c>
      <c r="F125">
        <v>49.238352650029498</v>
      </c>
      <c r="G125" s="1">
        <v>45282</v>
      </c>
      <c r="H125" s="1">
        <v>45285</v>
      </c>
      <c r="I125">
        <v>246.19176325014701</v>
      </c>
      <c r="J125">
        <f t="shared" si="6"/>
        <v>3</v>
      </c>
      <c r="K125" t="str">
        <f>VLOOKUP(B125,Raw_Suppliers!$A$2:$G$101,2,FALSE)</f>
        <v>Apex Apex Ltd</v>
      </c>
      <c r="L125" t="str">
        <f>VLOOKUP(B125,Raw_Suppliers!$A$2:$G$101,3,FALSE)</f>
        <v>Canada</v>
      </c>
      <c r="M125" t="str">
        <f>VLOOKUP(B125,Raw_Suppliers!$A$2:$G$101,4,FALSE)</f>
        <v>East</v>
      </c>
      <c r="N125" t="str">
        <f>VLOOKUP(B125,Raw_Suppliers!$A$2:$G$101,6,FALSE)</f>
        <v>ISO 9001</v>
      </c>
      <c r="O125">
        <f>VLOOKUP(B125,Raw_Suppliers!$A$2:$G$101,7,FALSE)</f>
        <v>1</v>
      </c>
      <c r="P125" t="str">
        <f t="shared" si="7"/>
        <v>Yes</v>
      </c>
      <c r="Q125">
        <f t="shared" si="8"/>
        <v>0</v>
      </c>
      <c r="R125" t="str">
        <f t="shared" si="9"/>
        <v>Late</v>
      </c>
      <c r="S125">
        <f t="shared" si="10"/>
        <v>2023</v>
      </c>
      <c r="T125">
        <f t="shared" si="11"/>
        <v>12</v>
      </c>
    </row>
    <row r="126" spans="1:20" x14ac:dyDescent="0.25">
      <c r="A126" t="s">
        <v>305</v>
      </c>
      <c r="B126" t="s">
        <v>16</v>
      </c>
      <c r="C126" t="s">
        <v>38</v>
      </c>
      <c r="D126" s="1">
        <v>44760</v>
      </c>
      <c r="E126">
        <v>7</v>
      </c>
      <c r="F126">
        <v>18.783316836702401</v>
      </c>
      <c r="G126" s="1">
        <v>44781</v>
      </c>
      <c r="H126" s="1">
        <v>44785</v>
      </c>
      <c r="I126">
        <v>131.48321785691601</v>
      </c>
      <c r="J126">
        <f t="shared" si="6"/>
        <v>4</v>
      </c>
      <c r="K126" t="str">
        <f>VLOOKUP(B126,Raw_Suppliers!$A$2:$G$101,2,FALSE)</f>
        <v>Beta Pioneer Inc</v>
      </c>
      <c r="L126" t="str">
        <f>VLOOKUP(B126,Raw_Suppliers!$A$2:$G$101,3,FALSE)</f>
        <v>USA</v>
      </c>
      <c r="M126" t="str">
        <f>VLOOKUP(B126,Raw_Suppliers!$A$2:$G$101,4,FALSE)</f>
        <v>Central</v>
      </c>
      <c r="N126" t="str">
        <f>VLOOKUP(B126,Raw_Suppliers!$A$2:$G$101,6,FALSE)</f>
        <v>ISO 45001</v>
      </c>
      <c r="O126">
        <f>VLOOKUP(B126,Raw_Suppliers!$A$2:$G$101,7,FALSE)</f>
        <v>1</v>
      </c>
      <c r="P126" t="str">
        <f t="shared" si="7"/>
        <v>Yes</v>
      </c>
      <c r="Q126">
        <f t="shared" si="8"/>
        <v>0</v>
      </c>
      <c r="R126" t="str">
        <f t="shared" si="9"/>
        <v>Late</v>
      </c>
      <c r="S126">
        <f t="shared" si="10"/>
        <v>2022</v>
      </c>
      <c r="T126">
        <f t="shared" si="11"/>
        <v>7</v>
      </c>
    </row>
    <row r="127" spans="1:20" x14ac:dyDescent="0.25">
      <c r="A127" t="s">
        <v>306</v>
      </c>
      <c r="B127" t="s">
        <v>49</v>
      </c>
      <c r="C127" t="s">
        <v>235</v>
      </c>
      <c r="D127" s="1">
        <v>45370</v>
      </c>
      <c r="E127">
        <v>17</v>
      </c>
      <c r="F127">
        <v>35.692929575899598</v>
      </c>
      <c r="G127" s="1">
        <v>45383</v>
      </c>
      <c r="H127" s="1">
        <v>45387</v>
      </c>
      <c r="I127">
        <v>606.77980279029396</v>
      </c>
      <c r="J127">
        <f t="shared" si="6"/>
        <v>4</v>
      </c>
      <c r="K127" t="str">
        <f>VLOOKUP(B127,Raw_Suppliers!$A$2:$G$101,2,FALSE)</f>
        <v>Prime Prime Corp</v>
      </c>
      <c r="L127" t="str">
        <f>VLOOKUP(B127,Raw_Suppliers!$A$2:$G$101,3,FALSE)</f>
        <v>China</v>
      </c>
      <c r="M127" t="str">
        <f>VLOOKUP(B127,Raw_Suppliers!$A$2:$G$101,4,FALSE)</f>
        <v>North</v>
      </c>
      <c r="N127" t="str">
        <f>VLOOKUP(B127,Raw_Suppliers!$A$2:$G$101,6,FALSE)</f>
        <v>ISO 45001</v>
      </c>
      <c r="O127">
        <f>VLOOKUP(B127,Raw_Suppliers!$A$2:$G$101,7,FALSE)</f>
        <v>0</v>
      </c>
      <c r="P127" t="str">
        <f t="shared" si="7"/>
        <v>No</v>
      </c>
      <c r="Q127">
        <f t="shared" si="8"/>
        <v>0</v>
      </c>
      <c r="R127" t="str">
        <f t="shared" si="9"/>
        <v>Late</v>
      </c>
      <c r="S127">
        <f t="shared" si="10"/>
        <v>2024</v>
      </c>
      <c r="T127">
        <f t="shared" si="11"/>
        <v>3</v>
      </c>
    </row>
    <row r="128" spans="1:20" x14ac:dyDescent="0.25">
      <c r="A128" t="s">
        <v>307</v>
      </c>
      <c r="B128" t="s">
        <v>247</v>
      </c>
      <c r="C128" t="s">
        <v>308</v>
      </c>
      <c r="D128" s="1">
        <v>44592</v>
      </c>
      <c r="E128">
        <v>7</v>
      </c>
      <c r="F128">
        <v>43.473545214901499</v>
      </c>
      <c r="G128" s="1">
        <v>44610</v>
      </c>
      <c r="H128" s="1">
        <v>44616</v>
      </c>
      <c r="I128">
        <v>304.31481650431101</v>
      </c>
      <c r="J128">
        <f t="shared" si="6"/>
        <v>6</v>
      </c>
      <c r="K128" t="str">
        <f>VLOOKUP(B128,Raw_Suppliers!$A$2:$G$101,2,FALSE)</f>
        <v>Ultra Apex LLC</v>
      </c>
      <c r="L128" t="str">
        <f>VLOOKUP(B128,Raw_Suppliers!$A$2:$G$101,3,FALSE)</f>
        <v>Germany</v>
      </c>
      <c r="M128" t="str">
        <f>VLOOKUP(B128,Raw_Suppliers!$A$2:$G$101,4,FALSE)</f>
        <v>West</v>
      </c>
      <c r="N128" t="str">
        <f>VLOOKUP(B128,Raw_Suppliers!$A$2:$G$101,6,FALSE)</f>
        <v>ISO 9001</v>
      </c>
      <c r="O128">
        <f>VLOOKUP(B128,Raw_Suppliers!$A$2:$G$101,7,FALSE)</f>
        <v>0</v>
      </c>
      <c r="P128" t="str">
        <f t="shared" si="7"/>
        <v>No</v>
      </c>
      <c r="Q128">
        <f t="shared" si="8"/>
        <v>0</v>
      </c>
      <c r="R128" t="str">
        <f t="shared" si="9"/>
        <v>Late</v>
      </c>
      <c r="S128">
        <f t="shared" si="10"/>
        <v>2022</v>
      </c>
      <c r="T128">
        <f t="shared" si="11"/>
        <v>1</v>
      </c>
    </row>
    <row r="129" spans="1:20" x14ac:dyDescent="0.25">
      <c r="A129" t="s">
        <v>309</v>
      </c>
      <c r="B129" t="s">
        <v>140</v>
      </c>
      <c r="C129" t="s">
        <v>310</v>
      </c>
      <c r="D129" s="1">
        <v>44477</v>
      </c>
      <c r="E129">
        <v>9</v>
      </c>
      <c r="F129">
        <v>10.554327408904101</v>
      </c>
      <c r="G129" s="1">
        <v>44492</v>
      </c>
      <c r="H129" s="1">
        <v>44497</v>
      </c>
      <c r="I129">
        <v>94.988946680137502</v>
      </c>
      <c r="J129">
        <f t="shared" si="6"/>
        <v>5</v>
      </c>
      <c r="K129" t="str">
        <f>VLOOKUP(B129,Raw_Suppliers!$A$2:$G$101,2,FALSE)</f>
        <v>Gamma Quantum Inc</v>
      </c>
      <c r="L129" t="str">
        <f>VLOOKUP(B129,Raw_Suppliers!$A$2:$G$101,3,FALSE)</f>
        <v>Germany</v>
      </c>
      <c r="M129" t="str">
        <f>VLOOKUP(B129,Raw_Suppliers!$A$2:$G$101,4,FALSE)</f>
        <v>North</v>
      </c>
      <c r="N129" t="str">
        <f>VLOOKUP(B129,Raw_Suppliers!$A$2:$G$101,6,FALSE)</f>
        <v>None</v>
      </c>
      <c r="O129">
        <f>VLOOKUP(B129,Raw_Suppliers!$A$2:$G$101,7,FALSE)</f>
        <v>1</v>
      </c>
      <c r="P129" t="str">
        <f t="shared" si="7"/>
        <v>Yes</v>
      </c>
      <c r="Q129">
        <f t="shared" si="8"/>
        <v>0</v>
      </c>
      <c r="R129" t="str">
        <f t="shared" si="9"/>
        <v>Late</v>
      </c>
      <c r="S129">
        <f t="shared" si="10"/>
        <v>2021</v>
      </c>
      <c r="T129">
        <f t="shared" si="11"/>
        <v>10</v>
      </c>
    </row>
    <row r="130" spans="1:20" x14ac:dyDescent="0.25">
      <c r="A130" t="s">
        <v>311</v>
      </c>
      <c r="B130" t="s">
        <v>261</v>
      </c>
      <c r="C130" t="s">
        <v>312</v>
      </c>
      <c r="D130" s="1">
        <v>45385</v>
      </c>
      <c r="E130">
        <v>11</v>
      </c>
      <c r="F130">
        <v>48.124027527779603</v>
      </c>
      <c r="G130" s="1">
        <v>45405</v>
      </c>
      <c r="H130" s="1">
        <v>45402</v>
      </c>
      <c r="I130">
        <v>529.36430280557602</v>
      </c>
      <c r="J130">
        <f t="shared" si="6"/>
        <v>-3</v>
      </c>
      <c r="K130" t="str">
        <f>VLOOKUP(B130,Raw_Suppliers!$A$2:$G$101,2,FALSE)</f>
        <v>Delta Fusion Corp</v>
      </c>
      <c r="L130" t="str">
        <f>VLOOKUP(B130,Raw_Suppliers!$A$2:$G$101,3,FALSE)</f>
        <v>Denmark</v>
      </c>
      <c r="M130" t="str">
        <f>VLOOKUP(B130,Raw_Suppliers!$A$2:$G$101,4,FALSE)</f>
        <v>West</v>
      </c>
      <c r="N130" t="str">
        <f>VLOOKUP(B130,Raw_Suppliers!$A$2:$G$101,6,FALSE)</f>
        <v>ISO 45001</v>
      </c>
      <c r="O130">
        <f>VLOOKUP(B130,Raw_Suppliers!$A$2:$G$101,7,FALSE)</f>
        <v>0</v>
      </c>
      <c r="P130" t="str">
        <f t="shared" si="7"/>
        <v>No</v>
      </c>
      <c r="Q130">
        <f t="shared" si="8"/>
        <v>1</v>
      </c>
      <c r="R130" t="str">
        <f t="shared" si="9"/>
        <v>On Time</v>
      </c>
      <c r="S130">
        <f t="shared" si="10"/>
        <v>2024</v>
      </c>
      <c r="T130">
        <f t="shared" si="11"/>
        <v>4</v>
      </c>
    </row>
    <row r="131" spans="1:20" x14ac:dyDescent="0.25">
      <c r="A131" t="s">
        <v>313</v>
      </c>
      <c r="B131" t="s">
        <v>314</v>
      </c>
      <c r="C131" t="s">
        <v>281</v>
      </c>
      <c r="D131" s="1">
        <v>45289</v>
      </c>
      <c r="E131">
        <v>8</v>
      </c>
      <c r="F131">
        <v>46.078050505753602</v>
      </c>
      <c r="G131" s="1">
        <v>45299</v>
      </c>
      <c r="H131" s="1">
        <v>45299</v>
      </c>
      <c r="I131">
        <v>368.62440404602899</v>
      </c>
      <c r="J131">
        <f t="shared" ref="J131:J194" si="12">H131-G131</f>
        <v>0</v>
      </c>
      <c r="K131" t="str">
        <f>VLOOKUP(B131,Raw_Suppliers!$A$2:$G$101,2,FALSE)</f>
        <v>Gamma Nova Ltd</v>
      </c>
      <c r="L131" t="str">
        <f>VLOOKUP(B131,Raw_Suppliers!$A$2:$G$101,3,FALSE)</f>
        <v>USA</v>
      </c>
      <c r="M131" t="str">
        <f>VLOOKUP(B131,Raw_Suppliers!$A$2:$G$101,4,FALSE)</f>
        <v>North</v>
      </c>
      <c r="N131" t="str">
        <f>VLOOKUP(B131,Raw_Suppliers!$A$2:$G$101,6,FALSE)</f>
        <v>ISO 45001</v>
      </c>
      <c r="O131">
        <f>VLOOKUP(B131,Raw_Suppliers!$A$2:$G$101,7,FALSE)</f>
        <v>0</v>
      </c>
      <c r="P131" t="str">
        <f t="shared" ref="P131:P194" si="13">IF(O131=1,"Yes","No")</f>
        <v>No</v>
      </c>
      <c r="Q131">
        <f t="shared" ref="Q131:Q194" si="14">IF(J131&lt;=0,1,0)</f>
        <v>1</v>
      </c>
      <c r="R131" t="str">
        <f t="shared" ref="R131:R194" si="15">IF(Q131=1,"On Time","Late")</f>
        <v>On Time</v>
      </c>
      <c r="S131">
        <f t="shared" ref="S131:S194" si="16">YEAR(D131)</f>
        <v>2023</v>
      </c>
      <c r="T131">
        <f t="shared" ref="T131:T194" si="17">MONTH(D131)</f>
        <v>12</v>
      </c>
    </row>
    <row r="132" spans="1:20" x14ac:dyDescent="0.25">
      <c r="A132" t="s">
        <v>315</v>
      </c>
      <c r="B132" t="s">
        <v>88</v>
      </c>
      <c r="C132" t="s">
        <v>131</v>
      </c>
      <c r="D132" s="1">
        <v>45005</v>
      </c>
      <c r="E132">
        <v>11</v>
      </c>
      <c r="F132">
        <v>59.780950518175601</v>
      </c>
      <c r="G132" s="1">
        <v>45019</v>
      </c>
      <c r="H132" s="1">
        <v>45018</v>
      </c>
      <c r="I132">
        <v>657.59045569993202</v>
      </c>
      <c r="J132">
        <f t="shared" si="12"/>
        <v>-1</v>
      </c>
      <c r="K132" t="str">
        <f>VLOOKUP(B132,Raw_Suppliers!$A$2:$G$101,2,FALSE)</f>
        <v>Eco Nano GmbH</v>
      </c>
      <c r="L132" t="str">
        <f>VLOOKUP(B132,Raw_Suppliers!$A$2:$G$101,3,FALSE)</f>
        <v>Denmark</v>
      </c>
      <c r="M132" t="str">
        <f>VLOOKUP(B132,Raw_Suppliers!$A$2:$G$101,4,FALSE)</f>
        <v>Central</v>
      </c>
      <c r="N132" t="str">
        <f>VLOOKUP(B132,Raw_Suppliers!$A$2:$G$101,6,FALSE)</f>
        <v>ISO 9001</v>
      </c>
      <c r="O132">
        <f>VLOOKUP(B132,Raw_Suppliers!$A$2:$G$101,7,FALSE)</f>
        <v>1</v>
      </c>
      <c r="P132" t="str">
        <f t="shared" si="13"/>
        <v>Yes</v>
      </c>
      <c r="Q132">
        <f t="shared" si="14"/>
        <v>1</v>
      </c>
      <c r="R132" t="str">
        <f t="shared" si="15"/>
        <v>On Time</v>
      </c>
      <c r="S132">
        <f t="shared" si="16"/>
        <v>2023</v>
      </c>
      <c r="T132">
        <f t="shared" si="17"/>
        <v>3</v>
      </c>
    </row>
    <row r="133" spans="1:20" x14ac:dyDescent="0.25">
      <c r="A133" t="s">
        <v>316</v>
      </c>
      <c r="B133" t="s">
        <v>37</v>
      </c>
      <c r="C133" t="s">
        <v>317</v>
      </c>
      <c r="D133" s="1">
        <v>45186</v>
      </c>
      <c r="E133">
        <v>15</v>
      </c>
      <c r="F133">
        <v>36.457850238253599</v>
      </c>
      <c r="G133" s="1">
        <v>45207</v>
      </c>
      <c r="H133" s="1">
        <v>45211</v>
      </c>
      <c r="I133">
        <v>546.86775357380395</v>
      </c>
      <c r="J133">
        <f t="shared" si="12"/>
        <v>4</v>
      </c>
      <c r="K133" t="str">
        <f>VLOOKUP(B133,Raw_Suppliers!$A$2:$G$101,2,FALSE)</f>
        <v>Apex Apex Ltd</v>
      </c>
      <c r="L133" t="str">
        <f>VLOOKUP(B133,Raw_Suppliers!$A$2:$G$101,3,FALSE)</f>
        <v>Canada</v>
      </c>
      <c r="M133" t="str">
        <f>VLOOKUP(B133,Raw_Suppliers!$A$2:$G$101,4,FALSE)</f>
        <v>East</v>
      </c>
      <c r="N133" t="str">
        <f>VLOOKUP(B133,Raw_Suppliers!$A$2:$G$101,6,FALSE)</f>
        <v>ISO 9001</v>
      </c>
      <c r="O133">
        <f>VLOOKUP(B133,Raw_Suppliers!$A$2:$G$101,7,FALSE)</f>
        <v>1</v>
      </c>
      <c r="P133" t="str">
        <f t="shared" si="13"/>
        <v>Yes</v>
      </c>
      <c r="Q133">
        <f t="shared" si="14"/>
        <v>0</v>
      </c>
      <c r="R133" t="str">
        <f t="shared" si="15"/>
        <v>Late</v>
      </c>
      <c r="S133">
        <f t="shared" si="16"/>
        <v>2023</v>
      </c>
      <c r="T133">
        <f t="shared" si="17"/>
        <v>9</v>
      </c>
    </row>
    <row r="134" spans="1:20" x14ac:dyDescent="0.25">
      <c r="A134" t="s">
        <v>318</v>
      </c>
      <c r="B134" t="s">
        <v>46</v>
      </c>
      <c r="C134" t="s">
        <v>133</v>
      </c>
      <c r="D134" s="1">
        <v>45186</v>
      </c>
      <c r="E134">
        <v>11</v>
      </c>
      <c r="F134">
        <v>42.275857428671998</v>
      </c>
      <c r="G134" s="1">
        <v>45204</v>
      </c>
      <c r="H134" s="1">
        <v>45201</v>
      </c>
      <c r="I134">
        <v>465.03443171539197</v>
      </c>
      <c r="J134">
        <f t="shared" si="12"/>
        <v>-3</v>
      </c>
      <c r="K134" t="str">
        <f>VLOOKUP(B134,Raw_Suppliers!$A$2:$G$101,2,FALSE)</f>
        <v>Prime Prime Inc</v>
      </c>
      <c r="L134" t="str">
        <f>VLOOKUP(B134,Raw_Suppliers!$A$2:$G$101,3,FALSE)</f>
        <v>UK</v>
      </c>
      <c r="M134" t="str">
        <f>VLOOKUP(B134,Raw_Suppliers!$A$2:$G$101,4,FALSE)</f>
        <v>South</v>
      </c>
      <c r="N134" t="str">
        <f>VLOOKUP(B134,Raw_Suppliers!$A$2:$G$101,6,FALSE)</f>
        <v>None</v>
      </c>
      <c r="O134">
        <f>VLOOKUP(B134,Raw_Suppliers!$A$2:$G$101,7,FALSE)</f>
        <v>1</v>
      </c>
      <c r="P134" t="str">
        <f t="shared" si="13"/>
        <v>Yes</v>
      </c>
      <c r="Q134">
        <f t="shared" si="14"/>
        <v>1</v>
      </c>
      <c r="R134" t="str">
        <f t="shared" si="15"/>
        <v>On Time</v>
      </c>
      <c r="S134">
        <f t="shared" si="16"/>
        <v>2023</v>
      </c>
      <c r="T134">
        <f t="shared" si="17"/>
        <v>9</v>
      </c>
    </row>
    <row r="135" spans="1:20" x14ac:dyDescent="0.25">
      <c r="A135" t="s">
        <v>319</v>
      </c>
      <c r="B135" t="s">
        <v>28</v>
      </c>
      <c r="C135" t="s">
        <v>259</v>
      </c>
      <c r="D135" s="1">
        <v>44740</v>
      </c>
      <c r="E135">
        <v>12</v>
      </c>
      <c r="F135">
        <v>27.850782436200799</v>
      </c>
      <c r="G135" s="1">
        <v>44762</v>
      </c>
      <c r="H135" s="1">
        <v>44766</v>
      </c>
      <c r="I135">
        <v>334.20938923441003</v>
      </c>
      <c r="J135">
        <f t="shared" si="12"/>
        <v>4</v>
      </c>
      <c r="K135" t="str">
        <f>VLOOKUP(B135,Raw_Suppliers!$A$2:$G$101,2,FALSE)</f>
        <v>Fusion Vertex Inc</v>
      </c>
      <c r="L135" t="str">
        <f>VLOOKUP(B135,Raw_Suppliers!$A$2:$G$101,3,FALSE)</f>
        <v>Denmark</v>
      </c>
      <c r="M135" t="str">
        <f>VLOOKUP(B135,Raw_Suppliers!$A$2:$G$101,4,FALSE)</f>
        <v>Central</v>
      </c>
      <c r="N135" t="str">
        <f>VLOOKUP(B135,Raw_Suppliers!$A$2:$G$101,6,FALSE)</f>
        <v>ISO 45001</v>
      </c>
      <c r="O135">
        <f>VLOOKUP(B135,Raw_Suppliers!$A$2:$G$101,7,FALSE)</f>
        <v>0</v>
      </c>
      <c r="P135" t="str">
        <f t="shared" si="13"/>
        <v>No</v>
      </c>
      <c r="Q135">
        <f t="shared" si="14"/>
        <v>0</v>
      </c>
      <c r="R135" t="str">
        <f t="shared" si="15"/>
        <v>Late</v>
      </c>
      <c r="S135">
        <f t="shared" si="16"/>
        <v>2022</v>
      </c>
      <c r="T135">
        <f t="shared" si="17"/>
        <v>6</v>
      </c>
    </row>
    <row r="136" spans="1:20" x14ac:dyDescent="0.25">
      <c r="A136" t="s">
        <v>320</v>
      </c>
      <c r="B136" t="s">
        <v>321</v>
      </c>
      <c r="C136" t="s">
        <v>133</v>
      </c>
      <c r="D136" s="1">
        <v>45324</v>
      </c>
      <c r="E136">
        <v>10</v>
      </c>
      <c r="F136">
        <v>25.292413786323898</v>
      </c>
      <c r="G136" s="1">
        <v>45340</v>
      </c>
      <c r="H136" s="1">
        <v>45341</v>
      </c>
      <c r="I136">
        <v>252.924137863239</v>
      </c>
      <c r="J136">
        <f t="shared" si="12"/>
        <v>1</v>
      </c>
      <c r="K136" t="str">
        <f>VLOOKUP(B136,Raw_Suppliers!$A$2:$G$101,2,FALSE)</f>
        <v>Vertex Delta LLC</v>
      </c>
      <c r="L136" t="str">
        <f>VLOOKUP(B136,Raw_Suppliers!$A$2:$G$101,3,FALSE)</f>
        <v>India</v>
      </c>
      <c r="M136" t="str">
        <f>VLOOKUP(B136,Raw_Suppliers!$A$2:$G$101,4,FALSE)</f>
        <v>South</v>
      </c>
      <c r="N136" t="str">
        <f>VLOOKUP(B136,Raw_Suppliers!$A$2:$G$101,6,FALSE)</f>
        <v>ISO 45001</v>
      </c>
      <c r="O136">
        <f>VLOOKUP(B136,Raw_Suppliers!$A$2:$G$101,7,FALSE)</f>
        <v>0</v>
      </c>
      <c r="P136" t="str">
        <f t="shared" si="13"/>
        <v>No</v>
      </c>
      <c r="Q136">
        <f t="shared" si="14"/>
        <v>0</v>
      </c>
      <c r="R136" t="str">
        <f t="shared" si="15"/>
        <v>Late</v>
      </c>
      <c r="S136">
        <f t="shared" si="16"/>
        <v>2024</v>
      </c>
      <c r="T136">
        <f t="shared" si="17"/>
        <v>2</v>
      </c>
    </row>
    <row r="137" spans="1:20" x14ac:dyDescent="0.25">
      <c r="A137" t="s">
        <v>322</v>
      </c>
      <c r="B137" t="s">
        <v>119</v>
      </c>
      <c r="C137" t="s">
        <v>238</v>
      </c>
      <c r="D137" s="1">
        <v>45070</v>
      </c>
      <c r="E137">
        <v>12</v>
      </c>
      <c r="F137">
        <v>12.512330918187301</v>
      </c>
      <c r="G137" s="1">
        <v>45087</v>
      </c>
      <c r="H137" s="1">
        <v>45088</v>
      </c>
      <c r="I137">
        <v>150.14797101824701</v>
      </c>
      <c r="J137">
        <f t="shared" si="12"/>
        <v>1</v>
      </c>
      <c r="K137" t="str">
        <f>VLOOKUP(B137,Raw_Suppliers!$A$2:$G$101,2,FALSE)</f>
        <v>Pioneer Apex Corp</v>
      </c>
      <c r="L137" t="str">
        <f>VLOOKUP(B137,Raw_Suppliers!$A$2:$G$101,3,FALSE)</f>
        <v>USA</v>
      </c>
      <c r="M137" t="str">
        <f>VLOOKUP(B137,Raw_Suppliers!$A$2:$G$101,4,FALSE)</f>
        <v>Central</v>
      </c>
      <c r="N137" t="str">
        <f>VLOOKUP(B137,Raw_Suppliers!$A$2:$G$101,6,FALSE)</f>
        <v>None</v>
      </c>
      <c r="O137">
        <f>VLOOKUP(B137,Raw_Suppliers!$A$2:$G$101,7,FALSE)</f>
        <v>0</v>
      </c>
      <c r="P137" t="str">
        <f t="shared" si="13"/>
        <v>No</v>
      </c>
      <c r="Q137">
        <f t="shared" si="14"/>
        <v>0</v>
      </c>
      <c r="R137" t="str">
        <f t="shared" si="15"/>
        <v>Late</v>
      </c>
      <c r="S137">
        <f t="shared" si="16"/>
        <v>2023</v>
      </c>
      <c r="T137">
        <f t="shared" si="17"/>
        <v>5</v>
      </c>
    </row>
    <row r="138" spans="1:20" x14ac:dyDescent="0.25">
      <c r="A138" t="s">
        <v>323</v>
      </c>
      <c r="B138" t="s">
        <v>324</v>
      </c>
      <c r="C138" t="s">
        <v>105</v>
      </c>
      <c r="D138" s="1">
        <v>44494</v>
      </c>
      <c r="E138">
        <v>13</v>
      </c>
      <c r="F138">
        <v>53.888898767440899</v>
      </c>
      <c r="G138" s="1">
        <v>44516</v>
      </c>
      <c r="H138" s="1">
        <v>44515</v>
      </c>
      <c r="I138">
        <v>700.55568397673198</v>
      </c>
      <c r="J138">
        <f t="shared" si="12"/>
        <v>-1</v>
      </c>
      <c r="K138" t="str">
        <f>VLOOKUP(B138,Raw_Suppliers!$A$2:$G$101,2,FALSE)</f>
        <v>Gamma Nano Corp</v>
      </c>
      <c r="L138" t="str">
        <f>VLOOKUP(B138,Raw_Suppliers!$A$2:$G$101,3,FALSE)</f>
        <v>Germany</v>
      </c>
      <c r="M138" t="str">
        <f>VLOOKUP(B138,Raw_Suppliers!$A$2:$G$101,4,FALSE)</f>
        <v>West</v>
      </c>
      <c r="N138" t="str">
        <f>VLOOKUP(B138,Raw_Suppliers!$A$2:$G$101,6,FALSE)</f>
        <v>ISO 9001</v>
      </c>
      <c r="O138">
        <f>VLOOKUP(B138,Raw_Suppliers!$A$2:$G$101,7,FALSE)</f>
        <v>0</v>
      </c>
      <c r="P138" t="str">
        <f t="shared" si="13"/>
        <v>No</v>
      </c>
      <c r="Q138">
        <f t="shared" si="14"/>
        <v>1</v>
      </c>
      <c r="R138" t="str">
        <f t="shared" si="15"/>
        <v>On Time</v>
      </c>
      <c r="S138">
        <f t="shared" si="16"/>
        <v>2021</v>
      </c>
      <c r="T138">
        <f t="shared" si="17"/>
        <v>10</v>
      </c>
    </row>
    <row r="139" spans="1:20" x14ac:dyDescent="0.25">
      <c r="A139" t="s">
        <v>325</v>
      </c>
      <c r="B139" t="s">
        <v>326</v>
      </c>
      <c r="C139" t="s">
        <v>117</v>
      </c>
      <c r="D139" s="1">
        <v>44590</v>
      </c>
      <c r="E139">
        <v>12</v>
      </c>
      <c r="F139">
        <v>6.7827651956306303</v>
      </c>
      <c r="G139" s="1">
        <v>44602</v>
      </c>
      <c r="H139" s="1">
        <v>44599</v>
      </c>
      <c r="I139">
        <v>81.393182347567603</v>
      </c>
      <c r="J139">
        <f t="shared" si="12"/>
        <v>-3</v>
      </c>
      <c r="K139" t="str">
        <f>VLOOKUP(B139,Raw_Suppliers!$A$2:$G$101,2,FALSE)</f>
        <v>Ultra Fusion Corp</v>
      </c>
      <c r="L139" t="str">
        <f>VLOOKUP(B139,Raw_Suppliers!$A$2:$G$101,3,FALSE)</f>
        <v>Canada</v>
      </c>
      <c r="M139" t="str">
        <f>VLOOKUP(B139,Raw_Suppliers!$A$2:$G$101,4,FALSE)</f>
        <v>South</v>
      </c>
      <c r="N139" t="str">
        <f>VLOOKUP(B139,Raw_Suppliers!$A$2:$G$101,6,FALSE)</f>
        <v>None</v>
      </c>
      <c r="O139">
        <f>VLOOKUP(B139,Raw_Suppliers!$A$2:$G$101,7,FALSE)</f>
        <v>1</v>
      </c>
      <c r="P139" t="str">
        <f t="shared" si="13"/>
        <v>Yes</v>
      </c>
      <c r="Q139">
        <f t="shared" si="14"/>
        <v>1</v>
      </c>
      <c r="R139" t="str">
        <f t="shared" si="15"/>
        <v>On Time</v>
      </c>
      <c r="S139">
        <f t="shared" si="16"/>
        <v>2022</v>
      </c>
      <c r="T139">
        <f t="shared" si="17"/>
        <v>1</v>
      </c>
    </row>
    <row r="140" spans="1:20" x14ac:dyDescent="0.25">
      <c r="A140" t="s">
        <v>327</v>
      </c>
      <c r="B140" t="s">
        <v>109</v>
      </c>
      <c r="C140" t="s">
        <v>328</v>
      </c>
      <c r="D140" s="1">
        <v>44608</v>
      </c>
      <c r="E140">
        <v>14</v>
      </c>
      <c r="F140">
        <v>50.651614456048002</v>
      </c>
      <c r="G140" s="1">
        <v>44632</v>
      </c>
      <c r="H140" s="1">
        <v>44638</v>
      </c>
      <c r="I140">
        <v>709.12260238467195</v>
      </c>
      <c r="J140">
        <f t="shared" si="12"/>
        <v>6</v>
      </c>
      <c r="K140" t="str">
        <f>VLOOKUP(B140,Raw_Suppliers!$A$2:$G$101,2,FALSE)</f>
        <v>Nano Fusion GmbH</v>
      </c>
      <c r="L140" t="str">
        <f>VLOOKUP(B140,Raw_Suppliers!$A$2:$G$101,3,FALSE)</f>
        <v>Denmark</v>
      </c>
      <c r="M140" t="str">
        <f>VLOOKUP(B140,Raw_Suppliers!$A$2:$G$101,4,FALSE)</f>
        <v>North</v>
      </c>
      <c r="N140" t="str">
        <f>VLOOKUP(B140,Raw_Suppliers!$A$2:$G$101,6,FALSE)</f>
        <v>ISO 9001</v>
      </c>
      <c r="O140">
        <f>VLOOKUP(B140,Raw_Suppliers!$A$2:$G$101,7,FALSE)</f>
        <v>0</v>
      </c>
      <c r="P140" t="str">
        <f t="shared" si="13"/>
        <v>No</v>
      </c>
      <c r="Q140">
        <f t="shared" si="14"/>
        <v>0</v>
      </c>
      <c r="R140" t="str">
        <f t="shared" si="15"/>
        <v>Late</v>
      </c>
      <c r="S140">
        <f t="shared" si="16"/>
        <v>2022</v>
      </c>
      <c r="T140">
        <f t="shared" si="17"/>
        <v>2</v>
      </c>
    </row>
    <row r="141" spans="1:20" x14ac:dyDescent="0.25">
      <c r="A141" t="s">
        <v>329</v>
      </c>
      <c r="B141" t="s">
        <v>70</v>
      </c>
      <c r="C141" t="s">
        <v>44</v>
      </c>
      <c r="D141" s="1">
        <v>44627</v>
      </c>
      <c r="E141">
        <v>11</v>
      </c>
      <c r="F141">
        <v>11.402181504704499</v>
      </c>
      <c r="G141" s="1">
        <v>44647</v>
      </c>
      <c r="H141" s="1">
        <v>44652</v>
      </c>
      <c r="I141">
        <v>125.423996551749</v>
      </c>
      <c r="J141">
        <f t="shared" si="12"/>
        <v>5</v>
      </c>
      <c r="K141" t="str">
        <f>VLOOKUP(B141,Raw_Suppliers!$A$2:$G$101,2,FALSE)</f>
        <v>Prime Nano Ltd</v>
      </c>
      <c r="L141" t="str">
        <f>VLOOKUP(B141,Raw_Suppliers!$A$2:$G$101,3,FALSE)</f>
        <v>USA</v>
      </c>
      <c r="M141" t="str">
        <f>VLOOKUP(B141,Raw_Suppliers!$A$2:$G$101,4,FALSE)</f>
        <v>Central</v>
      </c>
      <c r="N141" t="str">
        <f>VLOOKUP(B141,Raw_Suppliers!$A$2:$G$101,6,FALSE)</f>
        <v>ISO 45001</v>
      </c>
      <c r="O141">
        <f>VLOOKUP(B141,Raw_Suppliers!$A$2:$G$101,7,FALSE)</f>
        <v>0</v>
      </c>
      <c r="P141" t="str">
        <f t="shared" si="13"/>
        <v>No</v>
      </c>
      <c r="Q141">
        <f t="shared" si="14"/>
        <v>0</v>
      </c>
      <c r="R141" t="str">
        <f t="shared" si="15"/>
        <v>Late</v>
      </c>
      <c r="S141">
        <f t="shared" si="16"/>
        <v>2022</v>
      </c>
      <c r="T141">
        <f t="shared" si="17"/>
        <v>3</v>
      </c>
    </row>
    <row r="142" spans="1:20" x14ac:dyDescent="0.25">
      <c r="A142" t="s">
        <v>330</v>
      </c>
      <c r="B142" t="s">
        <v>31</v>
      </c>
      <c r="C142" t="s">
        <v>331</v>
      </c>
      <c r="D142" s="1">
        <v>45211</v>
      </c>
      <c r="E142">
        <v>10</v>
      </c>
      <c r="F142">
        <v>4.0331991677761998</v>
      </c>
      <c r="G142" s="1">
        <v>45224</v>
      </c>
      <c r="H142" s="1">
        <v>45224</v>
      </c>
      <c r="I142">
        <v>40.331991677761998</v>
      </c>
      <c r="J142">
        <f t="shared" si="12"/>
        <v>0</v>
      </c>
      <c r="K142" t="str">
        <f>VLOOKUP(B142,Raw_Suppliers!$A$2:$G$101,2,FALSE)</f>
        <v>Nova Nano GmbH</v>
      </c>
      <c r="L142" t="str">
        <f>VLOOKUP(B142,Raw_Suppliers!$A$2:$G$101,3,FALSE)</f>
        <v>Denmark</v>
      </c>
      <c r="M142" t="str">
        <f>VLOOKUP(B142,Raw_Suppliers!$A$2:$G$101,4,FALSE)</f>
        <v>South</v>
      </c>
      <c r="N142" t="str">
        <f>VLOOKUP(B142,Raw_Suppliers!$A$2:$G$101,6,FALSE)</f>
        <v>ISO 14001</v>
      </c>
      <c r="O142">
        <f>VLOOKUP(B142,Raw_Suppliers!$A$2:$G$101,7,FALSE)</f>
        <v>1</v>
      </c>
      <c r="P142" t="str">
        <f t="shared" si="13"/>
        <v>Yes</v>
      </c>
      <c r="Q142">
        <f t="shared" si="14"/>
        <v>1</v>
      </c>
      <c r="R142" t="str">
        <f t="shared" si="15"/>
        <v>On Time</v>
      </c>
      <c r="S142">
        <f t="shared" si="16"/>
        <v>2023</v>
      </c>
      <c r="T142">
        <f t="shared" si="17"/>
        <v>10</v>
      </c>
    </row>
    <row r="143" spans="1:20" x14ac:dyDescent="0.25">
      <c r="A143" t="s">
        <v>332</v>
      </c>
      <c r="B143" t="s">
        <v>293</v>
      </c>
      <c r="C143" t="s">
        <v>20</v>
      </c>
      <c r="D143" s="1">
        <v>44271</v>
      </c>
      <c r="E143">
        <v>10</v>
      </c>
      <c r="F143">
        <v>42.076542859214698</v>
      </c>
      <c r="G143" s="1">
        <v>44295</v>
      </c>
      <c r="H143" s="1">
        <v>44292</v>
      </c>
      <c r="I143">
        <v>420.76542859214698</v>
      </c>
      <c r="J143">
        <f t="shared" si="12"/>
        <v>-3</v>
      </c>
      <c r="K143" t="str">
        <f>VLOOKUP(B143,Raw_Suppliers!$A$2:$G$101,2,FALSE)</f>
        <v>Fusion Apex LLC</v>
      </c>
      <c r="L143" t="str">
        <f>VLOOKUP(B143,Raw_Suppliers!$A$2:$G$101,3,FALSE)</f>
        <v>India</v>
      </c>
      <c r="M143" t="str">
        <f>VLOOKUP(B143,Raw_Suppliers!$A$2:$G$101,4,FALSE)</f>
        <v>Central</v>
      </c>
      <c r="N143" t="str">
        <f>VLOOKUP(B143,Raw_Suppliers!$A$2:$G$101,6,FALSE)</f>
        <v>ISO 14001</v>
      </c>
      <c r="O143">
        <f>VLOOKUP(B143,Raw_Suppliers!$A$2:$G$101,7,FALSE)</f>
        <v>1</v>
      </c>
      <c r="P143" t="str">
        <f t="shared" si="13"/>
        <v>Yes</v>
      </c>
      <c r="Q143">
        <f t="shared" si="14"/>
        <v>1</v>
      </c>
      <c r="R143" t="str">
        <f t="shared" si="15"/>
        <v>On Time</v>
      </c>
      <c r="S143">
        <f t="shared" si="16"/>
        <v>2021</v>
      </c>
      <c r="T143">
        <f t="shared" si="17"/>
        <v>3</v>
      </c>
    </row>
    <row r="144" spans="1:20" x14ac:dyDescent="0.25">
      <c r="A144" t="s">
        <v>333</v>
      </c>
      <c r="B144" t="s">
        <v>52</v>
      </c>
      <c r="C144" t="s">
        <v>334</v>
      </c>
      <c r="D144" s="1">
        <v>44233</v>
      </c>
      <c r="E144">
        <v>14</v>
      </c>
      <c r="F144">
        <v>26.857518562174</v>
      </c>
      <c r="G144" s="1">
        <v>44251</v>
      </c>
      <c r="H144" s="1">
        <v>44253</v>
      </c>
      <c r="I144">
        <v>376.00525987043602</v>
      </c>
      <c r="J144">
        <f t="shared" si="12"/>
        <v>2</v>
      </c>
      <c r="K144" t="str">
        <f>VLOOKUP(B144,Raw_Suppliers!$A$2:$G$101,2,FALSE)</f>
        <v>Beta Nano Corp</v>
      </c>
      <c r="L144" t="str">
        <f>VLOOKUP(B144,Raw_Suppliers!$A$2:$G$101,3,FALSE)</f>
        <v>UK</v>
      </c>
      <c r="M144" t="str">
        <f>VLOOKUP(B144,Raw_Suppliers!$A$2:$G$101,4,FALSE)</f>
        <v>Central</v>
      </c>
      <c r="N144" t="str">
        <f>VLOOKUP(B144,Raw_Suppliers!$A$2:$G$101,6,FALSE)</f>
        <v>ISO 45001</v>
      </c>
      <c r="O144">
        <f>VLOOKUP(B144,Raw_Suppliers!$A$2:$G$101,7,FALSE)</f>
        <v>0</v>
      </c>
      <c r="P144" t="str">
        <f t="shared" si="13"/>
        <v>No</v>
      </c>
      <c r="Q144">
        <f t="shared" si="14"/>
        <v>0</v>
      </c>
      <c r="R144" t="str">
        <f t="shared" si="15"/>
        <v>Late</v>
      </c>
      <c r="S144">
        <f t="shared" si="16"/>
        <v>2021</v>
      </c>
      <c r="T144">
        <f t="shared" si="17"/>
        <v>2</v>
      </c>
    </row>
    <row r="145" spans="1:20" x14ac:dyDescent="0.25">
      <c r="A145" t="s">
        <v>335</v>
      </c>
      <c r="B145" t="s">
        <v>189</v>
      </c>
      <c r="C145" t="s">
        <v>336</v>
      </c>
      <c r="D145" s="1">
        <v>45363</v>
      </c>
      <c r="E145">
        <v>8</v>
      </c>
      <c r="F145">
        <v>25.344073491689699</v>
      </c>
      <c r="G145" s="1">
        <v>45379</v>
      </c>
      <c r="H145" s="1">
        <v>45379</v>
      </c>
      <c r="I145">
        <v>202.75258793351699</v>
      </c>
      <c r="J145">
        <f t="shared" si="12"/>
        <v>0</v>
      </c>
      <c r="K145" t="str">
        <f>VLOOKUP(B145,Raw_Suppliers!$A$2:$G$101,2,FALSE)</f>
        <v>Apex Pioneer Ltd</v>
      </c>
      <c r="L145" t="str">
        <f>VLOOKUP(B145,Raw_Suppliers!$A$2:$G$101,3,FALSE)</f>
        <v>Canada</v>
      </c>
      <c r="M145" t="str">
        <f>VLOOKUP(B145,Raw_Suppliers!$A$2:$G$101,4,FALSE)</f>
        <v>South</v>
      </c>
      <c r="N145" t="str">
        <f>VLOOKUP(B145,Raw_Suppliers!$A$2:$G$101,6,FALSE)</f>
        <v>ISO 14001</v>
      </c>
      <c r="O145">
        <f>VLOOKUP(B145,Raw_Suppliers!$A$2:$G$101,7,FALSE)</f>
        <v>1</v>
      </c>
      <c r="P145" t="str">
        <f t="shared" si="13"/>
        <v>Yes</v>
      </c>
      <c r="Q145">
        <f t="shared" si="14"/>
        <v>1</v>
      </c>
      <c r="R145" t="str">
        <f t="shared" si="15"/>
        <v>On Time</v>
      </c>
      <c r="S145">
        <f t="shared" si="16"/>
        <v>2024</v>
      </c>
      <c r="T145">
        <f t="shared" si="17"/>
        <v>3</v>
      </c>
    </row>
    <row r="146" spans="1:20" x14ac:dyDescent="0.25">
      <c r="A146" t="s">
        <v>337</v>
      </c>
      <c r="B146" t="s">
        <v>176</v>
      </c>
      <c r="C146" t="s">
        <v>338</v>
      </c>
      <c r="D146" s="1">
        <v>44975</v>
      </c>
      <c r="E146">
        <v>9</v>
      </c>
      <c r="F146">
        <v>24.570572844703499</v>
      </c>
      <c r="G146" s="1">
        <v>44985</v>
      </c>
      <c r="H146" s="1">
        <v>44987</v>
      </c>
      <c r="I146">
        <v>221.135155602331</v>
      </c>
      <c r="J146">
        <f t="shared" si="12"/>
        <v>2</v>
      </c>
      <c r="K146" t="str">
        <f>VLOOKUP(B146,Raw_Suppliers!$A$2:$G$101,2,FALSE)</f>
        <v>Nano Ultra Corp</v>
      </c>
      <c r="L146" t="str">
        <f>VLOOKUP(B146,Raw_Suppliers!$A$2:$G$101,3,FALSE)</f>
        <v>Canada</v>
      </c>
      <c r="M146" t="str">
        <f>VLOOKUP(B146,Raw_Suppliers!$A$2:$G$101,4,FALSE)</f>
        <v>Central</v>
      </c>
      <c r="N146" t="str">
        <f>VLOOKUP(B146,Raw_Suppliers!$A$2:$G$101,6,FALSE)</f>
        <v>ISO 9001</v>
      </c>
      <c r="O146">
        <f>VLOOKUP(B146,Raw_Suppliers!$A$2:$G$101,7,FALSE)</f>
        <v>0</v>
      </c>
      <c r="P146" t="str">
        <f t="shared" si="13"/>
        <v>No</v>
      </c>
      <c r="Q146">
        <f t="shared" si="14"/>
        <v>0</v>
      </c>
      <c r="R146" t="str">
        <f t="shared" si="15"/>
        <v>Late</v>
      </c>
      <c r="S146">
        <f t="shared" si="16"/>
        <v>2023</v>
      </c>
      <c r="T146">
        <f t="shared" si="17"/>
        <v>2</v>
      </c>
    </row>
    <row r="147" spans="1:20" x14ac:dyDescent="0.25">
      <c r="A147" t="s">
        <v>339</v>
      </c>
      <c r="B147" t="s">
        <v>340</v>
      </c>
      <c r="C147" t="s">
        <v>341</v>
      </c>
      <c r="D147" s="1">
        <v>45211</v>
      </c>
      <c r="E147">
        <v>8</v>
      </c>
      <c r="F147">
        <v>39.978393041893597</v>
      </c>
      <c r="G147" s="1">
        <v>45231</v>
      </c>
      <c r="H147" s="1">
        <v>45233</v>
      </c>
      <c r="I147">
        <v>319.82714433514798</v>
      </c>
      <c r="J147">
        <f t="shared" si="12"/>
        <v>2</v>
      </c>
      <c r="K147" t="str">
        <f>VLOOKUP(B147,Raw_Suppliers!$A$2:$G$101,2,FALSE)</f>
        <v>Pioneer Ultra GmbH</v>
      </c>
      <c r="L147" t="str">
        <f>VLOOKUP(B147,Raw_Suppliers!$A$2:$G$101,3,FALSE)</f>
        <v>China</v>
      </c>
      <c r="M147" t="str">
        <f>VLOOKUP(B147,Raw_Suppliers!$A$2:$G$101,4,FALSE)</f>
        <v>Central</v>
      </c>
      <c r="N147" t="str">
        <f>VLOOKUP(B147,Raw_Suppliers!$A$2:$G$101,6,FALSE)</f>
        <v>ISO 9001</v>
      </c>
      <c r="O147">
        <f>VLOOKUP(B147,Raw_Suppliers!$A$2:$G$101,7,FALSE)</f>
        <v>0</v>
      </c>
      <c r="P147" t="str">
        <f t="shared" si="13"/>
        <v>No</v>
      </c>
      <c r="Q147">
        <f t="shared" si="14"/>
        <v>0</v>
      </c>
      <c r="R147" t="str">
        <f t="shared" si="15"/>
        <v>Late</v>
      </c>
      <c r="S147">
        <f t="shared" si="16"/>
        <v>2023</v>
      </c>
      <c r="T147">
        <f t="shared" si="17"/>
        <v>10</v>
      </c>
    </row>
    <row r="148" spans="1:20" x14ac:dyDescent="0.25">
      <c r="A148" t="s">
        <v>342</v>
      </c>
      <c r="B148" t="s">
        <v>321</v>
      </c>
      <c r="C148" t="s">
        <v>26</v>
      </c>
      <c r="D148" s="1">
        <v>44633</v>
      </c>
      <c r="E148">
        <v>8</v>
      </c>
      <c r="F148">
        <v>21.251036846425901</v>
      </c>
      <c r="G148" s="1">
        <v>44645</v>
      </c>
      <c r="H148" s="1">
        <v>44650</v>
      </c>
      <c r="I148">
        <v>170.00829477140701</v>
      </c>
      <c r="J148">
        <f t="shared" si="12"/>
        <v>5</v>
      </c>
      <c r="K148" t="str">
        <f>VLOOKUP(B148,Raw_Suppliers!$A$2:$G$101,2,FALSE)</f>
        <v>Vertex Delta LLC</v>
      </c>
      <c r="L148" t="str">
        <f>VLOOKUP(B148,Raw_Suppliers!$A$2:$G$101,3,FALSE)</f>
        <v>India</v>
      </c>
      <c r="M148" t="str">
        <f>VLOOKUP(B148,Raw_Suppliers!$A$2:$G$101,4,FALSE)</f>
        <v>South</v>
      </c>
      <c r="N148" t="str">
        <f>VLOOKUP(B148,Raw_Suppliers!$A$2:$G$101,6,FALSE)</f>
        <v>ISO 45001</v>
      </c>
      <c r="O148">
        <f>VLOOKUP(B148,Raw_Suppliers!$A$2:$G$101,7,FALSE)</f>
        <v>0</v>
      </c>
      <c r="P148" t="str">
        <f t="shared" si="13"/>
        <v>No</v>
      </c>
      <c r="Q148">
        <f t="shared" si="14"/>
        <v>0</v>
      </c>
      <c r="R148" t="str">
        <f t="shared" si="15"/>
        <v>Late</v>
      </c>
      <c r="S148">
        <f t="shared" si="16"/>
        <v>2022</v>
      </c>
      <c r="T148">
        <f t="shared" si="17"/>
        <v>3</v>
      </c>
    </row>
    <row r="149" spans="1:20" x14ac:dyDescent="0.25">
      <c r="A149" t="s">
        <v>343</v>
      </c>
      <c r="B149" t="s">
        <v>61</v>
      </c>
      <c r="C149" t="s">
        <v>344</v>
      </c>
      <c r="D149" s="1">
        <v>44943</v>
      </c>
      <c r="E149">
        <v>13</v>
      </c>
      <c r="F149">
        <v>79.068555524821306</v>
      </c>
      <c r="G149" s="1">
        <v>44953</v>
      </c>
      <c r="H149" s="1">
        <v>44955</v>
      </c>
      <c r="I149">
        <v>1027.8912218226701</v>
      </c>
      <c r="J149">
        <f t="shared" si="12"/>
        <v>2</v>
      </c>
      <c r="K149" t="str">
        <f>VLOOKUP(B149,Raw_Suppliers!$A$2:$G$101,2,FALSE)</f>
        <v>Ultra Gamma LLC</v>
      </c>
      <c r="L149" t="str">
        <f>VLOOKUP(B149,Raw_Suppliers!$A$2:$G$101,3,FALSE)</f>
        <v>Canada</v>
      </c>
      <c r="M149" t="str">
        <f>VLOOKUP(B149,Raw_Suppliers!$A$2:$G$101,4,FALSE)</f>
        <v>North</v>
      </c>
      <c r="N149" t="str">
        <f>VLOOKUP(B149,Raw_Suppliers!$A$2:$G$101,6,FALSE)</f>
        <v>ISO 9001</v>
      </c>
      <c r="O149">
        <f>VLOOKUP(B149,Raw_Suppliers!$A$2:$G$101,7,FALSE)</f>
        <v>1</v>
      </c>
      <c r="P149" t="str">
        <f t="shared" si="13"/>
        <v>Yes</v>
      </c>
      <c r="Q149">
        <f t="shared" si="14"/>
        <v>0</v>
      </c>
      <c r="R149" t="str">
        <f t="shared" si="15"/>
        <v>Late</v>
      </c>
      <c r="S149">
        <f t="shared" si="16"/>
        <v>2023</v>
      </c>
      <c r="T149">
        <f t="shared" si="17"/>
        <v>1</v>
      </c>
    </row>
    <row r="150" spans="1:20" x14ac:dyDescent="0.25">
      <c r="A150" t="s">
        <v>345</v>
      </c>
      <c r="B150" t="s">
        <v>227</v>
      </c>
      <c r="C150" t="s">
        <v>346</v>
      </c>
      <c r="D150" s="1">
        <v>44937</v>
      </c>
      <c r="E150">
        <v>14</v>
      </c>
      <c r="F150">
        <v>59.902305245070899</v>
      </c>
      <c r="G150" s="1">
        <v>44952</v>
      </c>
      <c r="H150" s="1">
        <v>44958</v>
      </c>
      <c r="I150">
        <v>838.632273430993</v>
      </c>
      <c r="J150">
        <f t="shared" si="12"/>
        <v>6</v>
      </c>
      <c r="K150" t="str">
        <f>VLOOKUP(B150,Raw_Suppliers!$A$2:$G$101,2,FALSE)</f>
        <v>Delta Prime Inc</v>
      </c>
      <c r="L150" t="str">
        <f>VLOOKUP(B150,Raw_Suppliers!$A$2:$G$101,3,FALSE)</f>
        <v>Denmark</v>
      </c>
      <c r="M150" t="str">
        <f>VLOOKUP(B150,Raw_Suppliers!$A$2:$G$101,4,FALSE)</f>
        <v>South</v>
      </c>
      <c r="N150" t="str">
        <f>VLOOKUP(B150,Raw_Suppliers!$A$2:$G$101,6,FALSE)</f>
        <v>ISO 14001</v>
      </c>
      <c r="O150">
        <f>VLOOKUP(B150,Raw_Suppliers!$A$2:$G$101,7,FALSE)</f>
        <v>0</v>
      </c>
      <c r="P150" t="str">
        <f t="shared" si="13"/>
        <v>No</v>
      </c>
      <c r="Q150">
        <f t="shared" si="14"/>
        <v>0</v>
      </c>
      <c r="R150" t="str">
        <f t="shared" si="15"/>
        <v>Late</v>
      </c>
      <c r="S150">
        <f t="shared" si="16"/>
        <v>2023</v>
      </c>
      <c r="T150">
        <f t="shared" si="17"/>
        <v>1</v>
      </c>
    </row>
    <row r="151" spans="1:20" x14ac:dyDescent="0.25">
      <c r="A151" t="s">
        <v>347</v>
      </c>
      <c r="B151" t="s">
        <v>321</v>
      </c>
      <c r="C151" t="s">
        <v>180</v>
      </c>
      <c r="D151" s="1">
        <v>44382</v>
      </c>
      <c r="E151">
        <v>13</v>
      </c>
      <c r="F151">
        <v>54.397913471026001</v>
      </c>
      <c r="G151" s="1">
        <v>44400</v>
      </c>
      <c r="H151" s="1">
        <v>44398</v>
      </c>
      <c r="I151">
        <v>707.17287512333803</v>
      </c>
      <c r="J151">
        <f t="shared" si="12"/>
        <v>-2</v>
      </c>
      <c r="K151" t="str">
        <f>VLOOKUP(B151,Raw_Suppliers!$A$2:$G$101,2,FALSE)</f>
        <v>Vertex Delta LLC</v>
      </c>
      <c r="L151" t="str">
        <f>VLOOKUP(B151,Raw_Suppliers!$A$2:$G$101,3,FALSE)</f>
        <v>India</v>
      </c>
      <c r="M151" t="str">
        <f>VLOOKUP(B151,Raw_Suppliers!$A$2:$G$101,4,FALSE)</f>
        <v>South</v>
      </c>
      <c r="N151" t="str">
        <f>VLOOKUP(B151,Raw_Suppliers!$A$2:$G$101,6,FALSE)</f>
        <v>ISO 45001</v>
      </c>
      <c r="O151">
        <f>VLOOKUP(B151,Raw_Suppliers!$A$2:$G$101,7,FALSE)</f>
        <v>0</v>
      </c>
      <c r="P151" t="str">
        <f t="shared" si="13"/>
        <v>No</v>
      </c>
      <c r="Q151">
        <f t="shared" si="14"/>
        <v>1</v>
      </c>
      <c r="R151" t="str">
        <f t="shared" si="15"/>
        <v>On Time</v>
      </c>
      <c r="S151">
        <f t="shared" si="16"/>
        <v>2021</v>
      </c>
      <c r="T151">
        <f t="shared" si="17"/>
        <v>7</v>
      </c>
    </row>
    <row r="152" spans="1:20" x14ac:dyDescent="0.25">
      <c r="A152" t="s">
        <v>348</v>
      </c>
      <c r="B152" t="s">
        <v>216</v>
      </c>
      <c r="C152" t="s">
        <v>336</v>
      </c>
      <c r="D152" s="1">
        <v>45330</v>
      </c>
      <c r="E152">
        <v>12</v>
      </c>
      <c r="F152">
        <v>28.456517276557399</v>
      </c>
      <c r="G152" s="1">
        <v>45343</v>
      </c>
      <c r="H152" s="1">
        <v>45343</v>
      </c>
      <c r="I152">
        <v>341.47820731868899</v>
      </c>
      <c r="J152">
        <f t="shared" si="12"/>
        <v>0</v>
      </c>
      <c r="K152" t="str">
        <f>VLOOKUP(B152,Raw_Suppliers!$A$2:$G$101,2,FALSE)</f>
        <v>Fusion Delta LLC</v>
      </c>
      <c r="L152" t="str">
        <f>VLOOKUP(B152,Raw_Suppliers!$A$2:$G$101,3,FALSE)</f>
        <v>Brazil</v>
      </c>
      <c r="M152" t="str">
        <f>VLOOKUP(B152,Raw_Suppliers!$A$2:$G$101,4,FALSE)</f>
        <v>Central</v>
      </c>
      <c r="N152" t="str">
        <f>VLOOKUP(B152,Raw_Suppliers!$A$2:$G$101,6,FALSE)</f>
        <v>ISO 14001</v>
      </c>
      <c r="O152">
        <f>VLOOKUP(B152,Raw_Suppliers!$A$2:$G$101,7,FALSE)</f>
        <v>0</v>
      </c>
      <c r="P152" t="str">
        <f t="shared" si="13"/>
        <v>No</v>
      </c>
      <c r="Q152">
        <f t="shared" si="14"/>
        <v>1</v>
      </c>
      <c r="R152" t="str">
        <f t="shared" si="15"/>
        <v>On Time</v>
      </c>
      <c r="S152">
        <f t="shared" si="16"/>
        <v>2024</v>
      </c>
      <c r="T152">
        <f t="shared" si="17"/>
        <v>2</v>
      </c>
    </row>
    <row r="153" spans="1:20" x14ac:dyDescent="0.25">
      <c r="A153" t="s">
        <v>349</v>
      </c>
      <c r="B153" t="s">
        <v>350</v>
      </c>
      <c r="C153" t="s">
        <v>158</v>
      </c>
      <c r="D153" s="1">
        <v>44719</v>
      </c>
      <c r="E153">
        <v>8</v>
      </c>
      <c r="F153">
        <v>75.086877382308899</v>
      </c>
      <c r="G153" s="1">
        <v>44735</v>
      </c>
      <c r="H153" s="1">
        <v>44737</v>
      </c>
      <c r="I153">
        <v>600.69501905847096</v>
      </c>
      <c r="J153">
        <f t="shared" si="12"/>
        <v>2</v>
      </c>
      <c r="K153" t="str">
        <f>VLOOKUP(B153,Raw_Suppliers!$A$2:$G$101,2,FALSE)</f>
        <v>Prime Gamma GmbH</v>
      </c>
      <c r="L153" t="str">
        <f>VLOOKUP(B153,Raw_Suppliers!$A$2:$G$101,3,FALSE)</f>
        <v>Denmark</v>
      </c>
      <c r="M153" t="str">
        <f>VLOOKUP(B153,Raw_Suppliers!$A$2:$G$101,4,FALSE)</f>
        <v>West</v>
      </c>
      <c r="N153" t="str">
        <f>VLOOKUP(B153,Raw_Suppliers!$A$2:$G$101,6,FALSE)</f>
        <v>ISO 9001</v>
      </c>
      <c r="O153">
        <f>VLOOKUP(B153,Raw_Suppliers!$A$2:$G$101,7,FALSE)</f>
        <v>0</v>
      </c>
      <c r="P153" t="str">
        <f t="shared" si="13"/>
        <v>No</v>
      </c>
      <c r="Q153">
        <f t="shared" si="14"/>
        <v>0</v>
      </c>
      <c r="R153" t="str">
        <f t="shared" si="15"/>
        <v>Late</v>
      </c>
      <c r="S153">
        <f t="shared" si="16"/>
        <v>2022</v>
      </c>
      <c r="T153">
        <f t="shared" si="17"/>
        <v>6</v>
      </c>
    </row>
    <row r="154" spans="1:20" x14ac:dyDescent="0.25">
      <c r="A154" t="s">
        <v>351</v>
      </c>
      <c r="B154" t="s">
        <v>321</v>
      </c>
      <c r="C154" t="s">
        <v>274</v>
      </c>
      <c r="D154" s="1">
        <v>44432</v>
      </c>
      <c r="E154">
        <v>12</v>
      </c>
      <c r="F154">
        <v>71.215900409226904</v>
      </c>
      <c r="G154" s="1">
        <v>44447</v>
      </c>
      <c r="H154" s="1">
        <v>44451</v>
      </c>
      <c r="I154">
        <v>854.59080491072302</v>
      </c>
      <c r="J154">
        <f t="shared" si="12"/>
        <v>4</v>
      </c>
      <c r="K154" t="str">
        <f>VLOOKUP(B154,Raw_Suppliers!$A$2:$G$101,2,FALSE)</f>
        <v>Vertex Delta LLC</v>
      </c>
      <c r="L154" t="str">
        <f>VLOOKUP(B154,Raw_Suppliers!$A$2:$G$101,3,FALSE)</f>
        <v>India</v>
      </c>
      <c r="M154" t="str">
        <f>VLOOKUP(B154,Raw_Suppliers!$A$2:$G$101,4,FALSE)</f>
        <v>South</v>
      </c>
      <c r="N154" t="str">
        <f>VLOOKUP(B154,Raw_Suppliers!$A$2:$G$101,6,FALSE)</f>
        <v>ISO 45001</v>
      </c>
      <c r="O154">
        <f>VLOOKUP(B154,Raw_Suppliers!$A$2:$G$101,7,FALSE)</f>
        <v>0</v>
      </c>
      <c r="P154" t="str">
        <f t="shared" si="13"/>
        <v>No</v>
      </c>
      <c r="Q154">
        <f t="shared" si="14"/>
        <v>0</v>
      </c>
      <c r="R154" t="str">
        <f t="shared" si="15"/>
        <v>Late</v>
      </c>
      <c r="S154">
        <f t="shared" si="16"/>
        <v>2021</v>
      </c>
      <c r="T154">
        <f t="shared" si="17"/>
        <v>8</v>
      </c>
    </row>
    <row r="155" spans="1:20" x14ac:dyDescent="0.25">
      <c r="A155" t="s">
        <v>352</v>
      </c>
      <c r="B155" t="s">
        <v>25</v>
      </c>
      <c r="C155" t="s">
        <v>353</v>
      </c>
      <c r="D155" s="1">
        <v>45366</v>
      </c>
      <c r="E155">
        <v>6</v>
      </c>
      <c r="F155">
        <v>31.6864013368969</v>
      </c>
      <c r="G155" s="1">
        <v>45389</v>
      </c>
      <c r="H155" s="1">
        <v>45391</v>
      </c>
      <c r="I155">
        <v>190.11840802138099</v>
      </c>
      <c r="J155">
        <f t="shared" si="12"/>
        <v>2</v>
      </c>
      <c r="K155" t="str">
        <f>VLOOKUP(B155,Raw_Suppliers!$A$2:$G$101,2,FALSE)</f>
        <v>Quantum Fusion Corp</v>
      </c>
      <c r="L155" t="str">
        <f>VLOOKUP(B155,Raw_Suppliers!$A$2:$G$101,3,FALSE)</f>
        <v>UK</v>
      </c>
      <c r="M155" t="str">
        <f>VLOOKUP(B155,Raw_Suppliers!$A$2:$G$101,4,FALSE)</f>
        <v>North</v>
      </c>
      <c r="N155" t="str">
        <f>VLOOKUP(B155,Raw_Suppliers!$A$2:$G$101,6,FALSE)</f>
        <v>ISO 9001</v>
      </c>
      <c r="O155">
        <f>VLOOKUP(B155,Raw_Suppliers!$A$2:$G$101,7,FALSE)</f>
        <v>0</v>
      </c>
      <c r="P155" t="str">
        <f t="shared" si="13"/>
        <v>No</v>
      </c>
      <c r="Q155">
        <f t="shared" si="14"/>
        <v>0</v>
      </c>
      <c r="R155" t="str">
        <f t="shared" si="15"/>
        <v>Late</v>
      </c>
      <c r="S155">
        <f t="shared" si="16"/>
        <v>2024</v>
      </c>
      <c r="T155">
        <f t="shared" si="17"/>
        <v>3</v>
      </c>
    </row>
    <row r="156" spans="1:20" x14ac:dyDescent="0.25">
      <c r="A156" t="s">
        <v>354</v>
      </c>
      <c r="B156" t="s">
        <v>154</v>
      </c>
      <c r="C156" t="s">
        <v>182</v>
      </c>
      <c r="D156" s="1">
        <v>44224</v>
      </c>
      <c r="E156">
        <v>9</v>
      </c>
      <c r="F156">
        <v>5.4271613118450404</v>
      </c>
      <c r="G156" s="1">
        <v>44234</v>
      </c>
      <c r="H156" s="1">
        <v>44234</v>
      </c>
      <c r="I156">
        <v>48.844451806605399</v>
      </c>
      <c r="J156">
        <f t="shared" si="12"/>
        <v>0</v>
      </c>
      <c r="K156" t="str">
        <f>VLOOKUP(B156,Raw_Suppliers!$A$2:$G$101,2,FALSE)</f>
        <v>Apex Ultra Ltd</v>
      </c>
      <c r="L156" t="str">
        <f>VLOOKUP(B156,Raw_Suppliers!$A$2:$G$101,3,FALSE)</f>
        <v>Canada</v>
      </c>
      <c r="M156" t="str">
        <f>VLOOKUP(B156,Raw_Suppliers!$A$2:$G$101,4,FALSE)</f>
        <v>West</v>
      </c>
      <c r="N156" t="str">
        <f>VLOOKUP(B156,Raw_Suppliers!$A$2:$G$101,6,FALSE)</f>
        <v>None</v>
      </c>
      <c r="O156">
        <f>VLOOKUP(B156,Raw_Suppliers!$A$2:$G$101,7,FALSE)</f>
        <v>1</v>
      </c>
      <c r="P156" t="str">
        <f t="shared" si="13"/>
        <v>Yes</v>
      </c>
      <c r="Q156">
        <f t="shared" si="14"/>
        <v>1</v>
      </c>
      <c r="R156" t="str">
        <f t="shared" si="15"/>
        <v>On Time</v>
      </c>
      <c r="S156">
        <f t="shared" si="16"/>
        <v>2021</v>
      </c>
      <c r="T156">
        <f t="shared" si="17"/>
        <v>1</v>
      </c>
    </row>
    <row r="157" spans="1:20" x14ac:dyDescent="0.25">
      <c r="A157" t="s">
        <v>355</v>
      </c>
      <c r="B157" t="s">
        <v>350</v>
      </c>
      <c r="C157" t="s">
        <v>356</v>
      </c>
      <c r="D157" s="1">
        <v>45169</v>
      </c>
      <c r="E157">
        <v>9</v>
      </c>
      <c r="F157">
        <v>47.215328809881598</v>
      </c>
      <c r="G157" s="1">
        <v>45191</v>
      </c>
      <c r="H157" s="1">
        <v>45197</v>
      </c>
      <c r="I157">
        <v>424.937959288934</v>
      </c>
      <c r="J157">
        <f t="shared" si="12"/>
        <v>6</v>
      </c>
      <c r="K157" t="str">
        <f>VLOOKUP(B157,Raw_Suppliers!$A$2:$G$101,2,FALSE)</f>
        <v>Prime Gamma GmbH</v>
      </c>
      <c r="L157" t="str">
        <f>VLOOKUP(B157,Raw_Suppliers!$A$2:$G$101,3,FALSE)</f>
        <v>Denmark</v>
      </c>
      <c r="M157" t="str">
        <f>VLOOKUP(B157,Raw_Suppliers!$A$2:$G$101,4,FALSE)</f>
        <v>West</v>
      </c>
      <c r="N157" t="str">
        <f>VLOOKUP(B157,Raw_Suppliers!$A$2:$G$101,6,FALSE)</f>
        <v>ISO 9001</v>
      </c>
      <c r="O157">
        <f>VLOOKUP(B157,Raw_Suppliers!$A$2:$G$101,7,FALSE)</f>
        <v>0</v>
      </c>
      <c r="P157" t="str">
        <f t="shared" si="13"/>
        <v>No</v>
      </c>
      <c r="Q157">
        <f t="shared" si="14"/>
        <v>0</v>
      </c>
      <c r="R157" t="str">
        <f t="shared" si="15"/>
        <v>Late</v>
      </c>
      <c r="S157">
        <f t="shared" si="16"/>
        <v>2023</v>
      </c>
      <c r="T157">
        <f t="shared" si="17"/>
        <v>8</v>
      </c>
    </row>
    <row r="158" spans="1:20" x14ac:dyDescent="0.25">
      <c r="A158" t="s">
        <v>357</v>
      </c>
      <c r="B158" t="s">
        <v>67</v>
      </c>
      <c r="C158" t="s">
        <v>228</v>
      </c>
      <c r="D158" s="1">
        <v>45365</v>
      </c>
      <c r="E158">
        <v>14</v>
      </c>
      <c r="F158">
        <v>30.043404107047401</v>
      </c>
      <c r="G158" s="1">
        <v>45377</v>
      </c>
      <c r="H158" s="1">
        <v>45377</v>
      </c>
      <c r="I158">
        <v>420.60765749866403</v>
      </c>
      <c r="J158">
        <f t="shared" si="12"/>
        <v>0</v>
      </c>
      <c r="K158" t="str">
        <f>VLOOKUP(B158,Raw_Suppliers!$A$2:$G$101,2,FALSE)</f>
        <v>Nova Eco LLC</v>
      </c>
      <c r="L158" t="str">
        <f>VLOOKUP(B158,Raw_Suppliers!$A$2:$G$101,3,FALSE)</f>
        <v>Germany</v>
      </c>
      <c r="M158" t="str">
        <f>VLOOKUP(B158,Raw_Suppliers!$A$2:$G$101,4,FALSE)</f>
        <v>Central</v>
      </c>
      <c r="N158" t="str">
        <f>VLOOKUP(B158,Raw_Suppliers!$A$2:$G$101,6,FALSE)</f>
        <v>ISO 9001</v>
      </c>
      <c r="O158">
        <f>VLOOKUP(B158,Raw_Suppliers!$A$2:$G$101,7,FALSE)</f>
        <v>1</v>
      </c>
      <c r="P158" t="str">
        <f t="shared" si="13"/>
        <v>Yes</v>
      </c>
      <c r="Q158">
        <f t="shared" si="14"/>
        <v>1</v>
      </c>
      <c r="R158" t="str">
        <f t="shared" si="15"/>
        <v>On Time</v>
      </c>
      <c r="S158">
        <f t="shared" si="16"/>
        <v>2024</v>
      </c>
      <c r="T158">
        <f t="shared" si="17"/>
        <v>3</v>
      </c>
    </row>
    <row r="159" spans="1:20" x14ac:dyDescent="0.25">
      <c r="A159" t="s">
        <v>358</v>
      </c>
      <c r="B159" t="s">
        <v>359</v>
      </c>
      <c r="C159" t="s">
        <v>80</v>
      </c>
      <c r="D159" s="1">
        <v>44222</v>
      </c>
      <c r="E159">
        <v>11</v>
      </c>
      <c r="F159">
        <v>52.861279343795601</v>
      </c>
      <c r="G159" s="1">
        <v>44234</v>
      </c>
      <c r="H159" s="1">
        <v>44234</v>
      </c>
      <c r="I159">
        <v>581.47407278175103</v>
      </c>
      <c r="J159">
        <f t="shared" si="12"/>
        <v>0</v>
      </c>
      <c r="K159" t="str">
        <f>VLOOKUP(B159,Raw_Suppliers!$A$2:$G$101,2,FALSE)</f>
        <v>Alpha Alpha Corp</v>
      </c>
      <c r="L159" t="str">
        <f>VLOOKUP(B159,Raw_Suppliers!$A$2:$G$101,3,FALSE)</f>
        <v>India</v>
      </c>
      <c r="M159" t="str">
        <f>VLOOKUP(B159,Raw_Suppliers!$A$2:$G$101,4,FALSE)</f>
        <v>North</v>
      </c>
      <c r="N159" t="str">
        <f>VLOOKUP(B159,Raw_Suppliers!$A$2:$G$101,6,FALSE)</f>
        <v>ISO 9001</v>
      </c>
      <c r="O159">
        <f>VLOOKUP(B159,Raw_Suppliers!$A$2:$G$101,7,FALSE)</f>
        <v>1</v>
      </c>
      <c r="P159" t="str">
        <f t="shared" si="13"/>
        <v>Yes</v>
      </c>
      <c r="Q159">
        <f t="shared" si="14"/>
        <v>1</v>
      </c>
      <c r="R159" t="str">
        <f t="shared" si="15"/>
        <v>On Time</v>
      </c>
      <c r="S159">
        <f t="shared" si="16"/>
        <v>2021</v>
      </c>
      <c r="T159">
        <f t="shared" si="17"/>
        <v>1</v>
      </c>
    </row>
    <row r="160" spans="1:20" x14ac:dyDescent="0.25">
      <c r="A160" t="s">
        <v>360</v>
      </c>
      <c r="B160" t="s">
        <v>64</v>
      </c>
      <c r="C160" t="s">
        <v>361</v>
      </c>
      <c r="D160" s="1">
        <v>45312</v>
      </c>
      <c r="E160">
        <v>10</v>
      </c>
      <c r="F160">
        <v>57.724041010399603</v>
      </c>
      <c r="G160" s="1">
        <v>45333</v>
      </c>
      <c r="H160" s="1">
        <v>45337</v>
      </c>
      <c r="I160">
        <v>577.24041010399606</v>
      </c>
      <c r="J160">
        <f t="shared" si="12"/>
        <v>4</v>
      </c>
      <c r="K160" t="str">
        <f>VLOOKUP(B160,Raw_Suppliers!$A$2:$G$101,2,FALSE)</f>
        <v>Apex Quantum Inc</v>
      </c>
      <c r="L160" t="str">
        <f>VLOOKUP(B160,Raw_Suppliers!$A$2:$G$101,3,FALSE)</f>
        <v>India</v>
      </c>
      <c r="M160" t="str">
        <f>VLOOKUP(B160,Raw_Suppliers!$A$2:$G$101,4,FALSE)</f>
        <v>North</v>
      </c>
      <c r="N160" t="str">
        <f>VLOOKUP(B160,Raw_Suppliers!$A$2:$G$101,6,FALSE)</f>
        <v>ISO 45001</v>
      </c>
      <c r="O160">
        <f>VLOOKUP(B160,Raw_Suppliers!$A$2:$G$101,7,FALSE)</f>
        <v>1</v>
      </c>
      <c r="P160" t="str">
        <f t="shared" si="13"/>
        <v>Yes</v>
      </c>
      <c r="Q160">
        <f t="shared" si="14"/>
        <v>0</v>
      </c>
      <c r="R160" t="str">
        <f t="shared" si="15"/>
        <v>Late</v>
      </c>
      <c r="S160">
        <f t="shared" si="16"/>
        <v>2024</v>
      </c>
      <c r="T160">
        <f t="shared" si="17"/>
        <v>1</v>
      </c>
    </row>
    <row r="161" spans="1:20" x14ac:dyDescent="0.25">
      <c r="A161" t="s">
        <v>362</v>
      </c>
      <c r="B161" t="s">
        <v>76</v>
      </c>
      <c r="C161" t="s">
        <v>363</v>
      </c>
      <c r="D161" s="1">
        <v>45320</v>
      </c>
      <c r="E161">
        <v>17</v>
      </c>
      <c r="F161">
        <v>76.788977503347496</v>
      </c>
      <c r="G161" s="1">
        <v>45333</v>
      </c>
      <c r="H161" s="1">
        <v>45331</v>
      </c>
      <c r="I161">
        <v>1305.4126175568999</v>
      </c>
      <c r="J161">
        <f t="shared" si="12"/>
        <v>-2</v>
      </c>
      <c r="K161" t="str">
        <f>VLOOKUP(B161,Raw_Suppliers!$A$2:$G$101,2,FALSE)</f>
        <v>Alpha Beta Ltd</v>
      </c>
      <c r="L161" t="str">
        <f>VLOOKUP(B161,Raw_Suppliers!$A$2:$G$101,3,FALSE)</f>
        <v>UK</v>
      </c>
      <c r="M161" t="str">
        <f>VLOOKUP(B161,Raw_Suppliers!$A$2:$G$101,4,FALSE)</f>
        <v>South</v>
      </c>
      <c r="N161" t="str">
        <f>VLOOKUP(B161,Raw_Suppliers!$A$2:$G$101,6,FALSE)</f>
        <v>None</v>
      </c>
      <c r="O161">
        <f>VLOOKUP(B161,Raw_Suppliers!$A$2:$G$101,7,FALSE)</f>
        <v>1</v>
      </c>
      <c r="P161" t="str">
        <f t="shared" si="13"/>
        <v>Yes</v>
      </c>
      <c r="Q161">
        <f t="shared" si="14"/>
        <v>1</v>
      </c>
      <c r="R161" t="str">
        <f t="shared" si="15"/>
        <v>On Time</v>
      </c>
      <c r="S161">
        <f t="shared" si="16"/>
        <v>2024</v>
      </c>
      <c r="T161">
        <f t="shared" si="17"/>
        <v>1</v>
      </c>
    </row>
    <row r="162" spans="1:20" x14ac:dyDescent="0.25">
      <c r="A162" t="s">
        <v>364</v>
      </c>
      <c r="B162" t="s">
        <v>119</v>
      </c>
      <c r="C162" t="s">
        <v>346</v>
      </c>
      <c r="D162" s="1">
        <v>44930</v>
      </c>
      <c r="E162">
        <v>14</v>
      </c>
      <c r="F162">
        <v>53.134238372277302</v>
      </c>
      <c r="G162" s="1">
        <v>44954</v>
      </c>
      <c r="H162" s="1">
        <v>44956</v>
      </c>
      <c r="I162">
        <v>743.87933721188301</v>
      </c>
      <c r="J162">
        <f t="shared" si="12"/>
        <v>2</v>
      </c>
      <c r="K162" t="str">
        <f>VLOOKUP(B162,Raw_Suppliers!$A$2:$G$101,2,FALSE)</f>
        <v>Pioneer Apex Corp</v>
      </c>
      <c r="L162" t="str">
        <f>VLOOKUP(B162,Raw_Suppliers!$A$2:$G$101,3,FALSE)</f>
        <v>USA</v>
      </c>
      <c r="M162" t="str">
        <f>VLOOKUP(B162,Raw_Suppliers!$A$2:$G$101,4,FALSE)</f>
        <v>Central</v>
      </c>
      <c r="N162" t="str">
        <f>VLOOKUP(B162,Raw_Suppliers!$A$2:$G$101,6,FALSE)</f>
        <v>None</v>
      </c>
      <c r="O162">
        <f>VLOOKUP(B162,Raw_Suppliers!$A$2:$G$101,7,FALSE)</f>
        <v>0</v>
      </c>
      <c r="P162" t="str">
        <f t="shared" si="13"/>
        <v>No</v>
      </c>
      <c r="Q162">
        <f t="shared" si="14"/>
        <v>0</v>
      </c>
      <c r="R162" t="str">
        <f t="shared" si="15"/>
        <v>Late</v>
      </c>
      <c r="S162">
        <f t="shared" si="16"/>
        <v>2023</v>
      </c>
      <c r="T162">
        <f t="shared" si="17"/>
        <v>1</v>
      </c>
    </row>
    <row r="163" spans="1:20" x14ac:dyDescent="0.25">
      <c r="A163" t="s">
        <v>365</v>
      </c>
      <c r="B163" t="s">
        <v>31</v>
      </c>
      <c r="C163" t="s">
        <v>112</v>
      </c>
      <c r="D163" s="1">
        <v>44573</v>
      </c>
      <c r="E163">
        <v>15</v>
      </c>
      <c r="F163">
        <v>6.50861244971518</v>
      </c>
      <c r="G163" s="1">
        <v>44589</v>
      </c>
      <c r="H163" s="1">
        <v>44590</v>
      </c>
      <c r="I163">
        <v>97.629186745727694</v>
      </c>
      <c r="J163">
        <f t="shared" si="12"/>
        <v>1</v>
      </c>
      <c r="K163" t="str">
        <f>VLOOKUP(B163,Raw_Suppliers!$A$2:$G$101,2,FALSE)</f>
        <v>Nova Nano GmbH</v>
      </c>
      <c r="L163" t="str">
        <f>VLOOKUP(B163,Raw_Suppliers!$A$2:$G$101,3,FALSE)</f>
        <v>Denmark</v>
      </c>
      <c r="M163" t="str">
        <f>VLOOKUP(B163,Raw_Suppliers!$A$2:$G$101,4,FALSE)</f>
        <v>South</v>
      </c>
      <c r="N163" t="str">
        <f>VLOOKUP(B163,Raw_Suppliers!$A$2:$G$101,6,FALSE)</f>
        <v>ISO 14001</v>
      </c>
      <c r="O163">
        <f>VLOOKUP(B163,Raw_Suppliers!$A$2:$G$101,7,FALSE)</f>
        <v>1</v>
      </c>
      <c r="P163" t="str">
        <f t="shared" si="13"/>
        <v>Yes</v>
      </c>
      <c r="Q163">
        <f t="shared" si="14"/>
        <v>0</v>
      </c>
      <c r="R163" t="str">
        <f t="shared" si="15"/>
        <v>Late</v>
      </c>
      <c r="S163">
        <f t="shared" si="16"/>
        <v>2022</v>
      </c>
      <c r="T163">
        <f t="shared" si="17"/>
        <v>1</v>
      </c>
    </row>
    <row r="164" spans="1:20" x14ac:dyDescent="0.25">
      <c r="A164" t="s">
        <v>366</v>
      </c>
      <c r="B164" t="s">
        <v>43</v>
      </c>
      <c r="C164" t="s">
        <v>141</v>
      </c>
      <c r="D164" s="1">
        <v>44424</v>
      </c>
      <c r="E164">
        <v>7</v>
      </c>
      <c r="F164">
        <v>14.7381269177768</v>
      </c>
      <c r="G164" s="1">
        <v>44446</v>
      </c>
      <c r="H164" s="1">
        <v>44445</v>
      </c>
      <c r="I164">
        <v>103.166888424438</v>
      </c>
      <c r="J164">
        <f t="shared" si="12"/>
        <v>-1</v>
      </c>
      <c r="K164" t="str">
        <f>VLOOKUP(B164,Raw_Suppliers!$A$2:$G$101,2,FALSE)</f>
        <v>Alpha Ultra Corp</v>
      </c>
      <c r="L164" t="str">
        <f>VLOOKUP(B164,Raw_Suppliers!$A$2:$G$101,3,FALSE)</f>
        <v>USA</v>
      </c>
      <c r="M164" t="str">
        <f>VLOOKUP(B164,Raw_Suppliers!$A$2:$G$101,4,FALSE)</f>
        <v>Central</v>
      </c>
      <c r="N164" t="str">
        <f>VLOOKUP(B164,Raw_Suppliers!$A$2:$G$101,6,FALSE)</f>
        <v>ISO 9001</v>
      </c>
      <c r="O164">
        <f>VLOOKUP(B164,Raw_Suppliers!$A$2:$G$101,7,FALSE)</f>
        <v>1</v>
      </c>
      <c r="P164" t="str">
        <f t="shared" si="13"/>
        <v>Yes</v>
      </c>
      <c r="Q164">
        <f t="shared" si="14"/>
        <v>1</v>
      </c>
      <c r="R164" t="str">
        <f t="shared" si="15"/>
        <v>On Time</v>
      </c>
      <c r="S164">
        <f t="shared" si="16"/>
        <v>2021</v>
      </c>
      <c r="T164">
        <f t="shared" si="17"/>
        <v>8</v>
      </c>
    </row>
    <row r="165" spans="1:20" x14ac:dyDescent="0.25">
      <c r="A165" t="s">
        <v>367</v>
      </c>
      <c r="B165" t="s">
        <v>207</v>
      </c>
      <c r="C165" t="s">
        <v>228</v>
      </c>
      <c r="D165" s="1">
        <v>45301</v>
      </c>
      <c r="E165">
        <v>8</v>
      </c>
      <c r="F165">
        <v>48.4458753765295</v>
      </c>
      <c r="G165" s="1">
        <v>45323</v>
      </c>
      <c r="H165" s="1">
        <v>45324</v>
      </c>
      <c r="I165">
        <v>387.567003012236</v>
      </c>
      <c r="J165">
        <f t="shared" si="12"/>
        <v>1</v>
      </c>
      <c r="K165" t="str">
        <f>VLOOKUP(B165,Raw_Suppliers!$A$2:$G$101,2,FALSE)</f>
        <v>Nova Alpha Ltd</v>
      </c>
      <c r="L165" t="str">
        <f>VLOOKUP(B165,Raw_Suppliers!$A$2:$G$101,3,FALSE)</f>
        <v>India</v>
      </c>
      <c r="M165" t="str">
        <f>VLOOKUP(B165,Raw_Suppliers!$A$2:$G$101,4,FALSE)</f>
        <v>East</v>
      </c>
      <c r="N165" t="str">
        <f>VLOOKUP(B165,Raw_Suppliers!$A$2:$G$101,6,FALSE)</f>
        <v>ISO 9001</v>
      </c>
      <c r="O165">
        <f>VLOOKUP(B165,Raw_Suppliers!$A$2:$G$101,7,FALSE)</f>
        <v>0</v>
      </c>
      <c r="P165" t="str">
        <f t="shared" si="13"/>
        <v>No</v>
      </c>
      <c r="Q165">
        <f t="shared" si="14"/>
        <v>0</v>
      </c>
      <c r="R165" t="str">
        <f t="shared" si="15"/>
        <v>Late</v>
      </c>
      <c r="S165">
        <f t="shared" si="16"/>
        <v>2024</v>
      </c>
      <c r="T165">
        <f t="shared" si="17"/>
        <v>1</v>
      </c>
    </row>
    <row r="166" spans="1:20" x14ac:dyDescent="0.25">
      <c r="A166" t="s">
        <v>368</v>
      </c>
      <c r="B166" t="s">
        <v>369</v>
      </c>
      <c r="C166" t="s">
        <v>370</v>
      </c>
      <c r="D166" s="1">
        <v>44634</v>
      </c>
      <c r="E166">
        <v>6</v>
      </c>
      <c r="F166">
        <v>34.675182619136002</v>
      </c>
      <c r="G166" s="1">
        <v>44648</v>
      </c>
      <c r="H166" s="1">
        <v>44647</v>
      </c>
      <c r="I166">
        <v>208.051095714816</v>
      </c>
      <c r="J166">
        <f t="shared" si="12"/>
        <v>-1</v>
      </c>
      <c r="K166" t="str">
        <f>VLOOKUP(B166,Raw_Suppliers!$A$2:$G$101,2,FALSE)</f>
        <v>Beta Fusion GmbH</v>
      </c>
      <c r="L166" t="str">
        <f>VLOOKUP(B166,Raw_Suppliers!$A$2:$G$101,3,FALSE)</f>
        <v>China</v>
      </c>
      <c r="M166" t="str">
        <f>VLOOKUP(B166,Raw_Suppliers!$A$2:$G$101,4,FALSE)</f>
        <v>South</v>
      </c>
      <c r="N166" t="str">
        <f>VLOOKUP(B166,Raw_Suppliers!$A$2:$G$101,6,FALSE)</f>
        <v>ISO 9001</v>
      </c>
      <c r="O166">
        <f>VLOOKUP(B166,Raw_Suppliers!$A$2:$G$101,7,FALSE)</f>
        <v>0</v>
      </c>
      <c r="P166" t="str">
        <f t="shared" si="13"/>
        <v>No</v>
      </c>
      <c r="Q166">
        <f t="shared" si="14"/>
        <v>1</v>
      </c>
      <c r="R166" t="str">
        <f t="shared" si="15"/>
        <v>On Time</v>
      </c>
      <c r="S166">
        <f t="shared" si="16"/>
        <v>2022</v>
      </c>
      <c r="T166">
        <f t="shared" si="17"/>
        <v>3</v>
      </c>
    </row>
    <row r="167" spans="1:20" x14ac:dyDescent="0.25">
      <c r="A167" t="s">
        <v>371</v>
      </c>
      <c r="B167" t="s">
        <v>253</v>
      </c>
      <c r="C167" t="s">
        <v>290</v>
      </c>
      <c r="D167" s="1">
        <v>44577</v>
      </c>
      <c r="E167">
        <v>17</v>
      </c>
      <c r="F167">
        <v>43.703642658516102</v>
      </c>
      <c r="G167" s="1">
        <v>44590</v>
      </c>
      <c r="H167" s="1">
        <v>44589</v>
      </c>
      <c r="I167">
        <v>742.96192519477495</v>
      </c>
      <c r="J167">
        <f t="shared" si="12"/>
        <v>-1</v>
      </c>
      <c r="K167" t="str">
        <f>VLOOKUP(B167,Raw_Suppliers!$A$2:$G$101,2,FALSE)</f>
        <v>Vertex Apex Ltd</v>
      </c>
      <c r="L167" t="str">
        <f>VLOOKUP(B167,Raw_Suppliers!$A$2:$G$101,3,FALSE)</f>
        <v>Brazil</v>
      </c>
      <c r="M167" t="str">
        <f>VLOOKUP(B167,Raw_Suppliers!$A$2:$G$101,4,FALSE)</f>
        <v>South</v>
      </c>
      <c r="N167" t="str">
        <f>VLOOKUP(B167,Raw_Suppliers!$A$2:$G$101,6,FALSE)</f>
        <v>None</v>
      </c>
      <c r="O167">
        <f>VLOOKUP(B167,Raw_Suppliers!$A$2:$G$101,7,FALSE)</f>
        <v>1</v>
      </c>
      <c r="P167" t="str">
        <f t="shared" si="13"/>
        <v>Yes</v>
      </c>
      <c r="Q167">
        <f t="shared" si="14"/>
        <v>1</v>
      </c>
      <c r="R167" t="str">
        <f t="shared" si="15"/>
        <v>On Time</v>
      </c>
      <c r="S167">
        <f t="shared" si="16"/>
        <v>2022</v>
      </c>
      <c r="T167">
        <f t="shared" si="17"/>
        <v>1</v>
      </c>
    </row>
    <row r="168" spans="1:20" x14ac:dyDescent="0.25">
      <c r="A168" t="s">
        <v>372</v>
      </c>
      <c r="B168" t="s">
        <v>205</v>
      </c>
      <c r="C168" t="s">
        <v>133</v>
      </c>
      <c r="D168" s="1">
        <v>44856</v>
      </c>
      <c r="E168">
        <v>13</v>
      </c>
      <c r="F168">
        <v>41.102281377725099</v>
      </c>
      <c r="G168" s="1">
        <v>44873</v>
      </c>
      <c r="H168" s="1">
        <v>44877</v>
      </c>
      <c r="I168">
        <v>534.32965791042704</v>
      </c>
      <c r="J168">
        <f t="shared" si="12"/>
        <v>4</v>
      </c>
      <c r="K168" t="str">
        <f>VLOOKUP(B168,Raw_Suppliers!$A$2:$G$101,2,FALSE)</f>
        <v>Ultra Eco LLC</v>
      </c>
      <c r="L168" t="str">
        <f>VLOOKUP(B168,Raw_Suppliers!$A$2:$G$101,3,FALSE)</f>
        <v>China</v>
      </c>
      <c r="M168" t="str">
        <f>VLOOKUP(B168,Raw_Suppliers!$A$2:$G$101,4,FALSE)</f>
        <v>South</v>
      </c>
      <c r="N168" t="str">
        <f>VLOOKUP(B168,Raw_Suppliers!$A$2:$G$101,6,FALSE)</f>
        <v>ISO 14001</v>
      </c>
      <c r="O168">
        <f>VLOOKUP(B168,Raw_Suppliers!$A$2:$G$101,7,FALSE)</f>
        <v>1</v>
      </c>
      <c r="P168" t="str">
        <f t="shared" si="13"/>
        <v>Yes</v>
      </c>
      <c r="Q168">
        <f t="shared" si="14"/>
        <v>0</v>
      </c>
      <c r="R168" t="str">
        <f t="shared" si="15"/>
        <v>Late</v>
      </c>
      <c r="S168">
        <f t="shared" si="16"/>
        <v>2022</v>
      </c>
      <c r="T168">
        <f t="shared" si="17"/>
        <v>10</v>
      </c>
    </row>
    <row r="169" spans="1:20" x14ac:dyDescent="0.25">
      <c r="A169" t="s">
        <v>373</v>
      </c>
      <c r="B169" t="s">
        <v>34</v>
      </c>
      <c r="C169" t="s">
        <v>155</v>
      </c>
      <c r="D169" s="1">
        <v>44867</v>
      </c>
      <c r="E169">
        <v>15</v>
      </c>
      <c r="F169">
        <v>50.536937532724302</v>
      </c>
      <c r="G169" s="1">
        <v>44883</v>
      </c>
      <c r="H169" s="1">
        <v>44887</v>
      </c>
      <c r="I169">
        <v>758.05406299086496</v>
      </c>
      <c r="J169">
        <f t="shared" si="12"/>
        <v>4</v>
      </c>
      <c r="K169" t="str">
        <f>VLOOKUP(B169,Raw_Suppliers!$A$2:$G$101,2,FALSE)</f>
        <v>Omega Alpha Corp</v>
      </c>
      <c r="L169" t="str">
        <f>VLOOKUP(B169,Raw_Suppliers!$A$2:$G$101,3,FALSE)</f>
        <v>UK</v>
      </c>
      <c r="M169" t="str">
        <f>VLOOKUP(B169,Raw_Suppliers!$A$2:$G$101,4,FALSE)</f>
        <v>West</v>
      </c>
      <c r="N169" t="str">
        <f>VLOOKUP(B169,Raw_Suppliers!$A$2:$G$101,6,FALSE)</f>
        <v>ISO 45001</v>
      </c>
      <c r="O169">
        <f>VLOOKUP(B169,Raw_Suppliers!$A$2:$G$101,7,FALSE)</f>
        <v>0</v>
      </c>
      <c r="P169" t="str">
        <f t="shared" si="13"/>
        <v>No</v>
      </c>
      <c r="Q169">
        <f t="shared" si="14"/>
        <v>0</v>
      </c>
      <c r="R169" t="str">
        <f t="shared" si="15"/>
        <v>Late</v>
      </c>
      <c r="S169">
        <f t="shared" si="16"/>
        <v>2022</v>
      </c>
      <c r="T169">
        <f t="shared" si="17"/>
        <v>11</v>
      </c>
    </row>
    <row r="170" spans="1:20" x14ac:dyDescent="0.25">
      <c r="A170" t="s">
        <v>374</v>
      </c>
      <c r="B170" t="s">
        <v>55</v>
      </c>
      <c r="C170" t="s">
        <v>97</v>
      </c>
      <c r="D170" s="1">
        <v>44457</v>
      </c>
      <c r="E170">
        <v>11</v>
      </c>
      <c r="F170">
        <v>67.228871110197801</v>
      </c>
      <c r="G170" s="1">
        <v>44476</v>
      </c>
      <c r="H170" s="1">
        <v>44474</v>
      </c>
      <c r="I170">
        <v>739.51758221217494</v>
      </c>
      <c r="J170">
        <f t="shared" si="12"/>
        <v>-2</v>
      </c>
      <c r="K170" t="str">
        <f>VLOOKUP(B170,Raw_Suppliers!$A$2:$G$101,2,FALSE)</f>
        <v>Prime Vertex Inc</v>
      </c>
      <c r="L170" t="str">
        <f>VLOOKUP(B170,Raw_Suppliers!$A$2:$G$101,3,FALSE)</f>
        <v>Germany</v>
      </c>
      <c r="M170" t="str">
        <f>VLOOKUP(B170,Raw_Suppliers!$A$2:$G$101,4,FALSE)</f>
        <v>South</v>
      </c>
      <c r="N170" t="str">
        <f>VLOOKUP(B170,Raw_Suppliers!$A$2:$G$101,6,FALSE)</f>
        <v>ISO 14001</v>
      </c>
      <c r="O170">
        <f>VLOOKUP(B170,Raw_Suppliers!$A$2:$G$101,7,FALSE)</f>
        <v>0</v>
      </c>
      <c r="P170" t="str">
        <f t="shared" si="13"/>
        <v>No</v>
      </c>
      <c r="Q170">
        <f t="shared" si="14"/>
        <v>1</v>
      </c>
      <c r="R170" t="str">
        <f t="shared" si="15"/>
        <v>On Time</v>
      </c>
      <c r="S170">
        <f t="shared" si="16"/>
        <v>2021</v>
      </c>
      <c r="T170">
        <f t="shared" si="17"/>
        <v>9</v>
      </c>
    </row>
    <row r="171" spans="1:20" x14ac:dyDescent="0.25">
      <c r="A171" t="s">
        <v>375</v>
      </c>
      <c r="B171" t="s">
        <v>31</v>
      </c>
      <c r="C171" t="s">
        <v>122</v>
      </c>
      <c r="D171" s="1">
        <v>45302</v>
      </c>
      <c r="E171">
        <v>11</v>
      </c>
      <c r="F171">
        <v>63.8143981191946</v>
      </c>
      <c r="G171" s="1">
        <v>45316</v>
      </c>
      <c r="H171" s="1">
        <v>45313</v>
      </c>
      <c r="I171">
        <v>701.95837931113999</v>
      </c>
      <c r="J171">
        <f t="shared" si="12"/>
        <v>-3</v>
      </c>
      <c r="K171" t="str">
        <f>VLOOKUP(B171,Raw_Suppliers!$A$2:$G$101,2,FALSE)</f>
        <v>Nova Nano GmbH</v>
      </c>
      <c r="L171" t="str">
        <f>VLOOKUP(B171,Raw_Suppliers!$A$2:$G$101,3,FALSE)</f>
        <v>Denmark</v>
      </c>
      <c r="M171" t="str">
        <f>VLOOKUP(B171,Raw_Suppliers!$A$2:$G$101,4,FALSE)</f>
        <v>South</v>
      </c>
      <c r="N171" t="str">
        <f>VLOOKUP(B171,Raw_Suppliers!$A$2:$G$101,6,FALSE)</f>
        <v>ISO 14001</v>
      </c>
      <c r="O171">
        <f>VLOOKUP(B171,Raw_Suppliers!$A$2:$G$101,7,FALSE)</f>
        <v>1</v>
      </c>
      <c r="P171" t="str">
        <f t="shared" si="13"/>
        <v>Yes</v>
      </c>
      <c r="Q171">
        <f t="shared" si="14"/>
        <v>1</v>
      </c>
      <c r="R171" t="str">
        <f t="shared" si="15"/>
        <v>On Time</v>
      </c>
      <c r="S171">
        <f t="shared" si="16"/>
        <v>2024</v>
      </c>
      <c r="T171">
        <f t="shared" si="17"/>
        <v>1</v>
      </c>
    </row>
    <row r="172" spans="1:20" x14ac:dyDescent="0.25">
      <c r="A172" t="s">
        <v>376</v>
      </c>
      <c r="B172" t="s">
        <v>130</v>
      </c>
      <c r="C172" t="s">
        <v>238</v>
      </c>
      <c r="D172" s="1">
        <v>44855</v>
      </c>
      <c r="E172">
        <v>13</v>
      </c>
      <c r="F172">
        <v>70.117298904078893</v>
      </c>
      <c r="G172" s="1">
        <v>44878</v>
      </c>
      <c r="H172" s="1">
        <v>44880</v>
      </c>
      <c r="I172">
        <v>911.52488575302505</v>
      </c>
      <c r="J172">
        <f t="shared" si="12"/>
        <v>2</v>
      </c>
      <c r="K172" t="str">
        <f>VLOOKUP(B172,Raw_Suppliers!$A$2:$G$101,2,FALSE)</f>
        <v>Beta Gamma Corp</v>
      </c>
      <c r="L172" t="str">
        <f>VLOOKUP(B172,Raw_Suppliers!$A$2:$G$101,3,FALSE)</f>
        <v>USA</v>
      </c>
      <c r="M172" t="str">
        <f>VLOOKUP(B172,Raw_Suppliers!$A$2:$G$101,4,FALSE)</f>
        <v>West</v>
      </c>
      <c r="N172" t="str">
        <f>VLOOKUP(B172,Raw_Suppliers!$A$2:$G$101,6,FALSE)</f>
        <v>None</v>
      </c>
      <c r="O172">
        <f>VLOOKUP(B172,Raw_Suppliers!$A$2:$G$101,7,FALSE)</f>
        <v>0</v>
      </c>
      <c r="P172" t="str">
        <f t="shared" si="13"/>
        <v>No</v>
      </c>
      <c r="Q172">
        <f t="shared" si="14"/>
        <v>0</v>
      </c>
      <c r="R172" t="str">
        <f t="shared" si="15"/>
        <v>Late</v>
      </c>
      <c r="S172">
        <f t="shared" si="16"/>
        <v>2022</v>
      </c>
      <c r="T172">
        <f t="shared" si="17"/>
        <v>10</v>
      </c>
    </row>
    <row r="173" spans="1:20" x14ac:dyDescent="0.25">
      <c r="A173" t="s">
        <v>377</v>
      </c>
      <c r="B173" t="s">
        <v>189</v>
      </c>
      <c r="C173" t="s">
        <v>23</v>
      </c>
      <c r="D173" s="1">
        <v>44450</v>
      </c>
      <c r="E173">
        <v>11</v>
      </c>
      <c r="F173">
        <v>48.819483468943602</v>
      </c>
      <c r="G173" s="1">
        <v>44460</v>
      </c>
      <c r="H173" s="1">
        <v>44466</v>
      </c>
      <c r="I173">
        <v>537.01431815837998</v>
      </c>
      <c r="J173">
        <f t="shared" si="12"/>
        <v>6</v>
      </c>
      <c r="K173" t="str">
        <f>VLOOKUP(B173,Raw_Suppliers!$A$2:$G$101,2,FALSE)</f>
        <v>Apex Pioneer Ltd</v>
      </c>
      <c r="L173" t="str">
        <f>VLOOKUP(B173,Raw_Suppliers!$A$2:$G$101,3,FALSE)</f>
        <v>Canada</v>
      </c>
      <c r="M173" t="str">
        <f>VLOOKUP(B173,Raw_Suppliers!$A$2:$G$101,4,FALSE)</f>
        <v>South</v>
      </c>
      <c r="N173" t="str">
        <f>VLOOKUP(B173,Raw_Suppliers!$A$2:$G$101,6,FALSE)</f>
        <v>ISO 14001</v>
      </c>
      <c r="O173">
        <f>VLOOKUP(B173,Raw_Suppliers!$A$2:$G$101,7,FALSE)</f>
        <v>1</v>
      </c>
      <c r="P173" t="str">
        <f t="shared" si="13"/>
        <v>Yes</v>
      </c>
      <c r="Q173">
        <f t="shared" si="14"/>
        <v>0</v>
      </c>
      <c r="R173" t="str">
        <f t="shared" si="15"/>
        <v>Late</v>
      </c>
      <c r="S173">
        <f t="shared" si="16"/>
        <v>2021</v>
      </c>
      <c r="T173">
        <f t="shared" si="17"/>
        <v>9</v>
      </c>
    </row>
    <row r="174" spans="1:20" x14ac:dyDescent="0.25">
      <c r="A174" t="s">
        <v>378</v>
      </c>
      <c r="B174" t="s">
        <v>379</v>
      </c>
      <c r="C174" t="s">
        <v>380</v>
      </c>
      <c r="D174" s="1">
        <v>45007</v>
      </c>
      <c r="E174">
        <v>16</v>
      </c>
      <c r="F174">
        <v>14.495859713456801</v>
      </c>
      <c r="G174" s="1">
        <v>45026</v>
      </c>
      <c r="H174" s="1">
        <v>45026</v>
      </c>
      <c r="I174">
        <v>231.93375541530801</v>
      </c>
      <c r="J174">
        <f t="shared" si="12"/>
        <v>0</v>
      </c>
      <c r="K174" t="str">
        <f>VLOOKUP(B174,Raw_Suppliers!$A$2:$G$101,2,FALSE)</f>
        <v>Apex Fusion Ltd</v>
      </c>
      <c r="L174" t="str">
        <f>VLOOKUP(B174,Raw_Suppliers!$A$2:$G$101,3,FALSE)</f>
        <v>USA</v>
      </c>
      <c r="M174" t="str">
        <f>VLOOKUP(B174,Raw_Suppliers!$A$2:$G$101,4,FALSE)</f>
        <v>East</v>
      </c>
      <c r="N174" t="str">
        <f>VLOOKUP(B174,Raw_Suppliers!$A$2:$G$101,6,FALSE)</f>
        <v>ISO 14001</v>
      </c>
      <c r="O174">
        <f>VLOOKUP(B174,Raw_Suppliers!$A$2:$G$101,7,FALSE)</f>
        <v>1</v>
      </c>
      <c r="P174" t="str">
        <f t="shared" si="13"/>
        <v>Yes</v>
      </c>
      <c r="Q174">
        <f t="shared" si="14"/>
        <v>1</v>
      </c>
      <c r="R174" t="str">
        <f t="shared" si="15"/>
        <v>On Time</v>
      </c>
      <c r="S174">
        <f t="shared" si="16"/>
        <v>2023</v>
      </c>
      <c r="T174">
        <f t="shared" si="17"/>
        <v>3</v>
      </c>
    </row>
    <row r="175" spans="1:20" x14ac:dyDescent="0.25">
      <c r="A175" t="s">
        <v>381</v>
      </c>
      <c r="B175" t="s">
        <v>382</v>
      </c>
      <c r="C175" t="s">
        <v>383</v>
      </c>
      <c r="D175" s="1">
        <v>44897</v>
      </c>
      <c r="E175">
        <v>7</v>
      </c>
      <c r="F175">
        <v>27.077180287142699</v>
      </c>
      <c r="G175" s="1">
        <v>44913</v>
      </c>
      <c r="H175" s="1">
        <v>44912</v>
      </c>
      <c r="I175">
        <v>189.540262009999</v>
      </c>
      <c r="J175">
        <f t="shared" si="12"/>
        <v>-1</v>
      </c>
      <c r="K175" t="str">
        <f>VLOOKUP(B175,Raw_Suppliers!$A$2:$G$101,2,FALSE)</f>
        <v>Omega Gamma Ltd</v>
      </c>
      <c r="L175" t="str">
        <f>VLOOKUP(B175,Raw_Suppliers!$A$2:$G$101,3,FALSE)</f>
        <v>USA</v>
      </c>
      <c r="M175" t="str">
        <f>VLOOKUP(B175,Raw_Suppliers!$A$2:$G$101,4,FALSE)</f>
        <v>Central</v>
      </c>
      <c r="N175" t="str">
        <f>VLOOKUP(B175,Raw_Suppliers!$A$2:$G$101,6,FALSE)</f>
        <v>None</v>
      </c>
      <c r="O175">
        <f>VLOOKUP(B175,Raw_Suppliers!$A$2:$G$101,7,FALSE)</f>
        <v>0</v>
      </c>
      <c r="P175" t="str">
        <f t="shared" si="13"/>
        <v>No</v>
      </c>
      <c r="Q175">
        <f t="shared" si="14"/>
        <v>1</v>
      </c>
      <c r="R175" t="str">
        <f t="shared" si="15"/>
        <v>On Time</v>
      </c>
      <c r="S175">
        <f t="shared" si="16"/>
        <v>2022</v>
      </c>
      <c r="T175">
        <f t="shared" si="17"/>
        <v>12</v>
      </c>
    </row>
    <row r="176" spans="1:20" x14ac:dyDescent="0.25">
      <c r="A176" t="s">
        <v>384</v>
      </c>
      <c r="B176" t="s">
        <v>34</v>
      </c>
      <c r="C176" t="s">
        <v>385</v>
      </c>
      <c r="D176" s="1">
        <v>44775</v>
      </c>
      <c r="E176">
        <v>7</v>
      </c>
      <c r="F176">
        <v>11.066622934667199</v>
      </c>
      <c r="G176" s="1">
        <v>44789</v>
      </c>
      <c r="H176" s="1">
        <v>44788</v>
      </c>
      <c r="I176">
        <v>77.466360542670699</v>
      </c>
      <c r="J176">
        <f t="shared" si="12"/>
        <v>-1</v>
      </c>
      <c r="K176" t="str">
        <f>VLOOKUP(B176,Raw_Suppliers!$A$2:$G$101,2,FALSE)</f>
        <v>Omega Alpha Corp</v>
      </c>
      <c r="L176" t="str">
        <f>VLOOKUP(B176,Raw_Suppliers!$A$2:$G$101,3,FALSE)</f>
        <v>UK</v>
      </c>
      <c r="M176" t="str">
        <f>VLOOKUP(B176,Raw_Suppliers!$A$2:$G$101,4,FALSE)</f>
        <v>West</v>
      </c>
      <c r="N176" t="str">
        <f>VLOOKUP(B176,Raw_Suppliers!$A$2:$G$101,6,FALSE)</f>
        <v>ISO 45001</v>
      </c>
      <c r="O176">
        <f>VLOOKUP(B176,Raw_Suppliers!$A$2:$G$101,7,FALSE)</f>
        <v>0</v>
      </c>
      <c r="P176" t="str">
        <f t="shared" si="13"/>
        <v>No</v>
      </c>
      <c r="Q176">
        <f t="shared" si="14"/>
        <v>1</v>
      </c>
      <c r="R176" t="str">
        <f t="shared" si="15"/>
        <v>On Time</v>
      </c>
      <c r="S176">
        <f t="shared" si="16"/>
        <v>2022</v>
      </c>
      <c r="T176">
        <f t="shared" si="17"/>
        <v>8</v>
      </c>
    </row>
    <row r="177" spans="1:20" x14ac:dyDescent="0.25">
      <c r="A177" t="s">
        <v>386</v>
      </c>
      <c r="B177" t="s">
        <v>70</v>
      </c>
      <c r="C177" t="s">
        <v>53</v>
      </c>
      <c r="D177" s="1">
        <v>44879</v>
      </c>
      <c r="E177">
        <v>9</v>
      </c>
      <c r="F177">
        <v>16.589292096598701</v>
      </c>
      <c r="G177" s="1">
        <v>44900</v>
      </c>
      <c r="H177" s="1">
        <v>44901</v>
      </c>
      <c r="I177">
        <v>149.303628869389</v>
      </c>
      <c r="J177">
        <f t="shared" si="12"/>
        <v>1</v>
      </c>
      <c r="K177" t="str">
        <f>VLOOKUP(B177,Raw_Suppliers!$A$2:$G$101,2,FALSE)</f>
        <v>Prime Nano Ltd</v>
      </c>
      <c r="L177" t="str">
        <f>VLOOKUP(B177,Raw_Suppliers!$A$2:$G$101,3,FALSE)</f>
        <v>USA</v>
      </c>
      <c r="M177" t="str">
        <f>VLOOKUP(B177,Raw_Suppliers!$A$2:$G$101,4,FALSE)</f>
        <v>Central</v>
      </c>
      <c r="N177" t="str">
        <f>VLOOKUP(B177,Raw_Suppliers!$A$2:$G$101,6,FALSE)</f>
        <v>ISO 45001</v>
      </c>
      <c r="O177">
        <f>VLOOKUP(B177,Raw_Suppliers!$A$2:$G$101,7,FALSE)</f>
        <v>0</v>
      </c>
      <c r="P177" t="str">
        <f t="shared" si="13"/>
        <v>No</v>
      </c>
      <c r="Q177">
        <f t="shared" si="14"/>
        <v>0</v>
      </c>
      <c r="R177" t="str">
        <f t="shared" si="15"/>
        <v>Late</v>
      </c>
      <c r="S177">
        <f t="shared" si="16"/>
        <v>2022</v>
      </c>
      <c r="T177">
        <f t="shared" si="17"/>
        <v>11</v>
      </c>
    </row>
    <row r="178" spans="1:20" x14ac:dyDescent="0.25">
      <c r="A178" t="s">
        <v>387</v>
      </c>
      <c r="B178" t="s">
        <v>109</v>
      </c>
      <c r="C178" t="s">
        <v>356</v>
      </c>
      <c r="D178" s="1">
        <v>44805</v>
      </c>
      <c r="E178">
        <v>9</v>
      </c>
      <c r="F178">
        <v>32.408639151119999</v>
      </c>
      <c r="G178" s="1">
        <v>44829</v>
      </c>
      <c r="H178" s="1">
        <v>44835</v>
      </c>
      <c r="I178">
        <v>291.67775236007998</v>
      </c>
      <c r="J178">
        <f t="shared" si="12"/>
        <v>6</v>
      </c>
      <c r="K178" t="str">
        <f>VLOOKUP(B178,Raw_Suppliers!$A$2:$G$101,2,FALSE)</f>
        <v>Nano Fusion GmbH</v>
      </c>
      <c r="L178" t="str">
        <f>VLOOKUP(B178,Raw_Suppliers!$A$2:$G$101,3,FALSE)</f>
        <v>Denmark</v>
      </c>
      <c r="M178" t="str">
        <f>VLOOKUP(B178,Raw_Suppliers!$A$2:$G$101,4,FALSE)</f>
        <v>North</v>
      </c>
      <c r="N178" t="str">
        <f>VLOOKUP(B178,Raw_Suppliers!$A$2:$G$101,6,FALSE)</f>
        <v>ISO 9001</v>
      </c>
      <c r="O178">
        <f>VLOOKUP(B178,Raw_Suppliers!$A$2:$G$101,7,FALSE)</f>
        <v>0</v>
      </c>
      <c r="P178" t="str">
        <f t="shared" si="13"/>
        <v>No</v>
      </c>
      <c r="Q178">
        <f t="shared" si="14"/>
        <v>0</v>
      </c>
      <c r="R178" t="str">
        <f t="shared" si="15"/>
        <v>Late</v>
      </c>
      <c r="S178">
        <f t="shared" si="16"/>
        <v>2022</v>
      </c>
      <c r="T178">
        <f t="shared" si="17"/>
        <v>9</v>
      </c>
    </row>
    <row r="179" spans="1:20" x14ac:dyDescent="0.25">
      <c r="A179" t="s">
        <v>388</v>
      </c>
      <c r="B179" t="s">
        <v>28</v>
      </c>
      <c r="C179" t="s">
        <v>144</v>
      </c>
      <c r="D179" s="1">
        <v>44798</v>
      </c>
      <c r="E179">
        <v>14</v>
      </c>
      <c r="F179">
        <v>3.7887073851331001</v>
      </c>
      <c r="G179" s="1">
        <v>44812</v>
      </c>
      <c r="H179" s="1">
        <v>44810</v>
      </c>
      <c r="I179">
        <v>53.041903391863499</v>
      </c>
      <c r="J179">
        <f t="shared" si="12"/>
        <v>-2</v>
      </c>
      <c r="K179" t="str">
        <f>VLOOKUP(B179,Raw_Suppliers!$A$2:$G$101,2,FALSE)</f>
        <v>Fusion Vertex Inc</v>
      </c>
      <c r="L179" t="str">
        <f>VLOOKUP(B179,Raw_Suppliers!$A$2:$G$101,3,FALSE)</f>
        <v>Denmark</v>
      </c>
      <c r="M179" t="str">
        <f>VLOOKUP(B179,Raw_Suppliers!$A$2:$G$101,4,FALSE)</f>
        <v>Central</v>
      </c>
      <c r="N179" t="str">
        <f>VLOOKUP(B179,Raw_Suppliers!$A$2:$G$101,6,FALSE)</f>
        <v>ISO 45001</v>
      </c>
      <c r="O179">
        <f>VLOOKUP(B179,Raw_Suppliers!$A$2:$G$101,7,FALSE)</f>
        <v>0</v>
      </c>
      <c r="P179" t="str">
        <f t="shared" si="13"/>
        <v>No</v>
      </c>
      <c r="Q179">
        <f t="shared" si="14"/>
        <v>1</v>
      </c>
      <c r="R179" t="str">
        <f t="shared" si="15"/>
        <v>On Time</v>
      </c>
      <c r="S179">
        <f t="shared" si="16"/>
        <v>2022</v>
      </c>
      <c r="T179">
        <f t="shared" si="17"/>
        <v>8</v>
      </c>
    </row>
    <row r="180" spans="1:20" x14ac:dyDescent="0.25">
      <c r="A180" t="s">
        <v>389</v>
      </c>
      <c r="B180" t="s">
        <v>169</v>
      </c>
      <c r="C180" t="s">
        <v>125</v>
      </c>
      <c r="D180" s="1">
        <v>44613</v>
      </c>
      <c r="E180">
        <v>10</v>
      </c>
      <c r="F180">
        <v>17.309328475460799</v>
      </c>
      <c r="G180" s="1">
        <v>44631</v>
      </c>
      <c r="H180" s="1">
        <v>44634</v>
      </c>
      <c r="I180">
        <v>173.09328475460899</v>
      </c>
      <c r="J180">
        <f t="shared" si="12"/>
        <v>3</v>
      </c>
      <c r="K180" t="str">
        <f>VLOOKUP(B180,Raw_Suppliers!$A$2:$G$101,2,FALSE)</f>
        <v>Vertex Beta LLC</v>
      </c>
      <c r="L180" t="str">
        <f>VLOOKUP(B180,Raw_Suppliers!$A$2:$G$101,3,FALSE)</f>
        <v>China</v>
      </c>
      <c r="M180" t="str">
        <f>VLOOKUP(B180,Raw_Suppliers!$A$2:$G$101,4,FALSE)</f>
        <v>South</v>
      </c>
      <c r="N180" t="str">
        <f>VLOOKUP(B180,Raw_Suppliers!$A$2:$G$101,6,FALSE)</f>
        <v>ISO 14001</v>
      </c>
      <c r="O180">
        <f>VLOOKUP(B180,Raw_Suppliers!$A$2:$G$101,7,FALSE)</f>
        <v>0</v>
      </c>
      <c r="P180" t="str">
        <f t="shared" si="13"/>
        <v>No</v>
      </c>
      <c r="Q180">
        <f t="shared" si="14"/>
        <v>0</v>
      </c>
      <c r="R180" t="str">
        <f t="shared" si="15"/>
        <v>Late</v>
      </c>
      <c r="S180">
        <f t="shared" si="16"/>
        <v>2022</v>
      </c>
      <c r="T180">
        <f t="shared" si="17"/>
        <v>2</v>
      </c>
    </row>
    <row r="181" spans="1:20" x14ac:dyDescent="0.25">
      <c r="A181" t="s">
        <v>390</v>
      </c>
      <c r="B181" t="s">
        <v>205</v>
      </c>
      <c r="C181" t="s">
        <v>391</v>
      </c>
      <c r="D181" s="1">
        <v>44617</v>
      </c>
      <c r="E181">
        <v>12</v>
      </c>
      <c r="F181">
        <v>33.026294012227197</v>
      </c>
      <c r="G181" s="1">
        <v>44628</v>
      </c>
      <c r="H181" s="1">
        <v>44632</v>
      </c>
      <c r="I181">
        <v>396.31552814672602</v>
      </c>
      <c r="J181">
        <f t="shared" si="12"/>
        <v>4</v>
      </c>
      <c r="K181" t="str">
        <f>VLOOKUP(B181,Raw_Suppliers!$A$2:$G$101,2,FALSE)</f>
        <v>Ultra Eco LLC</v>
      </c>
      <c r="L181" t="str">
        <f>VLOOKUP(B181,Raw_Suppliers!$A$2:$G$101,3,FALSE)</f>
        <v>China</v>
      </c>
      <c r="M181" t="str">
        <f>VLOOKUP(B181,Raw_Suppliers!$A$2:$G$101,4,FALSE)</f>
        <v>South</v>
      </c>
      <c r="N181" t="str">
        <f>VLOOKUP(B181,Raw_Suppliers!$A$2:$G$101,6,FALSE)</f>
        <v>ISO 14001</v>
      </c>
      <c r="O181">
        <f>VLOOKUP(B181,Raw_Suppliers!$A$2:$G$101,7,FALSE)</f>
        <v>1</v>
      </c>
      <c r="P181" t="str">
        <f t="shared" si="13"/>
        <v>Yes</v>
      </c>
      <c r="Q181">
        <f t="shared" si="14"/>
        <v>0</v>
      </c>
      <c r="R181" t="str">
        <f t="shared" si="15"/>
        <v>Late</v>
      </c>
      <c r="S181">
        <f t="shared" si="16"/>
        <v>2022</v>
      </c>
      <c r="T181">
        <f t="shared" si="17"/>
        <v>2</v>
      </c>
    </row>
    <row r="182" spans="1:20" x14ac:dyDescent="0.25">
      <c r="A182" t="s">
        <v>392</v>
      </c>
      <c r="B182" t="s">
        <v>96</v>
      </c>
      <c r="C182" t="s">
        <v>297</v>
      </c>
      <c r="D182" s="1">
        <v>44342</v>
      </c>
      <c r="E182">
        <v>14</v>
      </c>
      <c r="F182">
        <v>41.792235215139101</v>
      </c>
      <c r="G182" s="1">
        <v>44360</v>
      </c>
      <c r="H182" s="1">
        <v>44357</v>
      </c>
      <c r="I182">
        <v>585.09129301194798</v>
      </c>
      <c r="J182">
        <f t="shared" si="12"/>
        <v>-3</v>
      </c>
      <c r="K182" t="str">
        <f>VLOOKUP(B182,Raw_Suppliers!$A$2:$G$101,2,FALSE)</f>
        <v>Alpha Nova Ltd</v>
      </c>
      <c r="L182" t="str">
        <f>VLOOKUP(B182,Raw_Suppliers!$A$2:$G$101,3,FALSE)</f>
        <v>UK</v>
      </c>
      <c r="M182" t="str">
        <f>VLOOKUP(B182,Raw_Suppliers!$A$2:$G$101,4,FALSE)</f>
        <v>West</v>
      </c>
      <c r="N182" t="str">
        <f>VLOOKUP(B182,Raw_Suppliers!$A$2:$G$101,6,FALSE)</f>
        <v>ISO 14001</v>
      </c>
      <c r="O182">
        <f>VLOOKUP(B182,Raw_Suppliers!$A$2:$G$101,7,FALSE)</f>
        <v>0</v>
      </c>
      <c r="P182" t="str">
        <f t="shared" si="13"/>
        <v>No</v>
      </c>
      <c r="Q182">
        <f t="shared" si="14"/>
        <v>1</v>
      </c>
      <c r="R182" t="str">
        <f t="shared" si="15"/>
        <v>On Time</v>
      </c>
      <c r="S182">
        <f t="shared" si="16"/>
        <v>2021</v>
      </c>
      <c r="T182">
        <f t="shared" si="17"/>
        <v>5</v>
      </c>
    </row>
    <row r="183" spans="1:20" x14ac:dyDescent="0.25">
      <c r="A183" t="s">
        <v>393</v>
      </c>
      <c r="B183" t="s">
        <v>394</v>
      </c>
      <c r="C183" t="s">
        <v>97</v>
      </c>
      <c r="D183" s="1">
        <v>44720</v>
      </c>
      <c r="E183">
        <v>10</v>
      </c>
      <c r="F183">
        <v>52.826505972564</v>
      </c>
      <c r="G183" s="1">
        <v>44742</v>
      </c>
      <c r="H183" s="1">
        <v>44744</v>
      </c>
      <c r="I183">
        <v>528.26505972563996</v>
      </c>
      <c r="J183">
        <f t="shared" si="12"/>
        <v>2</v>
      </c>
      <c r="K183" t="str">
        <f>VLOOKUP(B183,Raw_Suppliers!$A$2:$G$101,2,FALSE)</f>
        <v>Ultra Prime Inc</v>
      </c>
      <c r="L183" t="str">
        <f>VLOOKUP(B183,Raw_Suppliers!$A$2:$G$101,3,FALSE)</f>
        <v>Brazil</v>
      </c>
      <c r="M183" t="str">
        <f>VLOOKUP(B183,Raw_Suppliers!$A$2:$G$101,4,FALSE)</f>
        <v>West</v>
      </c>
      <c r="N183" t="str">
        <f>VLOOKUP(B183,Raw_Suppliers!$A$2:$G$101,6,FALSE)</f>
        <v>ISO 9001</v>
      </c>
      <c r="O183">
        <f>VLOOKUP(B183,Raw_Suppliers!$A$2:$G$101,7,FALSE)</f>
        <v>1</v>
      </c>
      <c r="P183" t="str">
        <f t="shared" si="13"/>
        <v>Yes</v>
      </c>
      <c r="Q183">
        <f t="shared" si="14"/>
        <v>0</v>
      </c>
      <c r="R183" t="str">
        <f t="shared" si="15"/>
        <v>Late</v>
      </c>
      <c r="S183">
        <f t="shared" si="16"/>
        <v>2022</v>
      </c>
      <c r="T183">
        <f t="shared" si="17"/>
        <v>6</v>
      </c>
    </row>
    <row r="184" spans="1:20" x14ac:dyDescent="0.25">
      <c r="A184" t="s">
        <v>395</v>
      </c>
      <c r="B184" t="s">
        <v>179</v>
      </c>
      <c r="C184" t="s">
        <v>396</v>
      </c>
      <c r="D184" s="1">
        <v>45094</v>
      </c>
      <c r="E184">
        <v>16</v>
      </c>
      <c r="F184">
        <v>45.601261999225599</v>
      </c>
      <c r="G184" s="1">
        <v>45115</v>
      </c>
      <c r="H184" s="1">
        <v>45116</v>
      </c>
      <c r="I184">
        <v>729.62019198761004</v>
      </c>
      <c r="J184">
        <f t="shared" si="12"/>
        <v>1</v>
      </c>
      <c r="K184" t="str">
        <f>VLOOKUP(B184,Raw_Suppliers!$A$2:$G$101,2,FALSE)</f>
        <v>Nova Gamma Ltd</v>
      </c>
      <c r="L184" t="str">
        <f>VLOOKUP(B184,Raw_Suppliers!$A$2:$G$101,3,FALSE)</f>
        <v>Denmark</v>
      </c>
      <c r="M184" t="str">
        <f>VLOOKUP(B184,Raw_Suppliers!$A$2:$G$101,4,FALSE)</f>
        <v>East</v>
      </c>
      <c r="N184" t="str">
        <f>VLOOKUP(B184,Raw_Suppliers!$A$2:$G$101,6,FALSE)</f>
        <v>ISO 9001</v>
      </c>
      <c r="O184">
        <f>VLOOKUP(B184,Raw_Suppliers!$A$2:$G$101,7,FALSE)</f>
        <v>0</v>
      </c>
      <c r="P184" t="str">
        <f t="shared" si="13"/>
        <v>No</v>
      </c>
      <c r="Q184">
        <f t="shared" si="14"/>
        <v>0</v>
      </c>
      <c r="R184" t="str">
        <f t="shared" si="15"/>
        <v>Late</v>
      </c>
      <c r="S184">
        <f t="shared" si="16"/>
        <v>2023</v>
      </c>
      <c r="T184">
        <f t="shared" si="17"/>
        <v>6</v>
      </c>
    </row>
    <row r="185" spans="1:20" x14ac:dyDescent="0.25">
      <c r="A185" t="s">
        <v>397</v>
      </c>
      <c r="B185" t="s">
        <v>186</v>
      </c>
      <c r="C185" t="s">
        <v>20</v>
      </c>
      <c r="D185" s="1">
        <v>45189</v>
      </c>
      <c r="E185">
        <v>12</v>
      </c>
      <c r="F185">
        <v>77.289739205282302</v>
      </c>
      <c r="G185" s="1">
        <v>45202</v>
      </c>
      <c r="H185" s="1">
        <v>45206</v>
      </c>
      <c r="I185">
        <v>927.47687046338694</v>
      </c>
      <c r="J185">
        <f t="shared" si="12"/>
        <v>4</v>
      </c>
      <c r="K185" t="str">
        <f>VLOOKUP(B185,Raw_Suppliers!$A$2:$G$101,2,FALSE)</f>
        <v>Omega Vertex Inc</v>
      </c>
      <c r="L185" t="str">
        <f>VLOOKUP(B185,Raw_Suppliers!$A$2:$G$101,3,FALSE)</f>
        <v>China</v>
      </c>
      <c r="M185" t="str">
        <f>VLOOKUP(B185,Raw_Suppliers!$A$2:$G$101,4,FALSE)</f>
        <v>West</v>
      </c>
      <c r="N185" t="str">
        <f>VLOOKUP(B185,Raw_Suppliers!$A$2:$G$101,6,FALSE)</f>
        <v>ISO 14001</v>
      </c>
      <c r="O185">
        <f>VLOOKUP(B185,Raw_Suppliers!$A$2:$G$101,7,FALSE)</f>
        <v>1</v>
      </c>
      <c r="P185" t="str">
        <f t="shared" si="13"/>
        <v>Yes</v>
      </c>
      <c r="Q185">
        <f t="shared" si="14"/>
        <v>0</v>
      </c>
      <c r="R185" t="str">
        <f t="shared" si="15"/>
        <v>Late</v>
      </c>
      <c r="S185">
        <f t="shared" si="16"/>
        <v>2023</v>
      </c>
      <c r="T185">
        <f t="shared" si="17"/>
        <v>9</v>
      </c>
    </row>
    <row r="186" spans="1:20" x14ac:dyDescent="0.25">
      <c r="A186" t="s">
        <v>398</v>
      </c>
      <c r="B186" t="s">
        <v>399</v>
      </c>
      <c r="C186" t="s">
        <v>400</v>
      </c>
      <c r="D186" s="1">
        <v>44808</v>
      </c>
      <c r="E186">
        <v>9</v>
      </c>
      <c r="F186">
        <v>31.769971857536198</v>
      </c>
      <c r="G186" s="1">
        <v>44822</v>
      </c>
      <c r="H186" s="1">
        <v>44824</v>
      </c>
      <c r="I186">
        <v>285.92974671782503</v>
      </c>
      <c r="J186">
        <f t="shared" si="12"/>
        <v>2</v>
      </c>
      <c r="K186" t="str">
        <f>VLOOKUP(B186,Raw_Suppliers!$A$2:$G$101,2,FALSE)</f>
        <v>Omega Nano Corp</v>
      </c>
      <c r="L186" t="str">
        <f>VLOOKUP(B186,Raw_Suppliers!$A$2:$G$101,3,FALSE)</f>
        <v>Brazil</v>
      </c>
      <c r="M186" t="str">
        <f>VLOOKUP(B186,Raw_Suppliers!$A$2:$G$101,4,FALSE)</f>
        <v>Central</v>
      </c>
      <c r="N186" t="str">
        <f>VLOOKUP(B186,Raw_Suppliers!$A$2:$G$101,6,FALSE)</f>
        <v>ISO 14001</v>
      </c>
      <c r="O186">
        <f>VLOOKUP(B186,Raw_Suppliers!$A$2:$G$101,7,FALSE)</f>
        <v>0</v>
      </c>
      <c r="P186" t="str">
        <f t="shared" si="13"/>
        <v>No</v>
      </c>
      <c r="Q186">
        <f t="shared" si="14"/>
        <v>0</v>
      </c>
      <c r="R186" t="str">
        <f t="shared" si="15"/>
        <v>Late</v>
      </c>
      <c r="S186">
        <f t="shared" si="16"/>
        <v>2022</v>
      </c>
      <c r="T186">
        <f t="shared" si="17"/>
        <v>9</v>
      </c>
    </row>
    <row r="187" spans="1:20" x14ac:dyDescent="0.25">
      <c r="A187" t="s">
        <v>401</v>
      </c>
      <c r="B187" t="s">
        <v>52</v>
      </c>
      <c r="C187" t="s">
        <v>402</v>
      </c>
      <c r="D187" s="1">
        <v>44928</v>
      </c>
      <c r="E187">
        <v>8</v>
      </c>
      <c r="F187">
        <v>65.874561942966196</v>
      </c>
      <c r="G187" s="1">
        <v>44947</v>
      </c>
      <c r="H187" s="1">
        <v>44946</v>
      </c>
      <c r="I187">
        <v>526.99649554373002</v>
      </c>
      <c r="J187">
        <f t="shared" si="12"/>
        <v>-1</v>
      </c>
      <c r="K187" t="str">
        <f>VLOOKUP(B187,Raw_Suppliers!$A$2:$G$101,2,FALSE)</f>
        <v>Beta Nano Corp</v>
      </c>
      <c r="L187" t="str">
        <f>VLOOKUP(B187,Raw_Suppliers!$A$2:$G$101,3,FALSE)</f>
        <v>UK</v>
      </c>
      <c r="M187" t="str">
        <f>VLOOKUP(B187,Raw_Suppliers!$A$2:$G$101,4,FALSE)</f>
        <v>Central</v>
      </c>
      <c r="N187" t="str">
        <f>VLOOKUP(B187,Raw_Suppliers!$A$2:$G$101,6,FALSE)</f>
        <v>ISO 45001</v>
      </c>
      <c r="O187">
        <f>VLOOKUP(B187,Raw_Suppliers!$A$2:$G$101,7,FALSE)</f>
        <v>0</v>
      </c>
      <c r="P187" t="str">
        <f t="shared" si="13"/>
        <v>No</v>
      </c>
      <c r="Q187">
        <f t="shared" si="14"/>
        <v>1</v>
      </c>
      <c r="R187" t="str">
        <f t="shared" si="15"/>
        <v>On Time</v>
      </c>
      <c r="S187">
        <f t="shared" si="16"/>
        <v>2023</v>
      </c>
      <c r="T187">
        <f t="shared" si="17"/>
        <v>1</v>
      </c>
    </row>
    <row r="188" spans="1:20" x14ac:dyDescent="0.25">
      <c r="A188" t="s">
        <v>403</v>
      </c>
      <c r="B188" t="s">
        <v>19</v>
      </c>
      <c r="C188" t="s">
        <v>112</v>
      </c>
      <c r="D188" s="1">
        <v>45343</v>
      </c>
      <c r="E188">
        <v>14</v>
      </c>
      <c r="F188">
        <v>29.971612972115899</v>
      </c>
      <c r="G188" s="1">
        <v>45365</v>
      </c>
      <c r="H188" s="1">
        <v>45362</v>
      </c>
      <c r="I188">
        <v>419.60258160962201</v>
      </c>
      <c r="J188">
        <f t="shared" si="12"/>
        <v>-3</v>
      </c>
      <c r="K188" t="str">
        <f>VLOOKUP(B188,Raw_Suppliers!$A$2:$G$101,2,FALSE)</f>
        <v>Nova Beta Corp</v>
      </c>
      <c r="L188" t="str">
        <f>VLOOKUP(B188,Raw_Suppliers!$A$2:$G$101,3,FALSE)</f>
        <v>Brazil</v>
      </c>
      <c r="M188" t="str">
        <f>VLOOKUP(B188,Raw_Suppliers!$A$2:$G$101,4,FALSE)</f>
        <v>South</v>
      </c>
      <c r="N188" t="str">
        <f>VLOOKUP(B188,Raw_Suppliers!$A$2:$G$101,6,FALSE)</f>
        <v>ISO 14001</v>
      </c>
      <c r="O188">
        <f>VLOOKUP(B188,Raw_Suppliers!$A$2:$G$101,7,FALSE)</f>
        <v>1</v>
      </c>
      <c r="P188" t="str">
        <f t="shared" si="13"/>
        <v>Yes</v>
      </c>
      <c r="Q188">
        <f t="shared" si="14"/>
        <v>1</v>
      </c>
      <c r="R188" t="str">
        <f t="shared" si="15"/>
        <v>On Time</v>
      </c>
      <c r="S188">
        <f t="shared" si="16"/>
        <v>2024</v>
      </c>
      <c r="T188">
        <f t="shared" si="17"/>
        <v>2</v>
      </c>
    </row>
    <row r="189" spans="1:20" x14ac:dyDescent="0.25">
      <c r="A189" t="s">
        <v>404</v>
      </c>
      <c r="B189" t="s">
        <v>219</v>
      </c>
      <c r="C189" t="s">
        <v>254</v>
      </c>
      <c r="D189" s="1">
        <v>44366</v>
      </c>
      <c r="E189">
        <v>8</v>
      </c>
      <c r="F189">
        <v>38.070077385744497</v>
      </c>
      <c r="G189" s="1">
        <v>44382</v>
      </c>
      <c r="H189" s="1">
        <v>44381</v>
      </c>
      <c r="I189">
        <v>304.56061908595598</v>
      </c>
      <c r="J189">
        <f t="shared" si="12"/>
        <v>-1</v>
      </c>
      <c r="K189" t="str">
        <f>VLOOKUP(B189,Raw_Suppliers!$A$2:$G$101,2,FALSE)</f>
        <v>Quantum Quantum Ltd</v>
      </c>
      <c r="L189" t="str">
        <f>VLOOKUP(B189,Raw_Suppliers!$A$2:$G$101,3,FALSE)</f>
        <v>USA</v>
      </c>
      <c r="M189" t="str">
        <f>VLOOKUP(B189,Raw_Suppliers!$A$2:$G$101,4,FALSE)</f>
        <v>South</v>
      </c>
      <c r="N189" t="str">
        <f>VLOOKUP(B189,Raw_Suppliers!$A$2:$G$101,6,FALSE)</f>
        <v>ISO 14001</v>
      </c>
      <c r="O189">
        <f>VLOOKUP(B189,Raw_Suppliers!$A$2:$G$101,7,FALSE)</f>
        <v>0</v>
      </c>
      <c r="P189" t="str">
        <f t="shared" si="13"/>
        <v>No</v>
      </c>
      <c r="Q189">
        <f t="shared" si="14"/>
        <v>1</v>
      </c>
      <c r="R189" t="str">
        <f t="shared" si="15"/>
        <v>On Time</v>
      </c>
      <c r="S189">
        <f t="shared" si="16"/>
        <v>2021</v>
      </c>
      <c r="T189">
        <f t="shared" si="17"/>
        <v>6</v>
      </c>
    </row>
    <row r="190" spans="1:20" x14ac:dyDescent="0.25">
      <c r="A190" t="s">
        <v>405</v>
      </c>
      <c r="B190" t="s">
        <v>205</v>
      </c>
      <c r="C190" t="s">
        <v>187</v>
      </c>
      <c r="D190" s="1">
        <v>44418</v>
      </c>
      <c r="E190">
        <v>15</v>
      </c>
      <c r="F190">
        <v>39.390142597548703</v>
      </c>
      <c r="G190" s="1">
        <v>44437</v>
      </c>
      <c r="H190" s="1">
        <v>44436</v>
      </c>
      <c r="I190">
        <v>590.85213896323103</v>
      </c>
      <c r="J190">
        <f t="shared" si="12"/>
        <v>-1</v>
      </c>
      <c r="K190" t="str">
        <f>VLOOKUP(B190,Raw_Suppliers!$A$2:$G$101,2,FALSE)</f>
        <v>Ultra Eco LLC</v>
      </c>
      <c r="L190" t="str">
        <f>VLOOKUP(B190,Raw_Suppliers!$A$2:$G$101,3,FALSE)</f>
        <v>China</v>
      </c>
      <c r="M190" t="str">
        <f>VLOOKUP(B190,Raw_Suppliers!$A$2:$G$101,4,FALSE)</f>
        <v>South</v>
      </c>
      <c r="N190" t="str">
        <f>VLOOKUP(B190,Raw_Suppliers!$A$2:$G$101,6,FALSE)</f>
        <v>ISO 14001</v>
      </c>
      <c r="O190">
        <f>VLOOKUP(B190,Raw_Suppliers!$A$2:$G$101,7,FALSE)</f>
        <v>1</v>
      </c>
      <c r="P190" t="str">
        <f t="shared" si="13"/>
        <v>Yes</v>
      </c>
      <c r="Q190">
        <f t="shared" si="14"/>
        <v>1</v>
      </c>
      <c r="R190" t="str">
        <f t="shared" si="15"/>
        <v>On Time</v>
      </c>
      <c r="S190">
        <f t="shared" si="16"/>
        <v>2021</v>
      </c>
      <c r="T190">
        <f t="shared" si="17"/>
        <v>8</v>
      </c>
    </row>
    <row r="191" spans="1:20" x14ac:dyDescent="0.25">
      <c r="A191" t="s">
        <v>406</v>
      </c>
      <c r="B191" t="s">
        <v>324</v>
      </c>
      <c r="C191" t="s">
        <v>65</v>
      </c>
      <c r="D191" s="1">
        <v>44218</v>
      </c>
      <c r="E191">
        <v>14</v>
      </c>
      <c r="F191">
        <v>50.315470850313702</v>
      </c>
      <c r="G191" s="1">
        <v>44236</v>
      </c>
      <c r="H191" s="1">
        <v>44233</v>
      </c>
      <c r="I191">
        <v>704.41659190439202</v>
      </c>
      <c r="J191">
        <f t="shared" si="12"/>
        <v>-3</v>
      </c>
      <c r="K191" t="str">
        <f>VLOOKUP(B191,Raw_Suppliers!$A$2:$G$101,2,FALSE)</f>
        <v>Gamma Nano Corp</v>
      </c>
      <c r="L191" t="str">
        <f>VLOOKUP(B191,Raw_Suppliers!$A$2:$G$101,3,FALSE)</f>
        <v>Germany</v>
      </c>
      <c r="M191" t="str">
        <f>VLOOKUP(B191,Raw_Suppliers!$A$2:$G$101,4,FALSE)</f>
        <v>West</v>
      </c>
      <c r="N191" t="str">
        <f>VLOOKUP(B191,Raw_Suppliers!$A$2:$G$101,6,FALSE)</f>
        <v>ISO 9001</v>
      </c>
      <c r="O191">
        <f>VLOOKUP(B191,Raw_Suppliers!$A$2:$G$101,7,FALSE)</f>
        <v>0</v>
      </c>
      <c r="P191" t="str">
        <f t="shared" si="13"/>
        <v>No</v>
      </c>
      <c r="Q191">
        <f t="shared" si="14"/>
        <v>1</v>
      </c>
      <c r="R191" t="str">
        <f t="shared" si="15"/>
        <v>On Time</v>
      </c>
      <c r="S191">
        <f t="shared" si="16"/>
        <v>2021</v>
      </c>
      <c r="T191">
        <f t="shared" si="17"/>
        <v>1</v>
      </c>
    </row>
    <row r="192" spans="1:20" x14ac:dyDescent="0.25">
      <c r="A192" t="s">
        <v>407</v>
      </c>
      <c r="B192" t="s">
        <v>10</v>
      </c>
      <c r="C192" t="s">
        <v>408</v>
      </c>
      <c r="D192" s="1">
        <v>44789</v>
      </c>
      <c r="E192">
        <v>16</v>
      </c>
      <c r="F192">
        <v>77.195450147392506</v>
      </c>
      <c r="G192" s="1">
        <v>44801</v>
      </c>
      <c r="H192" s="1">
        <v>44801</v>
      </c>
      <c r="I192">
        <v>1235.1272023582801</v>
      </c>
      <c r="J192">
        <f t="shared" si="12"/>
        <v>0</v>
      </c>
      <c r="K192" t="str">
        <f>VLOOKUP(B192,Raw_Suppliers!$A$2:$G$101,2,FALSE)</f>
        <v>Vertex Beta GmbH</v>
      </c>
      <c r="L192" t="str">
        <f>VLOOKUP(B192,Raw_Suppliers!$A$2:$G$101,3,FALSE)</f>
        <v>India</v>
      </c>
      <c r="M192" t="str">
        <f>VLOOKUP(B192,Raw_Suppliers!$A$2:$G$101,4,FALSE)</f>
        <v>North</v>
      </c>
      <c r="N192" t="str">
        <f>VLOOKUP(B192,Raw_Suppliers!$A$2:$G$101,6,FALSE)</f>
        <v>ISO 14001</v>
      </c>
      <c r="O192">
        <f>VLOOKUP(B192,Raw_Suppliers!$A$2:$G$101,7,FALSE)</f>
        <v>0</v>
      </c>
      <c r="P192" t="str">
        <f t="shared" si="13"/>
        <v>No</v>
      </c>
      <c r="Q192">
        <f t="shared" si="14"/>
        <v>1</v>
      </c>
      <c r="R192" t="str">
        <f t="shared" si="15"/>
        <v>On Time</v>
      </c>
      <c r="S192">
        <f t="shared" si="16"/>
        <v>2022</v>
      </c>
      <c r="T192">
        <f t="shared" si="17"/>
        <v>8</v>
      </c>
    </row>
    <row r="193" spans="1:20" x14ac:dyDescent="0.25">
      <c r="A193" t="s">
        <v>409</v>
      </c>
      <c r="B193" t="s">
        <v>28</v>
      </c>
      <c r="C193" t="s">
        <v>62</v>
      </c>
      <c r="D193" s="1">
        <v>44771</v>
      </c>
      <c r="E193">
        <v>12</v>
      </c>
      <c r="F193">
        <v>14.7382098616036</v>
      </c>
      <c r="G193" s="1">
        <v>44789</v>
      </c>
      <c r="H193" s="1">
        <v>44786</v>
      </c>
      <c r="I193">
        <v>176.85851833924301</v>
      </c>
      <c r="J193">
        <f t="shared" si="12"/>
        <v>-3</v>
      </c>
      <c r="K193" t="str">
        <f>VLOOKUP(B193,Raw_Suppliers!$A$2:$G$101,2,FALSE)</f>
        <v>Fusion Vertex Inc</v>
      </c>
      <c r="L193" t="str">
        <f>VLOOKUP(B193,Raw_Suppliers!$A$2:$G$101,3,FALSE)</f>
        <v>Denmark</v>
      </c>
      <c r="M193" t="str">
        <f>VLOOKUP(B193,Raw_Suppliers!$A$2:$G$101,4,FALSE)</f>
        <v>Central</v>
      </c>
      <c r="N193" t="str">
        <f>VLOOKUP(B193,Raw_Suppliers!$A$2:$G$101,6,FALSE)</f>
        <v>ISO 45001</v>
      </c>
      <c r="O193">
        <f>VLOOKUP(B193,Raw_Suppliers!$A$2:$G$101,7,FALSE)</f>
        <v>0</v>
      </c>
      <c r="P193" t="str">
        <f t="shared" si="13"/>
        <v>No</v>
      </c>
      <c r="Q193">
        <f t="shared" si="14"/>
        <v>1</v>
      </c>
      <c r="R193" t="str">
        <f t="shared" si="15"/>
        <v>On Time</v>
      </c>
      <c r="S193">
        <f t="shared" si="16"/>
        <v>2022</v>
      </c>
      <c r="T193">
        <f t="shared" si="17"/>
        <v>7</v>
      </c>
    </row>
    <row r="194" spans="1:20" x14ac:dyDescent="0.25">
      <c r="A194" t="s">
        <v>410</v>
      </c>
      <c r="B194" t="s">
        <v>411</v>
      </c>
      <c r="C194" t="s">
        <v>259</v>
      </c>
      <c r="D194" s="1">
        <v>44476</v>
      </c>
      <c r="E194">
        <v>12</v>
      </c>
      <c r="F194">
        <v>78.085507760598603</v>
      </c>
      <c r="G194" s="1">
        <v>44499</v>
      </c>
      <c r="H194" s="1">
        <v>44504</v>
      </c>
      <c r="I194">
        <v>937.026093127183</v>
      </c>
      <c r="J194">
        <f t="shared" si="12"/>
        <v>5</v>
      </c>
      <c r="K194" t="str">
        <f>VLOOKUP(B194,Raw_Suppliers!$A$2:$G$101,2,FALSE)</f>
        <v>Gamma Nova LLC</v>
      </c>
      <c r="L194" t="str">
        <f>VLOOKUP(B194,Raw_Suppliers!$A$2:$G$101,3,FALSE)</f>
        <v>Brazil</v>
      </c>
      <c r="M194" t="str">
        <f>VLOOKUP(B194,Raw_Suppliers!$A$2:$G$101,4,FALSE)</f>
        <v>North</v>
      </c>
      <c r="N194" t="str">
        <f>VLOOKUP(B194,Raw_Suppliers!$A$2:$G$101,6,FALSE)</f>
        <v>ISO 14001</v>
      </c>
      <c r="O194">
        <f>VLOOKUP(B194,Raw_Suppliers!$A$2:$G$101,7,FALSE)</f>
        <v>1</v>
      </c>
      <c r="P194" t="str">
        <f t="shared" si="13"/>
        <v>Yes</v>
      </c>
      <c r="Q194">
        <f t="shared" si="14"/>
        <v>0</v>
      </c>
      <c r="R194" t="str">
        <f t="shared" si="15"/>
        <v>Late</v>
      </c>
      <c r="S194">
        <f t="shared" si="16"/>
        <v>2021</v>
      </c>
      <c r="T194">
        <f t="shared" si="17"/>
        <v>10</v>
      </c>
    </row>
    <row r="195" spans="1:20" x14ac:dyDescent="0.25">
      <c r="A195" t="s">
        <v>412</v>
      </c>
      <c r="B195" t="s">
        <v>88</v>
      </c>
      <c r="C195" t="s">
        <v>413</v>
      </c>
      <c r="D195" s="1">
        <v>44633</v>
      </c>
      <c r="E195">
        <v>16</v>
      </c>
      <c r="F195">
        <v>12.585993675620101</v>
      </c>
      <c r="G195" s="1">
        <v>44650</v>
      </c>
      <c r="H195" s="1">
        <v>44653</v>
      </c>
      <c r="I195">
        <v>201.37589880992201</v>
      </c>
      <c r="J195">
        <f t="shared" ref="J195:J258" si="18">H195-G195</f>
        <v>3</v>
      </c>
      <c r="K195" t="str">
        <f>VLOOKUP(B195,Raw_Suppliers!$A$2:$G$101,2,FALSE)</f>
        <v>Eco Nano GmbH</v>
      </c>
      <c r="L195" t="str">
        <f>VLOOKUP(B195,Raw_Suppliers!$A$2:$G$101,3,FALSE)</f>
        <v>Denmark</v>
      </c>
      <c r="M195" t="str">
        <f>VLOOKUP(B195,Raw_Suppliers!$A$2:$G$101,4,FALSE)</f>
        <v>Central</v>
      </c>
      <c r="N195" t="str">
        <f>VLOOKUP(B195,Raw_Suppliers!$A$2:$G$101,6,FALSE)</f>
        <v>ISO 9001</v>
      </c>
      <c r="O195">
        <f>VLOOKUP(B195,Raw_Suppliers!$A$2:$G$101,7,FALSE)</f>
        <v>1</v>
      </c>
      <c r="P195" t="str">
        <f t="shared" ref="P195:P258" si="19">IF(O195=1,"Yes","No")</f>
        <v>Yes</v>
      </c>
      <c r="Q195">
        <f t="shared" ref="Q195:Q258" si="20">IF(J195&lt;=0,1,0)</f>
        <v>0</v>
      </c>
      <c r="R195" t="str">
        <f t="shared" ref="R195:R258" si="21">IF(Q195=1,"On Time","Late")</f>
        <v>Late</v>
      </c>
      <c r="S195">
        <f t="shared" ref="S195:S258" si="22">YEAR(D195)</f>
        <v>2022</v>
      </c>
      <c r="T195">
        <f t="shared" ref="T195:T258" si="23">MONTH(D195)</f>
        <v>3</v>
      </c>
    </row>
    <row r="196" spans="1:20" x14ac:dyDescent="0.25">
      <c r="A196" t="s">
        <v>414</v>
      </c>
      <c r="B196" t="s">
        <v>130</v>
      </c>
      <c r="C196" t="s">
        <v>415</v>
      </c>
      <c r="D196" s="1">
        <v>45021</v>
      </c>
      <c r="E196">
        <v>14</v>
      </c>
      <c r="F196">
        <v>18.802838040088599</v>
      </c>
      <c r="G196" s="1">
        <v>45037</v>
      </c>
      <c r="H196" s="1">
        <v>45043</v>
      </c>
      <c r="I196">
        <v>263.239732561241</v>
      </c>
      <c r="J196">
        <f t="shared" si="18"/>
        <v>6</v>
      </c>
      <c r="K196" t="str">
        <f>VLOOKUP(B196,Raw_Suppliers!$A$2:$G$101,2,FALSE)</f>
        <v>Beta Gamma Corp</v>
      </c>
      <c r="L196" t="str">
        <f>VLOOKUP(B196,Raw_Suppliers!$A$2:$G$101,3,FALSE)</f>
        <v>USA</v>
      </c>
      <c r="M196" t="str">
        <f>VLOOKUP(B196,Raw_Suppliers!$A$2:$G$101,4,FALSE)</f>
        <v>West</v>
      </c>
      <c r="N196" t="str">
        <f>VLOOKUP(B196,Raw_Suppliers!$A$2:$G$101,6,FALSE)</f>
        <v>None</v>
      </c>
      <c r="O196">
        <f>VLOOKUP(B196,Raw_Suppliers!$A$2:$G$101,7,FALSE)</f>
        <v>0</v>
      </c>
      <c r="P196" t="str">
        <f t="shared" si="19"/>
        <v>No</v>
      </c>
      <c r="Q196">
        <f t="shared" si="20"/>
        <v>0</v>
      </c>
      <c r="R196" t="str">
        <f t="shared" si="21"/>
        <v>Late</v>
      </c>
      <c r="S196">
        <f t="shared" si="22"/>
        <v>2023</v>
      </c>
      <c r="T196">
        <f t="shared" si="23"/>
        <v>4</v>
      </c>
    </row>
    <row r="197" spans="1:20" x14ac:dyDescent="0.25">
      <c r="A197" t="s">
        <v>416</v>
      </c>
      <c r="B197" t="s">
        <v>174</v>
      </c>
      <c r="C197" t="s">
        <v>26</v>
      </c>
      <c r="D197" s="1">
        <v>44948</v>
      </c>
      <c r="E197">
        <v>9</v>
      </c>
      <c r="F197">
        <v>66.149728384119797</v>
      </c>
      <c r="G197" s="1">
        <v>44971</v>
      </c>
      <c r="H197" s="1">
        <v>44973</v>
      </c>
      <c r="I197">
        <v>595.34755545707799</v>
      </c>
      <c r="J197">
        <f t="shared" si="18"/>
        <v>2</v>
      </c>
      <c r="K197" t="str">
        <f>VLOOKUP(B197,Raw_Suppliers!$A$2:$G$101,2,FALSE)</f>
        <v>Quantum Eco LLC</v>
      </c>
      <c r="L197" t="str">
        <f>VLOOKUP(B197,Raw_Suppliers!$A$2:$G$101,3,FALSE)</f>
        <v>Denmark</v>
      </c>
      <c r="M197" t="str">
        <f>VLOOKUP(B197,Raw_Suppliers!$A$2:$G$101,4,FALSE)</f>
        <v>East</v>
      </c>
      <c r="N197" t="str">
        <f>VLOOKUP(B197,Raw_Suppliers!$A$2:$G$101,6,FALSE)</f>
        <v>ISO 9001</v>
      </c>
      <c r="O197">
        <f>VLOOKUP(B197,Raw_Suppliers!$A$2:$G$101,7,FALSE)</f>
        <v>1</v>
      </c>
      <c r="P197" t="str">
        <f t="shared" si="19"/>
        <v>Yes</v>
      </c>
      <c r="Q197">
        <f t="shared" si="20"/>
        <v>0</v>
      </c>
      <c r="R197" t="str">
        <f t="shared" si="21"/>
        <v>Late</v>
      </c>
      <c r="S197">
        <f t="shared" si="22"/>
        <v>2023</v>
      </c>
      <c r="T197">
        <f t="shared" si="23"/>
        <v>1</v>
      </c>
    </row>
    <row r="198" spans="1:20" x14ac:dyDescent="0.25">
      <c r="A198" t="s">
        <v>417</v>
      </c>
      <c r="B198" t="s">
        <v>28</v>
      </c>
      <c r="C198" t="s">
        <v>418</v>
      </c>
      <c r="D198" s="1">
        <v>45137</v>
      </c>
      <c r="E198">
        <v>8</v>
      </c>
      <c r="F198">
        <v>47.518660310161799</v>
      </c>
      <c r="G198" s="1">
        <v>45159</v>
      </c>
      <c r="H198" s="1">
        <v>45159</v>
      </c>
      <c r="I198">
        <v>380.14928248129399</v>
      </c>
      <c r="J198">
        <f t="shared" si="18"/>
        <v>0</v>
      </c>
      <c r="K198" t="str">
        <f>VLOOKUP(B198,Raw_Suppliers!$A$2:$G$101,2,FALSE)</f>
        <v>Fusion Vertex Inc</v>
      </c>
      <c r="L198" t="str">
        <f>VLOOKUP(B198,Raw_Suppliers!$A$2:$G$101,3,FALSE)</f>
        <v>Denmark</v>
      </c>
      <c r="M198" t="str">
        <f>VLOOKUP(B198,Raw_Suppliers!$A$2:$G$101,4,FALSE)</f>
        <v>Central</v>
      </c>
      <c r="N198" t="str">
        <f>VLOOKUP(B198,Raw_Suppliers!$A$2:$G$101,6,FALSE)</f>
        <v>ISO 45001</v>
      </c>
      <c r="O198">
        <f>VLOOKUP(B198,Raw_Suppliers!$A$2:$G$101,7,FALSE)</f>
        <v>0</v>
      </c>
      <c r="P198" t="str">
        <f t="shared" si="19"/>
        <v>No</v>
      </c>
      <c r="Q198">
        <f t="shared" si="20"/>
        <v>1</v>
      </c>
      <c r="R198" t="str">
        <f t="shared" si="21"/>
        <v>On Time</v>
      </c>
      <c r="S198">
        <f t="shared" si="22"/>
        <v>2023</v>
      </c>
      <c r="T198">
        <f t="shared" si="23"/>
        <v>7</v>
      </c>
    </row>
    <row r="199" spans="1:20" x14ac:dyDescent="0.25">
      <c r="A199" t="s">
        <v>419</v>
      </c>
      <c r="B199" t="s">
        <v>61</v>
      </c>
      <c r="C199" t="s">
        <v>77</v>
      </c>
      <c r="D199" s="1">
        <v>44823</v>
      </c>
      <c r="E199">
        <v>10</v>
      </c>
      <c r="F199">
        <v>54.918716620008603</v>
      </c>
      <c r="G199" s="1">
        <v>44838</v>
      </c>
      <c r="H199" s="1">
        <v>44835</v>
      </c>
      <c r="I199">
        <v>549.18716620008604</v>
      </c>
      <c r="J199">
        <f t="shared" si="18"/>
        <v>-3</v>
      </c>
      <c r="K199" t="str">
        <f>VLOOKUP(B199,Raw_Suppliers!$A$2:$G$101,2,FALSE)</f>
        <v>Ultra Gamma LLC</v>
      </c>
      <c r="L199" t="str">
        <f>VLOOKUP(B199,Raw_Suppliers!$A$2:$G$101,3,FALSE)</f>
        <v>Canada</v>
      </c>
      <c r="M199" t="str">
        <f>VLOOKUP(B199,Raw_Suppliers!$A$2:$G$101,4,FALSE)</f>
        <v>North</v>
      </c>
      <c r="N199" t="str">
        <f>VLOOKUP(B199,Raw_Suppliers!$A$2:$G$101,6,FALSE)</f>
        <v>ISO 9001</v>
      </c>
      <c r="O199">
        <f>VLOOKUP(B199,Raw_Suppliers!$A$2:$G$101,7,FALSE)</f>
        <v>1</v>
      </c>
      <c r="P199" t="str">
        <f t="shared" si="19"/>
        <v>Yes</v>
      </c>
      <c r="Q199">
        <f t="shared" si="20"/>
        <v>1</v>
      </c>
      <c r="R199" t="str">
        <f t="shared" si="21"/>
        <v>On Time</v>
      </c>
      <c r="S199">
        <f t="shared" si="22"/>
        <v>2022</v>
      </c>
      <c r="T199">
        <f t="shared" si="23"/>
        <v>9</v>
      </c>
    </row>
    <row r="200" spans="1:20" x14ac:dyDescent="0.25">
      <c r="A200" t="s">
        <v>420</v>
      </c>
      <c r="B200" t="s">
        <v>70</v>
      </c>
      <c r="C200" t="s">
        <v>421</v>
      </c>
      <c r="D200" s="1">
        <v>45127</v>
      </c>
      <c r="E200">
        <v>11</v>
      </c>
      <c r="F200">
        <v>42.339841424274901</v>
      </c>
      <c r="G200" s="1">
        <v>45139</v>
      </c>
      <c r="H200" s="1">
        <v>45137</v>
      </c>
      <c r="I200">
        <v>465.73825566702402</v>
      </c>
      <c r="J200">
        <f t="shared" si="18"/>
        <v>-2</v>
      </c>
      <c r="K200" t="str">
        <f>VLOOKUP(B200,Raw_Suppliers!$A$2:$G$101,2,FALSE)</f>
        <v>Prime Nano Ltd</v>
      </c>
      <c r="L200" t="str">
        <f>VLOOKUP(B200,Raw_Suppliers!$A$2:$G$101,3,FALSE)</f>
        <v>USA</v>
      </c>
      <c r="M200" t="str">
        <f>VLOOKUP(B200,Raw_Suppliers!$A$2:$G$101,4,FALSE)</f>
        <v>Central</v>
      </c>
      <c r="N200" t="str">
        <f>VLOOKUP(B200,Raw_Suppliers!$A$2:$G$101,6,FALSE)</f>
        <v>ISO 45001</v>
      </c>
      <c r="O200">
        <f>VLOOKUP(B200,Raw_Suppliers!$A$2:$G$101,7,FALSE)</f>
        <v>0</v>
      </c>
      <c r="P200" t="str">
        <f t="shared" si="19"/>
        <v>No</v>
      </c>
      <c r="Q200">
        <f t="shared" si="20"/>
        <v>1</v>
      </c>
      <c r="R200" t="str">
        <f t="shared" si="21"/>
        <v>On Time</v>
      </c>
      <c r="S200">
        <f t="shared" si="22"/>
        <v>2023</v>
      </c>
      <c r="T200">
        <f t="shared" si="23"/>
        <v>7</v>
      </c>
    </row>
    <row r="201" spans="1:20" x14ac:dyDescent="0.25">
      <c r="A201" t="s">
        <v>422</v>
      </c>
      <c r="B201" t="s">
        <v>61</v>
      </c>
      <c r="C201" t="s">
        <v>136</v>
      </c>
      <c r="D201" s="1">
        <v>45267</v>
      </c>
      <c r="E201">
        <v>11</v>
      </c>
      <c r="F201">
        <v>58.114799571113601</v>
      </c>
      <c r="G201" s="1">
        <v>45290</v>
      </c>
      <c r="H201" s="1">
        <v>45287</v>
      </c>
      <c r="I201">
        <v>639.26279528224995</v>
      </c>
      <c r="J201">
        <f t="shared" si="18"/>
        <v>-3</v>
      </c>
      <c r="K201" t="str">
        <f>VLOOKUP(B201,Raw_Suppliers!$A$2:$G$101,2,FALSE)</f>
        <v>Ultra Gamma LLC</v>
      </c>
      <c r="L201" t="str">
        <f>VLOOKUP(B201,Raw_Suppliers!$A$2:$G$101,3,FALSE)</f>
        <v>Canada</v>
      </c>
      <c r="M201" t="str">
        <f>VLOOKUP(B201,Raw_Suppliers!$A$2:$G$101,4,FALSE)</f>
        <v>North</v>
      </c>
      <c r="N201" t="str">
        <f>VLOOKUP(B201,Raw_Suppliers!$A$2:$G$101,6,FALSE)</f>
        <v>ISO 9001</v>
      </c>
      <c r="O201">
        <f>VLOOKUP(B201,Raw_Suppliers!$A$2:$G$101,7,FALSE)</f>
        <v>1</v>
      </c>
      <c r="P201" t="str">
        <f t="shared" si="19"/>
        <v>Yes</v>
      </c>
      <c r="Q201">
        <f t="shared" si="20"/>
        <v>1</v>
      </c>
      <c r="R201" t="str">
        <f t="shared" si="21"/>
        <v>On Time</v>
      </c>
      <c r="S201">
        <f t="shared" si="22"/>
        <v>2023</v>
      </c>
      <c r="T201">
        <f t="shared" si="23"/>
        <v>12</v>
      </c>
    </row>
    <row r="202" spans="1:20" x14ac:dyDescent="0.25">
      <c r="A202" t="s">
        <v>423</v>
      </c>
      <c r="B202" t="s">
        <v>194</v>
      </c>
      <c r="C202" t="s">
        <v>302</v>
      </c>
      <c r="D202" s="1">
        <v>44776</v>
      </c>
      <c r="E202">
        <v>13</v>
      </c>
      <c r="F202">
        <v>40.013936114012601</v>
      </c>
      <c r="G202" s="1">
        <v>44793</v>
      </c>
      <c r="H202" s="1">
        <v>44795</v>
      </c>
      <c r="I202">
        <v>520.181169482163</v>
      </c>
      <c r="J202">
        <f t="shared" si="18"/>
        <v>2</v>
      </c>
      <c r="K202" t="str">
        <f>VLOOKUP(B202,Raw_Suppliers!$A$2:$G$101,2,FALSE)</f>
        <v>Eco Pioneer Corp</v>
      </c>
      <c r="L202" t="str">
        <f>VLOOKUP(B202,Raw_Suppliers!$A$2:$G$101,3,FALSE)</f>
        <v>China</v>
      </c>
      <c r="M202" t="str">
        <f>VLOOKUP(B202,Raw_Suppliers!$A$2:$G$101,4,FALSE)</f>
        <v>East</v>
      </c>
      <c r="N202" t="str">
        <f>VLOOKUP(B202,Raw_Suppliers!$A$2:$G$101,6,FALSE)</f>
        <v>ISO 14001</v>
      </c>
      <c r="O202">
        <f>VLOOKUP(B202,Raw_Suppliers!$A$2:$G$101,7,FALSE)</f>
        <v>1</v>
      </c>
      <c r="P202" t="str">
        <f t="shared" si="19"/>
        <v>Yes</v>
      </c>
      <c r="Q202">
        <f t="shared" si="20"/>
        <v>0</v>
      </c>
      <c r="R202" t="str">
        <f t="shared" si="21"/>
        <v>Late</v>
      </c>
      <c r="S202">
        <f t="shared" si="22"/>
        <v>2022</v>
      </c>
      <c r="T202">
        <f t="shared" si="23"/>
        <v>8</v>
      </c>
    </row>
    <row r="203" spans="1:20" x14ac:dyDescent="0.25">
      <c r="A203" t="s">
        <v>424</v>
      </c>
      <c r="B203" t="s">
        <v>321</v>
      </c>
      <c r="C203" t="s">
        <v>425</v>
      </c>
      <c r="D203" s="1">
        <v>44403</v>
      </c>
      <c r="E203">
        <v>16</v>
      </c>
      <c r="F203">
        <v>69.901405882081093</v>
      </c>
      <c r="G203" s="1">
        <v>44425</v>
      </c>
      <c r="H203" s="1">
        <v>44431</v>
      </c>
      <c r="I203">
        <v>1118.42249411329</v>
      </c>
      <c r="J203">
        <f t="shared" si="18"/>
        <v>6</v>
      </c>
      <c r="K203" t="str">
        <f>VLOOKUP(B203,Raw_Suppliers!$A$2:$G$101,2,FALSE)</f>
        <v>Vertex Delta LLC</v>
      </c>
      <c r="L203" t="str">
        <f>VLOOKUP(B203,Raw_Suppliers!$A$2:$G$101,3,FALSE)</f>
        <v>India</v>
      </c>
      <c r="M203" t="str">
        <f>VLOOKUP(B203,Raw_Suppliers!$A$2:$G$101,4,FALSE)</f>
        <v>South</v>
      </c>
      <c r="N203" t="str">
        <f>VLOOKUP(B203,Raw_Suppliers!$A$2:$G$101,6,FALSE)</f>
        <v>ISO 45001</v>
      </c>
      <c r="O203">
        <f>VLOOKUP(B203,Raw_Suppliers!$A$2:$G$101,7,FALSE)</f>
        <v>0</v>
      </c>
      <c r="P203" t="str">
        <f t="shared" si="19"/>
        <v>No</v>
      </c>
      <c r="Q203">
        <f t="shared" si="20"/>
        <v>0</v>
      </c>
      <c r="R203" t="str">
        <f t="shared" si="21"/>
        <v>Late</v>
      </c>
      <c r="S203">
        <f t="shared" si="22"/>
        <v>2021</v>
      </c>
      <c r="T203">
        <f t="shared" si="23"/>
        <v>7</v>
      </c>
    </row>
    <row r="204" spans="1:20" x14ac:dyDescent="0.25">
      <c r="A204" t="s">
        <v>426</v>
      </c>
      <c r="B204" t="s">
        <v>427</v>
      </c>
      <c r="C204" t="s">
        <v>428</v>
      </c>
      <c r="D204" s="1">
        <v>45190</v>
      </c>
      <c r="E204">
        <v>13</v>
      </c>
      <c r="F204">
        <v>56.6807387262647</v>
      </c>
      <c r="G204" s="1">
        <v>45210</v>
      </c>
      <c r="H204" s="1">
        <v>45207</v>
      </c>
      <c r="I204">
        <v>736.84960344144099</v>
      </c>
      <c r="J204">
        <f t="shared" si="18"/>
        <v>-3</v>
      </c>
      <c r="K204" t="str">
        <f>VLOOKUP(B204,Raw_Suppliers!$A$2:$G$101,2,FALSE)</f>
        <v>Nova Alpha Corp</v>
      </c>
      <c r="L204" t="str">
        <f>VLOOKUP(B204,Raw_Suppliers!$A$2:$G$101,3,FALSE)</f>
        <v>Denmark</v>
      </c>
      <c r="M204" t="str">
        <f>VLOOKUP(B204,Raw_Suppliers!$A$2:$G$101,4,FALSE)</f>
        <v>Central</v>
      </c>
      <c r="N204" t="str">
        <f>VLOOKUP(B204,Raw_Suppliers!$A$2:$G$101,6,FALSE)</f>
        <v>None</v>
      </c>
      <c r="O204">
        <f>VLOOKUP(B204,Raw_Suppliers!$A$2:$G$101,7,FALSE)</f>
        <v>0</v>
      </c>
      <c r="P204" t="str">
        <f t="shared" si="19"/>
        <v>No</v>
      </c>
      <c r="Q204">
        <f t="shared" si="20"/>
        <v>1</v>
      </c>
      <c r="R204" t="str">
        <f t="shared" si="21"/>
        <v>On Time</v>
      </c>
      <c r="S204">
        <f t="shared" si="22"/>
        <v>2023</v>
      </c>
      <c r="T204">
        <f t="shared" si="23"/>
        <v>9</v>
      </c>
    </row>
    <row r="205" spans="1:20" x14ac:dyDescent="0.25">
      <c r="A205" t="s">
        <v>429</v>
      </c>
      <c r="B205" t="s">
        <v>240</v>
      </c>
      <c r="C205" t="s">
        <v>430</v>
      </c>
      <c r="D205" s="1">
        <v>45366</v>
      </c>
      <c r="E205">
        <v>14</v>
      </c>
      <c r="F205">
        <v>51.676431950130201</v>
      </c>
      <c r="G205" s="1">
        <v>45382</v>
      </c>
      <c r="H205" s="1">
        <v>45379</v>
      </c>
      <c r="I205">
        <v>723.470047301823</v>
      </c>
      <c r="J205">
        <f t="shared" si="18"/>
        <v>-3</v>
      </c>
      <c r="K205" t="str">
        <f>VLOOKUP(B205,Raw_Suppliers!$A$2:$G$101,2,FALSE)</f>
        <v>Apex Omega LLC</v>
      </c>
      <c r="L205" t="str">
        <f>VLOOKUP(B205,Raw_Suppliers!$A$2:$G$101,3,FALSE)</f>
        <v>UK</v>
      </c>
      <c r="M205" t="str">
        <f>VLOOKUP(B205,Raw_Suppliers!$A$2:$G$101,4,FALSE)</f>
        <v>South</v>
      </c>
      <c r="N205" t="str">
        <f>VLOOKUP(B205,Raw_Suppliers!$A$2:$G$101,6,FALSE)</f>
        <v>ISO 9001</v>
      </c>
      <c r="O205">
        <f>VLOOKUP(B205,Raw_Suppliers!$A$2:$G$101,7,FALSE)</f>
        <v>0</v>
      </c>
      <c r="P205" t="str">
        <f t="shared" si="19"/>
        <v>No</v>
      </c>
      <c r="Q205">
        <f t="shared" si="20"/>
        <v>1</v>
      </c>
      <c r="R205" t="str">
        <f t="shared" si="21"/>
        <v>On Time</v>
      </c>
      <c r="S205">
        <f t="shared" si="22"/>
        <v>2024</v>
      </c>
      <c r="T205">
        <f t="shared" si="23"/>
        <v>3</v>
      </c>
    </row>
    <row r="206" spans="1:20" x14ac:dyDescent="0.25">
      <c r="A206" t="s">
        <v>431</v>
      </c>
      <c r="B206" t="s">
        <v>203</v>
      </c>
      <c r="C206" t="s">
        <v>432</v>
      </c>
      <c r="D206" s="1">
        <v>45320</v>
      </c>
      <c r="E206">
        <v>4</v>
      </c>
      <c r="F206">
        <v>79.468743755321597</v>
      </c>
      <c r="G206" s="1">
        <v>45332</v>
      </c>
      <c r="H206" s="1">
        <v>45336</v>
      </c>
      <c r="I206">
        <v>317.87497502128599</v>
      </c>
      <c r="J206">
        <f t="shared" si="18"/>
        <v>4</v>
      </c>
      <c r="K206" t="str">
        <f>VLOOKUP(B206,Raw_Suppliers!$A$2:$G$101,2,FALSE)</f>
        <v>Nova Eco LLC</v>
      </c>
      <c r="L206" t="str">
        <f>VLOOKUP(B206,Raw_Suppliers!$A$2:$G$101,3,FALSE)</f>
        <v>Denmark</v>
      </c>
      <c r="M206" t="str">
        <f>VLOOKUP(B206,Raw_Suppliers!$A$2:$G$101,4,FALSE)</f>
        <v>South</v>
      </c>
      <c r="N206" t="str">
        <f>VLOOKUP(B206,Raw_Suppliers!$A$2:$G$101,6,FALSE)</f>
        <v>ISO 14001</v>
      </c>
      <c r="O206">
        <f>VLOOKUP(B206,Raw_Suppliers!$A$2:$G$101,7,FALSE)</f>
        <v>0</v>
      </c>
      <c r="P206" t="str">
        <f t="shared" si="19"/>
        <v>No</v>
      </c>
      <c r="Q206">
        <f t="shared" si="20"/>
        <v>0</v>
      </c>
      <c r="R206" t="str">
        <f t="shared" si="21"/>
        <v>Late</v>
      </c>
      <c r="S206">
        <f t="shared" si="22"/>
        <v>2024</v>
      </c>
      <c r="T206">
        <f t="shared" si="23"/>
        <v>1</v>
      </c>
    </row>
    <row r="207" spans="1:20" x14ac:dyDescent="0.25">
      <c r="A207" t="s">
        <v>433</v>
      </c>
      <c r="B207" t="s">
        <v>379</v>
      </c>
      <c r="C207" t="s">
        <v>434</v>
      </c>
      <c r="D207" s="1">
        <v>45228</v>
      </c>
      <c r="E207">
        <v>10</v>
      </c>
      <c r="F207">
        <v>40.883506299131099</v>
      </c>
      <c r="G207" s="1">
        <v>45249</v>
      </c>
      <c r="H207" s="1">
        <v>45249</v>
      </c>
      <c r="I207">
        <v>408.83506299131102</v>
      </c>
      <c r="J207">
        <f t="shared" si="18"/>
        <v>0</v>
      </c>
      <c r="K207" t="str">
        <f>VLOOKUP(B207,Raw_Suppliers!$A$2:$G$101,2,FALSE)</f>
        <v>Apex Fusion Ltd</v>
      </c>
      <c r="L207" t="str">
        <f>VLOOKUP(B207,Raw_Suppliers!$A$2:$G$101,3,FALSE)</f>
        <v>USA</v>
      </c>
      <c r="M207" t="str">
        <f>VLOOKUP(B207,Raw_Suppliers!$A$2:$G$101,4,FALSE)</f>
        <v>East</v>
      </c>
      <c r="N207" t="str">
        <f>VLOOKUP(B207,Raw_Suppliers!$A$2:$G$101,6,FALSE)</f>
        <v>ISO 14001</v>
      </c>
      <c r="O207">
        <f>VLOOKUP(B207,Raw_Suppliers!$A$2:$G$101,7,FALSE)</f>
        <v>1</v>
      </c>
      <c r="P207" t="str">
        <f t="shared" si="19"/>
        <v>Yes</v>
      </c>
      <c r="Q207">
        <f t="shared" si="20"/>
        <v>1</v>
      </c>
      <c r="R207" t="str">
        <f t="shared" si="21"/>
        <v>On Time</v>
      </c>
      <c r="S207">
        <f t="shared" si="22"/>
        <v>2023</v>
      </c>
      <c r="T207">
        <f t="shared" si="23"/>
        <v>10</v>
      </c>
    </row>
    <row r="208" spans="1:20" x14ac:dyDescent="0.25">
      <c r="A208" t="s">
        <v>435</v>
      </c>
      <c r="B208" t="s">
        <v>10</v>
      </c>
      <c r="C208" t="s">
        <v>217</v>
      </c>
      <c r="D208" s="1">
        <v>44236</v>
      </c>
      <c r="E208">
        <v>13</v>
      </c>
      <c r="F208">
        <v>7.4139567874671002</v>
      </c>
      <c r="G208" s="1">
        <v>44258</v>
      </c>
      <c r="H208" s="1">
        <v>44256</v>
      </c>
      <c r="I208">
        <v>96.381438237072302</v>
      </c>
      <c r="J208">
        <f t="shared" si="18"/>
        <v>-2</v>
      </c>
      <c r="K208" t="str">
        <f>VLOOKUP(B208,Raw_Suppliers!$A$2:$G$101,2,FALSE)</f>
        <v>Vertex Beta GmbH</v>
      </c>
      <c r="L208" t="str">
        <f>VLOOKUP(B208,Raw_Suppliers!$A$2:$G$101,3,FALSE)</f>
        <v>India</v>
      </c>
      <c r="M208" t="str">
        <f>VLOOKUP(B208,Raw_Suppliers!$A$2:$G$101,4,FALSE)</f>
        <v>North</v>
      </c>
      <c r="N208" t="str">
        <f>VLOOKUP(B208,Raw_Suppliers!$A$2:$G$101,6,FALSE)</f>
        <v>ISO 14001</v>
      </c>
      <c r="O208">
        <f>VLOOKUP(B208,Raw_Suppliers!$A$2:$G$101,7,FALSE)</f>
        <v>0</v>
      </c>
      <c r="P208" t="str">
        <f t="shared" si="19"/>
        <v>No</v>
      </c>
      <c r="Q208">
        <f t="shared" si="20"/>
        <v>1</v>
      </c>
      <c r="R208" t="str">
        <f t="shared" si="21"/>
        <v>On Time</v>
      </c>
      <c r="S208">
        <f t="shared" si="22"/>
        <v>2021</v>
      </c>
      <c r="T208">
        <f t="shared" si="23"/>
        <v>2</v>
      </c>
    </row>
    <row r="209" spans="1:20" x14ac:dyDescent="0.25">
      <c r="A209" t="s">
        <v>436</v>
      </c>
      <c r="B209" t="s">
        <v>253</v>
      </c>
      <c r="C209" t="s">
        <v>437</v>
      </c>
      <c r="D209" s="1">
        <v>45012</v>
      </c>
      <c r="E209">
        <v>10</v>
      </c>
      <c r="F209">
        <v>10.486540991330401</v>
      </c>
      <c r="G209" s="1">
        <v>45022</v>
      </c>
      <c r="H209" s="1">
        <v>45022</v>
      </c>
      <c r="I209">
        <v>104.86540991330401</v>
      </c>
      <c r="J209">
        <f t="shared" si="18"/>
        <v>0</v>
      </c>
      <c r="K209" t="str">
        <f>VLOOKUP(B209,Raw_Suppliers!$A$2:$G$101,2,FALSE)</f>
        <v>Vertex Apex Ltd</v>
      </c>
      <c r="L209" t="str">
        <f>VLOOKUP(B209,Raw_Suppliers!$A$2:$G$101,3,FALSE)</f>
        <v>Brazil</v>
      </c>
      <c r="M209" t="str">
        <f>VLOOKUP(B209,Raw_Suppliers!$A$2:$G$101,4,FALSE)</f>
        <v>South</v>
      </c>
      <c r="N209" t="str">
        <f>VLOOKUP(B209,Raw_Suppliers!$A$2:$G$101,6,FALSE)</f>
        <v>None</v>
      </c>
      <c r="O209">
        <f>VLOOKUP(B209,Raw_Suppliers!$A$2:$G$101,7,FALSE)</f>
        <v>1</v>
      </c>
      <c r="P209" t="str">
        <f t="shared" si="19"/>
        <v>Yes</v>
      </c>
      <c r="Q209">
        <f t="shared" si="20"/>
        <v>1</v>
      </c>
      <c r="R209" t="str">
        <f t="shared" si="21"/>
        <v>On Time</v>
      </c>
      <c r="S209">
        <f t="shared" si="22"/>
        <v>2023</v>
      </c>
      <c r="T209">
        <f t="shared" si="23"/>
        <v>3</v>
      </c>
    </row>
    <row r="210" spans="1:20" x14ac:dyDescent="0.25">
      <c r="A210" t="s">
        <v>438</v>
      </c>
      <c r="B210" t="s">
        <v>194</v>
      </c>
      <c r="C210" t="s">
        <v>274</v>
      </c>
      <c r="D210" s="1">
        <v>44925</v>
      </c>
      <c r="E210">
        <v>8</v>
      </c>
      <c r="F210">
        <v>58.466127720452</v>
      </c>
      <c r="G210" s="1">
        <v>44940</v>
      </c>
      <c r="H210" s="1">
        <v>44938</v>
      </c>
      <c r="I210">
        <v>467.729021763616</v>
      </c>
      <c r="J210">
        <f t="shared" si="18"/>
        <v>-2</v>
      </c>
      <c r="K210" t="str">
        <f>VLOOKUP(B210,Raw_Suppliers!$A$2:$G$101,2,FALSE)</f>
        <v>Eco Pioneer Corp</v>
      </c>
      <c r="L210" t="str">
        <f>VLOOKUP(B210,Raw_Suppliers!$A$2:$G$101,3,FALSE)</f>
        <v>China</v>
      </c>
      <c r="M210" t="str">
        <f>VLOOKUP(B210,Raw_Suppliers!$A$2:$G$101,4,FALSE)</f>
        <v>East</v>
      </c>
      <c r="N210" t="str">
        <f>VLOOKUP(B210,Raw_Suppliers!$A$2:$G$101,6,FALSE)</f>
        <v>ISO 14001</v>
      </c>
      <c r="O210">
        <f>VLOOKUP(B210,Raw_Suppliers!$A$2:$G$101,7,FALSE)</f>
        <v>1</v>
      </c>
      <c r="P210" t="str">
        <f t="shared" si="19"/>
        <v>Yes</v>
      </c>
      <c r="Q210">
        <f t="shared" si="20"/>
        <v>1</v>
      </c>
      <c r="R210" t="str">
        <f t="shared" si="21"/>
        <v>On Time</v>
      </c>
      <c r="S210">
        <f t="shared" si="22"/>
        <v>2022</v>
      </c>
      <c r="T210">
        <f t="shared" si="23"/>
        <v>12</v>
      </c>
    </row>
    <row r="211" spans="1:20" x14ac:dyDescent="0.25">
      <c r="A211" t="s">
        <v>439</v>
      </c>
      <c r="B211" t="s">
        <v>207</v>
      </c>
      <c r="C211" t="s">
        <v>50</v>
      </c>
      <c r="D211" s="1">
        <v>44416</v>
      </c>
      <c r="E211">
        <v>6</v>
      </c>
      <c r="F211">
        <v>6.7526584253754596</v>
      </c>
      <c r="G211" s="1">
        <v>44433</v>
      </c>
      <c r="H211" s="1">
        <v>44436</v>
      </c>
      <c r="I211">
        <v>40.515950552252797</v>
      </c>
      <c r="J211">
        <f t="shared" si="18"/>
        <v>3</v>
      </c>
      <c r="K211" t="str">
        <f>VLOOKUP(B211,Raw_Suppliers!$A$2:$G$101,2,FALSE)</f>
        <v>Nova Alpha Ltd</v>
      </c>
      <c r="L211" t="str">
        <f>VLOOKUP(B211,Raw_Suppliers!$A$2:$G$101,3,FALSE)</f>
        <v>India</v>
      </c>
      <c r="M211" t="str">
        <f>VLOOKUP(B211,Raw_Suppliers!$A$2:$G$101,4,FALSE)</f>
        <v>East</v>
      </c>
      <c r="N211" t="str">
        <f>VLOOKUP(B211,Raw_Suppliers!$A$2:$G$101,6,FALSE)</f>
        <v>ISO 9001</v>
      </c>
      <c r="O211">
        <f>VLOOKUP(B211,Raw_Suppliers!$A$2:$G$101,7,FALSE)</f>
        <v>0</v>
      </c>
      <c r="P211" t="str">
        <f t="shared" si="19"/>
        <v>No</v>
      </c>
      <c r="Q211">
        <f t="shared" si="20"/>
        <v>0</v>
      </c>
      <c r="R211" t="str">
        <f t="shared" si="21"/>
        <v>Late</v>
      </c>
      <c r="S211">
        <f t="shared" si="22"/>
        <v>2021</v>
      </c>
      <c r="T211">
        <f t="shared" si="23"/>
        <v>8</v>
      </c>
    </row>
    <row r="212" spans="1:20" x14ac:dyDescent="0.25">
      <c r="A212" t="s">
        <v>440</v>
      </c>
      <c r="B212" t="s">
        <v>216</v>
      </c>
      <c r="C212" t="s">
        <v>182</v>
      </c>
      <c r="D212" s="1">
        <v>45022</v>
      </c>
      <c r="E212">
        <v>18</v>
      </c>
      <c r="F212">
        <v>59.665750097340499</v>
      </c>
      <c r="G212" s="1">
        <v>45037</v>
      </c>
      <c r="H212" s="1">
        <v>45039</v>
      </c>
      <c r="I212">
        <v>1073.98350175212</v>
      </c>
      <c r="J212">
        <f t="shared" si="18"/>
        <v>2</v>
      </c>
      <c r="K212" t="str">
        <f>VLOOKUP(B212,Raw_Suppliers!$A$2:$G$101,2,FALSE)</f>
        <v>Fusion Delta LLC</v>
      </c>
      <c r="L212" t="str">
        <f>VLOOKUP(B212,Raw_Suppliers!$A$2:$G$101,3,FALSE)</f>
        <v>Brazil</v>
      </c>
      <c r="M212" t="str">
        <f>VLOOKUP(B212,Raw_Suppliers!$A$2:$G$101,4,FALSE)</f>
        <v>Central</v>
      </c>
      <c r="N212" t="str">
        <f>VLOOKUP(B212,Raw_Suppliers!$A$2:$G$101,6,FALSE)</f>
        <v>ISO 14001</v>
      </c>
      <c r="O212">
        <f>VLOOKUP(B212,Raw_Suppliers!$A$2:$G$101,7,FALSE)</f>
        <v>0</v>
      </c>
      <c r="P212" t="str">
        <f t="shared" si="19"/>
        <v>No</v>
      </c>
      <c r="Q212">
        <f t="shared" si="20"/>
        <v>0</v>
      </c>
      <c r="R212" t="str">
        <f t="shared" si="21"/>
        <v>Late</v>
      </c>
      <c r="S212">
        <f t="shared" si="22"/>
        <v>2023</v>
      </c>
      <c r="T212">
        <f t="shared" si="23"/>
        <v>4</v>
      </c>
    </row>
    <row r="213" spans="1:20" x14ac:dyDescent="0.25">
      <c r="A213" t="s">
        <v>441</v>
      </c>
      <c r="B213" t="s">
        <v>442</v>
      </c>
      <c r="C213" t="s">
        <v>68</v>
      </c>
      <c r="D213" s="1">
        <v>45004</v>
      </c>
      <c r="E213">
        <v>15</v>
      </c>
      <c r="F213">
        <v>15.490176966638399</v>
      </c>
      <c r="G213" s="1">
        <v>45024</v>
      </c>
      <c r="H213" s="1">
        <v>45029</v>
      </c>
      <c r="I213">
        <v>232.352654499576</v>
      </c>
      <c r="J213">
        <f t="shared" si="18"/>
        <v>5</v>
      </c>
      <c r="K213" t="str">
        <f>VLOOKUP(B213,Raw_Suppliers!$A$2:$G$101,2,FALSE)</f>
        <v>Vertex Delta LLC</v>
      </c>
      <c r="L213" t="str">
        <f>VLOOKUP(B213,Raw_Suppliers!$A$2:$G$101,3,FALSE)</f>
        <v>Canada</v>
      </c>
      <c r="M213" t="str">
        <f>VLOOKUP(B213,Raw_Suppliers!$A$2:$G$101,4,FALSE)</f>
        <v>East</v>
      </c>
      <c r="N213" t="str">
        <f>VLOOKUP(B213,Raw_Suppliers!$A$2:$G$101,6,FALSE)</f>
        <v>ISO 14001</v>
      </c>
      <c r="O213">
        <f>VLOOKUP(B213,Raw_Suppliers!$A$2:$G$101,7,FALSE)</f>
        <v>1</v>
      </c>
      <c r="P213" t="str">
        <f t="shared" si="19"/>
        <v>Yes</v>
      </c>
      <c r="Q213">
        <f t="shared" si="20"/>
        <v>0</v>
      </c>
      <c r="R213" t="str">
        <f t="shared" si="21"/>
        <v>Late</v>
      </c>
      <c r="S213">
        <f t="shared" si="22"/>
        <v>2023</v>
      </c>
      <c r="T213">
        <f t="shared" si="23"/>
        <v>3</v>
      </c>
    </row>
    <row r="214" spans="1:20" x14ac:dyDescent="0.25">
      <c r="A214" t="s">
        <v>443</v>
      </c>
      <c r="B214" t="s">
        <v>28</v>
      </c>
      <c r="C214" t="s">
        <v>444</v>
      </c>
      <c r="D214" s="1">
        <v>45254</v>
      </c>
      <c r="E214">
        <v>8</v>
      </c>
      <c r="F214">
        <v>3.1006453743756701</v>
      </c>
      <c r="G214" s="1">
        <v>45267</v>
      </c>
      <c r="H214" s="1">
        <v>45264</v>
      </c>
      <c r="I214">
        <v>24.805162995005301</v>
      </c>
      <c r="J214">
        <f t="shared" si="18"/>
        <v>-3</v>
      </c>
      <c r="K214" t="str">
        <f>VLOOKUP(B214,Raw_Suppliers!$A$2:$G$101,2,FALSE)</f>
        <v>Fusion Vertex Inc</v>
      </c>
      <c r="L214" t="str">
        <f>VLOOKUP(B214,Raw_Suppliers!$A$2:$G$101,3,FALSE)</f>
        <v>Denmark</v>
      </c>
      <c r="M214" t="str">
        <f>VLOOKUP(B214,Raw_Suppliers!$A$2:$G$101,4,FALSE)</f>
        <v>Central</v>
      </c>
      <c r="N214" t="str">
        <f>VLOOKUP(B214,Raw_Suppliers!$A$2:$G$101,6,FALSE)</f>
        <v>ISO 45001</v>
      </c>
      <c r="O214">
        <f>VLOOKUP(B214,Raw_Suppliers!$A$2:$G$101,7,FALSE)</f>
        <v>0</v>
      </c>
      <c r="P214" t="str">
        <f t="shared" si="19"/>
        <v>No</v>
      </c>
      <c r="Q214">
        <f t="shared" si="20"/>
        <v>1</v>
      </c>
      <c r="R214" t="str">
        <f t="shared" si="21"/>
        <v>On Time</v>
      </c>
      <c r="S214">
        <f t="shared" si="22"/>
        <v>2023</v>
      </c>
      <c r="T214">
        <f t="shared" si="23"/>
        <v>11</v>
      </c>
    </row>
    <row r="215" spans="1:20" x14ac:dyDescent="0.25">
      <c r="A215" t="s">
        <v>445</v>
      </c>
      <c r="B215" t="s">
        <v>70</v>
      </c>
      <c r="C215" t="s">
        <v>446</v>
      </c>
      <c r="D215" s="1">
        <v>44711</v>
      </c>
      <c r="E215">
        <v>8</v>
      </c>
      <c r="F215">
        <v>13.274904997916201</v>
      </c>
      <c r="G215" s="1">
        <v>44721</v>
      </c>
      <c r="H215" s="1">
        <v>44724</v>
      </c>
      <c r="I215">
        <v>106.19923998332899</v>
      </c>
      <c r="J215">
        <f t="shared" si="18"/>
        <v>3</v>
      </c>
      <c r="K215" t="str">
        <f>VLOOKUP(B215,Raw_Suppliers!$A$2:$G$101,2,FALSE)</f>
        <v>Prime Nano Ltd</v>
      </c>
      <c r="L215" t="str">
        <f>VLOOKUP(B215,Raw_Suppliers!$A$2:$G$101,3,FALSE)</f>
        <v>USA</v>
      </c>
      <c r="M215" t="str">
        <f>VLOOKUP(B215,Raw_Suppliers!$A$2:$G$101,4,FALSE)</f>
        <v>Central</v>
      </c>
      <c r="N215" t="str">
        <f>VLOOKUP(B215,Raw_Suppliers!$A$2:$G$101,6,FALSE)</f>
        <v>ISO 45001</v>
      </c>
      <c r="O215">
        <f>VLOOKUP(B215,Raw_Suppliers!$A$2:$G$101,7,FALSE)</f>
        <v>0</v>
      </c>
      <c r="P215" t="str">
        <f t="shared" si="19"/>
        <v>No</v>
      </c>
      <c r="Q215">
        <f t="shared" si="20"/>
        <v>0</v>
      </c>
      <c r="R215" t="str">
        <f t="shared" si="21"/>
        <v>Late</v>
      </c>
      <c r="S215">
        <f t="shared" si="22"/>
        <v>2022</v>
      </c>
      <c r="T215">
        <f t="shared" si="23"/>
        <v>5</v>
      </c>
    </row>
    <row r="216" spans="1:20" x14ac:dyDescent="0.25">
      <c r="A216" t="s">
        <v>447</v>
      </c>
      <c r="B216" t="s">
        <v>135</v>
      </c>
      <c r="C216" t="s">
        <v>257</v>
      </c>
      <c r="D216" s="1">
        <v>44409</v>
      </c>
      <c r="E216">
        <v>13</v>
      </c>
      <c r="F216">
        <v>28.413350876486501</v>
      </c>
      <c r="G216" s="1">
        <v>44419</v>
      </c>
      <c r="H216" s="1">
        <v>44423</v>
      </c>
      <c r="I216">
        <v>369.37356139432399</v>
      </c>
      <c r="J216">
        <f t="shared" si="18"/>
        <v>4</v>
      </c>
      <c r="K216" t="str">
        <f>VLOOKUP(B216,Raw_Suppliers!$A$2:$G$101,2,FALSE)</f>
        <v>Alpha Prime Ltd</v>
      </c>
      <c r="L216" t="str">
        <f>VLOOKUP(B216,Raw_Suppliers!$A$2:$G$101,3,FALSE)</f>
        <v>UK</v>
      </c>
      <c r="M216" t="str">
        <f>VLOOKUP(B216,Raw_Suppliers!$A$2:$G$101,4,FALSE)</f>
        <v>East</v>
      </c>
      <c r="N216" t="str">
        <f>VLOOKUP(B216,Raw_Suppliers!$A$2:$G$101,6,FALSE)</f>
        <v>None</v>
      </c>
      <c r="O216">
        <f>VLOOKUP(B216,Raw_Suppliers!$A$2:$G$101,7,FALSE)</f>
        <v>1</v>
      </c>
      <c r="P216" t="str">
        <f t="shared" si="19"/>
        <v>Yes</v>
      </c>
      <c r="Q216">
        <f t="shared" si="20"/>
        <v>0</v>
      </c>
      <c r="R216" t="str">
        <f t="shared" si="21"/>
        <v>Late</v>
      </c>
      <c r="S216">
        <f t="shared" si="22"/>
        <v>2021</v>
      </c>
      <c r="T216">
        <f t="shared" si="23"/>
        <v>8</v>
      </c>
    </row>
    <row r="217" spans="1:20" x14ac:dyDescent="0.25">
      <c r="A217" t="s">
        <v>448</v>
      </c>
      <c r="B217" t="s">
        <v>37</v>
      </c>
      <c r="C217" t="s">
        <v>310</v>
      </c>
      <c r="D217" s="1">
        <v>44213</v>
      </c>
      <c r="E217">
        <v>12</v>
      </c>
      <c r="F217">
        <v>45.796911271827703</v>
      </c>
      <c r="G217" s="1">
        <v>44233</v>
      </c>
      <c r="H217" s="1">
        <v>44239</v>
      </c>
      <c r="I217">
        <v>549.56293526193201</v>
      </c>
      <c r="J217">
        <f t="shared" si="18"/>
        <v>6</v>
      </c>
      <c r="K217" t="str">
        <f>VLOOKUP(B217,Raw_Suppliers!$A$2:$G$101,2,FALSE)</f>
        <v>Apex Apex Ltd</v>
      </c>
      <c r="L217" t="str">
        <f>VLOOKUP(B217,Raw_Suppliers!$A$2:$G$101,3,FALSE)</f>
        <v>Canada</v>
      </c>
      <c r="M217" t="str">
        <f>VLOOKUP(B217,Raw_Suppliers!$A$2:$G$101,4,FALSE)</f>
        <v>East</v>
      </c>
      <c r="N217" t="str">
        <f>VLOOKUP(B217,Raw_Suppliers!$A$2:$G$101,6,FALSE)</f>
        <v>ISO 9001</v>
      </c>
      <c r="O217">
        <f>VLOOKUP(B217,Raw_Suppliers!$A$2:$G$101,7,FALSE)</f>
        <v>1</v>
      </c>
      <c r="P217" t="str">
        <f t="shared" si="19"/>
        <v>Yes</v>
      </c>
      <c r="Q217">
        <f t="shared" si="20"/>
        <v>0</v>
      </c>
      <c r="R217" t="str">
        <f t="shared" si="21"/>
        <v>Late</v>
      </c>
      <c r="S217">
        <f t="shared" si="22"/>
        <v>2021</v>
      </c>
      <c r="T217">
        <f t="shared" si="23"/>
        <v>1</v>
      </c>
    </row>
    <row r="218" spans="1:20" x14ac:dyDescent="0.25">
      <c r="A218" t="s">
        <v>449</v>
      </c>
      <c r="B218" t="s">
        <v>350</v>
      </c>
      <c r="C218" t="s">
        <v>41</v>
      </c>
      <c r="D218" s="1">
        <v>45228</v>
      </c>
      <c r="E218">
        <v>14</v>
      </c>
      <c r="F218">
        <v>62.007797204232197</v>
      </c>
      <c r="G218" s="1">
        <v>45241</v>
      </c>
      <c r="H218" s="1">
        <v>45244</v>
      </c>
      <c r="I218">
        <v>868.10916085925101</v>
      </c>
      <c r="J218">
        <f t="shared" si="18"/>
        <v>3</v>
      </c>
      <c r="K218" t="str">
        <f>VLOOKUP(B218,Raw_Suppliers!$A$2:$G$101,2,FALSE)</f>
        <v>Prime Gamma GmbH</v>
      </c>
      <c r="L218" t="str">
        <f>VLOOKUP(B218,Raw_Suppliers!$A$2:$G$101,3,FALSE)</f>
        <v>Denmark</v>
      </c>
      <c r="M218" t="str">
        <f>VLOOKUP(B218,Raw_Suppliers!$A$2:$G$101,4,FALSE)</f>
        <v>West</v>
      </c>
      <c r="N218" t="str">
        <f>VLOOKUP(B218,Raw_Suppliers!$A$2:$G$101,6,FALSE)</f>
        <v>ISO 9001</v>
      </c>
      <c r="O218">
        <f>VLOOKUP(B218,Raw_Suppliers!$A$2:$G$101,7,FALSE)</f>
        <v>0</v>
      </c>
      <c r="P218" t="str">
        <f t="shared" si="19"/>
        <v>No</v>
      </c>
      <c r="Q218">
        <f t="shared" si="20"/>
        <v>0</v>
      </c>
      <c r="R218" t="str">
        <f t="shared" si="21"/>
        <v>Late</v>
      </c>
      <c r="S218">
        <f t="shared" si="22"/>
        <v>2023</v>
      </c>
      <c r="T218">
        <f t="shared" si="23"/>
        <v>10</v>
      </c>
    </row>
    <row r="219" spans="1:20" x14ac:dyDescent="0.25">
      <c r="A219" t="s">
        <v>450</v>
      </c>
      <c r="B219" t="s">
        <v>451</v>
      </c>
      <c r="C219" t="s">
        <v>243</v>
      </c>
      <c r="D219" s="1">
        <v>44855</v>
      </c>
      <c r="E219">
        <v>16</v>
      </c>
      <c r="F219">
        <v>54.5676062196017</v>
      </c>
      <c r="G219" s="1">
        <v>44870</v>
      </c>
      <c r="H219" s="1">
        <v>44868</v>
      </c>
      <c r="I219">
        <v>873.08169951362697</v>
      </c>
      <c r="J219">
        <f t="shared" si="18"/>
        <v>-2</v>
      </c>
      <c r="K219" t="str">
        <f>VLOOKUP(B219,Raw_Suppliers!$A$2:$G$101,2,FALSE)</f>
        <v>Beta Apex Corp</v>
      </c>
      <c r="L219" t="str">
        <f>VLOOKUP(B219,Raw_Suppliers!$A$2:$G$101,3,FALSE)</f>
        <v>India</v>
      </c>
      <c r="M219" t="str">
        <f>VLOOKUP(B219,Raw_Suppliers!$A$2:$G$101,4,FALSE)</f>
        <v>Central</v>
      </c>
      <c r="N219" t="str">
        <f>VLOOKUP(B219,Raw_Suppliers!$A$2:$G$101,6,FALSE)</f>
        <v>ISO 9001</v>
      </c>
      <c r="O219">
        <f>VLOOKUP(B219,Raw_Suppliers!$A$2:$G$101,7,FALSE)</f>
        <v>0</v>
      </c>
      <c r="P219" t="str">
        <f t="shared" si="19"/>
        <v>No</v>
      </c>
      <c r="Q219">
        <f t="shared" si="20"/>
        <v>1</v>
      </c>
      <c r="R219" t="str">
        <f t="shared" si="21"/>
        <v>On Time</v>
      </c>
      <c r="S219">
        <f t="shared" si="22"/>
        <v>2022</v>
      </c>
      <c r="T219">
        <f t="shared" si="23"/>
        <v>10</v>
      </c>
    </row>
    <row r="220" spans="1:20" x14ac:dyDescent="0.25">
      <c r="A220" t="s">
        <v>452</v>
      </c>
      <c r="B220" t="s">
        <v>186</v>
      </c>
      <c r="C220" t="s">
        <v>453</v>
      </c>
      <c r="D220" s="1">
        <v>44239</v>
      </c>
      <c r="E220">
        <v>9</v>
      </c>
      <c r="F220">
        <v>18.335071763589202</v>
      </c>
      <c r="G220" s="1">
        <v>44255</v>
      </c>
      <c r="H220" s="1">
        <v>44260</v>
      </c>
      <c r="I220">
        <v>165.015645872303</v>
      </c>
      <c r="J220">
        <f t="shared" si="18"/>
        <v>5</v>
      </c>
      <c r="K220" t="str">
        <f>VLOOKUP(B220,Raw_Suppliers!$A$2:$G$101,2,FALSE)</f>
        <v>Omega Vertex Inc</v>
      </c>
      <c r="L220" t="str">
        <f>VLOOKUP(B220,Raw_Suppliers!$A$2:$G$101,3,FALSE)</f>
        <v>China</v>
      </c>
      <c r="M220" t="str">
        <f>VLOOKUP(B220,Raw_Suppliers!$A$2:$G$101,4,FALSE)</f>
        <v>West</v>
      </c>
      <c r="N220" t="str">
        <f>VLOOKUP(B220,Raw_Suppliers!$A$2:$G$101,6,FALSE)</f>
        <v>ISO 14001</v>
      </c>
      <c r="O220">
        <f>VLOOKUP(B220,Raw_Suppliers!$A$2:$G$101,7,FALSE)</f>
        <v>1</v>
      </c>
      <c r="P220" t="str">
        <f t="shared" si="19"/>
        <v>Yes</v>
      </c>
      <c r="Q220">
        <f t="shared" si="20"/>
        <v>0</v>
      </c>
      <c r="R220" t="str">
        <f t="shared" si="21"/>
        <v>Late</v>
      </c>
      <c r="S220">
        <f t="shared" si="22"/>
        <v>2021</v>
      </c>
      <c r="T220">
        <f t="shared" si="23"/>
        <v>2</v>
      </c>
    </row>
    <row r="221" spans="1:20" x14ac:dyDescent="0.25">
      <c r="A221" t="s">
        <v>454</v>
      </c>
      <c r="B221" t="s">
        <v>34</v>
      </c>
      <c r="C221" t="s">
        <v>152</v>
      </c>
      <c r="D221" s="1">
        <v>44726</v>
      </c>
      <c r="E221">
        <v>9</v>
      </c>
      <c r="F221">
        <v>79.2843615776967</v>
      </c>
      <c r="G221" s="1">
        <v>44742</v>
      </c>
      <c r="H221" s="1">
        <v>44747</v>
      </c>
      <c r="I221">
        <v>713.55925419926996</v>
      </c>
      <c r="J221">
        <f t="shared" si="18"/>
        <v>5</v>
      </c>
      <c r="K221" t="str">
        <f>VLOOKUP(B221,Raw_Suppliers!$A$2:$G$101,2,FALSE)</f>
        <v>Omega Alpha Corp</v>
      </c>
      <c r="L221" t="str">
        <f>VLOOKUP(B221,Raw_Suppliers!$A$2:$G$101,3,FALSE)</f>
        <v>UK</v>
      </c>
      <c r="M221" t="str">
        <f>VLOOKUP(B221,Raw_Suppliers!$A$2:$G$101,4,FALSE)</f>
        <v>West</v>
      </c>
      <c r="N221" t="str">
        <f>VLOOKUP(B221,Raw_Suppliers!$A$2:$G$101,6,FALSE)</f>
        <v>ISO 45001</v>
      </c>
      <c r="O221">
        <f>VLOOKUP(B221,Raw_Suppliers!$A$2:$G$101,7,FALSE)</f>
        <v>0</v>
      </c>
      <c r="P221" t="str">
        <f t="shared" si="19"/>
        <v>No</v>
      </c>
      <c r="Q221">
        <f t="shared" si="20"/>
        <v>0</v>
      </c>
      <c r="R221" t="str">
        <f t="shared" si="21"/>
        <v>Late</v>
      </c>
      <c r="S221">
        <f t="shared" si="22"/>
        <v>2022</v>
      </c>
      <c r="T221">
        <f t="shared" si="23"/>
        <v>6</v>
      </c>
    </row>
    <row r="222" spans="1:20" x14ac:dyDescent="0.25">
      <c r="A222" t="s">
        <v>455</v>
      </c>
      <c r="B222" t="s">
        <v>314</v>
      </c>
      <c r="C222" t="s">
        <v>430</v>
      </c>
      <c r="D222" s="1">
        <v>45235</v>
      </c>
      <c r="E222">
        <v>5</v>
      </c>
      <c r="F222">
        <v>42.930627967548602</v>
      </c>
      <c r="G222" s="1">
        <v>45250</v>
      </c>
      <c r="H222" s="1">
        <v>45249</v>
      </c>
      <c r="I222">
        <v>214.653139837743</v>
      </c>
      <c r="J222">
        <f t="shared" si="18"/>
        <v>-1</v>
      </c>
      <c r="K222" t="str">
        <f>VLOOKUP(B222,Raw_Suppliers!$A$2:$G$101,2,FALSE)</f>
        <v>Gamma Nova Ltd</v>
      </c>
      <c r="L222" t="str">
        <f>VLOOKUP(B222,Raw_Suppliers!$A$2:$G$101,3,FALSE)</f>
        <v>USA</v>
      </c>
      <c r="M222" t="str">
        <f>VLOOKUP(B222,Raw_Suppliers!$A$2:$G$101,4,FALSE)</f>
        <v>North</v>
      </c>
      <c r="N222" t="str">
        <f>VLOOKUP(B222,Raw_Suppliers!$A$2:$G$101,6,FALSE)</f>
        <v>ISO 45001</v>
      </c>
      <c r="O222">
        <f>VLOOKUP(B222,Raw_Suppliers!$A$2:$G$101,7,FALSE)</f>
        <v>0</v>
      </c>
      <c r="P222" t="str">
        <f t="shared" si="19"/>
        <v>No</v>
      </c>
      <c r="Q222">
        <f t="shared" si="20"/>
        <v>1</v>
      </c>
      <c r="R222" t="str">
        <f t="shared" si="21"/>
        <v>On Time</v>
      </c>
      <c r="S222">
        <f t="shared" si="22"/>
        <v>2023</v>
      </c>
      <c r="T222">
        <f t="shared" si="23"/>
        <v>11</v>
      </c>
    </row>
    <row r="223" spans="1:20" x14ac:dyDescent="0.25">
      <c r="A223" t="s">
        <v>456</v>
      </c>
      <c r="B223" t="s">
        <v>160</v>
      </c>
      <c r="C223" t="s">
        <v>457</v>
      </c>
      <c r="D223" s="1">
        <v>44639</v>
      </c>
      <c r="E223">
        <v>9</v>
      </c>
      <c r="F223">
        <v>40.441281418788002</v>
      </c>
      <c r="G223" s="1">
        <v>44650</v>
      </c>
      <c r="H223" s="1">
        <v>44652</v>
      </c>
      <c r="I223">
        <v>363.97153276909199</v>
      </c>
      <c r="J223">
        <f t="shared" si="18"/>
        <v>2</v>
      </c>
      <c r="K223" t="str">
        <f>VLOOKUP(B223,Raw_Suppliers!$A$2:$G$101,2,FALSE)</f>
        <v>Omega Beta Corp</v>
      </c>
      <c r="L223" t="str">
        <f>VLOOKUP(B223,Raw_Suppliers!$A$2:$G$101,3,FALSE)</f>
        <v>China</v>
      </c>
      <c r="M223" t="str">
        <f>VLOOKUP(B223,Raw_Suppliers!$A$2:$G$101,4,FALSE)</f>
        <v>East</v>
      </c>
      <c r="N223" t="str">
        <f>VLOOKUP(B223,Raw_Suppliers!$A$2:$G$101,6,FALSE)</f>
        <v>ISO 45001</v>
      </c>
      <c r="O223">
        <f>VLOOKUP(B223,Raw_Suppliers!$A$2:$G$101,7,FALSE)</f>
        <v>1</v>
      </c>
      <c r="P223" t="str">
        <f t="shared" si="19"/>
        <v>Yes</v>
      </c>
      <c r="Q223">
        <f t="shared" si="20"/>
        <v>0</v>
      </c>
      <c r="R223" t="str">
        <f t="shared" si="21"/>
        <v>Late</v>
      </c>
      <c r="S223">
        <f t="shared" si="22"/>
        <v>2022</v>
      </c>
      <c r="T223">
        <f t="shared" si="23"/>
        <v>3</v>
      </c>
    </row>
    <row r="224" spans="1:20" x14ac:dyDescent="0.25">
      <c r="A224" t="s">
        <v>458</v>
      </c>
      <c r="B224" t="s">
        <v>288</v>
      </c>
      <c r="C224" t="s">
        <v>341</v>
      </c>
      <c r="D224" s="1">
        <v>44950</v>
      </c>
      <c r="E224">
        <v>8</v>
      </c>
      <c r="F224">
        <v>24.5000992382977</v>
      </c>
      <c r="G224" s="1">
        <v>44971</v>
      </c>
      <c r="H224" s="1">
        <v>44973</v>
      </c>
      <c r="I224">
        <v>196.000793906382</v>
      </c>
      <c r="J224">
        <f t="shared" si="18"/>
        <v>2</v>
      </c>
      <c r="K224" t="str">
        <f>VLOOKUP(B224,Raw_Suppliers!$A$2:$G$101,2,FALSE)</f>
        <v>Alpha Beta LLC</v>
      </c>
      <c r="L224" t="str">
        <f>VLOOKUP(B224,Raw_Suppliers!$A$2:$G$101,3,FALSE)</f>
        <v>India</v>
      </c>
      <c r="M224" t="str">
        <f>VLOOKUP(B224,Raw_Suppliers!$A$2:$G$101,4,FALSE)</f>
        <v>West</v>
      </c>
      <c r="N224" t="str">
        <f>VLOOKUP(B224,Raw_Suppliers!$A$2:$G$101,6,FALSE)</f>
        <v>ISO 45001</v>
      </c>
      <c r="O224">
        <f>VLOOKUP(B224,Raw_Suppliers!$A$2:$G$101,7,FALSE)</f>
        <v>0</v>
      </c>
      <c r="P224" t="str">
        <f t="shared" si="19"/>
        <v>No</v>
      </c>
      <c r="Q224">
        <f t="shared" si="20"/>
        <v>0</v>
      </c>
      <c r="R224" t="str">
        <f t="shared" si="21"/>
        <v>Late</v>
      </c>
      <c r="S224">
        <f t="shared" si="22"/>
        <v>2023</v>
      </c>
      <c r="T224">
        <f t="shared" si="23"/>
        <v>1</v>
      </c>
    </row>
    <row r="225" spans="1:20" x14ac:dyDescent="0.25">
      <c r="A225" t="s">
        <v>459</v>
      </c>
      <c r="B225" t="s">
        <v>10</v>
      </c>
      <c r="C225" t="s">
        <v>32</v>
      </c>
      <c r="D225" s="1">
        <v>44697</v>
      </c>
      <c r="E225">
        <v>12</v>
      </c>
      <c r="F225">
        <v>15.4106319368172</v>
      </c>
      <c r="G225" s="1">
        <v>44717</v>
      </c>
      <c r="H225" s="1">
        <v>44718</v>
      </c>
      <c r="I225">
        <v>184.92758324180599</v>
      </c>
      <c r="J225">
        <f t="shared" si="18"/>
        <v>1</v>
      </c>
      <c r="K225" t="str">
        <f>VLOOKUP(B225,Raw_Suppliers!$A$2:$G$101,2,FALSE)</f>
        <v>Vertex Beta GmbH</v>
      </c>
      <c r="L225" t="str">
        <f>VLOOKUP(B225,Raw_Suppliers!$A$2:$G$101,3,FALSE)</f>
        <v>India</v>
      </c>
      <c r="M225" t="str">
        <f>VLOOKUP(B225,Raw_Suppliers!$A$2:$G$101,4,FALSE)</f>
        <v>North</v>
      </c>
      <c r="N225" t="str">
        <f>VLOOKUP(B225,Raw_Suppliers!$A$2:$G$101,6,FALSE)</f>
        <v>ISO 14001</v>
      </c>
      <c r="O225">
        <f>VLOOKUP(B225,Raw_Suppliers!$A$2:$G$101,7,FALSE)</f>
        <v>0</v>
      </c>
      <c r="P225" t="str">
        <f t="shared" si="19"/>
        <v>No</v>
      </c>
      <c r="Q225">
        <f t="shared" si="20"/>
        <v>0</v>
      </c>
      <c r="R225" t="str">
        <f t="shared" si="21"/>
        <v>Late</v>
      </c>
      <c r="S225">
        <f t="shared" si="22"/>
        <v>2022</v>
      </c>
      <c r="T225">
        <f t="shared" si="23"/>
        <v>5</v>
      </c>
    </row>
    <row r="226" spans="1:20" x14ac:dyDescent="0.25">
      <c r="A226" t="s">
        <v>460</v>
      </c>
      <c r="B226" t="s">
        <v>16</v>
      </c>
      <c r="C226" t="s">
        <v>383</v>
      </c>
      <c r="D226" s="1">
        <v>44674</v>
      </c>
      <c r="E226">
        <v>15</v>
      </c>
      <c r="F226">
        <v>70.376306790458699</v>
      </c>
      <c r="G226" s="1">
        <v>44697</v>
      </c>
      <c r="H226" s="1">
        <v>44698</v>
      </c>
      <c r="I226">
        <v>1055.6446018568799</v>
      </c>
      <c r="J226">
        <f t="shared" si="18"/>
        <v>1</v>
      </c>
      <c r="K226" t="str">
        <f>VLOOKUP(B226,Raw_Suppliers!$A$2:$G$101,2,FALSE)</f>
        <v>Beta Pioneer Inc</v>
      </c>
      <c r="L226" t="str">
        <f>VLOOKUP(B226,Raw_Suppliers!$A$2:$G$101,3,FALSE)</f>
        <v>USA</v>
      </c>
      <c r="M226" t="str">
        <f>VLOOKUP(B226,Raw_Suppliers!$A$2:$G$101,4,FALSE)</f>
        <v>Central</v>
      </c>
      <c r="N226" t="str">
        <f>VLOOKUP(B226,Raw_Suppliers!$A$2:$G$101,6,FALSE)</f>
        <v>ISO 45001</v>
      </c>
      <c r="O226">
        <f>VLOOKUP(B226,Raw_Suppliers!$A$2:$G$101,7,FALSE)</f>
        <v>1</v>
      </c>
      <c r="P226" t="str">
        <f t="shared" si="19"/>
        <v>Yes</v>
      </c>
      <c r="Q226">
        <f t="shared" si="20"/>
        <v>0</v>
      </c>
      <c r="R226" t="str">
        <f t="shared" si="21"/>
        <v>Late</v>
      </c>
      <c r="S226">
        <f t="shared" si="22"/>
        <v>2022</v>
      </c>
      <c r="T226">
        <f t="shared" si="23"/>
        <v>4</v>
      </c>
    </row>
    <row r="227" spans="1:20" x14ac:dyDescent="0.25">
      <c r="A227" t="s">
        <v>461</v>
      </c>
      <c r="B227" t="s">
        <v>369</v>
      </c>
      <c r="C227" t="s">
        <v>462</v>
      </c>
      <c r="D227" s="1">
        <v>44350</v>
      </c>
      <c r="E227">
        <v>9</v>
      </c>
      <c r="F227">
        <v>3.7641489462887798</v>
      </c>
      <c r="G227" s="1">
        <v>44370</v>
      </c>
      <c r="H227" s="1">
        <v>44368</v>
      </c>
      <c r="I227">
        <v>33.877340516598998</v>
      </c>
      <c r="J227">
        <f t="shared" si="18"/>
        <v>-2</v>
      </c>
      <c r="K227" t="str">
        <f>VLOOKUP(B227,Raw_Suppliers!$A$2:$G$101,2,FALSE)</f>
        <v>Beta Fusion GmbH</v>
      </c>
      <c r="L227" t="str">
        <f>VLOOKUP(B227,Raw_Suppliers!$A$2:$G$101,3,FALSE)</f>
        <v>China</v>
      </c>
      <c r="M227" t="str">
        <f>VLOOKUP(B227,Raw_Suppliers!$A$2:$G$101,4,FALSE)</f>
        <v>South</v>
      </c>
      <c r="N227" t="str">
        <f>VLOOKUP(B227,Raw_Suppliers!$A$2:$G$101,6,FALSE)</f>
        <v>ISO 9001</v>
      </c>
      <c r="O227">
        <f>VLOOKUP(B227,Raw_Suppliers!$A$2:$G$101,7,FALSE)</f>
        <v>0</v>
      </c>
      <c r="P227" t="str">
        <f t="shared" si="19"/>
        <v>No</v>
      </c>
      <c r="Q227">
        <f t="shared" si="20"/>
        <v>1</v>
      </c>
      <c r="R227" t="str">
        <f t="shared" si="21"/>
        <v>On Time</v>
      </c>
      <c r="S227">
        <f t="shared" si="22"/>
        <v>2021</v>
      </c>
      <c r="T227">
        <f t="shared" si="23"/>
        <v>6</v>
      </c>
    </row>
    <row r="228" spans="1:20" x14ac:dyDescent="0.25">
      <c r="A228" t="s">
        <v>463</v>
      </c>
      <c r="B228" t="s">
        <v>205</v>
      </c>
      <c r="C228" t="s">
        <v>20</v>
      </c>
      <c r="D228" s="1">
        <v>45253</v>
      </c>
      <c r="E228">
        <v>18</v>
      </c>
      <c r="F228">
        <v>35.874447734499299</v>
      </c>
      <c r="G228" s="1">
        <v>45274</v>
      </c>
      <c r="H228" s="1">
        <v>45275</v>
      </c>
      <c r="I228">
        <v>645.74005922098797</v>
      </c>
      <c r="J228">
        <f t="shared" si="18"/>
        <v>1</v>
      </c>
      <c r="K228" t="str">
        <f>VLOOKUP(B228,Raw_Suppliers!$A$2:$G$101,2,FALSE)</f>
        <v>Ultra Eco LLC</v>
      </c>
      <c r="L228" t="str">
        <f>VLOOKUP(B228,Raw_Suppliers!$A$2:$G$101,3,FALSE)</f>
        <v>China</v>
      </c>
      <c r="M228" t="str">
        <f>VLOOKUP(B228,Raw_Suppliers!$A$2:$G$101,4,FALSE)</f>
        <v>South</v>
      </c>
      <c r="N228" t="str">
        <f>VLOOKUP(B228,Raw_Suppliers!$A$2:$G$101,6,FALSE)</f>
        <v>ISO 14001</v>
      </c>
      <c r="O228">
        <f>VLOOKUP(B228,Raw_Suppliers!$A$2:$G$101,7,FALSE)</f>
        <v>1</v>
      </c>
      <c r="P228" t="str">
        <f t="shared" si="19"/>
        <v>Yes</v>
      </c>
      <c r="Q228">
        <f t="shared" si="20"/>
        <v>0</v>
      </c>
      <c r="R228" t="str">
        <f t="shared" si="21"/>
        <v>Late</v>
      </c>
      <c r="S228">
        <f t="shared" si="22"/>
        <v>2023</v>
      </c>
      <c r="T228">
        <f t="shared" si="23"/>
        <v>11</v>
      </c>
    </row>
    <row r="229" spans="1:20" x14ac:dyDescent="0.25">
      <c r="A229" t="s">
        <v>464</v>
      </c>
      <c r="B229" t="s">
        <v>227</v>
      </c>
      <c r="C229" t="s">
        <v>170</v>
      </c>
      <c r="D229" s="1">
        <v>44862</v>
      </c>
      <c r="E229">
        <v>8</v>
      </c>
      <c r="F229">
        <v>44.928217988180698</v>
      </c>
      <c r="G229" s="1">
        <v>44879</v>
      </c>
      <c r="H229" s="1">
        <v>44879</v>
      </c>
      <c r="I229">
        <v>359.42574390544598</v>
      </c>
      <c r="J229">
        <f t="shared" si="18"/>
        <v>0</v>
      </c>
      <c r="K229" t="str">
        <f>VLOOKUP(B229,Raw_Suppliers!$A$2:$G$101,2,FALSE)</f>
        <v>Delta Prime Inc</v>
      </c>
      <c r="L229" t="str">
        <f>VLOOKUP(B229,Raw_Suppliers!$A$2:$G$101,3,FALSE)</f>
        <v>Denmark</v>
      </c>
      <c r="M229" t="str">
        <f>VLOOKUP(B229,Raw_Suppliers!$A$2:$G$101,4,FALSE)</f>
        <v>South</v>
      </c>
      <c r="N229" t="str">
        <f>VLOOKUP(B229,Raw_Suppliers!$A$2:$G$101,6,FALSE)</f>
        <v>ISO 14001</v>
      </c>
      <c r="O229">
        <f>VLOOKUP(B229,Raw_Suppliers!$A$2:$G$101,7,FALSE)</f>
        <v>0</v>
      </c>
      <c r="P229" t="str">
        <f t="shared" si="19"/>
        <v>No</v>
      </c>
      <c r="Q229">
        <f t="shared" si="20"/>
        <v>1</v>
      </c>
      <c r="R229" t="str">
        <f t="shared" si="21"/>
        <v>On Time</v>
      </c>
      <c r="S229">
        <f t="shared" si="22"/>
        <v>2022</v>
      </c>
      <c r="T229">
        <f t="shared" si="23"/>
        <v>10</v>
      </c>
    </row>
    <row r="230" spans="1:20" x14ac:dyDescent="0.25">
      <c r="A230" t="s">
        <v>465</v>
      </c>
      <c r="B230" t="s">
        <v>37</v>
      </c>
      <c r="C230" t="s">
        <v>466</v>
      </c>
      <c r="D230" s="1">
        <v>44592</v>
      </c>
      <c r="E230">
        <v>14</v>
      </c>
      <c r="F230">
        <v>6.1297057151461498</v>
      </c>
      <c r="G230" s="1">
        <v>44609</v>
      </c>
      <c r="H230" s="1">
        <v>44610</v>
      </c>
      <c r="I230">
        <v>85.815880012046094</v>
      </c>
      <c r="J230">
        <f t="shared" si="18"/>
        <v>1</v>
      </c>
      <c r="K230" t="str">
        <f>VLOOKUP(B230,Raw_Suppliers!$A$2:$G$101,2,FALSE)</f>
        <v>Apex Apex Ltd</v>
      </c>
      <c r="L230" t="str">
        <f>VLOOKUP(B230,Raw_Suppliers!$A$2:$G$101,3,FALSE)</f>
        <v>Canada</v>
      </c>
      <c r="M230" t="str">
        <f>VLOOKUP(B230,Raw_Suppliers!$A$2:$G$101,4,FALSE)</f>
        <v>East</v>
      </c>
      <c r="N230" t="str">
        <f>VLOOKUP(B230,Raw_Suppliers!$A$2:$G$101,6,FALSE)</f>
        <v>ISO 9001</v>
      </c>
      <c r="O230">
        <f>VLOOKUP(B230,Raw_Suppliers!$A$2:$G$101,7,FALSE)</f>
        <v>1</v>
      </c>
      <c r="P230" t="str">
        <f t="shared" si="19"/>
        <v>Yes</v>
      </c>
      <c r="Q230">
        <f t="shared" si="20"/>
        <v>0</v>
      </c>
      <c r="R230" t="str">
        <f t="shared" si="21"/>
        <v>Late</v>
      </c>
      <c r="S230">
        <f t="shared" si="22"/>
        <v>2022</v>
      </c>
      <c r="T230">
        <f t="shared" si="23"/>
        <v>1</v>
      </c>
    </row>
    <row r="231" spans="1:20" x14ac:dyDescent="0.25">
      <c r="A231" t="s">
        <v>467</v>
      </c>
      <c r="B231" t="s">
        <v>135</v>
      </c>
      <c r="C231" t="s">
        <v>115</v>
      </c>
      <c r="D231" s="1">
        <v>44268</v>
      </c>
      <c r="E231">
        <v>17</v>
      </c>
      <c r="F231">
        <v>17.703870518930799</v>
      </c>
      <c r="G231" s="1">
        <v>44286</v>
      </c>
      <c r="H231" s="1">
        <v>44291</v>
      </c>
      <c r="I231">
        <v>300.96579882182402</v>
      </c>
      <c r="J231">
        <f t="shared" si="18"/>
        <v>5</v>
      </c>
      <c r="K231" t="str">
        <f>VLOOKUP(B231,Raw_Suppliers!$A$2:$G$101,2,FALSE)</f>
        <v>Alpha Prime Ltd</v>
      </c>
      <c r="L231" t="str">
        <f>VLOOKUP(B231,Raw_Suppliers!$A$2:$G$101,3,FALSE)</f>
        <v>UK</v>
      </c>
      <c r="M231" t="str">
        <f>VLOOKUP(B231,Raw_Suppliers!$A$2:$G$101,4,FALSE)</f>
        <v>East</v>
      </c>
      <c r="N231" t="str">
        <f>VLOOKUP(B231,Raw_Suppliers!$A$2:$G$101,6,FALSE)</f>
        <v>None</v>
      </c>
      <c r="O231">
        <f>VLOOKUP(B231,Raw_Suppliers!$A$2:$G$101,7,FALSE)</f>
        <v>1</v>
      </c>
      <c r="P231" t="str">
        <f t="shared" si="19"/>
        <v>Yes</v>
      </c>
      <c r="Q231">
        <f t="shared" si="20"/>
        <v>0</v>
      </c>
      <c r="R231" t="str">
        <f t="shared" si="21"/>
        <v>Late</v>
      </c>
      <c r="S231">
        <f t="shared" si="22"/>
        <v>2021</v>
      </c>
      <c r="T231">
        <f t="shared" si="23"/>
        <v>3</v>
      </c>
    </row>
    <row r="232" spans="1:20" x14ac:dyDescent="0.25">
      <c r="A232" t="s">
        <v>468</v>
      </c>
      <c r="B232" t="s">
        <v>176</v>
      </c>
      <c r="C232" t="s">
        <v>331</v>
      </c>
      <c r="D232" s="1">
        <v>44387</v>
      </c>
      <c r="E232">
        <v>11</v>
      </c>
      <c r="F232">
        <v>7.4214887223685899</v>
      </c>
      <c r="G232" s="1">
        <v>44403</v>
      </c>
      <c r="H232" s="1">
        <v>44406</v>
      </c>
      <c r="I232">
        <v>81.6363759460545</v>
      </c>
      <c r="J232">
        <f t="shared" si="18"/>
        <v>3</v>
      </c>
      <c r="K232" t="str">
        <f>VLOOKUP(B232,Raw_Suppliers!$A$2:$G$101,2,FALSE)</f>
        <v>Nano Ultra Corp</v>
      </c>
      <c r="L232" t="str">
        <f>VLOOKUP(B232,Raw_Suppliers!$A$2:$G$101,3,FALSE)</f>
        <v>Canada</v>
      </c>
      <c r="M232" t="str">
        <f>VLOOKUP(B232,Raw_Suppliers!$A$2:$G$101,4,FALSE)</f>
        <v>Central</v>
      </c>
      <c r="N232" t="str">
        <f>VLOOKUP(B232,Raw_Suppliers!$A$2:$G$101,6,FALSE)</f>
        <v>ISO 9001</v>
      </c>
      <c r="O232">
        <f>VLOOKUP(B232,Raw_Suppliers!$A$2:$G$101,7,FALSE)</f>
        <v>0</v>
      </c>
      <c r="P232" t="str">
        <f t="shared" si="19"/>
        <v>No</v>
      </c>
      <c r="Q232">
        <f t="shared" si="20"/>
        <v>0</v>
      </c>
      <c r="R232" t="str">
        <f t="shared" si="21"/>
        <v>Late</v>
      </c>
      <c r="S232">
        <f t="shared" si="22"/>
        <v>2021</v>
      </c>
      <c r="T232">
        <f t="shared" si="23"/>
        <v>7</v>
      </c>
    </row>
    <row r="233" spans="1:20" x14ac:dyDescent="0.25">
      <c r="A233" t="s">
        <v>469</v>
      </c>
      <c r="B233" t="s">
        <v>140</v>
      </c>
      <c r="C233" t="s">
        <v>470</v>
      </c>
      <c r="D233" s="1">
        <v>44679</v>
      </c>
      <c r="E233">
        <v>13</v>
      </c>
      <c r="F233">
        <v>79.004608350252894</v>
      </c>
      <c r="G233" s="1">
        <v>44703</v>
      </c>
      <c r="H233" s="1">
        <v>44707</v>
      </c>
      <c r="I233">
        <v>1027.0599085532799</v>
      </c>
      <c r="J233">
        <f t="shared" si="18"/>
        <v>4</v>
      </c>
      <c r="K233" t="str">
        <f>VLOOKUP(B233,Raw_Suppliers!$A$2:$G$101,2,FALSE)</f>
        <v>Gamma Quantum Inc</v>
      </c>
      <c r="L233" t="str">
        <f>VLOOKUP(B233,Raw_Suppliers!$A$2:$G$101,3,FALSE)</f>
        <v>Germany</v>
      </c>
      <c r="M233" t="str">
        <f>VLOOKUP(B233,Raw_Suppliers!$A$2:$G$101,4,FALSE)</f>
        <v>North</v>
      </c>
      <c r="N233" t="str">
        <f>VLOOKUP(B233,Raw_Suppliers!$A$2:$G$101,6,FALSE)</f>
        <v>None</v>
      </c>
      <c r="O233">
        <f>VLOOKUP(B233,Raw_Suppliers!$A$2:$G$101,7,FALSE)</f>
        <v>1</v>
      </c>
      <c r="P233" t="str">
        <f t="shared" si="19"/>
        <v>Yes</v>
      </c>
      <c r="Q233">
        <f t="shared" si="20"/>
        <v>0</v>
      </c>
      <c r="R233" t="str">
        <f t="shared" si="21"/>
        <v>Late</v>
      </c>
      <c r="S233">
        <f t="shared" si="22"/>
        <v>2022</v>
      </c>
      <c r="T233">
        <f t="shared" si="23"/>
        <v>4</v>
      </c>
    </row>
    <row r="234" spans="1:20" x14ac:dyDescent="0.25">
      <c r="A234" t="s">
        <v>471</v>
      </c>
      <c r="B234" t="s">
        <v>472</v>
      </c>
      <c r="C234" t="s">
        <v>473</v>
      </c>
      <c r="D234" s="1">
        <v>44979</v>
      </c>
      <c r="E234">
        <v>15</v>
      </c>
      <c r="F234">
        <v>57.363984403978698</v>
      </c>
      <c r="G234" s="1">
        <v>44990</v>
      </c>
      <c r="H234" s="1">
        <v>44994</v>
      </c>
      <c r="I234">
        <v>860.45976605967996</v>
      </c>
      <c r="J234">
        <f t="shared" si="18"/>
        <v>4</v>
      </c>
      <c r="K234" t="str">
        <f>VLOOKUP(B234,Raw_Suppliers!$A$2:$G$101,2,FALSE)</f>
        <v>Pioneer Alpha Corp</v>
      </c>
      <c r="L234" t="str">
        <f>VLOOKUP(B234,Raw_Suppliers!$A$2:$G$101,3,FALSE)</f>
        <v>Canada</v>
      </c>
      <c r="M234" t="str">
        <f>VLOOKUP(B234,Raw_Suppliers!$A$2:$G$101,4,FALSE)</f>
        <v>North</v>
      </c>
      <c r="N234" t="str">
        <f>VLOOKUP(B234,Raw_Suppliers!$A$2:$G$101,6,FALSE)</f>
        <v>None</v>
      </c>
      <c r="O234">
        <f>VLOOKUP(B234,Raw_Suppliers!$A$2:$G$101,7,FALSE)</f>
        <v>1</v>
      </c>
      <c r="P234" t="str">
        <f t="shared" si="19"/>
        <v>Yes</v>
      </c>
      <c r="Q234">
        <f t="shared" si="20"/>
        <v>0</v>
      </c>
      <c r="R234" t="str">
        <f t="shared" si="21"/>
        <v>Late</v>
      </c>
      <c r="S234">
        <f t="shared" si="22"/>
        <v>2023</v>
      </c>
      <c r="T234">
        <f t="shared" si="23"/>
        <v>2</v>
      </c>
    </row>
    <row r="235" spans="1:20" x14ac:dyDescent="0.25">
      <c r="A235" t="s">
        <v>474</v>
      </c>
      <c r="B235" t="s">
        <v>475</v>
      </c>
      <c r="C235" t="s">
        <v>133</v>
      </c>
      <c r="D235" s="1">
        <v>45290</v>
      </c>
      <c r="E235">
        <v>7</v>
      </c>
      <c r="F235">
        <v>57.390769986272801</v>
      </c>
      <c r="G235" s="1">
        <v>45309</v>
      </c>
      <c r="H235" s="1">
        <v>45312</v>
      </c>
      <c r="I235">
        <v>401.73538990390898</v>
      </c>
      <c r="J235">
        <f t="shared" si="18"/>
        <v>3</v>
      </c>
      <c r="K235" t="str">
        <f>VLOOKUP(B235,Raw_Suppliers!$A$2:$G$101,2,FALSE)</f>
        <v>Ultra Delta LLC</v>
      </c>
      <c r="L235" t="str">
        <f>VLOOKUP(B235,Raw_Suppliers!$A$2:$G$101,3,FALSE)</f>
        <v>UK</v>
      </c>
      <c r="M235" t="str">
        <f>VLOOKUP(B235,Raw_Suppliers!$A$2:$G$101,4,FALSE)</f>
        <v>North</v>
      </c>
      <c r="N235" t="str">
        <f>VLOOKUP(B235,Raw_Suppliers!$A$2:$G$101,6,FALSE)</f>
        <v>None</v>
      </c>
      <c r="O235">
        <f>VLOOKUP(B235,Raw_Suppliers!$A$2:$G$101,7,FALSE)</f>
        <v>1</v>
      </c>
      <c r="P235" t="str">
        <f t="shared" si="19"/>
        <v>Yes</v>
      </c>
      <c r="Q235">
        <f t="shared" si="20"/>
        <v>0</v>
      </c>
      <c r="R235" t="str">
        <f t="shared" si="21"/>
        <v>Late</v>
      </c>
      <c r="S235">
        <f t="shared" si="22"/>
        <v>2023</v>
      </c>
      <c r="T235">
        <f t="shared" si="23"/>
        <v>12</v>
      </c>
    </row>
    <row r="236" spans="1:20" x14ac:dyDescent="0.25">
      <c r="A236" t="s">
        <v>476</v>
      </c>
      <c r="B236" t="s">
        <v>58</v>
      </c>
      <c r="C236" t="s">
        <v>477</v>
      </c>
      <c r="D236" s="1">
        <v>45315</v>
      </c>
      <c r="E236">
        <v>11</v>
      </c>
      <c r="F236">
        <v>66.2739350437148</v>
      </c>
      <c r="G236" s="1">
        <v>45328</v>
      </c>
      <c r="H236" s="1">
        <v>45325</v>
      </c>
      <c r="I236">
        <v>729.01328548086201</v>
      </c>
      <c r="J236">
        <f t="shared" si="18"/>
        <v>-3</v>
      </c>
      <c r="K236" t="str">
        <f>VLOOKUP(B236,Raw_Suppliers!$A$2:$G$101,2,FALSE)</f>
        <v>Quantum Nano Inc</v>
      </c>
      <c r="L236" t="str">
        <f>VLOOKUP(B236,Raw_Suppliers!$A$2:$G$101,3,FALSE)</f>
        <v>Brazil</v>
      </c>
      <c r="M236" t="str">
        <f>VLOOKUP(B236,Raw_Suppliers!$A$2:$G$101,4,FALSE)</f>
        <v>East</v>
      </c>
      <c r="N236" t="str">
        <f>VLOOKUP(B236,Raw_Suppliers!$A$2:$G$101,6,FALSE)</f>
        <v>ISO 9001</v>
      </c>
      <c r="O236">
        <f>VLOOKUP(B236,Raw_Suppliers!$A$2:$G$101,7,FALSE)</f>
        <v>1</v>
      </c>
      <c r="P236" t="str">
        <f t="shared" si="19"/>
        <v>Yes</v>
      </c>
      <c r="Q236">
        <f t="shared" si="20"/>
        <v>1</v>
      </c>
      <c r="R236" t="str">
        <f t="shared" si="21"/>
        <v>On Time</v>
      </c>
      <c r="S236">
        <f t="shared" si="22"/>
        <v>2024</v>
      </c>
      <c r="T236">
        <f t="shared" si="23"/>
        <v>1</v>
      </c>
    </row>
    <row r="237" spans="1:20" x14ac:dyDescent="0.25">
      <c r="A237" t="s">
        <v>478</v>
      </c>
      <c r="B237" t="s">
        <v>394</v>
      </c>
      <c r="C237" t="s">
        <v>238</v>
      </c>
      <c r="D237" s="1">
        <v>44508</v>
      </c>
      <c r="E237">
        <v>10</v>
      </c>
      <c r="F237">
        <v>65.332537158843607</v>
      </c>
      <c r="G237" s="1">
        <v>44525</v>
      </c>
      <c r="H237" s="1">
        <v>44524</v>
      </c>
      <c r="I237">
        <v>653.32537158843604</v>
      </c>
      <c r="J237">
        <f t="shared" si="18"/>
        <v>-1</v>
      </c>
      <c r="K237" t="str">
        <f>VLOOKUP(B237,Raw_Suppliers!$A$2:$G$101,2,FALSE)</f>
        <v>Ultra Prime Inc</v>
      </c>
      <c r="L237" t="str">
        <f>VLOOKUP(B237,Raw_Suppliers!$A$2:$G$101,3,FALSE)</f>
        <v>Brazil</v>
      </c>
      <c r="M237" t="str">
        <f>VLOOKUP(B237,Raw_Suppliers!$A$2:$G$101,4,FALSE)</f>
        <v>West</v>
      </c>
      <c r="N237" t="str">
        <f>VLOOKUP(B237,Raw_Suppliers!$A$2:$G$101,6,FALSE)</f>
        <v>ISO 9001</v>
      </c>
      <c r="O237">
        <f>VLOOKUP(B237,Raw_Suppliers!$A$2:$G$101,7,FALSE)</f>
        <v>1</v>
      </c>
      <c r="P237" t="str">
        <f t="shared" si="19"/>
        <v>Yes</v>
      </c>
      <c r="Q237">
        <f t="shared" si="20"/>
        <v>1</v>
      </c>
      <c r="R237" t="str">
        <f t="shared" si="21"/>
        <v>On Time</v>
      </c>
      <c r="S237">
        <f t="shared" si="22"/>
        <v>2021</v>
      </c>
      <c r="T237">
        <f t="shared" si="23"/>
        <v>11</v>
      </c>
    </row>
    <row r="238" spans="1:20" x14ac:dyDescent="0.25">
      <c r="A238" t="s">
        <v>479</v>
      </c>
      <c r="B238" t="s">
        <v>58</v>
      </c>
      <c r="C238" t="s">
        <v>210</v>
      </c>
      <c r="D238" s="1">
        <v>44784</v>
      </c>
      <c r="E238">
        <v>10</v>
      </c>
      <c r="F238">
        <v>13.002941919474701</v>
      </c>
      <c r="G238" s="1">
        <v>44807</v>
      </c>
      <c r="H238" s="1">
        <v>44807</v>
      </c>
      <c r="I238">
        <v>130.02941919474699</v>
      </c>
      <c r="J238">
        <f t="shared" si="18"/>
        <v>0</v>
      </c>
      <c r="K238" t="str">
        <f>VLOOKUP(B238,Raw_Suppliers!$A$2:$G$101,2,FALSE)</f>
        <v>Quantum Nano Inc</v>
      </c>
      <c r="L238" t="str">
        <f>VLOOKUP(B238,Raw_Suppliers!$A$2:$G$101,3,FALSE)</f>
        <v>Brazil</v>
      </c>
      <c r="M238" t="str">
        <f>VLOOKUP(B238,Raw_Suppliers!$A$2:$G$101,4,FALSE)</f>
        <v>East</v>
      </c>
      <c r="N238" t="str">
        <f>VLOOKUP(B238,Raw_Suppliers!$A$2:$G$101,6,FALSE)</f>
        <v>ISO 9001</v>
      </c>
      <c r="O238">
        <f>VLOOKUP(B238,Raw_Suppliers!$A$2:$G$101,7,FALSE)</f>
        <v>1</v>
      </c>
      <c r="P238" t="str">
        <f t="shared" si="19"/>
        <v>Yes</v>
      </c>
      <c r="Q238">
        <f t="shared" si="20"/>
        <v>1</v>
      </c>
      <c r="R238" t="str">
        <f t="shared" si="21"/>
        <v>On Time</v>
      </c>
      <c r="S238">
        <f t="shared" si="22"/>
        <v>2022</v>
      </c>
      <c r="T238">
        <f t="shared" si="23"/>
        <v>8</v>
      </c>
    </row>
    <row r="239" spans="1:20" x14ac:dyDescent="0.25">
      <c r="A239" t="s">
        <v>480</v>
      </c>
      <c r="B239" t="s">
        <v>96</v>
      </c>
      <c r="C239" t="s">
        <v>235</v>
      </c>
      <c r="D239" s="1">
        <v>44392</v>
      </c>
      <c r="E239">
        <v>10</v>
      </c>
      <c r="F239">
        <v>72.135650986559497</v>
      </c>
      <c r="G239" s="1">
        <v>44413</v>
      </c>
      <c r="H239" s="1">
        <v>44413</v>
      </c>
      <c r="I239">
        <v>721.35650986559494</v>
      </c>
      <c r="J239">
        <f t="shared" si="18"/>
        <v>0</v>
      </c>
      <c r="K239" t="str">
        <f>VLOOKUP(B239,Raw_Suppliers!$A$2:$G$101,2,FALSE)</f>
        <v>Alpha Nova Ltd</v>
      </c>
      <c r="L239" t="str">
        <f>VLOOKUP(B239,Raw_Suppliers!$A$2:$G$101,3,FALSE)</f>
        <v>UK</v>
      </c>
      <c r="M239" t="str">
        <f>VLOOKUP(B239,Raw_Suppliers!$A$2:$G$101,4,FALSE)</f>
        <v>West</v>
      </c>
      <c r="N239" t="str">
        <f>VLOOKUP(B239,Raw_Suppliers!$A$2:$G$101,6,FALSE)</f>
        <v>ISO 14001</v>
      </c>
      <c r="O239">
        <f>VLOOKUP(B239,Raw_Suppliers!$A$2:$G$101,7,FALSE)</f>
        <v>0</v>
      </c>
      <c r="P239" t="str">
        <f t="shared" si="19"/>
        <v>No</v>
      </c>
      <c r="Q239">
        <f t="shared" si="20"/>
        <v>1</v>
      </c>
      <c r="R239" t="str">
        <f t="shared" si="21"/>
        <v>On Time</v>
      </c>
      <c r="S239">
        <f t="shared" si="22"/>
        <v>2021</v>
      </c>
      <c r="T239">
        <f t="shared" si="23"/>
        <v>7</v>
      </c>
    </row>
    <row r="240" spans="1:20" x14ac:dyDescent="0.25">
      <c r="A240" t="s">
        <v>481</v>
      </c>
      <c r="B240" t="s">
        <v>482</v>
      </c>
      <c r="C240" t="s">
        <v>20</v>
      </c>
      <c r="D240" s="1">
        <v>44284</v>
      </c>
      <c r="E240">
        <v>12</v>
      </c>
      <c r="F240">
        <v>13.5759056428774</v>
      </c>
      <c r="G240" s="1">
        <v>44301</v>
      </c>
      <c r="H240" s="1">
        <v>44300</v>
      </c>
      <c r="I240">
        <v>162.91086771452899</v>
      </c>
      <c r="J240">
        <f t="shared" si="18"/>
        <v>-1</v>
      </c>
      <c r="K240" t="str">
        <f>VLOOKUP(B240,Raw_Suppliers!$A$2:$G$101,2,FALSE)</f>
        <v>Eco Prime Corp</v>
      </c>
      <c r="L240" t="str">
        <f>VLOOKUP(B240,Raw_Suppliers!$A$2:$G$101,3,FALSE)</f>
        <v>China</v>
      </c>
      <c r="M240" t="str">
        <f>VLOOKUP(B240,Raw_Suppliers!$A$2:$G$101,4,FALSE)</f>
        <v>East</v>
      </c>
      <c r="N240" t="str">
        <f>VLOOKUP(B240,Raw_Suppliers!$A$2:$G$101,6,FALSE)</f>
        <v>ISO 45001</v>
      </c>
      <c r="O240">
        <f>VLOOKUP(B240,Raw_Suppliers!$A$2:$G$101,7,FALSE)</f>
        <v>1</v>
      </c>
      <c r="P240" t="str">
        <f t="shared" si="19"/>
        <v>Yes</v>
      </c>
      <c r="Q240">
        <f t="shared" si="20"/>
        <v>1</v>
      </c>
      <c r="R240" t="str">
        <f t="shared" si="21"/>
        <v>On Time</v>
      </c>
      <c r="S240">
        <f t="shared" si="22"/>
        <v>2021</v>
      </c>
      <c r="T240">
        <f t="shared" si="23"/>
        <v>3</v>
      </c>
    </row>
    <row r="241" spans="1:20" x14ac:dyDescent="0.25">
      <c r="A241" t="s">
        <v>483</v>
      </c>
      <c r="B241" t="s">
        <v>324</v>
      </c>
      <c r="C241" t="s">
        <v>353</v>
      </c>
      <c r="D241" s="1">
        <v>44410</v>
      </c>
      <c r="E241">
        <v>9</v>
      </c>
      <c r="F241">
        <v>75.044877032064207</v>
      </c>
      <c r="G241" s="1">
        <v>44433</v>
      </c>
      <c r="H241" s="1">
        <v>44438</v>
      </c>
      <c r="I241">
        <v>675.40389328857805</v>
      </c>
      <c r="J241">
        <f t="shared" si="18"/>
        <v>5</v>
      </c>
      <c r="K241" t="str">
        <f>VLOOKUP(B241,Raw_Suppliers!$A$2:$G$101,2,FALSE)</f>
        <v>Gamma Nano Corp</v>
      </c>
      <c r="L241" t="str">
        <f>VLOOKUP(B241,Raw_Suppliers!$A$2:$G$101,3,FALSE)</f>
        <v>Germany</v>
      </c>
      <c r="M241" t="str">
        <f>VLOOKUP(B241,Raw_Suppliers!$A$2:$G$101,4,FALSE)</f>
        <v>West</v>
      </c>
      <c r="N241" t="str">
        <f>VLOOKUP(B241,Raw_Suppliers!$A$2:$G$101,6,FALSE)</f>
        <v>ISO 9001</v>
      </c>
      <c r="O241">
        <f>VLOOKUP(B241,Raw_Suppliers!$A$2:$G$101,7,FALSE)</f>
        <v>0</v>
      </c>
      <c r="P241" t="str">
        <f t="shared" si="19"/>
        <v>No</v>
      </c>
      <c r="Q241">
        <f t="shared" si="20"/>
        <v>0</v>
      </c>
      <c r="R241" t="str">
        <f t="shared" si="21"/>
        <v>Late</v>
      </c>
      <c r="S241">
        <f t="shared" si="22"/>
        <v>2021</v>
      </c>
      <c r="T241">
        <f t="shared" si="23"/>
        <v>8</v>
      </c>
    </row>
    <row r="242" spans="1:20" x14ac:dyDescent="0.25">
      <c r="A242" t="s">
        <v>484</v>
      </c>
      <c r="B242" t="s">
        <v>485</v>
      </c>
      <c r="C242" t="s">
        <v>317</v>
      </c>
      <c r="D242" s="1">
        <v>44463</v>
      </c>
      <c r="E242">
        <v>6</v>
      </c>
      <c r="F242">
        <v>5.6356369719246002</v>
      </c>
      <c r="G242" s="1">
        <v>44486</v>
      </c>
      <c r="H242" s="1">
        <v>44487</v>
      </c>
      <c r="I242">
        <v>33.8138218315476</v>
      </c>
      <c r="J242">
        <f t="shared" si="18"/>
        <v>1</v>
      </c>
      <c r="K242" t="str">
        <f>VLOOKUP(B242,Raw_Suppliers!$A$2:$G$101,2,FALSE)</f>
        <v>Ultra Quantum Ltd</v>
      </c>
      <c r="L242" t="str">
        <f>VLOOKUP(B242,Raw_Suppliers!$A$2:$G$101,3,FALSE)</f>
        <v>Canada</v>
      </c>
      <c r="M242" t="str">
        <f>VLOOKUP(B242,Raw_Suppliers!$A$2:$G$101,4,FALSE)</f>
        <v>North</v>
      </c>
      <c r="N242" t="str">
        <f>VLOOKUP(B242,Raw_Suppliers!$A$2:$G$101,6,FALSE)</f>
        <v>ISO 14001</v>
      </c>
      <c r="O242">
        <f>VLOOKUP(B242,Raw_Suppliers!$A$2:$G$101,7,FALSE)</f>
        <v>0</v>
      </c>
      <c r="P242" t="str">
        <f t="shared" si="19"/>
        <v>No</v>
      </c>
      <c r="Q242">
        <f t="shared" si="20"/>
        <v>0</v>
      </c>
      <c r="R242" t="str">
        <f t="shared" si="21"/>
        <v>Late</v>
      </c>
      <c r="S242">
        <f t="shared" si="22"/>
        <v>2021</v>
      </c>
      <c r="T242">
        <f t="shared" si="23"/>
        <v>9</v>
      </c>
    </row>
    <row r="243" spans="1:20" x14ac:dyDescent="0.25">
      <c r="A243" t="s">
        <v>486</v>
      </c>
      <c r="B243" t="s">
        <v>189</v>
      </c>
      <c r="C243" t="s">
        <v>473</v>
      </c>
      <c r="D243" s="1">
        <v>45140</v>
      </c>
      <c r="E243">
        <v>16</v>
      </c>
      <c r="F243">
        <v>54.2246642174632</v>
      </c>
      <c r="G243" s="1">
        <v>45163</v>
      </c>
      <c r="H243" s="1">
        <v>45160</v>
      </c>
      <c r="I243">
        <v>867.594627479412</v>
      </c>
      <c r="J243">
        <f t="shared" si="18"/>
        <v>-3</v>
      </c>
      <c r="K243" t="str">
        <f>VLOOKUP(B243,Raw_Suppliers!$A$2:$G$101,2,FALSE)</f>
        <v>Apex Pioneer Ltd</v>
      </c>
      <c r="L243" t="str">
        <f>VLOOKUP(B243,Raw_Suppliers!$A$2:$G$101,3,FALSE)</f>
        <v>Canada</v>
      </c>
      <c r="M243" t="str">
        <f>VLOOKUP(B243,Raw_Suppliers!$A$2:$G$101,4,FALSE)</f>
        <v>South</v>
      </c>
      <c r="N243" t="str">
        <f>VLOOKUP(B243,Raw_Suppliers!$A$2:$G$101,6,FALSE)</f>
        <v>ISO 14001</v>
      </c>
      <c r="O243">
        <f>VLOOKUP(B243,Raw_Suppliers!$A$2:$G$101,7,FALSE)</f>
        <v>1</v>
      </c>
      <c r="P243" t="str">
        <f t="shared" si="19"/>
        <v>Yes</v>
      </c>
      <c r="Q243">
        <f t="shared" si="20"/>
        <v>1</v>
      </c>
      <c r="R243" t="str">
        <f t="shared" si="21"/>
        <v>On Time</v>
      </c>
      <c r="S243">
        <f t="shared" si="22"/>
        <v>2023</v>
      </c>
      <c r="T243">
        <f t="shared" si="23"/>
        <v>8</v>
      </c>
    </row>
    <row r="244" spans="1:20" x14ac:dyDescent="0.25">
      <c r="A244" t="s">
        <v>487</v>
      </c>
      <c r="B244" t="s">
        <v>140</v>
      </c>
      <c r="C244" t="s">
        <v>331</v>
      </c>
      <c r="D244" s="1">
        <v>45065</v>
      </c>
      <c r="E244">
        <v>15</v>
      </c>
      <c r="F244">
        <v>12.8278653284436</v>
      </c>
      <c r="G244" s="1">
        <v>45080</v>
      </c>
      <c r="H244" s="1">
        <v>45081</v>
      </c>
      <c r="I244">
        <v>192.417979926654</v>
      </c>
      <c r="J244">
        <f t="shared" si="18"/>
        <v>1</v>
      </c>
      <c r="K244" t="str">
        <f>VLOOKUP(B244,Raw_Suppliers!$A$2:$G$101,2,FALSE)</f>
        <v>Gamma Quantum Inc</v>
      </c>
      <c r="L244" t="str">
        <f>VLOOKUP(B244,Raw_Suppliers!$A$2:$G$101,3,FALSE)</f>
        <v>Germany</v>
      </c>
      <c r="M244" t="str">
        <f>VLOOKUP(B244,Raw_Suppliers!$A$2:$G$101,4,FALSE)</f>
        <v>North</v>
      </c>
      <c r="N244" t="str">
        <f>VLOOKUP(B244,Raw_Suppliers!$A$2:$G$101,6,FALSE)</f>
        <v>None</v>
      </c>
      <c r="O244">
        <f>VLOOKUP(B244,Raw_Suppliers!$A$2:$G$101,7,FALSE)</f>
        <v>1</v>
      </c>
      <c r="P244" t="str">
        <f t="shared" si="19"/>
        <v>Yes</v>
      </c>
      <c r="Q244">
        <f t="shared" si="20"/>
        <v>0</v>
      </c>
      <c r="R244" t="str">
        <f t="shared" si="21"/>
        <v>Late</v>
      </c>
      <c r="S244">
        <f t="shared" si="22"/>
        <v>2023</v>
      </c>
      <c r="T244">
        <f t="shared" si="23"/>
        <v>5</v>
      </c>
    </row>
    <row r="245" spans="1:20" x14ac:dyDescent="0.25">
      <c r="A245" t="s">
        <v>488</v>
      </c>
      <c r="B245" t="s">
        <v>135</v>
      </c>
      <c r="C245" t="s">
        <v>489</v>
      </c>
      <c r="D245" s="1">
        <v>44844</v>
      </c>
      <c r="E245">
        <v>11</v>
      </c>
      <c r="F245">
        <v>65.896372801617701</v>
      </c>
      <c r="G245" s="1">
        <v>44862</v>
      </c>
      <c r="H245" s="1">
        <v>44865</v>
      </c>
      <c r="I245">
        <v>724.860100817795</v>
      </c>
      <c r="J245">
        <f t="shared" si="18"/>
        <v>3</v>
      </c>
      <c r="K245" t="str">
        <f>VLOOKUP(B245,Raw_Suppliers!$A$2:$G$101,2,FALSE)</f>
        <v>Alpha Prime Ltd</v>
      </c>
      <c r="L245" t="str">
        <f>VLOOKUP(B245,Raw_Suppliers!$A$2:$G$101,3,FALSE)</f>
        <v>UK</v>
      </c>
      <c r="M245" t="str">
        <f>VLOOKUP(B245,Raw_Suppliers!$A$2:$G$101,4,FALSE)</f>
        <v>East</v>
      </c>
      <c r="N245" t="str">
        <f>VLOOKUP(B245,Raw_Suppliers!$A$2:$G$101,6,FALSE)</f>
        <v>None</v>
      </c>
      <c r="O245">
        <f>VLOOKUP(B245,Raw_Suppliers!$A$2:$G$101,7,FALSE)</f>
        <v>1</v>
      </c>
      <c r="P245" t="str">
        <f t="shared" si="19"/>
        <v>Yes</v>
      </c>
      <c r="Q245">
        <f t="shared" si="20"/>
        <v>0</v>
      </c>
      <c r="R245" t="str">
        <f t="shared" si="21"/>
        <v>Late</v>
      </c>
      <c r="S245">
        <f t="shared" si="22"/>
        <v>2022</v>
      </c>
      <c r="T245">
        <f t="shared" si="23"/>
        <v>10</v>
      </c>
    </row>
    <row r="246" spans="1:20" x14ac:dyDescent="0.25">
      <c r="A246" t="s">
        <v>490</v>
      </c>
      <c r="B246" t="s">
        <v>96</v>
      </c>
      <c r="C246" t="s">
        <v>297</v>
      </c>
      <c r="D246" s="1">
        <v>44984</v>
      </c>
      <c r="E246">
        <v>12</v>
      </c>
      <c r="F246">
        <v>34.802646276308998</v>
      </c>
      <c r="G246" s="1">
        <v>45000</v>
      </c>
      <c r="H246" s="1">
        <v>45004</v>
      </c>
      <c r="I246">
        <v>417.63175531570801</v>
      </c>
      <c r="J246">
        <f t="shared" si="18"/>
        <v>4</v>
      </c>
      <c r="K246" t="str">
        <f>VLOOKUP(B246,Raw_Suppliers!$A$2:$G$101,2,FALSE)</f>
        <v>Alpha Nova Ltd</v>
      </c>
      <c r="L246" t="str">
        <f>VLOOKUP(B246,Raw_Suppliers!$A$2:$G$101,3,FALSE)</f>
        <v>UK</v>
      </c>
      <c r="M246" t="str">
        <f>VLOOKUP(B246,Raw_Suppliers!$A$2:$G$101,4,FALSE)</f>
        <v>West</v>
      </c>
      <c r="N246" t="str">
        <f>VLOOKUP(B246,Raw_Suppliers!$A$2:$G$101,6,FALSE)</f>
        <v>ISO 14001</v>
      </c>
      <c r="O246">
        <f>VLOOKUP(B246,Raw_Suppliers!$A$2:$G$101,7,FALSE)</f>
        <v>0</v>
      </c>
      <c r="P246" t="str">
        <f t="shared" si="19"/>
        <v>No</v>
      </c>
      <c r="Q246">
        <f t="shared" si="20"/>
        <v>0</v>
      </c>
      <c r="R246" t="str">
        <f t="shared" si="21"/>
        <v>Late</v>
      </c>
      <c r="S246">
        <f t="shared" si="22"/>
        <v>2023</v>
      </c>
      <c r="T246">
        <f t="shared" si="23"/>
        <v>2</v>
      </c>
    </row>
    <row r="247" spans="1:20" x14ac:dyDescent="0.25">
      <c r="A247" t="s">
        <v>491</v>
      </c>
      <c r="B247" t="s">
        <v>176</v>
      </c>
      <c r="C247" t="s">
        <v>402</v>
      </c>
      <c r="D247" s="1">
        <v>44843</v>
      </c>
      <c r="E247">
        <v>13</v>
      </c>
      <c r="F247">
        <v>37.395460892717303</v>
      </c>
      <c r="G247" s="1">
        <v>44858</v>
      </c>
      <c r="H247" s="1">
        <v>44859</v>
      </c>
      <c r="I247">
        <v>486.14099160532498</v>
      </c>
      <c r="J247">
        <f t="shared" si="18"/>
        <v>1</v>
      </c>
      <c r="K247" t="str">
        <f>VLOOKUP(B247,Raw_Suppliers!$A$2:$G$101,2,FALSE)</f>
        <v>Nano Ultra Corp</v>
      </c>
      <c r="L247" t="str">
        <f>VLOOKUP(B247,Raw_Suppliers!$A$2:$G$101,3,FALSE)</f>
        <v>Canada</v>
      </c>
      <c r="M247" t="str">
        <f>VLOOKUP(B247,Raw_Suppliers!$A$2:$G$101,4,FALSE)</f>
        <v>Central</v>
      </c>
      <c r="N247" t="str">
        <f>VLOOKUP(B247,Raw_Suppliers!$A$2:$G$101,6,FALSE)</f>
        <v>ISO 9001</v>
      </c>
      <c r="O247">
        <f>VLOOKUP(B247,Raw_Suppliers!$A$2:$G$101,7,FALSE)</f>
        <v>0</v>
      </c>
      <c r="P247" t="str">
        <f t="shared" si="19"/>
        <v>No</v>
      </c>
      <c r="Q247">
        <f t="shared" si="20"/>
        <v>0</v>
      </c>
      <c r="R247" t="str">
        <f t="shared" si="21"/>
        <v>Late</v>
      </c>
      <c r="S247">
        <f t="shared" si="22"/>
        <v>2022</v>
      </c>
      <c r="T247">
        <f t="shared" si="23"/>
        <v>10</v>
      </c>
    </row>
    <row r="248" spans="1:20" x14ac:dyDescent="0.25">
      <c r="A248" t="s">
        <v>492</v>
      </c>
      <c r="B248" t="s">
        <v>493</v>
      </c>
      <c r="C248" t="s">
        <v>201</v>
      </c>
      <c r="D248" s="1">
        <v>44482</v>
      </c>
      <c r="E248">
        <v>9</v>
      </c>
      <c r="F248">
        <v>35.299166676683299</v>
      </c>
      <c r="G248" s="1">
        <v>44495</v>
      </c>
      <c r="H248" s="1">
        <v>44500</v>
      </c>
      <c r="I248">
        <v>317.69250009015002</v>
      </c>
      <c r="J248">
        <f t="shared" si="18"/>
        <v>5</v>
      </c>
      <c r="K248" t="str">
        <f>VLOOKUP(B248,Raw_Suppliers!$A$2:$G$101,2,FALSE)</f>
        <v>Delta Vertex LLC</v>
      </c>
      <c r="L248" t="str">
        <f>VLOOKUP(B248,Raw_Suppliers!$A$2:$G$101,3,FALSE)</f>
        <v>China</v>
      </c>
      <c r="M248" t="str">
        <f>VLOOKUP(B248,Raw_Suppliers!$A$2:$G$101,4,FALSE)</f>
        <v>East</v>
      </c>
      <c r="N248" t="str">
        <f>VLOOKUP(B248,Raw_Suppliers!$A$2:$G$101,6,FALSE)</f>
        <v>None</v>
      </c>
      <c r="O248">
        <f>VLOOKUP(B248,Raw_Suppliers!$A$2:$G$101,7,FALSE)</f>
        <v>0</v>
      </c>
      <c r="P248" t="str">
        <f t="shared" si="19"/>
        <v>No</v>
      </c>
      <c r="Q248">
        <f t="shared" si="20"/>
        <v>0</v>
      </c>
      <c r="R248" t="str">
        <f t="shared" si="21"/>
        <v>Late</v>
      </c>
      <c r="S248">
        <f t="shared" si="22"/>
        <v>2021</v>
      </c>
      <c r="T248">
        <f t="shared" si="23"/>
        <v>10</v>
      </c>
    </row>
    <row r="249" spans="1:20" x14ac:dyDescent="0.25">
      <c r="A249" t="s">
        <v>494</v>
      </c>
      <c r="B249" t="s">
        <v>135</v>
      </c>
      <c r="C249" t="s">
        <v>495</v>
      </c>
      <c r="D249" s="1">
        <v>44278</v>
      </c>
      <c r="E249">
        <v>13</v>
      </c>
      <c r="F249">
        <v>41.1509142295752</v>
      </c>
      <c r="G249" s="1">
        <v>44296</v>
      </c>
      <c r="H249" s="1">
        <v>44302</v>
      </c>
      <c r="I249">
        <v>534.96188498447805</v>
      </c>
      <c r="J249">
        <f t="shared" si="18"/>
        <v>6</v>
      </c>
      <c r="K249" t="str">
        <f>VLOOKUP(B249,Raw_Suppliers!$A$2:$G$101,2,FALSE)</f>
        <v>Alpha Prime Ltd</v>
      </c>
      <c r="L249" t="str">
        <f>VLOOKUP(B249,Raw_Suppliers!$A$2:$G$101,3,FALSE)</f>
        <v>UK</v>
      </c>
      <c r="M249" t="str">
        <f>VLOOKUP(B249,Raw_Suppliers!$A$2:$G$101,4,FALSE)</f>
        <v>East</v>
      </c>
      <c r="N249" t="str">
        <f>VLOOKUP(B249,Raw_Suppliers!$A$2:$G$101,6,FALSE)</f>
        <v>None</v>
      </c>
      <c r="O249">
        <f>VLOOKUP(B249,Raw_Suppliers!$A$2:$G$101,7,FALSE)</f>
        <v>1</v>
      </c>
      <c r="P249" t="str">
        <f t="shared" si="19"/>
        <v>Yes</v>
      </c>
      <c r="Q249">
        <f t="shared" si="20"/>
        <v>0</v>
      </c>
      <c r="R249" t="str">
        <f t="shared" si="21"/>
        <v>Late</v>
      </c>
      <c r="S249">
        <f t="shared" si="22"/>
        <v>2021</v>
      </c>
      <c r="T249">
        <f t="shared" si="23"/>
        <v>3</v>
      </c>
    </row>
    <row r="250" spans="1:20" x14ac:dyDescent="0.25">
      <c r="A250" t="s">
        <v>496</v>
      </c>
      <c r="B250" t="s">
        <v>227</v>
      </c>
      <c r="C250" t="s">
        <v>26</v>
      </c>
      <c r="D250" s="1">
        <v>44846</v>
      </c>
      <c r="E250">
        <v>10</v>
      </c>
      <c r="F250">
        <v>5.6261480054828503</v>
      </c>
      <c r="G250" s="1">
        <v>44865</v>
      </c>
      <c r="H250" s="1">
        <v>44868</v>
      </c>
      <c r="I250">
        <v>56.261480054828503</v>
      </c>
      <c r="J250">
        <f t="shared" si="18"/>
        <v>3</v>
      </c>
      <c r="K250" t="str">
        <f>VLOOKUP(B250,Raw_Suppliers!$A$2:$G$101,2,FALSE)</f>
        <v>Delta Prime Inc</v>
      </c>
      <c r="L250" t="str">
        <f>VLOOKUP(B250,Raw_Suppliers!$A$2:$G$101,3,FALSE)</f>
        <v>Denmark</v>
      </c>
      <c r="M250" t="str">
        <f>VLOOKUP(B250,Raw_Suppliers!$A$2:$G$101,4,FALSE)</f>
        <v>South</v>
      </c>
      <c r="N250" t="str">
        <f>VLOOKUP(B250,Raw_Suppliers!$A$2:$G$101,6,FALSE)</f>
        <v>ISO 14001</v>
      </c>
      <c r="O250">
        <f>VLOOKUP(B250,Raw_Suppliers!$A$2:$G$101,7,FALSE)</f>
        <v>0</v>
      </c>
      <c r="P250" t="str">
        <f t="shared" si="19"/>
        <v>No</v>
      </c>
      <c r="Q250">
        <f t="shared" si="20"/>
        <v>0</v>
      </c>
      <c r="R250" t="str">
        <f t="shared" si="21"/>
        <v>Late</v>
      </c>
      <c r="S250">
        <f t="shared" si="22"/>
        <v>2022</v>
      </c>
      <c r="T250">
        <f t="shared" si="23"/>
        <v>10</v>
      </c>
    </row>
    <row r="251" spans="1:20" x14ac:dyDescent="0.25">
      <c r="A251" t="s">
        <v>497</v>
      </c>
      <c r="B251" t="s">
        <v>85</v>
      </c>
      <c r="C251" t="s">
        <v>498</v>
      </c>
      <c r="D251" s="1">
        <v>44232</v>
      </c>
      <c r="E251">
        <v>11</v>
      </c>
      <c r="F251">
        <v>62.2011118138782</v>
      </c>
      <c r="G251" s="1">
        <v>44254</v>
      </c>
      <c r="H251" s="1">
        <v>44255</v>
      </c>
      <c r="I251">
        <v>684.21222995265998</v>
      </c>
      <c r="J251">
        <f t="shared" si="18"/>
        <v>1</v>
      </c>
      <c r="K251" t="str">
        <f>VLOOKUP(B251,Raw_Suppliers!$A$2:$G$101,2,FALSE)</f>
        <v>Fusion Gamma LLC</v>
      </c>
      <c r="L251" t="str">
        <f>VLOOKUP(B251,Raw_Suppliers!$A$2:$G$101,3,FALSE)</f>
        <v>China</v>
      </c>
      <c r="M251" t="str">
        <f>VLOOKUP(B251,Raw_Suppliers!$A$2:$G$101,4,FALSE)</f>
        <v>East</v>
      </c>
      <c r="N251" t="str">
        <f>VLOOKUP(B251,Raw_Suppliers!$A$2:$G$101,6,FALSE)</f>
        <v>ISO 9001</v>
      </c>
      <c r="O251">
        <f>VLOOKUP(B251,Raw_Suppliers!$A$2:$G$101,7,FALSE)</f>
        <v>1</v>
      </c>
      <c r="P251" t="str">
        <f t="shared" si="19"/>
        <v>Yes</v>
      </c>
      <c r="Q251">
        <f t="shared" si="20"/>
        <v>0</v>
      </c>
      <c r="R251" t="str">
        <f t="shared" si="21"/>
        <v>Late</v>
      </c>
      <c r="S251">
        <f t="shared" si="22"/>
        <v>2021</v>
      </c>
      <c r="T251">
        <f t="shared" si="23"/>
        <v>2</v>
      </c>
    </row>
    <row r="252" spans="1:20" x14ac:dyDescent="0.25">
      <c r="A252" t="s">
        <v>499</v>
      </c>
      <c r="B252" t="s">
        <v>10</v>
      </c>
      <c r="C252" t="s">
        <v>102</v>
      </c>
      <c r="D252" s="1">
        <v>44245</v>
      </c>
      <c r="E252">
        <v>11</v>
      </c>
      <c r="F252">
        <v>75.704641706265306</v>
      </c>
      <c r="G252" s="1">
        <v>44256</v>
      </c>
      <c r="H252" s="1">
        <v>44257</v>
      </c>
      <c r="I252">
        <v>832.75105876891905</v>
      </c>
      <c r="J252">
        <f t="shared" si="18"/>
        <v>1</v>
      </c>
      <c r="K252" t="str">
        <f>VLOOKUP(B252,Raw_Suppliers!$A$2:$G$101,2,FALSE)</f>
        <v>Vertex Beta GmbH</v>
      </c>
      <c r="L252" t="str">
        <f>VLOOKUP(B252,Raw_Suppliers!$A$2:$G$101,3,FALSE)</f>
        <v>India</v>
      </c>
      <c r="M252" t="str">
        <f>VLOOKUP(B252,Raw_Suppliers!$A$2:$G$101,4,FALSE)</f>
        <v>North</v>
      </c>
      <c r="N252" t="str">
        <f>VLOOKUP(B252,Raw_Suppliers!$A$2:$G$101,6,FALSE)</f>
        <v>ISO 14001</v>
      </c>
      <c r="O252">
        <f>VLOOKUP(B252,Raw_Suppliers!$A$2:$G$101,7,FALSE)</f>
        <v>0</v>
      </c>
      <c r="P252" t="str">
        <f t="shared" si="19"/>
        <v>No</v>
      </c>
      <c r="Q252">
        <f t="shared" si="20"/>
        <v>0</v>
      </c>
      <c r="R252" t="str">
        <f t="shared" si="21"/>
        <v>Late</v>
      </c>
      <c r="S252">
        <f t="shared" si="22"/>
        <v>2021</v>
      </c>
      <c r="T252">
        <f t="shared" si="23"/>
        <v>2</v>
      </c>
    </row>
    <row r="253" spans="1:20" x14ac:dyDescent="0.25">
      <c r="A253" t="s">
        <v>500</v>
      </c>
      <c r="B253" t="s">
        <v>46</v>
      </c>
      <c r="C253" t="s">
        <v>391</v>
      </c>
      <c r="D253" s="1">
        <v>44319</v>
      </c>
      <c r="E253">
        <v>14</v>
      </c>
      <c r="F253">
        <v>49.074279939953101</v>
      </c>
      <c r="G253" s="1">
        <v>44338</v>
      </c>
      <c r="H253" s="1">
        <v>44341</v>
      </c>
      <c r="I253">
        <v>687.03991915934296</v>
      </c>
      <c r="J253">
        <f t="shared" si="18"/>
        <v>3</v>
      </c>
      <c r="K253" t="str">
        <f>VLOOKUP(B253,Raw_Suppliers!$A$2:$G$101,2,FALSE)</f>
        <v>Prime Prime Inc</v>
      </c>
      <c r="L253" t="str">
        <f>VLOOKUP(B253,Raw_Suppliers!$A$2:$G$101,3,FALSE)</f>
        <v>UK</v>
      </c>
      <c r="M253" t="str">
        <f>VLOOKUP(B253,Raw_Suppliers!$A$2:$G$101,4,FALSE)</f>
        <v>South</v>
      </c>
      <c r="N253" t="str">
        <f>VLOOKUP(B253,Raw_Suppliers!$A$2:$G$101,6,FALSE)</f>
        <v>None</v>
      </c>
      <c r="O253">
        <f>VLOOKUP(B253,Raw_Suppliers!$A$2:$G$101,7,FALSE)</f>
        <v>1</v>
      </c>
      <c r="P253" t="str">
        <f t="shared" si="19"/>
        <v>Yes</v>
      </c>
      <c r="Q253">
        <f t="shared" si="20"/>
        <v>0</v>
      </c>
      <c r="R253" t="str">
        <f t="shared" si="21"/>
        <v>Late</v>
      </c>
      <c r="S253">
        <f t="shared" si="22"/>
        <v>2021</v>
      </c>
      <c r="T253">
        <f t="shared" si="23"/>
        <v>5</v>
      </c>
    </row>
    <row r="254" spans="1:20" x14ac:dyDescent="0.25">
      <c r="A254" t="s">
        <v>501</v>
      </c>
      <c r="B254" t="s">
        <v>237</v>
      </c>
      <c r="C254" t="s">
        <v>131</v>
      </c>
      <c r="D254" s="1">
        <v>44664</v>
      </c>
      <c r="E254">
        <v>9</v>
      </c>
      <c r="F254">
        <v>26.3645392329583</v>
      </c>
      <c r="G254" s="1">
        <v>44674</v>
      </c>
      <c r="H254" s="1">
        <v>44675</v>
      </c>
      <c r="I254">
        <v>237.28085309662501</v>
      </c>
      <c r="J254">
        <f t="shared" si="18"/>
        <v>1</v>
      </c>
      <c r="K254" t="str">
        <f>VLOOKUP(B254,Raw_Suppliers!$A$2:$G$101,2,FALSE)</f>
        <v>Eco Beta Inc</v>
      </c>
      <c r="L254" t="str">
        <f>VLOOKUP(B254,Raw_Suppliers!$A$2:$G$101,3,FALSE)</f>
        <v>Germany</v>
      </c>
      <c r="M254" t="str">
        <f>VLOOKUP(B254,Raw_Suppliers!$A$2:$G$101,4,FALSE)</f>
        <v>North</v>
      </c>
      <c r="N254" t="str">
        <f>VLOOKUP(B254,Raw_Suppliers!$A$2:$G$101,6,FALSE)</f>
        <v>ISO 14001</v>
      </c>
      <c r="O254">
        <f>VLOOKUP(B254,Raw_Suppliers!$A$2:$G$101,7,FALSE)</f>
        <v>0</v>
      </c>
      <c r="P254" t="str">
        <f t="shared" si="19"/>
        <v>No</v>
      </c>
      <c r="Q254">
        <f t="shared" si="20"/>
        <v>0</v>
      </c>
      <c r="R254" t="str">
        <f t="shared" si="21"/>
        <v>Late</v>
      </c>
      <c r="S254">
        <f t="shared" si="22"/>
        <v>2022</v>
      </c>
      <c r="T254">
        <f t="shared" si="23"/>
        <v>4</v>
      </c>
    </row>
    <row r="255" spans="1:20" x14ac:dyDescent="0.25">
      <c r="A255" t="s">
        <v>502</v>
      </c>
      <c r="B255" t="s">
        <v>140</v>
      </c>
      <c r="C255" t="s">
        <v>180</v>
      </c>
      <c r="D255" s="1">
        <v>44373</v>
      </c>
      <c r="E255">
        <v>12</v>
      </c>
      <c r="F255">
        <v>16.985465137054</v>
      </c>
      <c r="G255" s="1">
        <v>44393</v>
      </c>
      <c r="H255" s="1">
        <v>44393</v>
      </c>
      <c r="I255">
        <v>203.825581644648</v>
      </c>
      <c r="J255">
        <f t="shared" si="18"/>
        <v>0</v>
      </c>
      <c r="K255" t="str">
        <f>VLOOKUP(B255,Raw_Suppliers!$A$2:$G$101,2,FALSE)</f>
        <v>Gamma Quantum Inc</v>
      </c>
      <c r="L255" t="str">
        <f>VLOOKUP(B255,Raw_Suppliers!$A$2:$G$101,3,FALSE)</f>
        <v>Germany</v>
      </c>
      <c r="M255" t="str">
        <f>VLOOKUP(B255,Raw_Suppliers!$A$2:$G$101,4,FALSE)</f>
        <v>North</v>
      </c>
      <c r="N255" t="str">
        <f>VLOOKUP(B255,Raw_Suppliers!$A$2:$G$101,6,FALSE)</f>
        <v>None</v>
      </c>
      <c r="O255">
        <f>VLOOKUP(B255,Raw_Suppliers!$A$2:$G$101,7,FALSE)</f>
        <v>1</v>
      </c>
      <c r="P255" t="str">
        <f t="shared" si="19"/>
        <v>Yes</v>
      </c>
      <c r="Q255">
        <f t="shared" si="20"/>
        <v>1</v>
      </c>
      <c r="R255" t="str">
        <f t="shared" si="21"/>
        <v>On Time</v>
      </c>
      <c r="S255">
        <f t="shared" si="22"/>
        <v>2021</v>
      </c>
      <c r="T255">
        <f t="shared" si="23"/>
        <v>6</v>
      </c>
    </row>
    <row r="256" spans="1:20" x14ac:dyDescent="0.25">
      <c r="A256" t="s">
        <v>503</v>
      </c>
      <c r="B256" t="s">
        <v>237</v>
      </c>
      <c r="C256" t="s">
        <v>504</v>
      </c>
      <c r="D256" s="1">
        <v>45231</v>
      </c>
      <c r="E256">
        <v>4</v>
      </c>
      <c r="F256">
        <v>31.4106263068761</v>
      </c>
      <c r="G256" s="1">
        <v>45249</v>
      </c>
      <c r="H256" s="1">
        <v>45250</v>
      </c>
      <c r="I256">
        <v>125.642505227504</v>
      </c>
      <c r="J256">
        <f t="shared" si="18"/>
        <v>1</v>
      </c>
      <c r="K256" t="str">
        <f>VLOOKUP(B256,Raw_Suppliers!$A$2:$G$101,2,FALSE)</f>
        <v>Eco Beta Inc</v>
      </c>
      <c r="L256" t="str">
        <f>VLOOKUP(B256,Raw_Suppliers!$A$2:$G$101,3,FALSE)</f>
        <v>Germany</v>
      </c>
      <c r="M256" t="str">
        <f>VLOOKUP(B256,Raw_Suppliers!$A$2:$G$101,4,FALSE)</f>
        <v>North</v>
      </c>
      <c r="N256" t="str">
        <f>VLOOKUP(B256,Raw_Suppliers!$A$2:$G$101,6,FALSE)</f>
        <v>ISO 14001</v>
      </c>
      <c r="O256">
        <f>VLOOKUP(B256,Raw_Suppliers!$A$2:$G$101,7,FALSE)</f>
        <v>0</v>
      </c>
      <c r="P256" t="str">
        <f t="shared" si="19"/>
        <v>No</v>
      </c>
      <c r="Q256">
        <f t="shared" si="20"/>
        <v>0</v>
      </c>
      <c r="R256" t="str">
        <f t="shared" si="21"/>
        <v>Late</v>
      </c>
      <c r="S256">
        <f t="shared" si="22"/>
        <v>2023</v>
      </c>
      <c r="T256">
        <f t="shared" si="23"/>
        <v>11</v>
      </c>
    </row>
    <row r="257" spans="1:20" x14ac:dyDescent="0.25">
      <c r="A257" t="s">
        <v>505</v>
      </c>
      <c r="B257" t="s">
        <v>22</v>
      </c>
      <c r="C257" t="s">
        <v>396</v>
      </c>
      <c r="D257" s="1">
        <v>44637</v>
      </c>
      <c r="E257">
        <v>16</v>
      </c>
      <c r="F257">
        <v>52.890325720816797</v>
      </c>
      <c r="G257" s="1">
        <v>44653</v>
      </c>
      <c r="H257" s="1">
        <v>44653</v>
      </c>
      <c r="I257">
        <v>846.24521153307001</v>
      </c>
      <c r="J257">
        <f t="shared" si="18"/>
        <v>0</v>
      </c>
      <c r="K257" t="str">
        <f>VLOOKUP(B257,Raw_Suppliers!$A$2:$G$101,2,FALSE)</f>
        <v>Delta Gamma Corp</v>
      </c>
      <c r="L257" t="str">
        <f>VLOOKUP(B257,Raw_Suppliers!$A$2:$G$101,3,FALSE)</f>
        <v>Denmark</v>
      </c>
      <c r="M257" t="str">
        <f>VLOOKUP(B257,Raw_Suppliers!$A$2:$G$101,4,FALSE)</f>
        <v>West</v>
      </c>
      <c r="N257" t="str">
        <f>VLOOKUP(B257,Raw_Suppliers!$A$2:$G$101,6,FALSE)</f>
        <v>ISO 45001</v>
      </c>
      <c r="O257">
        <f>VLOOKUP(B257,Raw_Suppliers!$A$2:$G$101,7,FALSE)</f>
        <v>1</v>
      </c>
      <c r="P257" t="str">
        <f t="shared" si="19"/>
        <v>Yes</v>
      </c>
      <c r="Q257">
        <f t="shared" si="20"/>
        <v>1</v>
      </c>
      <c r="R257" t="str">
        <f t="shared" si="21"/>
        <v>On Time</v>
      </c>
      <c r="S257">
        <f t="shared" si="22"/>
        <v>2022</v>
      </c>
      <c r="T257">
        <f t="shared" si="23"/>
        <v>3</v>
      </c>
    </row>
    <row r="258" spans="1:20" x14ac:dyDescent="0.25">
      <c r="A258" t="s">
        <v>506</v>
      </c>
      <c r="B258" t="s">
        <v>104</v>
      </c>
      <c r="C258" t="s">
        <v>201</v>
      </c>
      <c r="D258" s="1">
        <v>44567</v>
      </c>
      <c r="E258">
        <v>16</v>
      </c>
      <c r="F258">
        <v>33.533410847842603</v>
      </c>
      <c r="G258" s="1">
        <v>44583</v>
      </c>
      <c r="H258" s="1">
        <v>44581</v>
      </c>
      <c r="I258">
        <v>536.53457356548199</v>
      </c>
      <c r="J258">
        <f t="shared" si="18"/>
        <v>-2</v>
      </c>
      <c r="K258" t="str">
        <f>VLOOKUP(B258,Raw_Suppliers!$A$2:$G$101,2,FALSE)</f>
        <v>Prime Omega Corp</v>
      </c>
      <c r="L258" t="str">
        <f>VLOOKUP(B258,Raw_Suppliers!$A$2:$G$101,3,FALSE)</f>
        <v>India</v>
      </c>
      <c r="M258" t="str">
        <f>VLOOKUP(B258,Raw_Suppliers!$A$2:$G$101,4,FALSE)</f>
        <v>Central</v>
      </c>
      <c r="N258" t="str">
        <f>VLOOKUP(B258,Raw_Suppliers!$A$2:$G$101,6,FALSE)</f>
        <v>ISO 14001</v>
      </c>
      <c r="O258">
        <f>VLOOKUP(B258,Raw_Suppliers!$A$2:$G$101,7,FALSE)</f>
        <v>0</v>
      </c>
      <c r="P258" t="str">
        <f t="shared" si="19"/>
        <v>No</v>
      </c>
      <c r="Q258">
        <f t="shared" si="20"/>
        <v>1</v>
      </c>
      <c r="R258" t="str">
        <f t="shared" si="21"/>
        <v>On Time</v>
      </c>
      <c r="S258">
        <f t="shared" si="22"/>
        <v>2022</v>
      </c>
      <c r="T258">
        <f t="shared" si="23"/>
        <v>1</v>
      </c>
    </row>
    <row r="259" spans="1:20" x14ac:dyDescent="0.25">
      <c r="A259" t="s">
        <v>507</v>
      </c>
      <c r="B259" t="s">
        <v>293</v>
      </c>
      <c r="C259" t="s">
        <v>272</v>
      </c>
      <c r="D259" s="1">
        <v>44797</v>
      </c>
      <c r="E259">
        <v>11</v>
      </c>
      <c r="F259">
        <v>65.213074467945503</v>
      </c>
      <c r="G259" s="1">
        <v>44820</v>
      </c>
      <c r="H259" s="1">
        <v>44825</v>
      </c>
      <c r="I259">
        <v>717.34381914740004</v>
      </c>
      <c r="J259">
        <f t="shared" ref="J259:J322" si="24">H259-G259</f>
        <v>5</v>
      </c>
      <c r="K259" t="str">
        <f>VLOOKUP(B259,Raw_Suppliers!$A$2:$G$101,2,FALSE)</f>
        <v>Fusion Apex LLC</v>
      </c>
      <c r="L259" t="str">
        <f>VLOOKUP(B259,Raw_Suppliers!$A$2:$G$101,3,FALSE)</f>
        <v>India</v>
      </c>
      <c r="M259" t="str">
        <f>VLOOKUP(B259,Raw_Suppliers!$A$2:$G$101,4,FALSE)</f>
        <v>Central</v>
      </c>
      <c r="N259" t="str">
        <f>VLOOKUP(B259,Raw_Suppliers!$A$2:$G$101,6,FALSE)</f>
        <v>ISO 14001</v>
      </c>
      <c r="O259">
        <f>VLOOKUP(B259,Raw_Suppliers!$A$2:$G$101,7,FALSE)</f>
        <v>1</v>
      </c>
      <c r="P259" t="str">
        <f t="shared" ref="P259:P322" si="25">IF(O259=1,"Yes","No")</f>
        <v>Yes</v>
      </c>
      <c r="Q259">
        <f t="shared" ref="Q259:Q322" si="26">IF(J259&lt;=0,1,0)</f>
        <v>0</v>
      </c>
      <c r="R259" t="str">
        <f t="shared" ref="R259:R322" si="27">IF(Q259=1,"On Time","Late")</f>
        <v>Late</v>
      </c>
      <c r="S259">
        <f t="shared" ref="S259:S322" si="28">YEAR(D259)</f>
        <v>2022</v>
      </c>
      <c r="T259">
        <f t="shared" ref="T259:T322" si="29">MONTH(D259)</f>
        <v>8</v>
      </c>
    </row>
    <row r="260" spans="1:20" x14ac:dyDescent="0.25">
      <c r="A260" t="s">
        <v>508</v>
      </c>
      <c r="B260" t="s">
        <v>31</v>
      </c>
      <c r="C260" t="s">
        <v>23</v>
      </c>
      <c r="D260" s="1">
        <v>44832</v>
      </c>
      <c r="E260">
        <v>10</v>
      </c>
      <c r="F260">
        <v>75.371756369507693</v>
      </c>
      <c r="G260" s="1">
        <v>44847</v>
      </c>
      <c r="H260" s="1">
        <v>44849</v>
      </c>
      <c r="I260">
        <v>753.71756369507705</v>
      </c>
      <c r="J260">
        <f t="shared" si="24"/>
        <v>2</v>
      </c>
      <c r="K260" t="str">
        <f>VLOOKUP(B260,Raw_Suppliers!$A$2:$G$101,2,FALSE)</f>
        <v>Nova Nano GmbH</v>
      </c>
      <c r="L260" t="str">
        <f>VLOOKUP(B260,Raw_Suppliers!$A$2:$G$101,3,FALSE)</f>
        <v>Denmark</v>
      </c>
      <c r="M260" t="str">
        <f>VLOOKUP(B260,Raw_Suppliers!$A$2:$G$101,4,FALSE)</f>
        <v>South</v>
      </c>
      <c r="N260" t="str">
        <f>VLOOKUP(B260,Raw_Suppliers!$A$2:$G$101,6,FALSE)</f>
        <v>ISO 14001</v>
      </c>
      <c r="O260">
        <f>VLOOKUP(B260,Raw_Suppliers!$A$2:$G$101,7,FALSE)</f>
        <v>1</v>
      </c>
      <c r="P260" t="str">
        <f t="shared" si="25"/>
        <v>Yes</v>
      </c>
      <c r="Q260">
        <f t="shared" si="26"/>
        <v>0</v>
      </c>
      <c r="R260" t="str">
        <f t="shared" si="27"/>
        <v>Late</v>
      </c>
      <c r="S260">
        <f t="shared" si="28"/>
        <v>2022</v>
      </c>
      <c r="T260">
        <f t="shared" si="29"/>
        <v>9</v>
      </c>
    </row>
    <row r="261" spans="1:20" x14ac:dyDescent="0.25">
      <c r="A261" t="s">
        <v>509</v>
      </c>
      <c r="B261" t="s">
        <v>203</v>
      </c>
      <c r="C261" t="s">
        <v>110</v>
      </c>
      <c r="D261" s="1">
        <v>44587</v>
      </c>
      <c r="E261">
        <v>12</v>
      </c>
      <c r="F261">
        <v>21.234024595847799</v>
      </c>
      <c r="G261" s="1">
        <v>44610</v>
      </c>
      <c r="H261" s="1">
        <v>44611</v>
      </c>
      <c r="I261">
        <v>254.808295150173</v>
      </c>
      <c r="J261">
        <f t="shared" si="24"/>
        <v>1</v>
      </c>
      <c r="K261" t="str">
        <f>VLOOKUP(B261,Raw_Suppliers!$A$2:$G$101,2,FALSE)</f>
        <v>Nova Eco LLC</v>
      </c>
      <c r="L261" t="str">
        <f>VLOOKUP(B261,Raw_Suppliers!$A$2:$G$101,3,FALSE)</f>
        <v>Denmark</v>
      </c>
      <c r="M261" t="str">
        <f>VLOOKUP(B261,Raw_Suppliers!$A$2:$G$101,4,FALSE)</f>
        <v>South</v>
      </c>
      <c r="N261" t="str">
        <f>VLOOKUP(B261,Raw_Suppliers!$A$2:$G$101,6,FALSE)</f>
        <v>ISO 14001</v>
      </c>
      <c r="O261">
        <f>VLOOKUP(B261,Raw_Suppliers!$A$2:$G$101,7,FALSE)</f>
        <v>0</v>
      </c>
      <c r="P261" t="str">
        <f t="shared" si="25"/>
        <v>No</v>
      </c>
      <c r="Q261">
        <f t="shared" si="26"/>
        <v>0</v>
      </c>
      <c r="R261" t="str">
        <f t="shared" si="27"/>
        <v>Late</v>
      </c>
      <c r="S261">
        <f t="shared" si="28"/>
        <v>2022</v>
      </c>
      <c r="T261">
        <f t="shared" si="29"/>
        <v>1</v>
      </c>
    </row>
    <row r="262" spans="1:20" x14ac:dyDescent="0.25">
      <c r="A262" t="s">
        <v>510</v>
      </c>
      <c r="B262" t="s">
        <v>96</v>
      </c>
      <c r="C262" t="s">
        <v>182</v>
      </c>
      <c r="D262" s="1">
        <v>44486</v>
      </c>
      <c r="E262">
        <v>14</v>
      </c>
      <c r="F262">
        <v>15.9494362047151</v>
      </c>
      <c r="G262" s="1">
        <v>44509</v>
      </c>
      <c r="H262" s="1">
        <v>44507</v>
      </c>
      <c r="I262">
        <v>223.29210686601201</v>
      </c>
      <c r="J262">
        <f t="shared" si="24"/>
        <v>-2</v>
      </c>
      <c r="K262" t="str">
        <f>VLOOKUP(B262,Raw_Suppliers!$A$2:$G$101,2,FALSE)</f>
        <v>Alpha Nova Ltd</v>
      </c>
      <c r="L262" t="str">
        <f>VLOOKUP(B262,Raw_Suppliers!$A$2:$G$101,3,FALSE)</f>
        <v>UK</v>
      </c>
      <c r="M262" t="str">
        <f>VLOOKUP(B262,Raw_Suppliers!$A$2:$G$101,4,FALSE)</f>
        <v>West</v>
      </c>
      <c r="N262" t="str">
        <f>VLOOKUP(B262,Raw_Suppliers!$A$2:$G$101,6,FALSE)</f>
        <v>ISO 14001</v>
      </c>
      <c r="O262">
        <f>VLOOKUP(B262,Raw_Suppliers!$A$2:$G$101,7,FALSE)</f>
        <v>0</v>
      </c>
      <c r="P262" t="str">
        <f t="shared" si="25"/>
        <v>No</v>
      </c>
      <c r="Q262">
        <f t="shared" si="26"/>
        <v>1</v>
      </c>
      <c r="R262" t="str">
        <f t="shared" si="27"/>
        <v>On Time</v>
      </c>
      <c r="S262">
        <f t="shared" si="28"/>
        <v>2021</v>
      </c>
      <c r="T262">
        <f t="shared" si="29"/>
        <v>10</v>
      </c>
    </row>
    <row r="263" spans="1:20" x14ac:dyDescent="0.25">
      <c r="A263" t="s">
        <v>511</v>
      </c>
      <c r="B263" t="s">
        <v>394</v>
      </c>
      <c r="C263" t="s">
        <v>20</v>
      </c>
      <c r="D263" s="1">
        <v>45015</v>
      </c>
      <c r="E263">
        <v>14</v>
      </c>
      <c r="F263">
        <v>34.845726586719103</v>
      </c>
      <c r="G263" s="1">
        <v>45034</v>
      </c>
      <c r="H263" s="1">
        <v>45035</v>
      </c>
      <c r="I263">
        <v>487.84017221406799</v>
      </c>
      <c r="J263">
        <f t="shared" si="24"/>
        <v>1</v>
      </c>
      <c r="K263" t="str">
        <f>VLOOKUP(B263,Raw_Suppliers!$A$2:$G$101,2,FALSE)</f>
        <v>Ultra Prime Inc</v>
      </c>
      <c r="L263" t="str">
        <f>VLOOKUP(B263,Raw_Suppliers!$A$2:$G$101,3,FALSE)</f>
        <v>Brazil</v>
      </c>
      <c r="M263" t="str">
        <f>VLOOKUP(B263,Raw_Suppliers!$A$2:$G$101,4,FALSE)</f>
        <v>West</v>
      </c>
      <c r="N263" t="str">
        <f>VLOOKUP(B263,Raw_Suppliers!$A$2:$G$101,6,FALSE)</f>
        <v>ISO 9001</v>
      </c>
      <c r="O263">
        <f>VLOOKUP(B263,Raw_Suppliers!$A$2:$G$101,7,FALSE)</f>
        <v>1</v>
      </c>
      <c r="P263" t="str">
        <f t="shared" si="25"/>
        <v>Yes</v>
      </c>
      <c r="Q263">
        <f t="shared" si="26"/>
        <v>0</v>
      </c>
      <c r="R263" t="str">
        <f t="shared" si="27"/>
        <v>Late</v>
      </c>
      <c r="S263">
        <f t="shared" si="28"/>
        <v>2023</v>
      </c>
      <c r="T263">
        <f t="shared" si="29"/>
        <v>3</v>
      </c>
    </row>
    <row r="264" spans="1:20" x14ac:dyDescent="0.25">
      <c r="A264" t="s">
        <v>512</v>
      </c>
      <c r="B264" t="s">
        <v>143</v>
      </c>
      <c r="C264" t="s">
        <v>268</v>
      </c>
      <c r="D264" s="1">
        <v>44741</v>
      </c>
      <c r="E264">
        <v>14</v>
      </c>
      <c r="F264">
        <v>53.439130034257602</v>
      </c>
      <c r="G264" s="1">
        <v>44762</v>
      </c>
      <c r="H264" s="1">
        <v>44765</v>
      </c>
      <c r="I264">
        <v>748.14782047960705</v>
      </c>
      <c r="J264">
        <f t="shared" si="24"/>
        <v>3</v>
      </c>
      <c r="K264" t="str">
        <f>VLOOKUP(B264,Raw_Suppliers!$A$2:$G$101,2,FALSE)</f>
        <v>Prime Gamma Inc</v>
      </c>
      <c r="L264" t="str">
        <f>VLOOKUP(B264,Raw_Suppliers!$A$2:$G$101,3,FALSE)</f>
        <v>China</v>
      </c>
      <c r="M264" t="str">
        <f>VLOOKUP(B264,Raw_Suppliers!$A$2:$G$101,4,FALSE)</f>
        <v>East</v>
      </c>
      <c r="N264" t="str">
        <f>VLOOKUP(B264,Raw_Suppliers!$A$2:$G$101,6,FALSE)</f>
        <v>ISO 14001</v>
      </c>
      <c r="O264">
        <f>VLOOKUP(B264,Raw_Suppliers!$A$2:$G$101,7,FALSE)</f>
        <v>0</v>
      </c>
      <c r="P264" t="str">
        <f t="shared" si="25"/>
        <v>No</v>
      </c>
      <c r="Q264">
        <f t="shared" si="26"/>
        <v>0</v>
      </c>
      <c r="R264" t="str">
        <f t="shared" si="27"/>
        <v>Late</v>
      </c>
      <c r="S264">
        <f t="shared" si="28"/>
        <v>2022</v>
      </c>
      <c r="T264">
        <f t="shared" si="29"/>
        <v>6</v>
      </c>
    </row>
    <row r="265" spans="1:20" x14ac:dyDescent="0.25">
      <c r="A265" t="s">
        <v>513</v>
      </c>
      <c r="B265" t="s">
        <v>40</v>
      </c>
      <c r="C265" t="s">
        <v>514</v>
      </c>
      <c r="D265" s="1">
        <v>44487</v>
      </c>
      <c r="E265">
        <v>8</v>
      </c>
      <c r="F265">
        <v>59.6917904344212</v>
      </c>
      <c r="G265" s="1">
        <v>44504</v>
      </c>
      <c r="H265" s="1">
        <v>44510</v>
      </c>
      <c r="I265">
        <v>477.53432347536898</v>
      </c>
      <c r="J265">
        <f t="shared" si="24"/>
        <v>6</v>
      </c>
      <c r="K265" t="str">
        <f>VLOOKUP(B265,Raw_Suppliers!$A$2:$G$101,2,FALSE)</f>
        <v>Ultra Apex Inc</v>
      </c>
      <c r="L265" t="str">
        <f>VLOOKUP(B265,Raw_Suppliers!$A$2:$G$101,3,FALSE)</f>
        <v>India</v>
      </c>
      <c r="M265" t="str">
        <f>VLOOKUP(B265,Raw_Suppliers!$A$2:$G$101,4,FALSE)</f>
        <v>West</v>
      </c>
      <c r="N265" t="str">
        <f>VLOOKUP(B265,Raw_Suppliers!$A$2:$G$101,6,FALSE)</f>
        <v>ISO 9001</v>
      </c>
      <c r="O265">
        <f>VLOOKUP(B265,Raw_Suppliers!$A$2:$G$101,7,FALSE)</f>
        <v>0</v>
      </c>
      <c r="P265" t="str">
        <f t="shared" si="25"/>
        <v>No</v>
      </c>
      <c r="Q265">
        <f t="shared" si="26"/>
        <v>0</v>
      </c>
      <c r="R265" t="str">
        <f t="shared" si="27"/>
        <v>Late</v>
      </c>
      <c r="S265">
        <f t="shared" si="28"/>
        <v>2021</v>
      </c>
      <c r="T265">
        <f t="shared" si="29"/>
        <v>10</v>
      </c>
    </row>
    <row r="266" spans="1:20" x14ac:dyDescent="0.25">
      <c r="A266" t="s">
        <v>515</v>
      </c>
      <c r="B266" t="s">
        <v>70</v>
      </c>
      <c r="C266" t="s">
        <v>353</v>
      </c>
      <c r="D266" s="1">
        <v>45213</v>
      </c>
      <c r="E266">
        <v>17</v>
      </c>
      <c r="F266">
        <v>20.7836862185993</v>
      </c>
      <c r="G266" s="1">
        <v>45232</v>
      </c>
      <c r="H266" s="1">
        <v>45238</v>
      </c>
      <c r="I266">
        <v>353.322665716188</v>
      </c>
      <c r="J266">
        <f t="shared" si="24"/>
        <v>6</v>
      </c>
      <c r="K266" t="str">
        <f>VLOOKUP(B266,Raw_Suppliers!$A$2:$G$101,2,FALSE)</f>
        <v>Prime Nano Ltd</v>
      </c>
      <c r="L266" t="str">
        <f>VLOOKUP(B266,Raw_Suppliers!$A$2:$G$101,3,FALSE)</f>
        <v>USA</v>
      </c>
      <c r="M266" t="str">
        <f>VLOOKUP(B266,Raw_Suppliers!$A$2:$G$101,4,FALSE)</f>
        <v>Central</v>
      </c>
      <c r="N266" t="str">
        <f>VLOOKUP(B266,Raw_Suppliers!$A$2:$G$101,6,FALSE)</f>
        <v>ISO 45001</v>
      </c>
      <c r="O266">
        <f>VLOOKUP(B266,Raw_Suppliers!$A$2:$G$101,7,FALSE)</f>
        <v>0</v>
      </c>
      <c r="P266" t="str">
        <f t="shared" si="25"/>
        <v>No</v>
      </c>
      <c r="Q266">
        <f t="shared" si="26"/>
        <v>0</v>
      </c>
      <c r="R266" t="str">
        <f t="shared" si="27"/>
        <v>Late</v>
      </c>
      <c r="S266">
        <f t="shared" si="28"/>
        <v>2023</v>
      </c>
      <c r="T266">
        <f t="shared" si="29"/>
        <v>10</v>
      </c>
    </row>
    <row r="267" spans="1:20" x14ac:dyDescent="0.25">
      <c r="A267" t="s">
        <v>516</v>
      </c>
      <c r="B267" t="s">
        <v>324</v>
      </c>
      <c r="C267" t="s">
        <v>338</v>
      </c>
      <c r="D267" s="1">
        <v>44470</v>
      </c>
      <c r="E267">
        <v>10</v>
      </c>
      <c r="F267">
        <v>21.573534801540699</v>
      </c>
      <c r="G267" s="1">
        <v>44481</v>
      </c>
      <c r="H267" s="1">
        <v>44483</v>
      </c>
      <c r="I267">
        <v>215.735348015407</v>
      </c>
      <c r="J267">
        <f t="shared" si="24"/>
        <v>2</v>
      </c>
      <c r="K267" t="str">
        <f>VLOOKUP(B267,Raw_Suppliers!$A$2:$G$101,2,FALSE)</f>
        <v>Gamma Nano Corp</v>
      </c>
      <c r="L267" t="str">
        <f>VLOOKUP(B267,Raw_Suppliers!$A$2:$G$101,3,FALSE)</f>
        <v>Germany</v>
      </c>
      <c r="M267" t="str">
        <f>VLOOKUP(B267,Raw_Suppliers!$A$2:$G$101,4,FALSE)</f>
        <v>West</v>
      </c>
      <c r="N267" t="str">
        <f>VLOOKUP(B267,Raw_Suppliers!$A$2:$G$101,6,FALSE)</f>
        <v>ISO 9001</v>
      </c>
      <c r="O267">
        <f>VLOOKUP(B267,Raw_Suppliers!$A$2:$G$101,7,FALSE)</f>
        <v>0</v>
      </c>
      <c r="P267" t="str">
        <f t="shared" si="25"/>
        <v>No</v>
      </c>
      <c r="Q267">
        <f t="shared" si="26"/>
        <v>0</v>
      </c>
      <c r="R267" t="str">
        <f t="shared" si="27"/>
        <v>Late</v>
      </c>
      <c r="S267">
        <f t="shared" si="28"/>
        <v>2021</v>
      </c>
      <c r="T267">
        <f t="shared" si="29"/>
        <v>10</v>
      </c>
    </row>
    <row r="268" spans="1:20" x14ac:dyDescent="0.25">
      <c r="A268" t="s">
        <v>517</v>
      </c>
      <c r="B268" t="s">
        <v>143</v>
      </c>
      <c r="C268" t="s">
        <v>518</v>
      </c>
      <c r="D268" s="1">
        <v>44338</v>
      </c>
      <c r="E268">
        <v>12</v>
      </c>
      <c r="F268">
        <v>44.8773815416993</v>
      </c>
      <c r="G268" s="1">
        <v>44360</v>
      </c>
      <c r="H268" s="1">
        <v>44358</v>
      </c>
      <c r="I268">
        <v>538.52857850039197</v>
      </c>
      <c r="J268">
        <f t="shared" si="24"/>
        <v>-2</v>
      </c>
      <c r="K268" t="str">
        <f>VLOOKUP(B268,Raw_Suppliers!$A$2:$G$101,2,FALSE)</f>
        <v>Prime Gamma Inc</v>
      </c>
      <c r="L268" t="str">
        <f>VLOOKUP(B268,Raw_Suppliers!$A$2:$G$101,3,FALSE)</f>
        <v>China</v>
      </c>
      <c r="M268" t="str">
        <f>VLOOKUP(B268,Raw_Suppliers!$A$2:$G$101,4,FALSE)</f>
        <v>East</v>
      </c>
      <c r="N268" t="str">
        <f>VLOOKUP(B268,Raw_Suppliers!$A$2:$G$101,6,FALSE)</f>
        <v>ISO 14001</v>
      </c>
      <c r="O268">
        <f>VLOOKUP(B268,Raw_Suppliers!$A$2:$G$101,7,FALSE)</f>
        <v>0</v>
      </c>
      <c r="P268" t="str">
        <f t="shared" si="25"/>
        <v>No</v>
      </c>
      <c r="Q268">
        <f t="shared" si="26"/>
        <v>1</v>
      </c>
      <c r="R268" t="str">
        <f t="shared" si="27"/>
        <v>On Time</v>
      </c>
      <c r="S268">
        <f t="shared" si="28"/>
        <v>2021</v>
      </c>
      <c r="T268">
        <f t="shared" si="29"/>
        <v>5</v>
      </c>
    </row>
    <row r="269" spans="1:20" x14ac:dyDescent="0.25">
      <c r="A269" t="s">
        <v>519</v>
      </c>
      <c r="B269" t="s">
        <v>88</v>
      </c>
      <c r="C269" t="s">
        <v>504</v>
      </c>
      <c r="D269" s="1">
        <v>45319</v>
      </c>
      <c r="E269">
        <v>13</v>
      </c>
      <c r="F269">
        <v>30.4522377654603</v>
      </c>
      <c r="G269" s="1">
        <v>45331</v>
      </c>
      <c r="H269" s="1">
        <v>45335</v>
      </c>
      <c r="I269">
        <v>395.87909095098399</v>
      </c>
      <c r="J269">
        <f t="shared" si="24"/>
        <v>4</v>
      </c>
      <c r="K269" t="str">
        <f>VLOOKUP(B269,Raw_Suppliers!$A$2:$G$101,2,FALSE)</f>
        <v>Eco Nano GmbH</v>
      </c>
      <c r="L269" t="str">
        <f>VLOOKUP(B269,Raw_Suppliers!$A$2:$G$101,3,FALSE)</f>
        <v>Denmark</v>
      </c>
      <c r="M269" t="str">
        <f>VLOOKUP(B269,Raw_Suppliers!$A$2:$G$101,4,FALSE)</f>
        <v>Central</v>
      </c>
      <c r="N269" t="str">
        <f>VLOOKUP(B269,Raw_Suppliers!$A$2:$G$101,6,FALSE)</f>
        <v>ISO 9001</v>
      </c>
      <c r="O269">
        <f>VLOOKUP(B269,Raw_Suppliers!$A$2:$G$101,7,FALSE)</f>
        <v>1</v>
      </c>
      <c r="P269" t="str">
        <f t="shared" si="25"/>
        <v>Yes</v>
      </c>
      <c r="Q269">
        <f t="shared" si="26"/>
        <v>0</v>
      </c>
      <c r="R269" t="str">
        <f t="shared" si="27"/>
        <v>Late</v>
      </c>
      <c r="S269">
        <f t="shared" si="28"/>
        <v>2024</v>
      </c>
      <c r="T269">
        <f t="shared" si="29"/>
        <v>1</v>
      </c>
    </row>
    <row r="270" spans="1:20" x14ac:dyDescent="0.25">
      <c r="A270" t="s">
        <v>520</v>
      </c>
      <c r="B270" t="s">
        <v>250</v>
      </c>
      <c r="C270" t="s">
        <v>521</v>
      </c>
      <c r="D270" s="1">
        <v>44966</v>
      </c>
      <c r="E270">
        <v>11</v>
      </c>
      <c r="F270">
        <v>26.036679296114599</v>
      </c>
      <c r="G270" s="1">
        <v>44985</v>
      </c>
      <c r="H270" s="1">
        <v>44990</v>
      </c>
      <c r="I270">
        <v>286.403472257261</v>
      </c>
      <c r="J270">
        <f t="shared" si="24"/>
        <v>5</v>
      </c>
      <c r="K270" t="str">
        <f>VLOOKUP(B270,Raw_Suppliers!$A$2:$G$101,2,FALSE)</f>
        <v>Fusion Fusion Inc</v>
      </c>
      <c r="L270" t="str">
        <f>VLOOKUP(B270,Raw_Suppliers!$A$2:$G$101,3,FALSE)</f>
        <v>India</v>
      </c>
      <c r="M270" t="str">
        <f>VLOOKUP(B270,Raw_Suppliers!$A$2:$G$101,4,FALSE)</f>
        <v>South</v>
      </c>
      <c r="N270" t="str">
        <f>VLOOKUP(B270,Raw_Suppliers!$A$2:$G$101,6,FALSE)</f>
        <v>ISO 9001</v>
      </c>
      <c r="O270">
        <f>VLOOKUP(B270,Raw_Suppliers!$A$2:$G$101,7,FALSE)</f>
        <v>0</v>
      </c>
      <c r="P270" t="str">
        <f t="shared" si="25"/>
        <v>No</v>
      </c>
      <c r="Q270">
        <f t="shared" si="26"/>
        <v>0</v>
      </c>
      <c r="R270" t="str">
        <f t="shared" si="27"/>
        <v>Late</v>
      </c>
      <c r="S270">
        <f t="shared" si="28"/>
        <v>2023</v>
      </c>
      <c r="T270">
        <f t="shared" si="29"/>
        <v>2</v>
      </c>
    </row>
    <row r="271" spans="1:20" x14ac:dyDescent="0.25">
      <c r="A271" t="s">
        <v>522</v>
      </c>
      <c r="B271" t="s">
        <v>70</v>
      </c>
      <c r="C271" t="s">
        <v>20</v>
      </c>
      <c r="D271" s="1">
        <v>45181</v>
      </c>
      <c r="E271">
        <v>9</v>
      </c>
      <c r="F271">
        <v>43.129207550346202</v>
      </c>
      <c r="G271" s="1">
        <v>45202</v>
      </c>
      <c r="H271" s="1">
        <v>45206</v>
      </c>
      <c r="I271">
        <v>388.16286795311601</v>
      </c>
      <c r="J271">
        <f t="shared" si="24"/>
        <v>4</v>
      </c>
      <c r="K271" t="str">
        <f>VLOOKUP(B271,Raw_Suppliers!$A$2:$G$101,2,FALSE)</f>
        <v>Prime Nano Ltd</v>
      </c>
      <c r="L271" t="str">
        <f>VLOOKUP(B271,Raw_Suppliers!$A$2:$G$101,3,FALSE)</f>
        <v>USA</v>
      </c>
      <c r="M271" t="str">
        <f>VLOOKUP(B271,Raw_Suppliers!$A$2:$G$101,4,FALSE)</f>
        <v>Central</v>
      </c>
      <c r="N271" t="str">
        <f>VLOOKUP(B271,Raw_Suppliers!$A$2:$G$101,6,FALSE)</f>
        <v>ISO 45001</v>
      </c>
      <c r="O271">
        <f>VLOOKUP(B271,Raw_Suppliers!$A$2:$G$101,7,FALSE)</f>
        <v>0</v>
      </c>
      <c r="P271" t="str">
        <f t="shared" si="25"/>
        <v>No</v>
      </c>
      <c r="Q271">
        <f t="shared" si="26"/>
        <v>0</v>
      </c>
      <c r="R271" t="str">
        <f t="shared" si="27"/>
        <v>Late</v>
      </c>
      <c r="S271">
        <f t="shared" si="28"/>
        <v>2023</v>
      </c>
      <c r="T271">
        <f t="shared" si="29"/>
        <v>9</v>
      </c>
    </row>
    <row r="272" spans="1:20" x14ac:dyDescent="0.25">
      <c r="A272" t="s">
        <v>523</v>
      </c>
      <c r="B272" t="s">
        <v>207</v>
      </c>
      <c r="C272" t="s">
        <v>105</v>
      </c>
      <c r="D272" s="1">
        <v>44247</v>
      </c>
      <c r="E272">
        <v>12</v>
      </c>
      <c r="F272">
        <v>67.239977547098903</v>
      </c>
      <c r="G272" s="1">
        <v>44257</v>
      </c>
      <c r="H272" s="1">
        <v>44254</v>
      </c>
      <c r="I272">
        <v>806.87973056518695</v>
      </c>
      <c r="J272">
        <f t="shared" si="24"/>
        <v>-3</v>
      </c>
      <c r="K272" t="str">
        <f>VLOOKUP(B272,Raw_Suppliers!$A$2:$G$101,2,FALSE)</f>
        <v>Nova Alpha Ltd</v>
      </c>
      <c r="L272" t="str">
        <f>VLOOKUP(B272,Raw_Suppliers!$A$2:$G$101,3,FALSE)</f>
        <v>India</v>
      </c>
      <c r="M272" t="str">
        <f>VLOOKUP(B272,Raw_Suppliers!$A$2:$G$101,4,FALSE)</f>
        <v>East</v>
      </c>
      <c r="N272" t="str">
        <f>VLOOKUP(B272,Raw_Suppliers!$A$2:$G$101,6,FALSE)</f>
        <v>ISO 9001</v>
      </c>
      <c r="O272">
        <f>VLOOKUP(B272,Raw_Suppliers!$A$2:$G$101,7,FALSE)</f>
        <v>0</v>
      </c>
      <c r="P272" t="str">
        <f t="shared" si="25"/>
        <v>No</v>
      </c>
      <c r="Q272">
        <f t="shared" si="26"/>
        <v>1</v>
      </c>
      <c r="R272" t="str">
        <f t="shared" si="27"/>
        <v>On Time</v>
      </c>
      <c r="S272">
        <f t="shared" si="28"/>
        <v>2021</v>
      </c>
      <c r="T272">
        <f t="shared" si="29"/>
        <v>2</v>
      </c>
    </row>
    <row r="273" spans="1:20" x14ac:dyDescent="0.25">
      <c r="A273" t="s">
        <v>524</v>
      </c>
      <c r="B273" t="s">
        <v>16</v>
      </c>
      <c r="C273" t="s">
        <v>233</v>
      </c>
      <c r="D273" s="1">
        <v>45031</v>
      </c>
      <c r="E273">
        <v>17</v>
      </c>
      <c r="F273">
        <v>42.555473179387697</v>
      </c>
      <c r="G273" s="1">
        <v>45044</v>
      </c>
      <c r="H273" s="1">
        <v>45043</v>
      </c>
      <c r="I273">
        <v>723.44304404959098</v>
      </c>
      <c r="J273">
        <f t="shared" si="24"/>
        <v>-1</v>
      </c>
      <c r="K273" t="str">
        <f>VLOOKUP(B273,Raw_Suppliers!$A$2:$G$101,2,FALSE)</f>
        <v>Beta Pioneer Inc</v>
      </c>
      <c r="L273" t="str">
        <f>VLOOKUP(B273,Raw_Suppliers!$A$2:$G$101,3,FALSE)</f>
        <v>USA</v>
      </c>
      <c r="M273" t="str">
        <f>VLOOKUP(B273,Raw_Suppliers!$A$2:$G$101,4,FALSE)</f>
        <v>Central</v>
      </c>
      <c r="N273" t="str">
        <f>VLOOKUP(B273,Raw_Suppliers!$A$2:$G$101,6,FALSE)</f>
        <v>ISO 45001</v>
      </c>
      <c r="O273">
        <f>VLOOKUP(B273,Raw_Suppliers!$A$2:$G$101,7,FALSE)</f>
        <v>1</v>
      </c>
      <c r="P273" t="str">
        <f t="shared" si="25"/>
        <v>Yes</v>
      </c>
      <c r="Q273">
        <f t="shared" si="26"/>
        <v>1</v>
      </c>
      <c r="R273" t="str">
        <f t="shared" si="27"/>
        <v>On Time</v>
      </c>
      <c r="S273">
        <f t="shared" si="28"/>
        <v>2023</v>
      </c>
      <c r="T273">
        <f t="shared" si="29"/>
        <v>4</v>
      </c>
    </row>
    <row r="274" spans="1:20" x14ac:dyDescent="0.25">
      <c r="A274" t="s">
        <v>525</v>
      </c>
      <c r="B274" t="s">
        <v>31</v>
      </c>
      <c r="C274" t="s">
        <v>418</v>
      </c>
      <c r="D274" s="1">
        <v>44422</v>
      </c>
      <c r="E274">
        <v>9</v>
      </c>
      <c r="F274">
        <v>73.097718067492593</v>
      </c>
      <c r="G274" s="1">
        <v>44443</v>
      </c>
      <c r="H274" s="1">
        <v>44442</v>
      </c>
      <c r="I274">
        <v>657.87946260743297</v>
      </c>
      <c r="J274">
        <f t="shared" si="24"/>
        <v>-1</v>
      </c>
      <c r="K274" t="str">
        <f>VLOOKUP(B274,Raw_Suppliers!$A$2:$G$101,2,FALSE)</f>
        <v>Nova Nano GmbH</v>
      </c>
      <c r="L274" t="str">
        <f>VLOOKUP(B274,Raw_Suppliers!$A$2:$G$101,3,FALSE)</f>
        <v>Denmark</v>
      </c>
      <c r="M274" t="str">
        <f>VLOOKUP(B274,Raw_Suppliers!$A$2:$G$101,4,FALSE)</f>
        <v>South</v>
      </c>
      <c r="N274" t="str">
        <f>VLOOKUP(B274,Raw_Suppliers!$A$2:$G$101,6,FALSE)</f>
        <v>ISO 14001</v>
      </c>
      <c r="O274">
        <f>VLOOKUP(B274,Raw_Suppliers!$A$2:$G$101,7,FALSE)</f>
        <v>1</v>
      </c>
      <c r="P274" t="str">
        <f t="shared" si="25"/>
        <v>Yes</v>
      </c>
      <c r="Q274">
        <f t="shared" si="26"/>
        <v>1</v>
      </c>
      <c r="R274" t="str">
        <f t="shared" si="27"/>
        <v>On Time</v>
      </c>
      <c r="S274">
        <f t="shared" si="28"/>
        <v>2021</v>
      </c>
      <c r="T274">
        <f t="shared" si="29"/>
        <v>8</v>
      </c>
    </row>
    <row r="275" spans="1:20" x14ac:dyDescent="0.25">
      <c r="A275" t="s">
        <v>526</v>
      </c>
      <c r="B275" t="s">
        <v>28</v>
      </c>
      <c r="C275" t="s">
        <v>527</v>
      </c>
      <c r="D275" s="1">
        <v>44503</v>
      </c>
      <c r="E275">
        <v>13</v>
      </c>
      <c r="F275">
        <v>12.4696602173341</v>
      </c>
      <c r="G275" s="1">
        <v>44515</v>
      </c>
      <c r="H275" s="1">
        <v>44518</v>
      </c>
      <c r="I275">
        <v>162.10558282534399</v>
      </c>
      <c r="J275">
        <f t="shared" si="24"/>
        <v>3</v>
      </c>
      <c r="K275" t="str">
        <f>VLOOKUP(B275,Raw_Suppliers!$A$2:$G$101,2,FALSE)</f>
        <v>Fusion Vertex Inc</v>
      </c>
      <c r="L275" t="str">
        <f>VLOOKUP(B275,Raw_Suppliers!$A$2:$G$101,3,FALSE)</f>
        <v>Denmark</v>
      </c>
      <c r="M275" t="str">
        <f>VLOOKUP(B275,Raw_Suppliers!$A$2:$G$101,4,FALSE)</f>
        <v>Central</v>
      </c>
      <c r="N275" t="str">
        <f>VLOOKUP(B275,Raw_Suppliers!$A$2:$G$101,6,FALSE)</f>
        <v>ISO 45001</v>
      </c>
      <c r="O275">
        <f>VLOOKUP(B275,Raw_Suppliers!$A$2:$G$101,7,FALSE)</f>
        <v>0</v>
      </c>
      <c r="P275" t="str">
        <f t="shared" si="25"/>
        <v>No</v>
      </c>
      <c r="Q275">
        <f t="shared" si="26"/>
        <v>0</v>
      </c>
      <c r="R275" t="str">
        <f t="shared" si="27"/>
        <v>Late</v>
      </c>
      <c r="S275">
        <f t="shared" si="28"/>
        <v>2021</v>
      </c>
      <c r="T275">
        <f t="shared" si="29"/>
        <v>11</v>
      </c>
    </row>
    <row r="276" spans="1:20" x14ac:dyDescent="0.25">
      <c r="A276" t="s">
        <v>528</v>
      </c>
      <c r="B276" t="s">
        <v>219</v>
      </c>
      <c r="C276" t="s">
        <v>20</v>
      </c>
      <c r="D276" s="1">
        <v>44287</v>
      </c>
      <c r="E276">
        <v>7</v>
      </c>
      <c r="F276">
        <v>72.151990510038104</v>
      </c>
      <c r="G276" s="1">
        <v>44303</v>
      </c>
      <c r="H276" s="1">
        <v>44309</v>
      </c>
      <c r="I276">
        <v>505.06393357026599</v>
      </c>
      <c r="J276">
        <f t="shared" si="24"/>
        <v>6</v>
      </c>
      <c r="K276" t="str">
        <f>VLOOKUP(B276,Raw_Suppliers!$A$2:$G$101,2,FALSE)</f>
        <v>Quantum Quantum Ltd</v>
      </c>
      <c r="L276" t="str">
        <f>VLOOKUP(B276,Raw_Suppliers!$A$2:$G$101,3,FALSE)</f>
        <v>USA</v>
      </c>
      <c r="M276" t="str">
        <f>VLOOKUP(B276,Raw_Suppliers!$A$2:$G$101,4,FALSE)</f>
        <v>South</v>
      </c>
      <c r="N276" t="str">
        <f>VLOOKUP(B276,Raw_Suppliers!$A$2:$G$101,6,FALSE)</f>
        <v>ISO 14001</v>
      </c>
      <c r="O276">
        <f>VLOOKUP(B276,Raw_Suppliers!$A$2:$G$101,7,FALSE)</f>
        <v>0</v>
      </c>
      <c r="P276" t="str">
        <f t="shared" si="25"/>
        <v>No</v>
      </c>
      <c r="Q276">
        <f t="shared" si="26"/>
        <v>0</v>
      </c>
      <c r="R276" t="str">
        <f t="shared" si="27"/>
        <v>Late</v>
      </c>
      <c r="S276">
        <f t="shared" si="28"/>
        <v>2021</v>
      </c>
      <c r="T276">
        <f t="shared" si="29"/>
        <v>4</v>
      </c>
    </row>
    <row r="277" spans="1:20" x14ac:dyDescent="0.25">
      <c r="A277" t="s">
        <v>529</v>
      </c>
      <c r="B277" t="s">
        <v>451</v>
      </c>
      <c r="C277" t="s">
        <v>425</v>
      </c>
      <c r="D277" s="1">
        <v>44628</v>
      </c>
      <c r="E277">
        <v>15</v>
      </c>
      <c r="F277">
        <v>75.6642997591008</v>
      </c>
      <c r="G277" s="1">
        <v>44644</v>
      </c>
      <c r="H277" s="1">
        <v>44648</v>
      </c>
      <c r="I277">
        <v>1134.9644963865101</v>
      </c>
      <c r="J277">
        <f t="shared" si="24"/>
        <v>4</v>
      </c>
      <c r="K277" t="str">
        <f>VLOOKUP(B277,Raw_Suppliers!$A$2:$G$101,2,FALSE)</f>
        <v>Beta Apex Corp</v>
      </c>
      <c r="L277" t="str">
        <f>VLOOKUP(B277,Raw_Suppliers!$A$2:$G$101,3,FALSE)</f>
        <v>India</v>
      </c>
      <c r="M277" t="str">
        <f>VLOOKUP(B277,Raw_Suppliers!$A$2:$G$101,4,FALSE)</f>
        <v>Central</v>
      </c>
      <c r="N277" t="str">
        <f>VLOOKUP(B277,Raw_Suppliers!$A$2:$G$101,6,FALSE)</f>
        <v>ISO 9001</v>
      </c>
      <c r="O277">
        <f>VLOOKUP(B277,Raw_Suppliers!$A$2:$G$101,7,FALSE)</f>
        <v>0</v>
      </c>
      <c r="P277" t="str">
        <f t="shared" si="25"/>
        <v>No</v>
      </c>
      <c r="Q277">
        <f t="shared" si="26"/>
        <v>0</v>
      </c>
      <c r="R277" t="str">
        <f t="shared" si="27"/>
        <v>Late</v>
      </c>
      <c r="S277">
        <f t="shared" si="28"/>
        <v>2022</v>
      </c>
      <c r="T277">
        <f t="shared" si="29"/>
        <v>3</v>
      </c>
    </row>
    <row r="278" spans="1:20" x14ac:dyDescent="0.25">
      <c r="A278" t="s">
        <v>530</v>
      </c>
      <c r="B278" t="s">
        <v>127</v>
      </c>
      <c r="C278" t="s">
        <v>141</v>
      </c>
      <c r="D278" s="1">
        <v>44929</v>
      </c>
      <c r="E278">
        <v>13</v>
      </c>
      <c r="F278">
        <v>72.6022334828494</v>
      </c>
      <c r="G278" s="1">
        <v>44939</v>
      </c>
      <c r="H278" s="1">
        <v>44937</v>
      </c>
      <c r="I278">
        <v>943.82903527704298</v>
      </c>
      <c r="J278">
        <f t="shared" si="24"/>
        <v>-2</v>
      </c>
      <c r="K278" t="str">
        <f>VLOOKUP(B278,Raw_Suppliers!$A$2:$G$101,2,FALSE)</f>
        <v>Eco Gamma LLC</v>
      </c>
      <c r="L278" t="str">
        <f>VLOOKUP(B278,Raw_Suppliers!$A$2:$G$101,3,FALSE)</f>
        <v>Canada</v>
      </c>
      <c r="M278" t="str">
        <f>VLOOKUP(B278,Raw_Suppliers!$A$2:$G$101,4,FALSE)</f>
        <v>West</v>
      </c>
      <c r="N278" t="str">
        <f>VLOOKUP(B278,Raw_Suppliers!$A$2:$G$101,6,FALSE)</f>
        <v>ISO 9001</v>
      </c>
      <c r="O278">
        <f>VLOOKUP(B278,Raw_Suppliers!$A$2:$G$101,7,FALSE)</f>
        <v>1</v>
      </c>
      <c r="P278" t="str">
        <f t="shared" si="25"/>
        <v>Yes</v>
      </c>
      <c r="Q278">
        <f t="shared" si="26"/>
        <v>1</v>
      </c>
      <c r="R278" t="str">
        <f t="shared" si="27"/>
        <v>On Time</v>
      </c>
      <c r="S278">
        <f t="shared" si="28"/>
        <v>2023</v>
      </c>
      <c r="T278">
        <f t="shared" si="29"/>
        <v>1</v>
      </c>
    </row>
    <row r="279" spans="1:20" x14ac:dyDescent="0.25">
      <c r="A279" t="s">
        <v>531</v>
      </c>
      <c r="B279" t="s">
        <v>124</v>
      </c>
      <c r="C279" t="s">
        <v>35</v>
      </c>
      <c r="D279" s="1">
        <v>44760</v>
      </c>
      <c r="E279">
        <v>15</v>
      </c>
      <c r="F279">
        <v>16.129516436534999</v>
      </c>
      <c r="G279" s="1">
        <v>44773</v>
      </c>
      <c r="H279" s="1">
        <v>44771</v>
      </c>
      <c r="I279">
        <v>241.94274654802601</v>
      </c>
      <c r="J279">
        <f t="shared" si="24"/>
        <v>-2</v>
      </c>
      <c r="K279" t="str">
        <f>VLOOKUP(B279,Raw_Suppliers!$A$2:$G$101,2,FALSE)</f>
        <v>Vertex Delta Inc</v>
      </c>
      <c r="L279" t="str">
        <f>VLOOKUP(B279,Raw_Suppliers!$A$2:$G$101,3,FALSE)</f>
        <v>Germany</v>
      </c>
      <c r="M279" t="str">
        <f>VLOOKUP(B279,Raw_Suppliers!$A$2:$G$101,4,FALSE)</f>
        <v>South</v>
      </c>
      <c r="N279" t="str">
        <f>VLOOKUP(B279,Raw_Suppliers!$A$2:$G$101,6,FALSE)</f>
        <v>ISO 9001</v>
      </c>
      <c r="O279">
        <f>VLOOKUP(B279,Raw_Suppliers!$A$2:$G$101,7,FALSE)</f>
        <v>0</v>
      </c>
      <c r="P279" t="str">
        <f t="shared" si="25"/>
        <v>No</v>
      </c>
      <c r="Q279">
        <f t="shared" si="26"/>
        <v>1</v>
      </c>
      <c r="R279" t="str">
        <f t="shared" si="27"/>
        <v>On Time</v>
      </c>
      <c r="S279">
        <f t="shared" si="28"/>
        <v>2022</v>
      </c>
      <c r="T279">
        <f t="shared" si="29"/>
        <v>7</v>
      </c>
    </row>
    <row r="280" spans="1:20" x14ac:dyDescent="0.25">
      <c r="A280" t="s">
        <v>532</v>
      </c>
      <c r="B280" t="s">
        <v>207</v>
      </c>
      <c r="C280" t="s">
        <v>346</v>
      </c>
      <c r="D280" s="1">
        <v>44396</v>
      </c>
      <c r="E280">
        <v>13</v>
      </c>
      <c r="F280">
        <v>20.486450129432701</v>
      </c>
      <c r="G280" s="1">
        <v>44415</v>
      </c>
      <c r="H280" s="1">
        <v>44416</v>
      </c>
      <c r="I280">
        <v>266.32385168262499</v>
      </c>
      <c r="J280">
        <f t="shared" si="24"/>
        <v>1</v>
      </c>
      <c r="K280" t="str">
        <f>VLOOKUP(B280,Raw_Suppliers!$A$2:$G$101,2,FALSE)</f>
        <v>Nova Alpha Ltd</v>
      </c>
      <c r="L280" t="str">
        <f>VLOOKUP(B280,Raw_Suppliers!$A$2:$G$101,3,FALSE)</f>
        <v>India</v>
      </c>
      <c r="M280" t="str">
        <f>VLOOKUP(B280,Raw_Suppliers!$A$2:$G$101,4,FALSE)</f>
        <v>East</v>
      </c>
      <c r="N280" t="str">
        <f>VLOOKUP(B280,Raw_Suppliers!$A$2:$G$101,6,FALSE)</f>
        <v>ISO 9001</v>
      </c>
      <c r="O280">
        <f>VLOOKUP(B280,Raw_Suppliers!$A$2:$G$101,7,FALSE)</f>
        <v>0</v>
      </c>
      <c r="P280" t="str">
        <f t="shared" si="25"/>
        <v>No</v>
      </c>
      <c r="Q280">
        <f t="shared" si="26"/>
        <v>0</v>
      </c>
      <c r="R280" t="str">
        <f t="shared" si="27"/>
        <v>Late</v>
      </c>
      <c r="S280">
        <f t="shared" si="28"/>
        <v>2021</v>
      </c>
      <c r="T280">
        <f t="shared" si="29"/>
        <v>7</v>
      </c>
    </row>
    <row r="281" spans="1:20" x14ac:dyDescent="0.25">
      <c r="A281" t="s">
        <v>533</v>
      </c>
      <c r="B281" t="s">
        <v>19</v>
      </c>
      <c r="C281" t="s">
        <v>270</v>
      </c>
      <c r="D281" s="1">
        <v>45265</v>
      </c>
      <c r="E281">
        <v>16</v>
      </c>
      <c r="F281">
        <v>50.959455184546997</v>
      </c>
      <c r="G281" s="1">
        <v>45278</v>
      </c>
      <c r="H281" s="1">
        <v>45277</v>
      </c>
      <c r="I281">
        <v>815.35128295275297</v>
      </c>
      <c r="J281">
        <f t="shared" si="24"/>
        <v>-1</v>
      </c>
      <c r="K281" t="str">
        <f>VLOOKUP(B281,Raw_Suppliers!$A$2:$G$101,2,FALSE)</f>
        <v>Nova Beta Corp</v>
      </c>
      <c r="L281" t="str">
        <f>VLOOKUP(B281,Raw_Suppliers!$A$2:$G$101,3,FALSE)</f>
        <v>Brazil</v>
      </c>
      <c r="M281" t="str">
        <f>VLOOKUP(B281,Raw_Suppliers!$A$2:$G$101,4,FALSE)</f>
        <v>South</v>
      </c>
      <c r="N281" t="str">
        <f>VLOOKUP(B281,Raw_Suppliers!$A$2:$G$101,6,FALSE)</f>
        <v>ISO 14001</v>
      </c>
      <c r="O281">
        <f>VLOOKUP(B281,Raw_Suppliers!$A$2:$G$101,7,FALSE)</f>
        <v>1</v>
      </c>
      <c r="P281" t="str">
        <f t="shared" si="25"/>
        <v>Yes</v>
      </c>
      <c r="Q281">
        <f t="shared" si="26"/>
        <v>1</v>
      </c>
      <c r="R281" t="str">
        <f t="shared" si="27"/>
        <v>On Time</v>
      </c>
      <c r="S281">
        <f t="shared" si="28"/>
        <v>2023</v>
      </c>
      <c r="T281">
        <f t="shared" si="29"/>
        <v>12</v>
      </c>
    </row>
    <row r="282" spans="1:20" x14ac:dyDescent="0.25">
      <c r="A282" t="s">
        <v>534</v>
      </c>
      <c r="B282" t="s">
        <v>482</v>
      </c>
      <c r="C282" t="s">
        <v>418</v>
      </c>
      <c r="D282" s="1">
        <v>44541</v>
      </c>
      <c r="E282">
        <v>14</v>
      </c>
      <c r="F282">
        <v>71.657515950638199</v>
      </c>
      <c r="G282" s="1">
        <v>44551</v>
      </c>
      <c r="H282" s="1">
        <v>44548</v>
      </c>
      <c r="I282">
        <v>1003.20522330893</v>
      </c>
      <c r="J282">
        <f t="shared" si="24"/>
        <v>-3</v>
      </c>
      <c r="K282" t="str">
        <f>VLOOKUP(B282,Raw_Suppliers!$A$2:$G$101,2,FALSE)</f>
        <v>Eco Prime Corp</v>
      </c>
      <c r="L282" t="str">
        <f>VLOOKUP(B282,Raw_Suppliers!$A$2:$G$101,3,FALSE)</f>
        <v>China</v>
      </c>
      <c r="M282" t="str">
        <f>VLOOKUP(B282,Raw_Suppliers!$A$2:$G$101,4,FALSE)</f>
        <v>East</v>
      </c>
      <c r="N282" t="str">
        <f>VLOOKUP(B282,Raw_Suppliers!$A$2:$G$101,6,FALSE)</f>
        <v>ISO 45001</v>
      </c>
      <c r="O282">
        <f>VLOOKUP(B282,Raw_Suppliers!$A$2:$G$101,7,FALSE)</f>
        <v>1</v>
      </c>
      <c r="P282" t="str">
        <f t="shared" si="25"/>
        <v>Yes</v>
      </c>
      <c r="Q282">
        <f t="shared" si="26"/>
        <v>1</v>
      </c>
      <c r="R282" t="str">
        <f t="shared" si="27"/>
        <v>On Time</v>
      </c>
      <c r="S282">
        <f t="shared" si="28"/>
        <v>2021</v>
      </c>
      <c r="T282">
        <f t="shared" si="29"/>
        <v>12</v>
      </c>
    </row>
    <row r="283" spans="1:20" x14ac:dyDescent="0.25">
      <c r="A283" t="s">
        <v>535</v>
      </c>
      <c r="B283" t="s">
        <v>186</v>
      </c>
      <c r="C283" t="s">
        <v>180</v>
      </c>
      <c r="D283" s="1">
        <v>45099</v>
      </c>
      <c r="E283">
        <v>14</v>
      </c>
      <c r="F283">
        <v>3.8793239738107199</v>
      </c>
      <c r="G283" s="1">
        <v>45121</v>
      </c>
      <c r="H283" s="1">
        <v>45124</v>
      </c>
      <c r="I283">
        <v>54.310535633350099</v>
      </c>
      <c r="J283">
        <f t="shared" si="24"/>
        <v>3</v>
      </c>
      <c r="K283" t="str">
        <f>VLOOKUP(B283,Raw_Suppliers!$A$2:$G$101,2,FALSE)</f>
        <v>Omega Vertex Inc</v>
      </c>
      <c r="L283" t="str">
        <f>VLOOKUP(B283,Raw_Suppliers!$A$2:$G$101,3,FALSE)</f>
        <v>China</v>
      </c>
      <c r="M283" t="str">
        <f>VLOOKUP(B283,Raw_Suppliers!$A$2:$G$101,4,FALSE)</f>
        <v>West</v>
      </c>
      <c r="N283" t="str">
        <f>VLOOKUP(B283,Raw_Suppliers!$A$2:$G$101,6,FALSE)</f>
        <v>ISO 14001</v>
      </c>
      <c r="O283">
        <f>VLOOKUP(B283,Raw_Suppliers!$A$2:$G$101,7,FALSE)</f>
        <v>1</v>
      </c>
      <c r="P283" t="str">
        <f t="shared" si="25"/>
        <v>Yes</v>
      </c>
      <c r="Q283">
        <f t="shared" si="26"/>
        <v>0</v>
      </c>
      <c r="R283" t="str">
        <f t="shared" si="27"/>
        <v>Late</v>
      </c>
      <c r="S283">
        <f t="shared" si="28"/>
        <v>2023</v>
      </c>
      <c r="T283">
        <f t="shared" si="29"/>
        <v>6</v>
      </c>
    </row>
    <row r="284" spans="1:20" x14ac:dyDescent="0.25">
      <c r="A284" t="s">
        <v>536</v>
      </c>
      <c r="B284" t="s">
        <v>242</v>
      </c>
      <c r="C284" t="s">
        <v>400</v>
      </c>
      <c r="D284" s="1">
        <v>44594</v>
      </c>
      <c r="E284">
        <v>15</v>
      </c>
      <c r="F284">
        <v>64.569289267689797</v>
      </c>
      <c r="G284" s="1">
        <v>44609</v>
      </c>
      <c r="H284" s="1">
        <v>44606</v>
      </c>
      <c r="I284">
        <v>968.53933901534697</v>
      </c>
      <c r="J284">
        <f t="shared" si="24"/>
        <v>-3</v>
      </c>
      <c r="K284" t="str">
        <f>VLOOKUP(B284,Raw_Suppliers!$A$2:$G$101,2,FALSE)</f>
        <v>Omega Nova GmbH</v>
      </c>
      <c r="L284" t="str">
        <f>VLOOKUP(B284,Raw_Suppliers!$A$2:$G$101,3,FALSE)</f>
        <v>Denmark</v>
      </c>
      <c r="M284" t="str">
        <f>VLOOKUP(B284,Raw_Suppliers!$A$2:$G$101,4,FALSE)</f>
        <v>East</v>
      </c>
      <c r="N284" t="str">
        <f>VLOOKUP(B284,Raw_Suppliers!$A$2:$G$101,6,FALSE)</f>
        <v>ISO 45001</v>
      </c>
      <c r="O284">
        <f>VLOOKUP(B284,Raw_Suppliers!$A$2:$G$101,7,FALSE)</f>
        <v>0</v>
      </c>
      <c r="P284" t="str">
        <f t="shared" si="25"/>
        <v>No</v>
      </c>
      <c r="Q284">
        <f t="shared" si="26"/>
        <v>1</v>
      </c>
      <c r="R284" t="str">
        <f t="shared" si="27"/>
        <v>On Time</v>
      </c>
      <c r="S284">
        <f t="shared" si="28"/>
        <v>2022</v>
      </c>
      <c r="T284">
        <f t="shared" si="29"/>
        <v>2</v>
      </c>
    </row>
    <row r="285" spans="1:20" x14ac:dyDescent="0.25">
      <c r="A285" t="s">
        <v>537</v>
      </c>
      <c r="B285" t="s">
        <v>369</v>
      </c>
      <c r="C285" t="s">
        <v>304</v>
      </c>
      <c r="D285" s="1">
        <v>45222</v>
      </c>
      <c r="E285">
        <v>18</v>
      </c>
      <c r="F285">
        <v>47.444083915900897</v>
      </c>
      <c r="G285" s="1">
        <v>45235</v>
      </c>
      <c r="H285" s="1">
        <v>45233</v>
      </c>
      <c r="I285">
        <v>853.993510486216</v>
      </c>
      <c r="J285">
        <f t="shared" si="24"/>
        <v>-2</v>
      </c>
      <c r="K285" t="str">
        <f>VLOOKUP(B285,Raw_Suppliers!$A$2:$G$101,2,FALSE)</f>
        <v>Beta Fusion GmbH</v>
      </c>
      <c r="L285" t="str">
        <f>VLOOKUP(B285,Raw_Suppliers!$A$2:$G$101,3,FALSE)</f>
        <v>China</v>
      </c>
      <c r="M285" t="str">
        <f>VLOOKUP(B285,Raw_Suppliers!$A$2:$G$101,4,FALSE)</f>
        <v>South</v>
      </c>
      <c r="N285" t="str">
        <f>VLOOKUP(B285,Raw_Suppliers!$A$2:$G$101,6,FALSE)</f>
        <v>ISO 9001</v>
      </c>
      <c r="O285">
        <f>VLOOKUP(B285,Raw_Suppliers!$A$2:$G$101,7,FALSE)</f>
        <v>0</v>
      </c>
      <c r="P285" t="str">
        <f t="shared" si="25"/>
        <v>No</v>
      </c>
      <c r="Q285">
        <f t="shared" si="26"/>
        <v>1</v>
      </c>
      <c r="R285" t="str">
        <f t="shared" si="27"/>
        <v>On Time</v>
      </c>
      <c r="S285">
        <f t="shared" si="28"/>
        <v>2023</v>
      </c>
      <c r="T285">
        <f t="shared" si="29"/>
        <v>10</v>
      </c>
    </row>
    <row r="286" spans="1:20" x14ac:dyDescent="0.25">
      <c r="A286" t="s">
        <v>538</v>
      </c>
      <c r="B286" t="s">
        <v>539</v>
      </c>
      <c r="C286" t="s">
        <v>540</v>
      </c>
      <c r="D286" s="1">
        <v>44965</v>
      </c>
      <c r="E286">
        <v>7</v>
      </c>
      <c r="F286">
        <v>29.617391811356299</v>
      </c>
      <c r="G286" s="1">
        <v>44989</v>
      </c>
      <c r="H286" s="1">
        <v>44991</v>
      </c>
      <c r="I286">
        <v>207.32174267949401</v>
      </c>
      <c r="J286">
        <f t="shared" si="24"/>
        <v>2</v>
      </c>
      <c r="K286" t="str">
        <f>VLOOKUP(B286,Raw_Suppliers!$A$2:$G$101,2,FALSE)</f>
        <v>Eco Eco Ltd</v>
      </c>
      <c r="L286" t="str">
        <f>VLOOKUP(B286,Raw_Suppliers!$A$2:$G$101,3,FALSE)</f>
        <v>USA</v>
      </c>
      <c r="M286" t="str">
        <f>VLOOKUP(B286,Raw_Suppliers!$A$2:$G$101,4,FALSE)</f>
        <v>South</v>
      </c>
      <c r="N286" t="str">
        <f>VLOOKUP(B286,Raw_Suppliers!$A$2:$G$101,6,FALSE)</f>
        <v>ISO 45001</v>
      </c>
      <c r="O286">
        <f>VLOOKUP(B286,Raw_Suppliers!$A$2:$G$101,7,FALSE)</f>
        <v>1</v>
      </c>
      <c r="P286" t="str">
        <f t="shared" si="25"/>
        <v>Yes</v>
      </c>
      <c r="Q286">
        <f t="shared" si="26"/>
        <v>0</v>
      </c>
      <c r="R286" t="str">
        <f t="shared" si="27"/>
        <v>Late</v>
      </c>
      <c r="S286">
        <f t="shared" si="28"/>
        <v>2023</v>
      </c>
      <c r="T286">
        <f t="shared" si="29"/>
        <v>2</v>
      </c>
    </row>
    <row r="287" spans="1:20" x14ac:dyDescent="0.25">
      <c r="A287" t="s">
        <v>541</v>
      </c>
      <c r="B287" t="s">
        <v>359</v>
      </c>
      <c r="C287" t="s">
        <v>356</v>
      </c>
      <c r="D287" s="1">
        <v>44604</v>
      </c>
      <c r="E287">
        <v>11</v>
      </c>
      <c r="F287">
        <v>57.785858685740401</v>
      </c>
      <c r="G287" s="1">
        <v>44623</v>
      </c>
      <c r="H287" s="1">
        <v>44626</v>
      </c>
      <c r="I287">
        <v>635.64444554314503</v>
      </c>
      <c r="J287">
        <f t="shared" si="24"/>
        <v>3</v>
      </c>
      <c r="K287" t="str">
        <f>VLOOKUP(B287,Raw_Suppliers!$A$2:$G$101,2,FALSE)</f>
        <v>Alpha Alpha Corp</v>
      </c>
      <c r="L287" t="str">
        <f>VLOOKUP(B287,Raw_Suppliers!$A$2:$G$101,3,FALSE)</f>
        <v>India</v>
      </c>
      <c r="M287" t="str">
        <f>VLOOKUP(B287,Raw_Suppliers!$A$2:$G$101,4,FALSE)</f>
        <v>North</v>
      </c>
      <c r="N287" t="str">
        <f>VLOOKUP(B287,Raw_Suppliers!$A$2:$G$101,6,FALSE)</f>
        <v>ISO 9001</v>
      </c>
      <c r="O287">
        <f>VLOOKUP(B287,Raw_Suppliers!$A$2:$G$101,7,FALSE)</f>
        <v>1</v>
      </c>
      <c r="P287" t="str">
        <f t="shared" si="25"/>
        <v>Yes</v>
      </c>
      <c r="Q287">
        <f t="shared" si="26"/>
        <v>0</v>
      </c>
      <c r="R287" t="str">
        <f t="shared" si="27"/>
        <v>Late</v>
      </c>
      <c r="S287">
        <f t="shared" si="28"/>
        <v>2022</v>
      </c>
      <c r="T287">
        <f t="shared" si="29"/>
        <v>2</v>
      </c>
    </row>
    <row r="288" spans="1:20" x14ac:dyDescent="0.25">
      <c r="A288" t="s">
        <v>542</v>
      </c>
      <c r="B288" t="s">
        <v>49</v>
      </c>
      <c r="C288" t="s">
        <v>543</v>
      </c>
      <c r="D288" s="1">
        <v>44841</v>
      </c>
      <c r="E288">
        <v>10</v>
      </c>
      <c r="F288">
        <v>42.731129129901198</v>
      </c>
      <c r="G288" s="1">
        <v>44852</v>
      </c>
      <c r="H288" s="1">
        <v>44854</v>
      </c>
      <c r="I288">
        <v>427.311291299012</v>
      </c>
      <c r="J288">
        <f t="shared" si="24"/>
        <v>2</v>
      </c>
      <c r="K288" t="str">
        <f>VLOOKUP(B288,Raw_Suppliers!$A$2:$G$101,2,FALSE)</f>
        <v>Prime Prime Corp</v>
      </c>
      <c r="L288" t="str">
        <f>VLOOKUP(B288,Raw_Suppliers!$A$2:$G$101,3,FALSE)</f>
        <v>China</v>
      </c>
      <c r="M288" t="str">
        <f>VLOOKUP(B288,Raw_Suppliers!$A$2:$G$101,4,FALSE)</f>
        <v>North</v>
      </c>
      <c r="N288" t="str">
        <f>VLOOKUP(B288,Raw_Suppliers!$A$2:$G$101,6,FALSE)</f>
        <v>ISO 45001</v>
      </c>
      <c r="O288">
        <f>VLOOKUP(B288,Raw_Suppliers!$A$2:$G$101,7,FALSE)</f>
        <v>0</v>
      </c>
      <c r="P288" t="str">
        <f t="shared" si="25"/>
        <v>No</v>
      </c>
      <c r="Q288">
        <f t="shared" si="26"/>
        <v>0</v>
      </c>
      <c r="R288" t="str">
        <f t="shared" si="27"/>
        <v>Late</v>
      </c>
      <c r="S288">
        <f t="shared" si="28"/>
        <v>2022</v>
      </c>
      <c r="T288">
        <f t="shared" si="29"/>
        <v>10</v>
      </c>
    </row>
    <row r="289" spans="1:20" x14ac:dyDescent="0.25">
      <c r="A289" t="s">
        <v>544</v>
      </c>
      <c r="B289" t="s">
        <v>79</v>
      </c>
      <c r="C289" t="s">
        <v>41</v>
      </c>
      <c r="D289" s="1">
        <v>44668</v>
      </c>
      <c r="E289">
        <v>10</v>
      </c>
      <c r="F289">
        <v>16.3970888628414</v>
      </c>
      <c r="G289" s="1">
        <v>44689</v>
      </c>
      <c r="H289" s="1">
        <v>44688</v>
      </c>
      <c r="I289">
        <v>163.970888628414</v>
      </c>
      <c r="J289">
        <f t="shared" si="24"/>
        <v>-1</v>
      </c>
      <c r="K289" t="str">
        <f>VLOOKUP(B289,Raw_Suppliers!$A$2:$G$101,2,FALSE)</f>
        <v>Vertex Fusion Inc</v>
      </c>
      <c r="L289" t="str">
        <f>VLOOKUP(B289,Raw_Suppliers!$A$2:$G$101,3,FALSE)</f>
        <v>India</v>
      </c>
      <c r="M289" t="str">
        <f>VLOOKUP(B289,Raw_Suppliers!$A$2:$G$101,4,FALSE)</f>
        <v>Central</v>
      </c>
      <c r="N289" t="str">
        <f>VLOOKUP(B289,Raw_Suppliers!$A$2:$G$101,6,FALSE)</f>
        <v>ISO 9001</v>
      </c>
      <c r="O289">
        <f>VLOOKUP(B289,Raw_Suppliers!$A$2:$G$101,7,FALSE)</f>
        <v>0</v>
      </c>
      <c r="P289" t="str">
        <f t="shared" si="25"/>
        <v>No</v>
      </c>
      <c r="Q289">
        <f t="shared" si="26"/>
        <v>1</v>
      </c>
      <c r="R289" t="str">
        <f t="shared" si="27"/>
        <v>On Time</v>
      </c>
      <c r="S289">
        <f t="shared" si="28"/>
        <v>2022</v>
      </c>
      <c r="T289">
        <f t="shared" si="29"/>
        <v>4</v>
      </c>
    </row>
    <row r="290" spans="1:20" x14ac:dyDescent="0.25">
      <c r="A290" t="s">
        <v>545</v>
      </c>
      <c r="B290" t="s">
        <v>64</v>
      </c>
      <c r="C290" t="s">
        <v>245</v>
      </c>
      <c r="D290" s="1">
        <v>45363</v>
      </c>
      <c r="E290">
        <v>10</v>
      </c>
      <c r="F290">
        <v>8.0735559464733306</v>
      </c>
      <c r="G290" s="1">
        <v>45386</v>
      </c>
      <c r="H290" s="1">
        <v>45385</v>
      </c>
      <c r="I290">
        <v>80.735559464733299</v>
      </c>
      <c r="J290">
        <f t="shared" si="24"/>
        <v>-1</v>
      </c>
      <c r="K290" t="str">
        <f>VLOOKUP(B290,Raw_Suppliers!$A$2:$G$101,2,FALSE)</f>
        <v>Apex Quantum Inc</v>
      </c>
      <c r="L290" t="str">
        <f>VLOOKUP(B290,Raw_Suppliers!$A$2:$G$101,3,FALSE)</f>
        <v>India</v>
      </c>
      <c r="M290" t="str">
        <f>VLOOKUP(B290,Raw_Suppliers!$A$2:$G$101,4,FALSE)</f>
        <v>North</v>
      </c>
      <c r="N290" t="str">
        <f>VLOOKUP(B290,Raw_Suppliers!$A$2:$G$101,6,FALSE)</f>
        <v>ISO 45001</v>
      </c>
      <c r="O290">
        <f>VLOOKUP(B290,Raw_Suppliers!$A$2:$G$101,7,FALSE)</f>
        <v>1</v>
      </c>
      <c r="P290" t="str">
        <f t="shared" si="25"/>
        <v>Yes</v>
      </c>
      <c r="Q290">
        <f t="shared" si="26"/>
        <v>1</v>
      </c>
      <c r="R290" t="str">
        <f t="shared" si="27"/>
        <v>On Time</v>
      </c>
      <c r="S290">
        <f t="shared" si="28"/>
        <v>2024</v>
      </c>
      <c r="T290">
        <f t="shared" si="29"/>
        <v>3</v>
      </c>
    </row>
    <row r="291" spans="1:20" x14ac:dyDescent="0.25">
      <c r="A291" t="s">
        <v>546</v>
      </c>
      <c r="B291" t="s">
        <v>135</v>
      </c>
      <c r="C291" t="s">
        <v>547</v>
      </c>
      <c r="D291" s="1">
        <v>45111</v>
      </c>
      <c r="E291">
        <v>11</v>
      </c>
      <c r="F291">
        <v>38.6640445128862</v>
      </c>
      <c r="G291" s="1">
        <v>45135</v>
      </c>
      <c r="H291" s="1">
        <v>45134</v>
      </c>
      <c r="I291">
        <v>425.304489641749</v>
      </c>
      <c r="J291">
        <f t="shared" si="24"/>
        <v>-1</v>
      </c>
      <c r="K291" t="str">
        <f>VLOOKUP(B291,Raw_Suppliers!$A$2:$G$101,2,FALSE)</f>
        <v>Alpha Prime Ltd</v>
      </c>
      <c r="L291" t="str">
        <f>VLOOKUP(B291,Raw_Suppliers!$A$2:$G$101,3,FALSE)</f>
        <v>UK</v>
      </c>
      <c r="M291" t="str">
        <f>VLOOKUP(B291,Raw_Suppliers!$A$2:$G$101,4,FALSE)</f>
        <v>East</v>
      </c>
      <c r="N291" t="str">
        <f>VLOOKUP(B291,Raw_Suppliers!$A$2:$G$101,6,FALSE)</f>
        <v>None</v>
      </c>
      <c r="O291">
        <f>VLOOKUP(B291,Raw_Suppliers!$A$2:$G$101,7,FALSE)</f>
        <v>1</v>
      </c>
      <c r="P291" t="str">
        <f t="shared" si="25"/>
        <v>Yes</v>
      </c>
      <c r="Q291">
        <f t="shared" si="26"/>
        <v>1</v>
      </c>
      <c r="R291" t="str">
        <f t="shared" si="27"/>
        <v>On Time</v>
      </c>
      <c r="S291">
        <f t="shared" si="28"/>
        <v>2023</v>
      </c>
      <c r="T291">
        <f t="shared" si="29"/>
        <v>7</v>
      </c>
    </row>
    <row r="292" spans="1:20" x14ac:dyDescent="0.25">
      <c r="A292" t="s">
        <v>548</v>
      </c>
      <c r="B292" t="s">
        <v>61</v>
      </c>
      <c r="C292" t="s">
        <v>380</v>
      </c>
      <c r="D292" s="1">
        <v>44489</v>
      </c>
      <c r="E292">
        <v>13</v>
      </c>
      <c r="F292">
        <v>46.937008209945802</v>
      </c>
      <c r="G292" s="1">
        <v>44507</v>
      </c>
      <c r="H292" s="1">
        <v>44507</v>
      </c>
      <c r="I292">
        <v>610.18110672929595</v>
      </c>
      <c r="J292">
        <f t="shared" si="24"/>
        <v>0</v>
      </c>
      <c r="K292" t="str">
        <f>VLOOKUP(B292,Raw_Suppliers!$A$2:$G$101,2,FALSE)</f>
        <v>Ultra Gamma LLC</v>
      </c>
      <c r="L292" t="str">
        <f>VLOOKUP(B292,Raw_Suppliers!$A$2:$G$101,3,FALSE)</f>
        <v>Canada</v>
      </c>
      <c r="M292" t="str">
        <f>VLOOKUP(B292,Raw_Suppliers!$A$2:$G$101,4,FALSE)</f>
        <v>North</v>
      </c>
      <c r="N292" t="str">
        <f>VLOOKUP(B292,Raw_Suppliers!$A$2:$G$101,6,FALSE)</f>
        <v>ISO 9001</v>
      </c>
      <c r="O292">
        <f>VLOOKUP(B292,Raw_Suppliers!$A$2:$G$101,7,FALSE)</f>
        <v>1</v>
      </c>
      <c r="P292" t="str">
        <f t="shared" si="25"/>
        <v>Yes</v>
      </c>
      <c r="Q292">
        <f t="shared" si="26"/>
        <v>1</v>
      </c>
      <c r="R292" t="str">
        <f t="shared" si="27"/>
        <v>On Time</v>
      </c>
      <c r="S292">
        <f t="shared" si="28"/>
        <v>2021</v>
      </c>
      <c r="T292">
        <f t="shared" si="29"/>
        <v>10</v>
      </c>
    </row>
    <row r="293" spans="1:20" x14ac:dyDescent="0.25">
      <c r="A293" t="s">
        <v>549</v>
      </c>
      <c r="B293" t="s">
        <v>64</v>
      </c>
      <c r="C293" t="s">
        <v>297</v>
      </c>
      <c r="D293" s="1">
        <v>45288</v>
      </c>
      <c r="E293">
        <v>17</v>
      </c>
      <c r="F293">
        <v>31.102527965686601</v>
      </c>
      <c r="G293" s="1">
        <v>45301</v>
      </c>
      <c r="H293" s="1">
        <v>45307</v>
      </c>
      <c r="I293">
        <v>528.74297541667204</v>
      </c>
      <c r="J293">
        <f t="shared" si="24"/>
        <v>6</v>
      </c>
      <c r="K293" t="str">
        <f>VLOOKUP(B293,Raw_Suppliers!$A$2:$G$101,2,FALSE)</f>
        <v>Apex Quantum Inc</v>
      </c>
      <c r="L293" t="str">
        <f>VLOOKUP(B293,Raw_Suppliers!$A$2:$G$101,3,FALSE)</f>
        <v>India</v>
      </c>
      <c r="M293" t="str">
        <f>VLOOKUP(B293,Raw_Suppliers!$A$2:$G$101,4,FALSE)</f>
        <v>North</v>
      </c>
      <c r="N293" t="str">
        <f>VLOOKUP(B293,Raw_Suppliers!$A$2:$G$101,6,FALSE)</f>
        <v>ISO 45001</v>
      </c>
      <c r="O293">
        <f>VLOOKUP(B293,Raw_Suppliers!$A$2:$G$101,7,FALSE)</f>
        <v>1</v>
      </c>
      <c r="P293" t="str">
        <f t="shared" si="25"/>
        <v>Yes</v>
      </c>
      <c r="Q293">
        <f t="shared" si="26"/>
        <v>0</v>
      </c>
      <c r="R293" t="str">
        <f t="shared" si="27"/>
        <v>Late</v>
      </c>
      <c r="S293">
        <f t="shared" si="28"/>
        <v>2023</v>
      </c>
      <c r="T293">
        <f t="shared" si="29"/>
        <v>12</v>
      </c>
    </row>
    <row r="294" spans="1:20" x14ac:dyDescent="0.25">
      <c r="A294" t="s">
        <v>550</v>
      </c>
      <c r="B294" t="s">
        <v>13</v>
      </c>
      <c r="C294" t="s">
        <v>346</v>
      </c>
      <c r="D294" s="1">
        <v>44912</v>
      </c>
      <c r="E294">
        <v>9</v>
      </c>
      <c r="F294">
        <v>26.553542990995901</v>
      </c>
      <c r="G294" s="1">
        <v>44929</v>
      </c>
      <c r="H294" s="1">
        <v>44926</v>
      </c>
      <c r="I294">
        <v>238.981886918963</v>
      </c>
      <c r="J294">
        <f t="shared" si="24"/>
        <v>-3</v>
      </c>
      <c r="K294" t="str">
        <f>VLOOKUP(B294,Raw_Suppliers!$A$2:$G$101,2,FALSE)</f>
        <v>Beta Delta LLC</v>
      </c>
      <c r="L294" t="str">
        <f>VLOOKUP(B294,Raw_Suppliers!$A$2:$G$101,3,FALSE)</f>
        <v>Germany</v>
      </c>
      <c r="M294" t="str">
        <f>VLOOKUP(B294,Raw_Suppliers!$A$2:$G$101,4,FALSE)</f>
        <v>Central</v>
      </c>
      <c r="N294" t="str">
        <f>VLOOKUP(B294,Raw_Suppliers!$A$2:$G$101,6,FALSE)</f>
        <v>ISO 9001</v>
      </c>
      <c r="O294">
        <f>VLOOKUP(B294,Raw_Suppliers!$A$2:$G$101,7,FALSE)</f>
        <v>1</v>
      </c>
      <c r="P294" t="str">
        <f t="shared" si="25"/>
        <v>Yes</v>
      </c>
      <c r="Q294">
        <f t="shared" si="26"/>
        <v>1</v>
      </c>
      <c r="R294" t="str">
        <f t="shared" si="27"/>
        <v>On Time</v>
      </c>
      <c r="S294">
        <f t="shared" si="28"/>
        <v>2022</v>
      </c>
      <c r="T294">
        <f t="shared" si="29"/>
        <v>12</v>
      </c>
    </row>
    <row r="295" spans="1:20" x14ac:dyDescent="0.25">
      <c r="A295" t="s">
        <v>551</v>
      </c>
      <c r="B295" t="s">
        <v>253</v>
      </c>
      <c r="C295" t="s">
        <v>334</v>
      </c>
      <c r="D295" s="1">
        <v>44414</v>
      </c>
      <c r="E295">
        <v>15</v>
      </c>
      <c r="F295">
        <v>29.703313209106401</v>
      </c>
      <c r="G295" s="1">
        <v>44428</v>
      </c>
      <c r="H295" s="1">
        <v>44425</v>
      </c>
      <c r="I295">
        <v>445.54969813659699</v>
      </c>
      <c r="J295">
        <f t="shared" si="24"/>
        <v>-3</v>
      </c>
      <c r="K295" t="str">
        <f>VLOOKUP(B295,Raw_Suppliers!$A$2:$G$101,2,FALSE)</f>
        <v>Vertex Apex Ltd</v>
      </c>
      <c r="L295" t="str">
        <f>VLOOKUP(B295,Raw_Suppliers!$A$2:$G$101,3,FALSE)</f>
        <v>Brazil</v>
      </c>
      <c r="M295" t="str">
        <f>VLOOKUP(B295,Raw_Suppliers!$A$2:$G$101,4,FALSE)</f>
        <v>South</v>
      </c>
      <c r="N295" t="str">
        <f>VLOOKUP(B295,Raw_Suppliers!$A$2:$G$101,6,FALSE)</f>
        <v>None</v>
      </c>
      <c r="O295">
        <f>VLOOKUP(B295,Raw_Suppliers!$A$2:$G$101,7,FALSE)</f>
        <v>1</v>
      </c>
      <c r="P295" t="str">
        <f t="shared" si="25"/>
        <v>Yes</v>
      </c>
      <c r="Q295">
        <f t="shared" si="26"/>
        <v>1</v>
      </c>
      <c r="R295" t="str">
        <f t="shared" si="27"/>
        <v>On Time</v>
      </c>
      <c r="S295">
        <f t="shared" si="28"/>
        <v>2021</v>
      </c>
      <c r="T295">
        <f t="shared" si="29"/>
        <v>8</v>
      </c>
    </row>
    <row r="296" spans="1:20" x14ac:dyDescent="0.25">
      <c r="A296" t="s">
        <v>552</v>
      </c>
      <c r="B296" t="s">
        <v>493</v>
      </c>
      <c r="C296" t="s">
        <v>297</v>
      </c>
      <c r="D296" s="1">
        <v>44496</v>
      </c>
      <c r="E296">
        <v>7</v>
      </c>
      <c r="F296">
        <v>73.906259385469397</v>
      </c>
      <c r="G296" s="1">
        <v>44510</v>
      </c>
      <c r="H296" s="1">
        <v>44511</v>
      </c>
      <c r="I296">
        <v>517.34381569828497</v>
      </c>
      <c r="J296">
        <f t="shared" si="24"/>
        <v>1</v>
      </c>
      <c r="K296" t="str">
        <f>VLOOKUP(B296,Raw_Suppliers!$A$2:$G$101,2,FALSE)</f>
        <v>Delta Vertex LLC</v>
      </c>
      <c r="L296" t="str">
        <f>VLOOKUP(B296,Raw_Suppliers!$A$2:$G$101,3,FALSE)</f>
        <v>China</v>
      </c>
      <c r="M296" t="str">
        <f>VLOOKUP(B296,Raw_Suppliers!$A$2:$G$101,4,FALSE)</f>
        <v>East</v>
      </c>
      <c r="N296" t="str">
        <f>VLOOKUP(B296,Raw_Suppliers!$A$2:$G$101,6,FALSE)</f>
        <v>None</v>
      </c>
      <c r="O296">
        <f>VLOOKUP(B296,Raw_Suppliers!$A$2:$G$101,7,FALSE)</f>
        <v>0</v>
      </c>
      <c r="P296" t="str">
        <f t="shared" si="25"/>
        <v>No</v>
      </c>
      <c r="Q296">
        <f t="shared" si="26"/>
        <v>0</v>
      </c>
      <c r="R296" t="str">
        <f t="shared" si="27"/>
        <v>Late</v>
      </c>
      <c r="S296">
        <f t="shared" si="28"/>
        <v>2021</v>
      </c>
      <c r="T296">
        <f t="shared" si="29"/>
        <v>10</v>
      </c>
    </row>
    <row r="297" spans="1:20" x14ac:dyDescent="0.25">
      <c r="A297" t="s">
        <v>553</v>
      </c>
      <c r="B297" t="s">
        <v>427</v>
      </c>
      <c r="C297" t="s">
        <v>434</v>
      </c>
      <c r="D297" s="1">
        <v>44307</v>
      </c>
      <c r="E297">
        <v>15</v>
      </c>
      <c r="F297">
        <v>5.0253406534500398</v>
      </c>
      <c r="G297" s="1">
        <v>44319</v>
      </c>
      <c r="H297" s="1">
        <v>44323</v>
      </c>
      <c r="I297">
        <v>75.380109801750606</v>
      </c>
      <c r="J297">
        <f t="shared" si="24"/>
        <v>4</v>
      </c>
      <c r="K297" t="str">
        <f>VLOOKUP(B297,Raw_Suppliers!$A$2:$G$101,2,FALSE)</f>
        <v>Nova Alpha Corp</v>
      </c>
      <c r="L297" t="str">
        <f>VLOOKUP(B297,Raw_Suppliers!$A$2:$G$101,3,FALSE)</f>
        <v>Denmark</v>
      </c>
      <c r="M297" t="str">
        <f>VLOOKUP(B297,Raw_Suppliers!$A$2:$G$101,4,FALSE)</f>
        <v>Central</v>
      </c>
      <c r="N297" t="str">
        <f>VLOOKUP(B297,Raw_Suppliers!$A$2:$G$101,6,FALSE)</f>
        <v>None</v>
      </c>
      <c r="O297">
        <f>VLOOKUP(B297,Raw_Suppliers!$A$2:$G$101,7,FALSE)</f>
        <v>0</v>
      </c>
      <c r="P297" t="str">
        <f t="shared" si="25"/>
        <v>No</v>
      </c>
      <c r="Q297">
        <f t="shared" si="26"/>
        <v>0</v>
      </c>
      <c r="R297" t="str">
        <f t="shared" si="27"/>
        <v>Late</v>
      </c>
      <c r="S297">
        <f t="shared" si="28"/>
        <v>2021</v>
      </c>
      <c r="T297">
        <f t="shared" si="29"/>
        <v>4</v>
      </c>
    </row>
    <row r="298" spans="1:20" x14ac:dyDescent="0.25">
      <c r="A298" t="s">
        <v>554</v>
      </c>
      <c r="B298" t="s">
        <v>121</v>
      </c>
      <c r="C298" t="s">
        <v>14</v>
      </c>
      <c r="D298" s="1">
        <v>45384</v>
      </c>
      <c r="E298">
        <v>9</v>
      </c>
      <c r="F298">
        <v>33.3056878851758</v>
      </c>
      <c r="G298" s="1">
        <v>45405</v>
      </c>
      <c r="H298" s="1">
        <v>45410</v>
      </c>
      <c r="I298">
        <v>299.75119096658199</v>
      </c>
      <c r="J298">
        <f t="shared" si="24"/>
        <v>5</v>
      </c>
      <c r="K298" t="str">
        <f>VLOOKUP(B298,Raw_Suppliers!$A$2:$G$101,2,FALSE)</f>
        <v>Vertex Vertex Inc</v>
      </c>
      <c r="L298" t="str">
        <f>VLOOKUP(B298,Raw_Suppliers!$A$2:$G$101,3,FALSE)</f>
        <v>USA</v>
      </c>
      <c r="M298" t="str">
        <f>VLOOKUP(B298,Raw_Suppliers!$A$2:$G$101,4,FALSE)</f>
        <v>West</v>
      </c>
      <c r="N298" t="str">
        <f>VLOOKUP(B298,Raw_Suppliers!$A$2:$G$101,6,FALSE)</f>
        <v>None</v>
      </c>
      <c r="O298">
        <f>VLOOKUP(B298,Raw_Suppliers!$A$2:$G$101,7,FALSE)</f>
        <v>0</v>
      </c>
      <c r="P298" t="str">
        <f t="shared" si="25"/>
        <v>No</v>
      </c>
      <c r="Q298">
        <f t="shared" si="26"/>
        <v>0</v>
      </c>
      <c r="R298" t="str">
        <f t="shared" si="27"/>
        <v>Late</v>
      </c>
      <c r="S298">
        <f t="shared" si="28"/>
        <v>2024</v>
      </c>
      <c r="T298">
        <f t="shared" si="29"/>
        <v>4</v>
      </c>
    </row>
    <row r="299" spans="1:20" x14ac:dyDescent="0.25">
      <c r="A299" t="s">
        <v>555</v>
      </c>
      <c r="B299" t="s">
        <v>556</v>
      </c>
      <c r="C299" t="s">
        <v>270</v>
      </c>
      <c r="D299" s="1">
        <v>44239</v>
      </c>
      <c r="E299">
        <v>11</v>
      </c>
      <c r="F299">
        <v>60.219709383235802</v>
      </c>
      <c r="G299" s="1">
        <v>44253</v>
      </c>
      <c r="H299" s="1">
        <v>44252</v>
      </c>
      <c r="I299">
        <v>662.41680321559397</v>
      </c>
      <c r="J299">
        <f t="shared" si="24"/>
        <v>-1</v>
      </c>
      <c r="K299" t="str">
        <f>VLOOKUP(B299,Raw_Suppliers!$A$2:$G$101,2,FALSE)</f>
        <v>Ultra Delta Ltd</v>
      </c>
      <c r="L299" t="str">
        <f>VLOOKUP(B299,Raw_Suppliers!$A$2:$G$101,3,FALSE)</f>
        <v>China</v>
      </c>
      <c r="M299" t="str">
        <f>VLOOKUP(B299,Raw_Suppliers!$A$2:$G$101,4,FALSE)</f>
        <v>Central</v>
      </c>
      <c r="N299" t="str">
        <f>VLOOKUP(B299,Raw_Suppliers!$A$2:$G$101,6,FALSE)</f>
        <v>ISO 45001</v>
      </c>
      <c r="O299">
        <f>VLOOKUP(B299,Raw_Suppliers!$A$2:$G$101,7,FALSE)</f>
        <v>0</v>
      </c>
      <c r="P299" t="str">
        <f t="shared" si="25"/>
        <v>No</v>
      </c>
      <c r="Q299">
        <f t="shared" si="26"/>
        <v>1</v>
      </c>
      <c r="R299" t="str">
        <f t="shared" si="27"/>
        <v>On Time</v>
      </c>
      <c r="S299">
        <f t="shared" si="28"/>
        <v>2021</v>
      </c>
      <c r="T299">
        <f t="shared" si="29"/>
        <v>2</v>
      </c>
    </row>
    <row r="300" spans="1:20" x14ac:dyDescent="0.25">
      <c r="A300" t="s">
        <v>557</v>
      </c>
      <c r="B300" t="s">
        <v>104</v>
      </c>
      <c r="C300" t="s">
        <v>470</v>
      </c>
      <c r="D300" s="1">
        <v>44218</v>
      </c>
      <c r="E300">
        <v>6</v>
      </c>
      <c r="F300">
        <v>21.0255220765624</v>
      </c>
      <c r="G300" s="1">
        <v>44239</v>
      </c>
      <c r="H300" s="1">
        <v>44242</v>
      </c>
      <c r="I300">
        <v>126.15313245937401</v>
      </c>
      <c r="J300">
        <f t="shared" si="24"/>
        <v>3</v>
      </c>
      <c r="K300" t="str">
        <f>VLOOKUP(B300,Raw_Suppliers!$A$2:$G$101,2,FALSE)</f>
        <v>Prime Omega Corp</v>
      </c>
      <c r="L300" t="str">
        <f>VLOOKUP(B300,Raw_Suppliers!$A$2:$G$101,3,FALSE)</f>
        <v>India</v>
      </c>
      <c r="M300" t="str">
        <f>VLOOKUP(B300,Raw_Suppliers!$A$2:$G$101,4,FALSE)</f>
        <v>Central</v>
      </c>
      <c r="N300" t="str">
        <f>VLOOKUP(B300,Raw_Suppliers!$A$2:$G$101,6,FALSE)</f>
        <v>ISO 14001</v>
      </c>
      <c r="O300">
        <f>VLOOKUP(B300,Raw_Suppliers!$A$2:$G$101,7,FALSE)</f>
        <v>0</v>
      </c>
      <c r="P300" t="str">
        <f t="shared" si="25"/>
        <v>No</v>
      </c>
      <c r="Q300">
        <f t="shared" si="26"/>
        <v>0</v>
      </c>
      <c r="R300" t="str">
        <f t="shared" si="27"/>
        <v>Late</v>
      </c>
      <c r="S300">
        <f t="shared" si="28"/>
        <v>2021</v>
      </c>
      <c r="T300">
        <f t="shared" si="29"/>
        <v>1</v>
      </c>
    </row>
    <row r="301" spans="1:20" x14ac:dyDescent="0.25">
      <c r="A301" t="s">
        <v>558</v>
      </c>
      <c r="B301" t="s">
        <v>189</v>
      </c>
      <c r="C301" t="s">
        <v>559</v>
      </c>
      <c r="D301" s="1">
        <v>44906</v>
      </c>
      <c r="E301">
        <v>9</v>
      </c>
      <c r="F301">
        <v>32.118802331799699</v>
      </c>
      <c r="G301" s="1">
        <v>44922</v>
      </c>
      <c r="H301" s="1">
        <v>44920</v>
      </c>
      <c r="I301">
        <v>289.06922098619702</v>
      </c>
      <c r="J301">
        <f t="shared" si="24"/>
        <v>-2</v>
      </c>
      <c r="K301" t="str">
        <f>VLOOKUP(B301,Raw_Suppliers!$A$2:$G$101,2,FALSE)</f>
        <v>Apex Pioneer Ltd</v>
      </c>
      <c r="L301" t="str">
        <f>VLOOKUP(B301,Raw_Suppliers!$A$2:$G$101,3,FALSE)</f>
        <v>Canada</v>
      </c>
      <c r="M301" t="str">
        <f>VLOOKUP(B301,Raw_Suppliers!$A$2:$G$101,4,FALSE)</f>
        <v>South</v>
      </c>
      <c r="N301" t="str">
        <f>VLOOKUP(B301,Raw_Suppliers!$A$2:$G$101,6,FALSE)</f>
        <v>ISO 14001</v>
      </c>
      <c r="O301">
        <f>VLOOKUP(B301,Raw_Suppliers!$A$2:$G$101,7,FALSE)</f>
        <v>1</v>
      </c>
      <c r="P301" t="str">
        <f t="shared" si="25"/>
        <v>Yes</v>
      </c>
      <c r="Q301">
        <f t="shared" si="26"/>
        <v>1</v>
      </c>
      <c r="R301" t="str">
        <f t="shared" si="27"/>
        <v>On Time</v>
      </c>
      <c r="S301">
        <f t="shared" si="28"/>
        <v>2022</v>
      </c>
      <c r="T301">
        <f t="shared" si="29"/>
        <v>12</v>
      </c>
    </row>
    <row r="302" spans="1:20" x14ac:dyDescent="0.25">
      <c r="A302" t="s">
        <v>560</v>
      </c>
      <c r="B302" t="s">
        <v>482</v>
      </c>
      <c r="C302" t="s">
        <v>400</v>
      </c>
      <c r="D302" s="1">
        <v>44691</v>
      </c>
      <c r="E302">
        <v>9</v>
      </c>
      <c r="F302">
        <v>43.818240399276497</v>
      </c>
      <c r="G302" s="1">
        <v>44701</v>
      </c>
      <c r="H302" s="1">
        <v>44703</v>
      </c>
      <c r="I302">
        <v>394.364163593488</v>
      </c>
      <c r="J302">
        <f t="shared" si="24"/>
        <v>2</v>
      </c>
      <c r="K302" t="str">
        <f>VLOOKUP(B302,Raw_Suppliers!$A$2:$G$101,2,FALSE)</f>
        <v>Eco Prime Corp</v>
      </c>
      <c r="L302" t="str">
        <f>VLOOKUP(B302,Raw_Suppliers!$A$2:$G$101,3,FALSE)</f>
        <v>China</v>
      </c>
      <c r="M302" t="str">
        <f>VLOOKUP(B302,Raw_Suppliers!$A$2:$G$101,4,FALSE)</f>
        <v>East</v>
      </c>
      <c r="N302" t="str">
        <f>VLOOKUP(B302,Raw_Suppliers!$A$2:$G$101,6,FALSE)</f>
        <v>ISO 45001</v>
      </c>
      <c r="O302">
        <f>VLOOKUP(B302,Raw_Suppliers!$A$2:$G$101,7,FALSE)</f>
        <v>1</v>
      </c>
      <c r="P302" t="str">
        <f t="shared" si="25"/>
        <v>Yes</v>
      </c>
      <c r="Q302">
        <f t="shared" si="26"/>
        <v>0</v>
      </c>
      <c r="R302" t="str">
        <f t="shared" si="27"/>
        <v>Late</v>
      </c>
      <c r="S302">
        <f t="shared" si="28"/>
        <v>2022</v>
      </c>
      <c r="T302">
        <f t="shared" si="29"/>
        <v>5</v>
      </c>
    </row>
    <row r="303" spans="1:20" x14ac:dyDescent="0.25">
      <c r="A303" t="s">
        <v>561</v>
      </c>
      <c r="B303" t="s">
        <v>359</v>
      </c>
      <c r="C303" t="s">
        <v>562</v>
      </c>
      <c r="D303" s="1">
        <v>45367</v>
      </c>
      <c r="E303">
        <v>9</v>
      </c>
      <c r="F303">
        <v>75.894447211075502</v>
      </c>
      <c r="G303" s="1">
        <v>45391</v>
      </c>
      <c r="H303" s="1">
        <v>45394</v>
      </c>
      <c r="I303">
        <v>683.05002489967899</v>
      </c>
      <c r="J303">
        <f t="shared" si="24"/>
        <v>3</v>
      </c>
      <c r="K303" t="str">
        <f>VLOOKUP(B303,Raw_Suppliers!$A$2:$G$101,2,FALSE)</f>
        <v>Alpha Alpha Corp</v>
      </c>
      <c r="L303" t="str">
        <f>VLOOKUP(B303,Raw_Suppliers!$A$2:$G$101,3,FALSE)</f>
        <v>India</v>
      </c>
      <c r="M303" t="str">
        <f>VLOOKUP(B303,Raw_Suppliers!$A$2:$G$101,4,FALSE)</f>
        <v>North</v>
      </c>
      <c r="N303" t="str">
        <f>VLOOKUP(B303,Raw_Suppliers!$A$2:$G$101,6,FALSE)</f>
        <v>ISO 9001</v>
      </c>
      <c r="O303">
        <f>VLOOKUP(B303,Raw_Suppliers!$A$2:$G$101,7,FALSE)</f>
        <v>1</v>
      </c>
      <c r="P303" t="str">
        <f t="shared" si="25"/>
        <v>Yes</v>
      </c>
      <c r="Q303">
        <f t="shared" si="26"/>
        <v>0</v>
      </c>
      <c r="R303" t="str">
        <f t="shared" si="27"/>
        <v>Late</v>
      </c>
      <c r="S303">
        <f t="shared" si="28"/>
        <v>2024</v>
      </c>
      <c r="T303">
        <f t="shared" si="29"/>
        <v>3</v>
      </c>
    </row>
    <row r="304" spans="1:20" x14ac:dyDescent="0.25">
      <c r="A304" t="s">
        <v>563</v>
      </c>
      <c r="B304" t="s">
        <v>564</v>
      </c>
      <c r="C304" t="s">
        <v>155</v>
      </c>
      <c r="D304" s="1">
        <v>44419</v>
      </c>
      <c r="E304">
        <v>13</v>
      </c>
      <c r="F304">
        <v>46.756341303689602</v>
      </c>
      <c r="G304" s="1">
        <v>44441</v>
      </c>
      <c r="H304" s="1">
        <v>44443</v>
      </c>
      <c r="I304">
        <v>607.83243694796499</v>
      </c>
      <c r="J304">
        <f t="shared" si="24"/>
        <v>2</v>
      </c>
      <c r="K304" t="str">
        <f>VLOOKUP(B304,Raw_Suppliers!$A$2:$G$101,2,FALSE)</f>
        <v>Ultra Ultra GmbH</v>
      </c>
      <c r="L304" t="str">
        <f>VLOOKUP(B304,Raw_Suppliers!$A$2:$G$101,3,FALSE)</f>
        <v>India</v>
      </c>
      <c r="M304" t="str">
        <f>VLOOKUP(B304,Raw_Suppliers!$A$2:$G$101,4,FALSE)</f>
        <v>Central</v>
      </c>
      <c r="N304" t="str">
        <f>VLOOKUP(B304,Raw_Suppliers!$A$2:$G$101,6,FALSE)</f>
        <v>ISO 14001</v>
      </c>
      <c r="O304">
        <f>VLOOKUP(B304,Raw_Suppliers!$A$2:$G$101,7,FALSE)</f>
        <v>1</v>
      </c>
      <c r="P304" t="str">
        <f t="shared" si="25"/>
        <v>Yes</v>
      </c>
      <c r="Q304">
        <f t="shared" si="26"/>
        <v>0</v>
      </c>
      <c r="R304" t="str">
        <f t="shared" si="27"/>
        <v>Late</v>
      </c>
      <c r="S304">
        <f t="shared" si="28"/>
        <v>2021</v>
      </c>
      <c r="T304">
        <f t="shared" si="29"/>
        <v>8</v>
      </c>
    </row>
    <row r="305" spans="1:20" x14ac:dyDescent="0.25">
      <c r="A305" t="s">
        <v>565</v>
      </c>
      <c r="B305" t="s">
        <v>451</v>
      </c>
      <c r="C305" t="s">
        <v>428</v>
      </c>
      <c r="D305" s="1">
        <v>44564</v>
      </c>
      <c r="E305">
        <v>11</v>
      </c>
      <c r="F305">
        <v>64.290359185126405</v>
      </c>
      <c r="G305" s="1">
        <v>44582</v>
      </c>
      <c r="H305" s="1">
        <v>44580</v>
      </c>
      <c r="I305">
        <v>707.19395103639101</v>
      </c>
      <c r="J305">
        <f t="shared" si="24"/>
        <v>-2</v>
      </c>
      <c r="K305" t="str">
        <f>VLOOKUP(B305,Raw_Suppliers!$A$2:$G$101,2,FALSE)</f>
        <v>Beta Apex Corp</v>
      </c>
      <c r="L305" t="str">
        <f>VLOOKUP(B305,Raw_Suppliers!$A$2:$G$101,3,FALSE)</f>
        <v>India</v>
      </c>
      <c r="M305" t="str">
        <f>VLOOKUP(B305,Raw_Suppliers!$A$2:$G$101,4,FALSE)</f>
        <v>Central</v>
      </c>
      <c r="N305" t="str">
        <f>VLOOKUP(B305,Raw_Suppliers!$A$2:$G$101,6,FALSE)</f>
        <v>ISO 9001</v>
      </c>
      <c r="O305">
        <f>VLOOKUP(B305,Raw_Suppliers!$A$2:$G$101,7,FALSE)</f>
        <v>0</v>
      </c>
      <c r="P305" t="str">
        <f t="shared" si="25"/>
        <v>No</v>
      </c>
      <c r="Q305">
        <f t="shared" si="26"/>
        <v>1</v>
      </c>
      <c r="R305" t="str">
        <f t="shared" si="27"/>
        <v>On Time</v>
      </c>
      <c r="S305">
        <f t="shared" si="28"/>
        <v>2022</v>
      </c>
      <c r="T305">
        <f t="shared" si="29"/>
        <v>1</v>
      </c>
    </row>
    <row r="306" spans="1:20" x14ac:dyDescent="0.25">
      <c r="A306" t="s">
        <v>566</v>
      </c>
      <c r="B306" t="s">
        <v>205</v>
      </c>
      <c r="C306" t="s">
        <v>341</v>
      </c>
      <c r="D306" s="1">
        <v>45053</v>
      </c>
      <c r="E306">
        <v>6</v>
      </c>
      <c r="F306">
        <v>21.9085338944986</v>
      </c>
      <c r="G306" s="1">
        <v>45074</v>
      </c>
      <c r="H306" s="1">
        <v>45075</v>
      </c>
      <c r="I306">
        <v>131.451203366991</v>
      </c>
      <c r="J306">
        <f t="shared" si="24"/>
        <v>1</v>
      </c>
      <c r="K306" t="str">
        <f>VLOOKUP(B306,Raw_Suppliers!$A$2:$G$101,2,FALSE)</f>
        <v>Ultra Eco LLC</v>
      </c>
      <c r="L306" t="str">
        <f>VLOOKUP(B306,Raw_Suppliers!$A$2:$G$101,3,FALSE)</f>
        <v>China</v>
      </c>
      <c r="M306" t="str">
        <f>VLOOKUP(B306,Raw_Suppliers!$A$2:$G$101,4,FALSE)</f>
        <v>South</v>
      </c>
      <c r="N306" t="str">
        <f>VLOOKUP(B306,Raw_Suppliers!$A$2:$G$101,6,FALSE)</f>
        <v>ISO 14001</v>
      </c>
      <c r="O306">
        <f>VLOOKUP(B306,Raw_Suppliers!$A$2:$G$101,7,FALSE)</f>
        <v>1</v>
      </c>
      <c r="P306" t="str">
        <f t="shared" si="25"/>
        <v>Yes</v>
      </c>
      <c r="Q306">
        <f t="shared" si="26"/>
        <v>0</v>
      </c>
      <c r="R306" t="str">
        <f t="shared" si="27"/>
        <v>Late</v>
      </c>
      <c r="S306">
        <f t="shared" si="28"/>
        <v>2023</v>
      </c>
      <c r="T306">
        <f t="shared" si="29"/>
        <v>5</v>
      </c>
    </row>
    <row r="307" spans="1:20" x14ac:dyDescent="0.25">
      <c r="A307" t="s">
        <v>567</v>
      </c>
      <c r="B307" t="s">
        <v>52</v>
      </c>
      <c r="C307" t="s">
        <v>504</v>
      </c>
      <c r="D307" s="1">
        <v>44639</v>
      </c>
      <c r="E307">
        <v>17</v>
      </c>
      <c r="F307">
        <v>32.2617769661572</v>
      </c>
      <c r="G307" s="1">
        <v>44649</v>
      </c>
      <c r="H307" s="1">
        <v>44646</v>
      </c>
      <c r="I307">
        <v>548.45020842467295</v>
      </c>
      <c r="J307">
        <f t="shared" si="24"/>
        <v>-3</v>
      </c>
      <c r="K307" t="str">
        <f>VLOOKUP(B307,Raw_Suppliers!$A$2:$G$101,2,FALSE)</f>
        <v>Beta Nano Corp</v>
      </c>
      <c r="L307" t="str">
        <f>VLOOKUP(B307,Raw_Suppliers!$A$2:$G$101,3,FALSE)</f>
        <v>UK</v>
      </c>
      <c r="M307" t="str">
        <f>VLOOKUP(B307,Raw_Suppliers!$A$2:$G$101,4,FALSE)</f>
        <v>Central</v>
      </c>
      <c r="N307" t="str">
        <f>VLOOKUP(B307,Raw_Suppliers!$A$2:$G$101,6,FALSE)</f>
        <v>ISO 45001</v>
      </c>
      <c r="O307">
        <f>VLOOKUP(B307,Raw_Suppliers!$A$2:$G$101,7,FALSE)</f>
        <v>0</v>
      </c>
      <c r="P307" t="str">
        <f t="shared" si="25"/>
        <v>No</v>
      </c>
      <c r="Q307">
        <f t="shared" si="26"/>
        <v>1</v>
      </c>
      <c r="R307" t="str">
        <f t="shared" si="27"/>
        <v>On Time</v>
      </c>
      <c r="S307">
        <f t="shared" si="28"/>
        <v>2022</v>
      </c>
      <c r="T307">
        <f t="shared" si="29"/>
        <v>3</v>
      </c>
    </row>
    <row r="308" spans="1:20" x14ac:dyDescent="0.25">
      <c r="A308" t="s">
        <v>568</v>
      </c>
      <c r="B308" t="s">
        <v>64</v>
      </c>
      <c r="C308" t="s">
        <v>14</v>
      </c>
      <c r="D308" s="1">
        <v>45360</v>
      </c>
      <c r="E308">
        <v>10</v>
      </c>
      <c r="F308">
        <v>13.5052052215314</v>
      </c>
      <c r="G308" s="1">
        <v>45380</v>
      </c>
      <c r="H308" s="1">
        <v>45380</v>
      </c>
      <c r="I308">
        <v>135.05205221531401</v>
      </c>
      <c r="J308">
        <f t="shared" si="24"/>
        <v>0</v>
      </c>
      <c r="K308" t="str">
        <f>VLOOKUP(B308,Raw_Suppliers!$A$2:$G$101,2,FALSE)</f>
        <v>Apex Quantum Inc</v>
      </c>
      <c r="L308" t="str">
        <f>VLOOKUP(B308,Raw_Suppliers!$A$2:$G$101,3,FALSE)</f>
        <v>India</v>
      </c>
      <c r="M308" t="str">
        <f>VLOOKUP(B308,Raw_Suppliers!$A$2:$G$101,4,FALSE)</f>
        <v>North</v>
      </c>
      <c r="N308" t="str">
        <f>VLOOKUP(B308,Raw_Suppliers!$A$2:$G$101,6,FALSE)</f>
        <v>ISO 45001</v>
      </c>
      <c r="O308">
        <f>VLOOKUP(B308,Raw_Suppliers!$A$2:$G$101,7,FALSE)</f>
        <v>1</v>
      </c>
      <c r="P308" t="str">
        <f t="shared" si="25"/>
        <v>Yes</v>
      </c>
      <c r="Q308">
        <f t="shared" si="26"/>
        <v>1</v>
      </c>
      <c r="R308" t="str">
        <f t="shared" si="27"/>
        <v>On Time</v>
      </c>
      <c r="S308">
        <f t="shared" si="28"/>
        <v>2024</v>
      </c>
      <c r="T308">
        <f t="shared" si="29"/>
        <v>3</v>
      </c>
    </row>
    <row r="309" spans="1:20" x14ac:dyDescent="0.25">
      <c r="A309" t="s">
        <v>569</v>
      </c>
      <c r="B309" t="s">
        <v>451</v>
      </c>
      <c r="C309" t="s">
        <v>56</v>
      </c>
      <c r="D309" s="1">
        <v>44574</v>
      </c>
      <c r="E309">
        <v>14</v>
      </c>
      <c r="F309">
        <v>48.345469458925002</v>
      </c>
      <c r="G309" s="1">
        <v>44589</v>
      </c>
      <c r="H309" s="1">
        <v>44594</v>
      </c>
      <c r="I309">
        <v>676.83657242494996</v>
      </c>
      <c r="J309">
        <f t="shared" si="24"/>
        <v>5</v>
      </c>
      <c r="K309" t="str">
        <f>VLOOKUP(B309,Raw_Suppliers!$A$2:$G$101,2,FALSE)</f>
        <v>Beta Apex Corp</v>
      </c>
      <c r="L309" t="str">
        <f>VLOOKUP(B309,Raw_Suppliers!$A$2:$G$101,3,FALSE)</f>
        <v>India</v>
      </c>
      <c r="M309" t="str">
        <f>VLOOKUP(B309,Raw_Suppliers!$A$2:$G$101,4,FALSE)</f>
        <v>Central</v>
      </c>
      <c r="N309" t="str">
        <f>VLOOKUP(B309,Raw_Suppliers!$A$2:$G$101,6,FALSE)</f>
        <v>ISO 9001</v>
      </c>
      <c r="O309">
        <f>VLOOKUP(B309,Raw_Suppliers!$A$2:$G$101,7,FALSE)</f>
        <v>0</v>
      </c>
      <c r="P309" t="str">
        <f t="shared" si="25"/>
        <v>No</v>
      </c>
      <c r="Q309">
        <f t="shared" si="26"/>
        <v>0</v>
      </c>
      <c r="R309" t="str">
        <f t="shared" si="27"/>
        <v>Late</v>
      </c>
      <c r="S309">
        <f t="shared" si="28"/>
        <v>2022</v>
      </c>
      <c r="T309">
        <f t="shared" si="29"/>
        <v>1</v>
      </c>
    </row>
    <row r="310" spans="1:20" x14ac:dyDescent="0.25">
      <c r="A310" t="s">
        <v>570</v>
      </c>
      <c r="B310" t="s">
        <v>203</v>
      </c>
      <c r="C310" t="s">
        <v>571</v>
      </c>
      <c r="D310" s="1">
        <v>44761</v>
      </c>
      <c r="E310">
        <v>15</v>
      </c>
      <c r="F310">
        <v>62.978544645077598</v>
      </c>
      <c r="G310" s="1">
        <v>44773</v>
      </c>
      <c r="H310" s="1">
        <v>44777</v>
      </c>
      <c r="I310">
        <v>944.67816967616398</v>
      </c>
      <c r="J310">
        <f t="shared" si="24"/>
        <v>4</v>
      </c>
      <c r="K310" t="str">
        <f>VLOOKUP(B310,Raw_Suppliers!$A$2:$G$101,2,FALSE)</f>
        <v>Nova Eco LLC</v>
      </c>
      <c r="L310" t="str">
        <f>VLOOKUP(B310,Raw_Suppliers!$A$2:$G$101,3,FALSE)</f>
        <v>Denmark</v>
      </c>
      <c r="M310" t="str">
        <f>VLOOKUP(B310,Raw_Suppliers!$A$2:$G$101,4,FALSE)</f>
        <v>South</v>
      </c>
      <c r="N310" t="str">
        <f>VLOOKUP(B310,Raw_Suppliers!$A$2:$G$101,6,FALSE)</f>
        <v>ISO 14001</v>
      </c>
      <c r="O310">
        <f>VLOOKUP(B310,Raw_Suppliers!$A$2:$G$101,7,FALSE)</f>
        <v>0</v>
      </c>
      <c r="P310" t="str">
        <f t="shared" si="25"/>
        <v>No</v>
      </c>
      <c r="Q310">
        <f t="shared" si="26"/>
        <v>0</v>
      </c>
      <c r="R310" t="str">
        <f t="shared" si="27"/>
        <v>Late</v>
      </c>
      <c r="S310">
        <f t="shared" si="28"/>
        <v>2022</v>
      </c>
      <c r="T310">
        <f t="shared" si="29"/>
        <v>7</v>
      </c>
    </row>
    <row r="311" spans="1:20" x14ac:dyDescent="0.25">
      <c r="A311" t="s">
        <v>572</v>
      </c>
      <c r="B311" t="s">
        <v>43</v>
      </c>
      <c r="C311" t="s">
        <v>408</v>
      </c>
      <c r="D311" s="1">
        <v>44875</v>
      </c>
      <c r="E311">
        <v>7</v>
      </c>
      <c r="F311">
        <v>21.9105867178944</v>
      </c>
      <c r="G311" s="1">
        <v>44897</v>
      </c>
      <c r="H311" s="1">
        <v>44898</v>
      </c>
      <c r="I311">
        <v>153.374107025261</v>
      </c>
      <c r="J311">
        <f t="shared" si="24"/>
        <v>1</v>
      </c>
      <c r="K311" t="str">
        <f>VLOOKUP(B311,Raw_Suppliers!$A$2:$G$101,2,FALSE)</f>
        <v>Alpha Ultra Corp</v>
      </c>
      <c r="L311" t="str">
        <f>VLOOKUP(B311,Raw_Suppliers!$A$2:$G$101,3,FALSE)</f>
        <v>USA</v>
      </c>
      <c r="M311" t="str">
        <f>VLOOKUP(B311,Raw_Suppliers!$A$2:$G$101,4,FALSE)</f>
        <v>Central</v>
      </c>
      <c r="N311" t="str">
        <f>VLOOKUP(B311,Raw_Suppliers!$A$2:$G$101,6,FALSE)</f>
        <v>ISO 9001</v>
      </c>
      <c r="O311">
        <f>VLOOKUP(B311,Raw_Suppliers!$A$2:$G$101,7,FALSE)</f>
        <v>1</v>
      </c>
      <c r="P311" t="str">
        <f t="shared" si="25"/>
        <v>Yes</v>
      </c>
      <c r="Q311">
        <f t="shared" si="26"/>
        <v>0</v>
      </c>
      <c r="R311" t="str">
        <f t="shared" si="27"/>
        <v>Late</v>
      </c>
      <c r="S311">
        <f t="shared" si="28"/>
        <v>2022</v>
      </c>
      <c r="T311">
        <f t="shared" si="29"/>
        <v>11</v>
      </c>
    </row>
    <row r="312" spans="1:20" x14ac:dyDescent="0.25">
      <c r="A312" t="s">
        <v>573</v>
      </c>
      <c r="B312" t="s">
        <v>539</v>
      </c>
      <c r="C312" t="s">
        <v>453</v>
      </c>
      <c r="D312" s="1">
        <v>44619</v>
      </c>
      <c r="E312">
        <v>15</v>
      </c>
      <c r="F312">
        <v>28.029583658455898</v>
      </c>
      <c r="G312" s="1">
        <v>44639</v>
      </c>
      <c r="H312" s="1">
        <v>44642</v>
      </c>
      <c r="I312">
        <v>420.443754876838</v>
      </c>
      <c r="J312">
        <f t="shared" si="24"/>
        <v>3</v>
      </c>
      <c r="K312" t="str">
        <f>VLOOKUP(B312,Raw_Suppliers!$A$2:$G$101,2,FALSE)</f>
        <v>Eco Eco Ltd</v>
      </c>
      <c r="L312" t="str">
        <f>VLOOKUP(B312,Raw_Suppliers!$A$2:$G$101,3,FALSE)</f>
        <v>USA</v>
      </c>
      <c r="M312" t="str">
        <f>VLOOKUP(B312,Raw_Suppliers!$A$2:$G$101,4,FALSE)</f>
        <v>South</v>
      </c>
      <c r="N312" t="str">
        <f>VLOOKUP(B312,Raw_Suppliers!$A$2:$G$101,6,FALSE)</f>
        <v>ISO 45001</v>
      </c>
      <c r="O312">
        <f>VLOOKUP(B312,Raw_Suppliers!$A$2:$G$101,7,FALSE)</f>
        <v>1</v>
      </c>
      <c r="P312" t="str">
        <f t="shared" si="25"/>
        <v>Yes</v>
      </c>
      <c r="Q312">
        <f t="shared" si="26"/>
        <v>0</v>
      </c>
      <c r="R312" t="str">
        <f t="shared" si="27"/>
        <v>Late</v>
      </c>
      <c r="S312">
        <f t="shared" si="28"/>
        <v>2022</v>
      </c>
      <c r="T312">
        <f t="shared" si="29"/>
        <v>2</v>
      </c>
    </row>
    <row r="313" spans="1:20" x14ac:dyDescent="0.25">
      <c r="A313" t="s">
        <v>574</v>
      </c>
      <c r="B313" t="s">
        <v>350</v>
      </c>
      <c r="C313" t="s">
        <v>274</v>
      </c>
      <c r="D313" s="1">
        <v>44712</v>
      </c>
      <c r="E313">
        <v>13</v>
      </c>
      <c r="F313">
        <v>70.069499576472396</v>
      </c>
      <c r="G313" s="1">
        <v>44722</v>
      </c>
      <c r="H313" s="1">
        <v>44724</v>
      </c>
      <c r="I313">
        <v>910.903494494141</v>
      </c>
      <c r="J313">
        <f t="shared" si="24"/>
        <v>2</v>
      </c>
      <c r="K313" t="str">
        <f>VLOOKUP(B313,Raw_Suppliers!$A$2:$G$101,2,FALSE)</f>
        <v>Prime Gamma GmbH</v>
      </c>
      <c r="L313" t="str">
        <f>VLOOKUP(B313,Raw_Suppliers!$A$2:$G$101,3,FALSE)</f>
        <v>Denmark</v>
      </c>
      <c r="M313" t="str">
        <f>VLOOKUP(B313,Raw_Suppliers!$A$2:$G$101,4,FALSE)</f>
        <v>West</v>
      </c>
      <c r="N313" t="str">
        <f>VLOOKUP(B313,Raw_Suppliers!$A$2:$G$101,6,FALSE)</f>
        <v>ISO 9001</v>
      </c>
      <c r="O313">
        <f>VLOOKUP(B313,Raw_Suppliers!$A$2:$G$101,7,FALSE)</f>
        <v>0</v>
      </c>
      <c r="P313" t="str">
        <f t="shared" si="25"/>
        <v>No</v>
      </c>
      <c r="Q313">
        <f t="shared" si="26"/>
        <v>0</v>
      </c>
      <c r="R313" t="str">
        <f t="shared" si="27"/>
        <v>Late</v>
      </c>
      <c r="S313">
        <f t="shared" si="28"/>
        <v>2022</v>
      </c>
      <c r="T313">
        <f t="shared" si="29"/>
        <v>5</v>
      </c>
    </row>
    <row r="314" spans="1:20" x14ac:dyDescent="0.25">
      <c r="A314" t="s">
        <v>575</v>
      </c>
      <c r="B314" t="s">
        <v>82</v>
      </c>
      <c r="C314" t="s">
        <v>514</v>
      </c>
      <c r="D314" s="1">
        <v>44247</v>
      </c>
      <c r="E314">
        <v>10</v>
      </c>
      <c r="F314">
        <v>3.3485748747338802</v>
      </c>
      <c r="G314" s="1">
        <v>44263</v>
      </c>
      <c r="H314" s="1">
        <v>44261</v>
      </c>
      <c r="I314">
        <v>33.485748747338803</v>
      </c>
      <c r="J314">
        <f t="shared" si="24"/>
        <v>-2</v>
      </c>
      <c r="K314" t="str">
        <f>VLOOKUP(B314,Raw_Suppliers!$A$2:$G$101,2,FALSE)</f>
        <v>Gamma Quantum LLC</v>
      </c>
      <c r="L314" t="str">
        <f>VLOOKUP(B314,Raw_Suppliers!$A$2:$G$101,3,FALSE)</f>
        <v>Canada</v>
      </c>
      <c r="M314" t="str">
        <f>VLOOKUP(B314,Raw_Suppliers!$A$2:$G$101,4,FALSE)</f>
        <v>Central</v>
      </c>
      <c r="N314" t="str">
        <f>VLOOKUP(B314,Raw_Suppliers!$A$2:$G$101,6,FALSE)</f>
        <v>None</v>
      </c>
      <c r="O314">
        <f>VLOOKUP(B314,Raw_Suppliers!$A$2:$G$101,7,FALSE)</f>
        <v>1</v>
      </c>
      <c r="P314" t="str">
        <f t="shared" si="25"/>
        <v>Yes</v>
      </c>
      <c r="Q314">
        <f t="shared" si="26"/>
        <v>1</v>
      </c>
      <c r="R314" t="str">
        <f t="shared" si="27"/>
        <v>On Time</v>
      </c>
      <c r="S314">
        <f t="shared" si="28"/>
        <v>2021</v>
      </c>
      <c r="T314">
        <f t="shared" si="29"/>
        <v>2</v>
      </c>
    </row>
    <row r="315" spans="1:20" x14ac:dyDescent="0.25">
      <c r="A315" t="s">
        <v>576</v>
      </c>
      <c r="B315" t="s">
        <v>91</v>
      </c>
      <c r="C315" t="s">
        <v>11</v>
      </c>
      <c r="D315" s="1">
        <v>45349</v>
      </c>
      <c r="E315">
        <v>12</v>
      </c>
      <c r="F315">
        <v>48.530367525258796</v>
      </c>
      <c r="G315" s="1">
        <v>45373</v>
      </c>
      <c r="H315" s="1">
        <v>45374</v>
      </c>
      <c r="I315">
        <v>582.36441030310596</v>
      </c>
      <c r="J315">
        <f t="shared" si="24"/>
        <v>1</v>
      </c>
      <c r="K315" t="str">
        <f>VLOOKUP(B315,Raw_Suppliers!$A$2:$G$101,2,FALSE)</f>
        <v>Apex Prime Ltd</v>
      </c>
      <c r="L315" t="str">
        <f>VLOOKUP(B315,Raw_Suppliers!$A$2:$G$101,3,FALSE)</f>
        <v>India</v>
      </c>
      <c r="M315" t="str">
        <f>VLOOKUP(B315,Raw_Suppliers!$A$2:$G$101,4,FALSE)</f>
        <v>South</v>
      </c>
      <c r="N315" t="str">
        <f>VLOOKUP(B315,Raw_Suppliers!$A$2:$G$101,6,FALSE)</f>
        <v>ISO 9001</v>
      </c>
      <c r="O315">
        <f>VLOOKUP(B315,Raw_Suppliers!$A$2:$G$101,7,FALSE)</f>
        <v>0</v>
      </c>
      <c r="P315" t="str">
        <f t="shared" si="25"/>
        <v>No</v>
      </c>
      <c r="Q315">
        <f t="shared" si="26"/>
        <v>0</v>
      </c>
      <c r="R315" t="str">
        <f t="shared" si="27"/>
        <v>Late</v>
      </c>
      <c r="S315">
        <f t="shared" si="28"/>
        <v>2024</v>
      </c>
      <c r="T315">
        <f t="shared" si="29"/>
        <v>2</v>
      </c>
    </row>
    <row r="316" spans="1:20" x14ac:dyDescent="0.25">
      <c r="A316" t="s">
        <v>577</v>
      </c>
      <c r="B316" t="s">
        <v>578</v>
      </c>
      <c r="C316" t="s">
        <v>408</v>
      </c>
      <c r="D316" s="1">
        <v>44254</v>
      </c>
      <c r="E316">
        <v>11</v>
      </c>
      <c r="F316">
        <v>42.916515759544403</v>
      </c>
      <c r="G316" s="1">
        <v>44270</v>
      </c>
      <c r="H316" s="1">
        <v>44268</v>
      </c>
      <c r="I316">
        <v>472.08167335498899</v>
      </c>
      <c r="J316">
        <f t="shared" si="24"/>
        <v>-2</v>
      </c>
      <c r="K316" t="str">
        <f>VLOOKUP(B316,Raw_Suppliers!$A$2:$G$101,2,FALSE)</f>
        <v>Beta Eco Ltd</v>
      </c>
      <c r="L316" t="str">
        <f>VLOOKUP(B316,Raw_Suppliers!$A$2:$G$101,3,FALSE)</f>
        <v>Canada</v>
      </c>
      <c r="M316" t="str">
        <f>VLOOKUP(B316,Raw_Suppliers!$A$2:$G$101,4,FALSE)</f>
        <v>East</v>
      </c>
      <c r="N316" t="str">
        <f>VLOOKUP(B316,Raw_Suppliers!$A$2:$G$101,6,FALSE)</f>
        <v>None</v>
      </c>
      <c r="O316">
        <f>VLOOKUP(B316,Raw_Suppliers!$A$2:$G$101,7,FALSE)</f>
        <v>0</v>
      </c>
      <c r="P316" t="str">
        <f t="shared" si="25"/>
        <v>No</v>
      </c>
      <c r="Q316">
        <f t="shared" si="26"/>
        <v>1</v>
      </c>
      <c r="R316" t="str">
        <f t="shared" si="27"/>
        <v>On Time</v>
      </c>
      <c r="S316">
        <f t="shared" si="28"/>
        <v>2021</v>
      </c>
      <c r="T316">
        <f t="shared" si="29"/>
        <v>2</v>
      </c>
    </row>
    <row r="317" spans="1:20" x14ac:dyDescent="0.25">
      <c r="A317" t="s">
        <v>579</v>
      </c>
      <c r="B317" t="s">
        <v>216</v>
      </c>
      <c r="C317" t="s">
        <v>172</v>
      </c>
      <c r="D317" s="1">
        <v>44551</v>
      </c>
      <c r="E317">
        <v>9</v>
      </c>
      <c r="F317">
        <v>53.3462168957887</v>
      </c>
      <c r="G317" s="1">
        <v>44567</v>
      </c>
      <c r="H317" s="1">
        <v>44569</v>
      </c>
      <c r="I317">
        <v>480.11595206209802</v>
      </c>
      <c r="J317">
        <f t="shared" si="24"/>
        <v>2</v>
      </c>
      <c r="K317" t="str">
        <f>VLOOKUP(B317,Raw_Suppliers!$A$2:$G$101,2,FALSE)</f>
        <v>Fusion Delta LLC</v>
      </c>
      <c r="L317" t="str">
        <f>VLOOKUP(B317,Raw_Suppliers!$A$2:$G$101,3,FALSE)</f>
        <v>Brazil</v>
      </c>
      <c r="M317" t="str">
        <f>VLOOKUP(B317,Raw_Suppliers!$A$2:$G$101,4,FALSE)</f>
        <v>Central</v>
      </c>
      <c r="N317" t="str">
        <f>VLOOKUP(B317,Raw_Suppliers!$A$2:$G$101,6,FALSE)</f>
        <v>ISO 14001</v>
      </c>
      <c r="O317">
        <f>VLOOKUP(B317,Raw_Suppliers!$A$2:$G$101,7,FALSE)</f>
        <v>0</v>
      </c>
      <c r="P317" t="str">
        <f t="shared" si="25"/>
        <v>No</v>
      </c>
      <c r="Q317">
        <f t="shared" si="26"/>
        <v>0</v>
      </c>
      <c r="R317" t="str">
        <f t="shared" si="27"/>
        <v>Late</v>
      </c>
      <c r="S317">
        <f t="shared" si="28"/>
        <v>2021</v>
      </c>
      <c r="T317">
        <f t="shared" si="29"/>
        <v>12</v>
      </c>
    </row>
    <row r="318" spans="1:20" x14ac:dyDescent="0.25">
      <c r="A318" t="s">
        <v>580</v>
      </c>
      <c r="B318" t="s">
        <v>73</v>
      </c>
      <c r="C318" t="s">
        <v>581</v>
      </c>
      <c r="D318" s="1">
        <v>44980</v>
      </c>
      <c r="E318">
        <v>14</v>
      </c>
      <c r="F318">
        <v>37.969858508216397</v>
      </c>
      <c r="G318" s="1">
        <v>45002</v>
      </c>
      <c r="H318" s="1">
        <v>45007</v>
      </c>
      <c r="I318">
        <v>531.57801911502997</v>
      </c>
      <c r="J318">
        <f t="shared" si="24"/>
        <v>5</v>
      </c>
      <c r="K318" t="str">
        <f>VLOOKUP(B318,Raw_Suppliers!$A$2:$G$101,2,FALSE)</f>
        <v>Gamma Quantum LLC</v>
      </c>
      <c r="L318" t="str">
        <f>VLOOKUP(B318,Raw_Suppliers!$A$2:$G$101,3,FALSE)</f>
        <v>Germany</v>
      </c>
      <c r="M318" t="str">
        <f>VLOOKUP(B318,Raw_Suppliers!$A$2:$G$101,4,FALSE)</f>
        <v>Central</v>
      </c>
      <c r="N318" t="str">
        <f>VLOOKUP(B318,Raw_Suppliers!$A$2:$G$101,6,FALSE)</f>
        <v>ISO 9001</v>
      </c>
      <c r="O318">
        <f>VLOOKUP(B318,Raw_Suppliers!$A$2:$G$101,7,FALSE)</f>
        <v>1</v>
      </c>
      <c r="P318" t="str">
        <f t="shared" si="25"/>
        <v>Yes</v>
      </c>
      <c r="Q318">
        <f t="shared" si="26"/>
        <v>0</v>
      </c>
      <c r="R318" t="str">
        <f t="shared" si="27"/>
        <v>Late</v>
      </c>
      <c r="S318">
        <f t="shared" si="28"/>
        <v>2023</v>
      </c>
      <c r="T318">
        <f t="shared" si="29"/>
        <v>2</v>
      </c>
    </row>
    <row r="319" spans="1:20" x14ac:dyDescent="0.25">
      <c r="A319" t="s">
        <v>582</v>
      </c>
      <c r="B319" t="s">
        <v>104</v>
      </c>
      <c r="C319" t="s">
        <v>521</v>
      </c>
      <c r="D319" s="1">
        <v>45251</v>
      </c>
      <c r="E319">
        <v>11</v>
      </c>
      <c r="F319">
        <v>24.534568828989599</v>
      </c>
      <c r="G319" s="1">
        <v>45264</v>
      </c>
      <c r="H319" s="1">
        <v>45262</v>
      </c>
      <c r="I319">
        <v>269.88025711888599</v>
      </c>
      <c r="J319">
        <f t="shared" si="24"/>
        <v>-2</v>
      </c>
      <c r="K319" t="str">
        <f>VLOOKUP(B319,Raw_Suppliers!$A$2:$G$101,2,FALSE)</f>
        <v>Prime Omega Corp</v>
      </c>
      <c r="L319" t="str">
        <f>VLOOKUP(B319,Raw_Suppliers!$A$2:$G$101,3,FALSE)</f>
        <v>India</v>
      </c>
      <c r="M319" t="str">
        <f>VLOOKUP(B319,Raw_Suppliers!$A$2:$G$101,4,FALSE)</f>
        <v>Central</v>
      </c>
      <c r="N319" t="str">
        <f>VLOOKUP(B319,Raw_Suppliers!$A$2:$G$101,6,FALSE)</f>
        <v>ISO 14001</v>
      </c>
      <c r="O319">
        <f>VLOOKUP(B319,Raw_Suppliers!$A$2:$G$101,7,FALSE)</f>
        <v>0</v>
      </c>
      <c r="P319" t="str">
        <f t="shared" si="25"/>
        <v>No</v>
      </c>
      <c r="Q319">
        <f t="shared" si="26"/>
        <v>1</v>
      </c>
      <c r="R319" t="str">
        <f t="shared" si="27"/>
        <v>On Time</v>
      </c>
      <c r="S319">
        <f t="shared" si="28"/>
        <v>2023</v>
      </c>
      <c r="T319">
        <f t="shared" si="29"/>
        <v>11</v>
      </c>
    </row>
    <row r="320" spans="1:20" x14ac:dyDescent="0.25">
      <c r="A320" t="s">
        <v>583</v>
      </c>
      <c r="B320" t="s">
        <v>114</v>
      </c>
      <c r="C320" t="s">
        <v>161</v>
      </c>
      <c r="D320" s="1">
        <v>45148</v>
      </c>
      <c r="E320">
        <v>10</v>
      </c>
      <c r="F320">
        <v>38.8345547860038</v>
      </c>
      <c r="G320" s="1">
        <v>45165</v>
      </c>
      <c r="H320" s="1">
        <v>45169</v>
      </c>
      <c r="I320">
        <v>388.34554786003798</v>
      </c>
      <c r="J320">
        <f t="shared" si="24"/>
        <v>4</v>
      </c>
      <c r="K320" t="str">
        <f>VLOOKUP(B320,Raw_Suppliers!$A$2:$G$101,2,FALSE)</f>
        <v>Fusion Fusion LLC</v>
      </c>
      <c r="L320" t="str">
        <f>VLOOKUP(B320,Raw_Suppliers!$A$2:$G$101,3,FALSE)</f>
        <v>China</v>
      </c>
      <c r="M320" t="str">
        <f>VLOOKUP(B320,Raw_Suppliers!$A$2:$G$101,4,FALSE)</f>
        <v>North</v>
      </c>
      <c r="N320" t="str">
        <f>VLOOKUP(B320,Raw_Suppliers!$A$2:$G$101,6,FALSE)</f>
        <v>ISO 45001</v>
      </c>
      <c r="O320">
        <f>VLOOKUP(B320,Raw_Suppliers!$A$2:$G$101,7,FALSE)</f>
        <v>1</v>
      </c>
      <c r="P320" t="str">
        <f t="shared" si="25"/>
        <v>Yes</v>
      </c>
      <c r="Q320">
        <f t="shared" si="26"/>
        <v>0</v>
      </c>
      <c r="R320" t="str">
        <f t="shared" si="27"/>
        <v>Late</v>
      </c>
      <c r="S320">
        <f t="shared" si="28"/>
        <v>2023</v>
      </c>
      <c r="T320">
        <f t="shared" si="29"/>
        <v>8</v>
      </c>
    </row>
    <row r="321" spans="1:20" x14ac:dyDescent="0.25">
      <c r="A321" t="s">
        <v>584</v>
      </c>
      <c r="B321" t="s">
        <v>31</v>
      </c>
      <c r="C321" t="s">
        <v>297</v>
      </c>
      <c r="D321" s="1">
        <v>44734</v>
      </c>
      <c r="E321">
        <v>13</v>
      </c>
      <c r="F321">
        <v>25.3516346374523</v>
      </c>
      <c r="G321" s="1">
        <v>44753</v>
      </c>
      <c r="H321" s="1">
        <v>44750</v>
      </c>
      <c r="I321">
        <v>329.57125028688</v>
      </c>
      <c r="J321">
        <f t="shared" si="24"/>
        <v>-3</v>
      </c>
      <c r="K321" t="str">
        <f>VLOOKUP(B321,Raw_Suppliers!$A$2:$G$101,2,FALSE)</f>
        <v>Nova Nano GmbH</v>
      </c>
      <c r="L321" t="str">
        <f>VLOOKUP(B321,Raw_Suppliers!$A$2:$G$101,3,FALSE)</f>
        <v>Denmark</v>
      </c>
      <c r="M321" t="str">
        <f>VLOOKUP(B321,Raw_Suppliers!$A$2:$G$101,4,FALSE)</f>
        <v>South</v>
      </c>
      <c r="N321" t="str">
        <f>VLOOKUP(B321,Raw_Suppliers!$A$2:$G$101,6,FALSE)</f>
        <v>ISO 14001</v>
      </c>
      <c r="O321">
        <f>VLOOKUP(B321,Raw_Suppliers!$A$2:$G$101,7,FALSE)</f>
        <v>1</v>
      </c>
      <c r="P321" t="str">
        <f t="shared" si="25"/>
        <v>Yes</v>
      </c>
      <c r="Q321">
        <f t="shared" si="26"/>
        <v>1</v>
      </c>
      <c r="R321" t="str">
        <f t="shared" si="27"/>
        <v>On Time</v>
      </c>
      <c r="S321">
        <f t="shared" si="28"/>
        <v>2022</v>
      </c>
      <c r="T321">
        <f t="shared" si="29"/>
        <v>6</v>
      </c>
    </row>
    <row r="322" spans="1:20" x14ac:dyDescent="0.25">
      <c r="A322" t="s">
        <v>585</v>
      </c>
      <c r="B322" t="s">
        <v>49</v>
      </c>
      <c r="C322" t="s">
        <v>334</v>
      </c>
      <c r="D322" s="1">
        <v>45328</v>
      </c>
      <c r="E322">
        <v>12</v>
      </c>
      <c r="F322">
        <v>11.3082591094675</v>
      </c>
      <c r="G322" s="1">
        <v>45349</v>
      </c>
      <c r="H322" s="1">
        <v>45349</v>
      </c>
      <c r="I322">
        <v>135.69910931360999</v>
      </c>
      <c r="J322">
        <f t="shared" si="24"/>
        <v>0</v>
      </c>
      <c r="K322" t="str">
        <f>VLOOKUP(B322,Raw_Suppliers!$A$2:$G$101,2,FALSE)</f>
        <v>Prime Prime Corp</v>
      </c>
      <c r="L322" t="str">
        <f>VLOOKUP(B322,Raw_Suppliers!$A$2:$G$101,3,FALSE)</f>
        <v>China</v>
      </c>
      <c r="M322" t="str">
        <f>VLOOKUP(B322,Raw_Suppliers!$A$2:$G$101,4,FALSE)</f>
        <v>North</v>
      </c>
      <c r="N322" t="str">
        <f>VLOOKUP(B322,Raw_Suppliers!$A$2:$G$101,6,FALSE)</f>
        <v>ISO 45001</v>
      </c>
      <c r="O322">
        <f>VLOOKUP(B322,Raw_Suppliers!$A$2:$G$101,7,FALSE)</f>
        <v>0</v>
      </c>
      <c r="P322" t="str">
        <f t="shared" si="25"/>
        <v>No</v>
      </c>
      <c r="Q322">
        <f t="shared" si="26"/>
        <v>1</v>
      </c>
      <c r="R322" t="str">
        <f t="shared" si="27"/>
        <v>On Time</v>
      </c>
      <c r="S322">
        <f t="shared" si="28"/>
        <v>2024</v>
      </c>
      <c r="T322">
        <f t="shared" si="29"/>
        <v>2</v>
      </c>
    </row>
    <row r="323" spans="1:20" x14ac:dyDescent="0.25">
      <c r="A323" t="s">
        <v>586</v>
      </c>
      <c r="B323" t="s">
        <v>61</v>
      </c>
      <c r="C323" t="s">
        <v>587</v>
      </c>
      <c r="D323" s="1">
        <v>44430</v>
      </c>
      <c r="E323">
        <v>11</v>
      </c>
      <c r="F323">
        <v>17.055427179871199</v>
      </c>
      <c r="G323" s="1">
        <v>44450</v>
      </c>
      <c r="H323" s="1">
        <v>44454</v>
      </c>
      <c r="I323">
        <v>187.609698978583</v>
      </c>
      <c r="J323">
        <f t="shared" ref="J323:J386" si="30">H323-G323</f>
        <v>4</v>
      </c>
      <c r="K323" t="str">
        <f>VLOOKUP(B323,Raw_Suppliers!$A$2:$G$101,2,FALSE)</f>
        <v>Ultra Gamma LLC</v>
      </c>
      <c r="L323" t="str">
        <f>VLOOKUP(B323,Raw_Suppliers!$A$2:$G$101,3,FALSE)</f>
        <v>Canada</v>
      </c>
      <c r="M323" t="str">
        <f>VLOOKUP(B323,Raw_Suppliers!$A$2:$G$101,4,FALSE)</f>
        <v>North</v>
      </c>
      <c r="N323" t="str">
        <f>VLOOKUP(B323,Raw_Suppliers!$A$2:$G$101,6,FALSE)</f>
        <v>ISO 9001</v>
      </c>
      <c r="O323">
        <f>VLOOKUP(B323,Raw_Suppliers!$A$2:$G$101,7,FALSE)</f>
        <v>1</v>
      </c>
      <c r="P323" t="str">
        <f t="shared" ref="P323:P386" si="31">IF(O323=1,"Yes","No")</f>
        <v>Yes</v>
      </c>
      <c r="Q323">
        <f t="shared" ref="Q323:Q386" si="32">IF(J323&lt;=0,1,0)</f>
        <v>0</v>
      </c>
      <c r="R323" t="str">
        <f t="shared" ref="R323:R386" si="33">IF(Q323=1,"On Time","Late")</f>
        <v>Late</v>
      </c>
      <c r="S323">
        <f t="shared" ref="S323:S386" si="34">YEAR(D323)</f>
        <v>2021</v>
      </c>
      <c r="T323">
        <f t="shared" ref="T323:T386" si="35">MONTH(D323)</f>
        <v>8</v>
      </c>
    </row>
    <row r="324" spans="1:20" x14ac:dyDescent="0.25">
      <c r="A324" t="s">
        <v>588</v>
      </c>
      <c r="B324" t="s">
        <v>482</v>
      </c>
      <c r="C324" t="s">
        <v>589</v>
      </c>
      <c r="D324" s="1">
        <v>45071</v>
      </c>
      <c r="E324">
        <v>10</v>
      </c>
      <c r="F324">
        <v>34.645212507321403</v>
      </c>
      <c r="G324" s="1">
        <v>45091</v>
      </c>
      <c r="H324" s="1">
        <v>45095</v>
      </c>
      <c r="I324">
        <v>346.45212507321401</v>
      </c>
      <c r="J324">
        <f t="shared" si="30"/>
        <v>4</v>
      </c>
      <c r="K324" t="str">
        <f>VLOOKUP(B324,Raw_Suppliers!$A$2:$G$101,2,FALSE)</f>
        <v>Eco Prime Corp</v>
      </c>
      <c r="L324" t="str">
        <f>VLOOKUP(B324,Raw_Suppliers!$A$2:$G$101,3,FALSE)</f>
        <v>China</v>
      </c>
      <c r="M324" t="str">
        <f>VLOOKUP(B324,Raw_Suppliers!$A$2:$G$101,4,FALSE)</f>
        <v>East</v>
      </c>
      <c r="N324" t="str">
        <f>VLOOKUP(B324,Raw_Suppliers!$A$2:$G$101,6,FALSE)</f>
        <v>ISO 45001</v>
      </c>
      <c r="O324">
        <f>VLOOKUP(B324,Raw_Suppliers!$A$2:$G$101,7,FALSE)</f>
        <v>1</v>
      </c>
      <c r="P324" t="str">
        <f t="shared" si="31"/>
        <v>Yes</v>
      </c>
      <c r="Q324">
        <f t="shared" si="32"/>
        <v>0</v>
      </c>
      <c r="R324" t="str">
        <f t="shared" si="33"/>
        <v>Late</v>
      </c>
      <c r="S324">
        <f t="shared" si="34"/>
        <v>2023</v>
      </c>
      <c r="T324">
        <f t="shared" si="35"/>
        <v>5</v>
      </c>
    </row>
    <row r="325" spans="1:20" x14ac:dyDescent="0.25">
      <c r="A325" t="s">
        <v>590</v>
      </c>
      <c r="B325" t="s">
        <v>293</v>
      </c>
      <c r="C325" t="s">
        <v>559</v>
      </c>
      <c r="D325" s="1">
        <v>45214</v>
      </c>
      <c r="E325">
        <v>10</v>
      </c>
      <c r="F325">
        <v>40.649246306417602</v>
      </c>
      <c r="G325" s="1">
        <v>45236</v>
      </c>
      <c r="H325" s="1">
        <v>45242</v>
      </c>
      <c r="I325">
        <v>406.49246306417598</v>
      </c>
      <c r="J325">
        <f t="shared" si="30"/>
        <v>6</v>
      </c>
      <c r="K325" t="str">
        <f>VLOOKUP(B325,Raw_Suppliers!$A$2:$G$101,2,FALSE)</f>
        <v>Fusion Apex LLC</v>
      </c>
      <c r="L325" t="str">
        <f>VLOOKUP(B325,Raw_Suppliers!$A$2:$G$101,3,FALSE)</f>
        <v>India</v>
      </c>
      <c r="M325" t="str">
        <f>VLOOKUP(B325,Raw_Suppliers!$A$2:$G$101,4,FALSE)</f>
        <v>Central</v>
      </c>
      <c r="N325" t="str">
        <f>VLOOKUP(B325,Raw_Suppliers!$A$2:$G$101,6,FALSE)</f>
        <v>ISO 14001</v>
      </c>
      <c r="O325">
        <f>VLOOKUP(B325,Raw_Suppliers!$A$2:$G$101,7,FALSE)</f>
        <v>1</v>
      </c>
      <c r="P325" t="str">
        <f t="shared" si="31"/>
        <v>Yes</v>
      </c>
      <c r="Q325">
        <f t="shared" si="32"/>
        <v>0</v>
      </c>
      <c r="R325" t="str">
        <f t="shared" si="33"/>
        <v>Late</v>
      </c>
      <c r="S325">
        <f t="shared" si="34"/>
        <v>2023</v>
      </c>
      <c r="T325">
        <f t="shared" si="35"/>
        <v>10</v>
      </c>
    </row>
    <row r="326" spans="1:20" x14ac:dyDescent="0.25">
      <c r="A326" t="s">
        <v>591</v>
      </c>
      <c r="B326" t="s">
        <v>219</v>
      </c>
      <c r="C326" t="s">
        <v>268</v>
      </c>
      <c r="D326" s="1">
        <v>44335</v>
      </c>
      <c r="E326">
        <v>11</v>
      </c>
      <c r="F326">
        <v>55.964817573600698</v>
      </c>
      <c r="G326" s="1">
        <v>44346</v>
      </c>
      <c r="H326" s="1">
        <v>44350</v>
      </c>
      <c r="I326">
        <v>615.61299330960696</v>
      </c>
      <c r="J326">
        <f t="shared" si="30"/>
        <v>4</v>
      </c>
      <c r="K326" t="str">
        <f>VLOOKUP(B326,Raw_Suppliers!$A$2:$G$101,2,FALSE)</f>
        <v>Quantum Quantum Ltd</v>
      </c>
      <c r="L326" t="str">
        <f>VLOOKUP(B326,Raw_Suppliers!$A$2:$G$101,3,FALSE)</f>
        <v>USA</v>
      </c>
      <c r="M326" t="str">
        <f>VLOOKUP(B326,Raw_Suppliers!$A$2:$G$101,4,FALSE)</f>
        <v>South</v>
      </c>
      <c r="N326" t="str">
        <f>VLOOKUP(B326,Raw_Suppliers!$A$2:$G$101,6,FALSE)</f>
        <v>ISO 14001</v>
      </c>
      <c r="O326">
        <f>VLOOKUP(B326,Raw_Suppliers!$A$2:$G$101,7,FALSE)</f>
        <v>0</v>
      </c>
      <c r="P326" t="str">
        <f t="shared" si="31"/>
        <v>No</v>
      </c>
      <c r="Q326">
        <f t="shared" si="32"/>
        <v>0</v>
      </c>
      <c r="R326" t="str">
        <f t="shared" si="33"/>
        <v>Late</v>
      </c>
      <c r="S326">
        <f t="shared" si="34"/>
        <v>2021</v>
      </c>
      <c r="T326">
        <f t="shared" si="35"/>
        <v>5</v>
      </c>
    </row>
    <row r="327" spans="1:20" x14ac:dyDescent="0.25">
      <c r="A327" t="s">
        <v>592</v>
      </c>
      <c r="B327" t="s">
        <v>216</v>
      </c>
      <c r="C327" t="s">
        <v>589</v>
      </c>
      <c r="D327" s="1">
        <v>45195</v>
      </c>
      <c r="E327">
        <v>5</v>
      </c>
      <c r="F327">
        <v>52.966038826101901</v>
      </c>
      <c r="G327" s="1">
        <v>45219</v>
      </c>
      <c r="H327" s="1">
        <v>45219</v>
      </c>
      <c r="I327">
        <v>264.83019413050903</v>
      </c>
      <c r="J327">
        <f t="shared" si="30"/>
        <v>0</v>
      </c>
      <c r="K327" t="str">
        <f>VLOOKUP(B327,Raw_Suppliers!$A$2:$G$101,2,FALSE)</f>
        <v>Fusion Delta LLC</v>
      </c>
      <c r="L327" t="str">
        <f>VLOOKUP(B327,Raw_Suppliers!$A$2:$G$101,3,FALSE)</f>
        <v>Brazil</v>
      </c>
      <c r="M327" t="str">
        <f>VLOOKUP(B327,Raw_Suppliers!$A$2:$G$101,4,FALSE)</f>
        <v>Central</v>
      </c>
      <c r="N327" t="str">
        <f>VLOOKUP(B327,Raw_Suppliers!$A$2:$G$101,6,FALSE)</f>
        <v>ISO 14001</v>
      </c>
      <c r="O327">
        <f>VLOOKUP(B327,Raw_Suppliers!$A$2:$G$101,7,FALSE)</f>
        <v>0</v>
      </c>
      <c r="P327" t="str">
        <f t="shared" si="31"/>
        <v>No</v>
      </c>
      <c r="Q327">
        <f t="shared" si="32"/>
        <v>1</v>
      </c>
      <c r="R327" t="str">
        <f t="shared" si="33"/>
        <v>On Time</v>
      </c>
      <c r="S327">
        <f t="shared" si="34"/>
        <v>2023</v>
      </c>
      <c r="T327">
        <f t="shared" si="35"/>
        <v>9</v>
      </c>
    </row>
    <row r="328" spans="1:20" x14ac:dyDescent="0.25">
      <c r="A328" t="s">
        <v>593</v>
      </c>
      <c r="B328" t="s">
        <v>253</v>
      </c>
      <c r="C328" t="s">
        <v>594</v>
      </c>
      <c r="D328" s="1">
        <v>44297</v>
      </c>
      <c r="E328">
        <v>9</v>
      </c>
      <c r="F328">
        <v>36.945626478723</v>
      </c>
      <c r="G328" s="1">
        <v>44311</v>
      </c>
      <c r="H328" s="1">
        <v>44314</v>
      </c>
      <c r="I328">
        <v>332.510638308507</v>
      </c>
      <c r="J328">
        <f t="shared" si="30"/>
        <v>3</v>
      </c>
      <c r="K328" t="str">
        <f>VLOOKUP(B328,Raw_Suppliers!$A$2:$G$101,2,FALSE)</f>
        <v>Vertex Apex Ltd</v>
      </c>
      <c r="L328" t="str">
        <f>VLOOKUP(B328,Raw_Suppliers!$A$2:$G$101,3,FALSE)</f>
        <v>Brazil</v>
      </c>
      <c r="M328" t="str">
        <f>VLOOKUP(B328,Raw_Suppliers!$A$2:$G$101,4,FALSE)</f>
        <v>South</v>
      </c>
      <c r="N328" t="str">
        <f>VLOOKUP(B328,Raw_Suppliers!$A$2:$G$101,6,FALSE)</f>
        <v>None</v>
      </c>
      <c r="O328">
        <f>VLOOKUP(B328,Raw_Suppliers!$A$2:$G$101,7,FALSE)</f>
        <v>1</v>
      </c>
      <c r="P328" t="str">
        <f t="shared" si="31"/>
        <v>Yes</v>
      </c>
      <c r="Q328">
        <f t="shared" si="32"/>
        <v>0</v>
      </c>
      <c r="R328" t="str">
        <f t="shared" si="33"/>
        <v>Late</v>
      </c>
      <c r="S328">
        <f t="shared" si="34"/>
        <v>2021</v>
      </c>
      <c r="T328">
        <f t="shared" si="35"/>
        <v>4</v>
      </c>
    </row>
    <row r="329" spans="1:20" x14ac:dyDescent="0.25">
      <c r="A329" t="s">
        <v>595</v>
      </c>
      <c r="B329" t="s">
        <v>43</v>
      </c>
      <c r="C329" t="s">
        <v>274</v>
      </c>
      <c r="D329" s="1">
        <v>44491</v>
      </c>
      <c r="E329">
        <v>8</v>
      </c>
      <c r="F329">
        <v>57.812721565646399</v>
      </c>
      <c r="G329" s="1">
        <v>44503</v>
      </c>
      <c r="H329" s="1">
        <v>44501</v>
      </c>
      <c r="I329">
        <v>462.50177252517102</v>
      </c>
      <c r="J329">
        <f t="shared" si="30"/>
        <v>-2</v>
      </c>
      <c r="K329" t="str">
        <f>VLOOKUP(B329,Raw_Suppliers!$A$2:$G$101,2,FALSE)</f>
        <v>Alpha Ultra Corp</v>
      </c>
      <c r="L329" t="str">
        <f>VLOOKUP(B329,Raw_Suppliers!$A$2:$G$101,3,FALSE)</f>
        <v>USA</v>
      </c>
      <c r="M329" t="str">
        <f>VLOOKUP(B329,Raw_Suppliers!$A$2:$G$101,4,FALSE)</f>
        <v>Central</v>
      </c>
      <c r="N329" t="str">
        <f>VLOOKUP(B329,Raw_Suppliers!$A$2:$G$101,6,FALSE)</f>
        <v>ISO 9001</v>
      </c>
      <c r="O329">
        <f>VLOOKUP(B329,Raw_Suppliers!$A$2:$G$101,7,FALSE)</f>
        <v>1</v>
      </c>
      <c r="P329" t="str">
        <f t="shared" si="31"/>
        <v>Yes</v>
      </c>
      <c r="Q329">
        <f t="shared" si="32"/>
        <v>1</v>
      </c>
      <c r="R329" t="str">
        <f t="shared" si="33"/>
        <v>On Time</v>
      </c>
      <c r="S329">
        <f t="shared" si="34"/>
        <v>2021</v>
      </c>
      <c r="T329">
        <f t="shared" si="35"/>
        <v>10</v>
      </c>
    </row>
    <row r="330" spans="1:20" x14ac:dyDescent="0.25">
      <c r="A330" t="s">
        <v>596</v>
      </c>
      <c r="B330" t="s">
        <v>73</v>
      </c>
      <c r="C330" t="s">
        <v>281</v>
      </c>
      <c r="D330" s="1">
        <v>45001</v>
      </c>
      <c r="E330">
        <v>12</v>
      </c>
      <c r="F330">
        <v>69.747540784407903</v>
      </c>
      <c r="G330" s="1">
        <v>45020</v>
      </c>
      <c r="H330" s="1">
        <v>45025</v>
      </c>
      <c r="I330">
        <v>836.97048941289495</v>
      </c>
      <c r="J330">
        <f t="shared" si="30"/>
        <v>5</v>
      </c>
      <c r="K330" t="str">
        <f>VLOOKUP(B330,Raw_Suppliers!$A$2:$G$101,2,FALSE)</f>
        <v>Gamma Quantum LLC</v>
      </c>
      <c r="L330" t="str">
        <f>VLOOKUP(B330,Raw_Suppliers!$A$2:$G$101,3,FALSE)</f>
        <v>Germany</v>
      </c>
      <c r="M330" t="str">
        <f>VLOOKUP(B330,Raw_Suppliers!$A$2:$G$101,4,FALSE)</f>
        <v>Central</v>
      </c>
      <c r="N330" t="str">
        <f>VLOOKUP(B330,Raw_Suppliers!$A$2:$G$101,6,FALSE)</f>
        <v>ISO 9001</v>
      </c>
      <c r="O330">
        <f>VLOOKUP(B330,Raw_Suppliers!$A$2:$G$101,7,FALSE)</f>
        <v>1</v>
      </c>
      <c r="P330" t="str">
        <f t="shared" si="31"/>
        <v>Yes</v>
      </c>
      <c r="Q330">
        <f t="shared" si="32"/>
        <v>0</v>
      </c>
      <c r="R330" t="str">
        <f t="shared" si="33"/>
        <v>Late</v>
      </c>
      <c r="S330">
        <f t="shared" si="34"/>
        <v>2023</v>
      </c>
      <c r="T330">
        <f t="shared" si="35"/>
        <v>3</v>
      </c>
    </row>
    <row r="331" spans="1:20" x14ac:dyDescent="0.25">
      <c r="A331" t="s">
        <v>597</v>
      </c>
      <c r="B331" t="s">
        <v>485</v>
      </c>
      <c r="C331" t="s">
        <v>495</v>
      </c>
      <c r="D331" s="1">
        <v>44615</v>
      </c>
      <c r="E331">
        <v>5</v>
      </c>
      <c r="F331">
        <v>33.849874758262096</v>
      </c>
      <c r="G331" s="1">
        <v>44638</v>
      </c>
      <c r="H331" s="1">
        <v>44639</v>
      </c>
      <c r="I331">
        <v>169.24937379131001</v>
      </c>
      <c r="J331">
        <f t="shared" si="30"/>
        <v>1</v>
      </c>
      <c r="K331" t="str">
        <f>VLOOKUP(B331,Raw_Suppliers!$A$2:$G$101,2,FALSE)</f>
        <v>Ultra Quantum Ltd</v>
      </c>
      <c r="L331" t="str">
        <f>VLOOKUP(B331,Raw_Suppliers!$A$2:$G$101,3,FALSE)</f>
        <v>Canada</v>
      </c>
      <c r="M331" t="str">
        <f>VLOOKUP(B331,Raw_Suppliers!$A$2:$G$101,4,FALSE)</f>
        <v>North</v>
      </c>
      <c r="N331" t="str">
        <f>VLOOKUP(B331,Raw_Suppliers!$A$2:$G$101,6,FALSE)</f>
        <v>ISO 14001</v>
      </c>
      <c r="O331">
        <f>VLOOKUP(B331,Raw_Suppliers!$A$2:$G$101,7,FALSE)</f>
        <v>0</v>
      </c>
      <c r="P331" t="str">
        <f t="shared" si="31"/>
        <v>No</v>
      </c>
      <c r="Q331">
        <f t="shared" si="32"/>
        <v>0</v>
      </c>
      <c r="R331" t="str">
        <f t="shared" si="33"/>
        <v>Late</v>
      </c>
      <c r="S331">
        <f t="shared" si="34"/>
        <v>2022</v>
      </c>
      <c r="T331">
        <f t="shared" si="35"/>
        <v>2</v>
      </c>
    </row>
    <row r="332" spans="1:20" x14ac:dyDescent="0.25">
      <c r="A332" t="s">
        <v>598</v>
      </c>
      <c r="B332" t="s">
        <v>76</v>
      </c>
      <c r="C332" t="s">
        <v>430</v>
      </c>
      <c r="D332" s="1">
        <v>44734</v>
      </c>
      <c r="E332">
        <v>8</v>
      </c>
      <c r="F332">
        <v>31.513777904906</v>
      </c>
      <c r="G332" s="1">
        <v>44756</v>
      </c>
      <c r="H332" s="1">
        <v>44762</v>
      </c>
      <c r="I332">
        <v>252.110223239248</v>
      </c>
      <c r="J332">
        <f t="shared" si="30"/>
        <v>6</v>
      </c>
      <c r="K332" t="str">
        <f>VLOOKUP(B332,Raw_Suppliers!$A$2:$G$101,2,FALSE)</f>
        <v>Alpha Beta Ltd</v>
      </c>
      <c r="L332" t="str">
        <f>VLOOKUP(B332,Raw_Suppliers!$A$2:$G$101,3,FALSE)</f>
        <v>UK</v>
      </c>
      <c r="M332" t="str">
        <f>VLOOKUP(B332,Raw_Suppliers!$A$2:$G$101,4,FALSE)</f>
        <v>South</v>
      </c>
      <c r="N332" t="str">
        <f>VLOOKUP(B332,Raw_Suppliers!$A$2:$G$101,6,FALSE)</f>
        <v>None</v>
      </c>
      <c r="O332">
        <f>VLOOKUP(B332,Raw_Suppliers!$A$2:$G$101,7,FALSE)</f>
        <v>1</v>
      </c>
      <c r="P332" t="str">
        <f t="shared" si="31"/>
        <v>Yes</v>
      </c>
      <c r="Q332">
        <f t="shared" si="32"/>
        <v>0</v>
      </c>
      <c r="R332" t="str">
        <f t="shared" si="33"/>
        <v>Late</v>
      </c>
      <c r="S332">
        <f t="shared" si="34"/>
        <v>2022</v>
      </c>
      <c r="T332">
        <f t="shared" si="35"/>
        <v>6</v>
      </c>
    </row>
    <row r="333" spans="1:20" x14ac:dyDescent="0.25">
      <c r="A333" t="s">
        <v>599</v>
      </c>
      <c r="B333" t="s">
        <v>55</v>
      </c>
      <c r="C333" t="s">
        <v>600</v>
      </c>
      <c r="D333" s="1">
        <v>45147</v>
      </c>
      <c r="E333">
        <v>10</v>
      </c>
      <c r="F333">
        <v>79.868512681948005</v>
      </c>
      <c r="G333" s="1">
        <v>45169</v>
      </c>
      <c r="H333" s="1">
        <v>45168</v>
      </c>
      <c r="I333">
        <v>798.68512681948005</v>
      </c>
      <c r="J333">
        <f t="shared" si="30"/>
        <v>-1</v>
      </c>
      <c r="K333" t="str">
        <f>VLOOKUP(B333,Raw_Suppliers!$A$2:$G$101,2,FALSE)</f>
        <v>Prime Vertex Inc</v>
      </c>
      <c r="L333" t="str">
        <f>VLOOKUP(B333,Raw_Suppliers!$A$2:$G$101,3,FALSE)</f>
        <v>Germany</v>
      </c>
      <c r="M333" t="str">
        <f>VLOOKUP(B333,Raw_Suppliers!$A$2:$G$101,4,FALSE)</f>
        <v>South</v>
      </c>
      <c r="N333" t="str">
        <f>VLOOKUP(B333,Raw_Suppliers!$A$2:$G$101,6,FALSE)</f>
        <v>ISO 14001</v>
      </c>
      <c r="O333">
        <f>VLOOKUP(B333,Raw_Suppliers!$A$2:$G$101,7,FALSE)</f>
        <v>0</v>
      </c>
      <c r="P333" t="str">
        <f t="shared" si="31"/>
        <v>No</v>
      </c>
      <c r="Q333">
        <f t="shared" si="32"/>
        <v>1</v>
      </c>
      <c r="R333" t="str">
        <f t="shared" si="33"/>
        <v>On Time</v>
      </c>
      <c r="S333">
        <f t="shared" si="34"/>
        <v>2023</v>
      </c>
      <c r="T333">
        <f t="shared" si="35"/>
        <v>8</v>
      </c>
    </row>
    <row r="334" spans="1:20" x14ac:dyDescent="0.25">
      <c r="A334" t="s">
        <v>601</v>
      </c>
      <c r="B334" t="s">
        <v>295</v>
      </c>
      <c r="C334" t="s">
        <v>559</v>
      </c>
      <c r="D334" s="1">
        <v>45265</v>
      </c>
      <c r="E334">
        <v>13</v>
      </c>
      <c r="F334">
        <v>31.0039281436955</v>
      </c>
      <c r="G334" s="1">
        <v>45275</v>
      </c>
      <c r="H334" s="1">
        <v>45272</v>
      </c>
      <c r="I334">
        <v>403.05106586804101</v>
      </c>
      <c r="J334">
        <f t="shared" si="30"/>
        <v>-3</v>
      </c>
      <c r="K334" t="str">
        <f>VLOOKUP(B334,Raw_Suppliers!$A$2:$G$101,2,FALSE)</f>
        <v>Delta Quantum GmbH</v>
      </c>
      <c r="L334" t="str">
        <f>VLOOKUP(B334,Raw_Suppliers!$A$2:$G$101,3,FALSE)</f>
        <v>Brazil</v>
      </c>
      <c r="M334" t="str">
        <f>VLOOKUP(B334,Raw_Suppliers!$A$2:$G$101,4,FALSE)</f>
        <v>North</v>
      </c>
      <c r="N334" t="str">
        <f>VLOOKUP(B334,Raw_Suppliers!$A$2:$G$101,6,FALSE)</f>
        <v>ISO 9001</v>
      </c>
      <c r="O334">
        <f>VLOOKUP(B334,Raw_Suppliers!$A$2:$G$101,7,FALSE)</f>
        <v>1</v>
      </c>
      <c r="P334" t="str">
        <f t="shared" si="31"/>
        <v>Yes</v>
      </c>
      <c r="Q334">
        <f t="shared" si="32"/>
        <v>1</v>
      </c>
      <c r="R334" t="str">
        <f t="shared" si="33"/>
        <v>On Time</v>
      </c>
      <c r="S334">
        <f t="shared" si="34"/>
        <v>2023</v>
      </c>
      <c r="T334">
        <f t="shared" si="35"/>
        <v>12</v>
      </c>
    </row>
    <row r="335" spans="1:20" x14ac:dyDescent="0.25">
      <c r="A335" t="s">
        <v>602</v>
      </c>
      <c r="B335" t="s">
        <v>556</v>
      </c>
      <c r="C335" t="s">
        <v>283</v>
      </c>
      <c r="D335" s="1">
        <v>44730</v>
      </c>
      <c r="E335">
        <v>10</v>
      </c>
      <c r="F335">
        <v>67.821317495207296</v>
      </c>
      <c r="G335" s="1">
        <v>44754</v>
      </c>
      <c r="H335" s="1">
        <v>44757</v>
      </c>
      <c r="I335">
        <v>678.21317495207302</v>
      </c>
      <c r="J335">
        <f t="shared" si="30"/>
        <v>3</v>
      </c>
      <c r="K335" t="str">
        <f>VLOOKUP(B335,Raw_Suppliers!$A$2:$G$101,2,FALSE)</f>
        <v>Ultra Delta Ltd</v>
      </c>
      <c r="L335" t="str">
        <f>VLOOKUP(B335,Raw_Suppliers!$A$2:$G$101,3,FALSE)</f>
        <v>China</v>
      </c>
      <c r="M335" t="str">
        <f>VLOOKUP(B335,Raw_Suppliers!$A$2:$G$101,4,FALSE)</f>
        <v>Central</v>
      </c>
      <c r="N335" t="str">
        <f>VLOOKUP(B335,Raw_Suppliers!$A$2:$G$101,6,FALSE)</f>
        <v>ISO 45001</v>
      </c>
      <c r="O335">
        <f>VLOOKUP(B335,Raw_Suppliers!$A$2:$G$101,7,FALSE)</f>
        <v>0</v>
      </c>
      <c r="P335" t="str">
        <f t="shared" si="31"/>
        <v>No</v>
      </c>
      <c r="Q335">
        <f t="shared" si="32"/>
        <v>0</v>
      </c>
      <c r="R335" t="str">
        <f t="shared" si="33"/>
        <v>Late</v>
      </c>
      <c r="S335">
        <f t="shared" si="34"/>
        <v>2022</v>
      </c>
      <c r="T335">
        <f t="shared" si="35"/>
        <v>6</v>
      </c>
    </row>
    <row r="336" spans="1:20" x14ac:dyDescent="0.25">
      <c r="A336" t="s">
        <v>603</v>
      </c>
      <c r="B336" t="s">
        <v>140</v>
      </c>
      <c r="C336" t="s">
        <v>434</v>
      </c>
      <c r="D336" s="1">
        <v>44876</v>
      </c>
      <c r="E336">
        <v>8</v>
      </c>
      <c r="F336">
        <v>53.756098712978797</v>
      </c>
      <c r="G336" s="1">
        <v>44897</v>
      </c>
      <c r="H336" s="1">
        <v>44900</v>
      </c>
      <c r="I336">
        <v>430.04878970382998</v>
      </c>
      <c r="J336">
        <f t="shared" si="30"/>
        <v>3</v>
      </c>
      <c r="K336" t="str">
        <f>VLOOKUP(B336,Raw_Suppliers!$A$2:$G$101,2,FALSE)</f>
        <v>Gamma Quantum Inc</v>
      </c>
      <c r="L336" t="str">
        <f>VLOOKUP(B336,Raw_Suppliers!$A$2:$G$101,3,FALSE)</f>
        <v>Germany</v>
      </c>
      <c r="M336" t="str">
        <f>VLOOKUP(B336,Raw_Suppliers!$A$2:$G$101,4,FALSE)</f>
        <v>North</v>
      </c>
      <c r="N336" t="str">
        <f>VLOOKUP(B336,Raw_Suppliers!$A$2:$G$101,6,FALSE)</f>
        <v>None</v>
      </c>
      <c r="O336">
        <f>VLOOKUP(B336,Raw_Suppliers!$A$2:$G$101,7,FALSE)</f>
        <v>1</v>
      </c>
      <c r="P336" t="str">
        <f t="shared" si="31"/>
        <v>Yes</v>
      </c>
      <c r="Q336">
        <f t="shared" si="32"/>
        <v>0</v>
      </c>
      <c r="R336" t="str">
        <f t="shared" si="33"/>
        <v>Late</v>
      </c>
      <c r="S336">
        <f t="shared" si="34"/>
        <v>2022</v>
      </c>
      <c r="T336">
        <f t="shared" si="35"/>
        <v>11</v>
      </c>
    </row>
    <row r="337" spans="1:20" x14ac:dyDescent="0.25">
      <c r="A337" t="s">
        <v>604</v>
      </c>
      <c r="B337" t="s">
        <v>578</v>
      </c>
      <c r="C337" t="s">
        <v>131</v>
      </c>
      <c r="D337" s="1">
        <v>44841</v>
      </c>
      <c r="E337">
        <v>16</v>
      </c>
      <c r="F337">
        <v>53.453299018083797</v>
      </c>
      <c r="G337" s="1">
        <v>44855</v>
      </c>
      <c r="H337" s="1">
        <v>44859</v>
      </c>
      <c r="I337">
        <v>855.25278428934098</v>
      </c>
      <c r="J337">
        <f t="shared" si="30"/>
        <v>4</v>
      </c>
      <c r="K337" t="str">
        <f>VLOOKUP(B337,Raw_Suppliers!$A$2:$G$101,2,FALSE)</f>
        <v>Beta Eco Ltd</v>
      </c>
      <c r="L337" t="str">
        <f>VLOOKUP(B337,Raw_Suppliers!$A$2:$G$101,3,FALSE)</f>
        <v>Canada</v>
      </c>
      <c r="M337" t="str">
        <f>VLOOKUP(B337,Raw_Suppliers!$A$2:$G$101,4,FALSE)</f>
        <v>East</v>
      </c>
      <c r="N337" t="str">
        <f>VLOOKUP(B337,Raw_Suppliers!$A$2:$G$101,6,FALSE)</f>
        <v>None</v>
      </c>
      <c r="O337">
        <f>VLOOKUP(B337,Raw_Suppliers!$A$2:$G$101,7,FALSE)</f>
        <v>0</v>
      </c>
      <c r="P337" t="str">
        <f t="shared" si="31"/>
        <v>No</v>
      </c>
      <c r="Q337">
        <f t="shared" si="32"/>
        <v>0</v>
      </c>
      <c r="R337" t="str">
        <f t="shared" si="33"/>
        <v>Late</v>
      </c>
      <c r="S337">
        <f t="shared" si="34"/>
        <v>2022</v>
      </c>
      <c r="T337">
        <f t="shared" si="35"/>
        <v>10</v>
      </c>
    </row>
    <row r="338" spans="1:20" x14ac:dyDescent="0.25">
      <c r="A338" t="s">
        <v>605</v>
      </c>
      <c r="B338" t="s">
        <v>67</v>
      </c>
      <c r="C338" t="s">
        <v>587</v>
      </c>
      <c r="D338" s="1">
        <v>45126</v>
      </c>
      <c r="E338">
        <v>20</v>
      </c>
      <c r="F338">
        <v>47.668050647985503</v>
      </c>
      <c r="G338" s="1">
        <v>45147</v>
      </c>
      <c r="H338" s="1">
        <v>45148</v>
      </c>
      <c r="I338">
        <v>953.36101295971105</v>
      </c>
      <c r="J338">
        <f t="shared" si="30"/>
        <v>1</v>
      </c>
      <c r="K338" t="str">
        <f>VLOOKUP(B338,Raw_Suppliers!$A$2:$G$101,2,FALSE)</f>
        <v>Nova Eco LLC</v>
      </c>
      <c r="L338" t="str">
        <f>VLOOKUP(B338,Raw_Suppliers!$A$2:$G$101,3,FALSE)</f>
        <v>Germany</v>
      </c>
      <c r="M338" t="str">
        <f>VLOOKUP(B338,Raw_Suppliers!$A$2:$G$101,4,FALSE)</f>
        <v>Central</v>
      </c>
      <c r="N338" t="str">
        <f>VLOOKUP(B338,Raw_Suppliers!$A$2:$G$101,6,FALSE)</f>
        <v>ISO 9001</v>
      </c>
      <c r="O338">
        <f>VLOOKUP(B338,Raw_Suppliers!$A$2:$G$101,7,FALSE)</f>
        <v>1</v>
      </c>
      <c r="P338" t="str">
        <f t="shared" si="31"/>
        <v>Yes</v>
      </c>
      <c r="Q338">
        <f t="shared" si="32"/>
        <v>0</v>
      </c>
      <c r="R338" t="str">
        <f t="shared" si="33"/>
        <v>Late</v>
      </c>
      <c r="S338">
        <f t="shared" si="34"/>
        <v>2023</v>
      </c>
      <c r="T338">
        <f t="shared" si="35"/>
        <v>7</v>
      </c>
    </row>
    <row r="339" spans="1:20" x14ac:dyDescent="0.25">
      <c r="A339" t="s">
        <v>606</v>
      </c>
      <c r="B339" t="s">
        <v>124</v>
      </c>
      <c r="C339" t="s">
        <v>187</v>
      </c>
      <c r="D339" s="1">
        <v>44347</v>
      </c>
      <c r="E339">
        <v>12</v>
      </c>
      <c r="F339">
        <v>71.015488882917893</v>
      </c>
      <c r="G339" s="1">
        <v>44364</v>
      </c>
      <c r="H339" s="1">
        <v>44367</v>
      </c>
      <c r="I339">
        <v>852.185866595015</v>
      </c>
      <c r="J339">
        <f t="shared" si="30"/>
        <v>3</v>
      </c>
      <c r="K339" t="str">
        <f>VLOOKUP(B339,Raw_Suppliers!$A$2:$G$101,2,FALSE)</f>
        <v>Vertex Delta Inc</v>
      </c>
      <c r="L339" t="str">
        <f>VLOOKUP(B339,Raw_Suppliers!$A$2:$G$101,3,FALSE)</f>
        <v>Germany</v>
      </c>
      <c r="M339" t="str">
        <f>VLOOKUP(B339,Raw_Suppliers!$A$2:$G$101,4,FALSE)</f>
        <v>South</v>
      </c>
      <c r="N339" t="str">
        <f>VLOOKUP(B339,Raw_Suppliers!$A$2:$G$101,6,FALSE)</f>
        <v>ISO 9001</v>
      </c>
      <c r="O339">
        <f>VLOOKUP(B339,Raw_Suppliers!$A$2:$G$101,7,FALSE)</f>
        <v>0</v>
      </c>
      <c r="P339" t="str">
        <f t="shared" si="31"/>
        <v>No</v>
      </c>
      <c r="Q339">
        <f t="shared" si="32"/>
        <v>0</v>
      </c>
      <c r="R339" t="str">
        <f t="shared" si="33"/>
        <v>Late</v>
      </c>
      <c r="S339">
        <f t="shared" si="34"/>
        <v>2021</v>
      </c>
      <c r="T339">
        <f t="shared" si="35"/>
        <v>5</v>
      </c>
    </row>
    <row r="340" spans="1:20" x14ac:dyDescent="0.25">
      <c r="A340" t="s">
        <v>607</v>
      </c>
      <c r="B340" t="s">
        <v>43</v>
      </c>
      <c r="C340" t="s">
        <v>257</v>
      </c>
      <c r="D340" s="1">
        <v>45096</v>
      </c>
      <c r="E340">
        <v>8</v>
      </c>
      <c r="F340">
        <v>10.066587342421499</v>
      </c>
      <c r="G340" s="1">
        <v>45115</v>
      </c>
      <c r="H340" s="1">
        <v>45119</v>
      </c>
      <c r="I340">
        <v>80.532698739372506</v>
      </c>
      <c r="J340">
        <f t="shared" si="30"/>
        <v>4</v>
      </c>
      <c r="K340" t="str">
        <f>VLOOKUP(B340,Raw_Suppliers!$A$2:$G$101,2,FALSE)</f>
        <v>Alpha Ultra Corp</v>
      </c>
      <c r="L340" t="str">
        <f>VLOOKUP(B340,Raw_Suppliers!$A$2:$G$101,3,FALSE)</f>
        <v>USA</v>
      </c>
      <c r="M340" t="str">
        <f>VLOOKUP(B340,Raw_Suppliers!$A$2:$G$101,4,FALSE)</f>
        <v>Central</v>
      </c>
      <c r="N340" t="str">
        <f>VLOOKUP(B340,Raw_Suppliers!$A$2:$G$101,6,FALSE)</f>
        <v>ISO 9001</v>
      </c>
      <c r="O340">
        <f>VLOOKUP(B340,Raw_Suppliers!$A$2:$G$101,7,FALSE)</f>
        <v>1</v>
      </c>
      <c r="P340" t="str">
        <f t="shared" si="31"/>
        <v>Yes</v>
      </c>
      <c r="Q340">
        <f t="shared" si="32"/>
        <v>0</v>
      </c>
      <c r="R340" t="str">
        <f t="shared" si="33"/>
        <v>Late</v>
      </c>
      <c r="S340">
        <f t="shared" si="34"/>
        <v>2023</v>
      </c>
      <c r="T340">
        <f t="shared" si="35"/>
        <v>6</v>
      </c>
    </row>
    <row r="341" spans="1:20" x14ac:dyDescent="0.25">
      <c r="A341" t="s">
        <v>608</v>
      </c>
      <c r="B341" t="s">
        <v>64</v>
      </c>
      <c r="C341" t="s">
        <v>71</v>
      </c>
      <c r="D341" s="1">
        <v>44215</v>
      </c>
      <c r="E341">
        <v>14</v>
      </c>
      <c r="F341">
        <v>31.518047838176798</v>
      </c>
      <c r="G341" s="1">
        <v>44234</v>
      </c>
      <c r="H341" s="1">
        <v>44236</v>
      </c>
      <c r="I341">
        <v>441.25266973447498</v>
      </c>
      <c r="J341">
        <f t="shared" si="30"/>
        <v>2</v>
      </c>
      <c r="K341" t="str">
        <f>VLOOKUP(B341,Raw_Suppliers!$A$2:$G$101,2,FALSE)</f>
        <v>Apex Quantum Inc</v>
      </c>
      <c r="L341" t="str">
        <f>VLOOKUP(B341,Raw_Suppliers!$A$2:$G$101,3,FALSE)</f>
        <v>India</v>
      </c>
      <c r="M341" t="str">
        <f>VLOOKUP(B341,Raw_Suppliers!$A$2:$G$101,4,FALSE)</f>
        <v>North</v>
      </c>
      <c r="N341" t="str">
        <f>VLOOKUP(B341,Raw_Suppliers!$A$2:$G$101,6,FALSE)</f>
        <v>ISO 45001</v>
      </c>
      <c r="O341">
        <f>VLOOKUP(B341,Raw_Suppliers!$A$2:$G$101,7,FALSE)</f>
        <v>1</v>
      </c>
      <c r="P341" t="str">
        <f t="shared" si="31"/>
        <v>Yes</v>
      </c>
      <c r="Q341">
        <f t="shared" si="32"/>
        <v>0</v>
      </c>
      <c r="R341" t="str">
        <f t="shared" si="33"/>
        <v>Late</v>
      </c>
      <c r="S341">
        <f t="shared" si="34"/>
        <v>2021</v>
      </c>
      <c r="T341">
        <f t="shared" si="35"/>
        <v>1</v>
      </c>
    </row>
    <row r="342" spans="1:20" x14ac:dyDescent="0.25">
      <c r="A342" t="s">
        <v>609</v>
      </c>
      <c r="B342" t="s">
        <v>556</v>
      </c>
      <c r="C342" t="s">
        <v>610</v>
      </c>
      <c r="D342" s="1">
        <v>44482</v>
      </c>
      <c r="E342">
        <v>11</v>
      </c>
      <c r="F342">
        <v>30.1562942247126</v>
      </c>
      <c r="G342" s="1">
        <v>44495</v>
      </c>
      <c r="H342" s="1">
        <v>44494</v>
      </c>
      <c r="I342">
        <v>331.719236471839</v>
      </c>
      <c r="J342">
        <f t="shared" si="30"/>
        <v>-1</v>
      </c>
      <c r="K342" t="str">
        <f>VLOOKUP(B342,Raw_Suppliers!$A$2:$G$101,2,FALSE)</f>
        <v>Ultra Delta Ltd</v>
      </c>
      <c r="L342" t="str">
        <f>VLOOKUP(B342,Raw_Suppliers!$A$2:$G$101,3,FALSE)</f>
        <v>China</v>
      </c>
      <c r="M342" t="str">
        <f>VLOOKUP(B342,Raw_Suppliers!$A$2:$G$101,4,FALSE)</f>
        <v>Central</v>
      </c>
      <c r="N342" t="str">
        <f>VLOOKUP(B342,Raw_Suppliers!$A$2:$G$101,6,FALSE)</f>
        <v>ISO 45001</v>
      </c>
      <c r="O342">
        <f>VLOOKUP(B342,Raw_Suppliers!$A$2:$G$101,7,FALSE)</f>
        <v>0</v>
      </c>
      <c r="P342" t="str">
        <f t="shared" si="31"/>
        <v>No</v>
      </c>
      <c r="Q342">
        <f t="shared" si="32"/>
        <v>1</v>
      </c>
      <c r="R342" t="str">
        <f t="shared" si="33"/>
        <v>On Time</v>
      </c>
      <c r="S342">
        <f t="shared" si="34"/>
        <v>2021</v>
      </c>
      <c r="T342">
        <f t="shared" si="35"/>
        <v>10</v>
      </c>
    </row>
    <row r="343" spans="1:20" x14ac:dyDescent="0.25">
      <c r="A343" t="s">
        <v>611</v>
      </c>
      <c r="B343" t="s">
        <v>472</v>
      </c>
      <c r="C343" t="s">
        <v>470</v>
      </c>
      <c r="D343" s="1">
        <v>44693</v>
      </c>
      <c r="E343">
        <v>13</v>
      </c>
      <c r="F343">
        <v>5.2601333348385797</v>
      </c>
      <c r="G343" s="1">
        <v>44704</v>
      </c>
      <c r="H343" s="1">
        <v>44708</v>
      </c>
      <c r="I343">
        <v>68.381733352901605</v>
      </c>
      <c r="J343">
        <f t="shared" si="30"/>
        <v>4</v>
      </c>
      <c r="K343" t="str">
        <f>VLOOKUP(B343,Raw_Suppliers!$A$2:$G$101,2,FALSE)</f>
        <v>Pioneer Alpha Corp</v>
      </c>
      <c r="L343" t="str">
        <f>VLOOKUP(B343,Raw_Suppliers!$A$2:$G$101,3,FALSE)</f>
        <v>Canada</v>
      </c>
      <c r="M343" t="str">
        <f>VLOOKUP(B343,Raw_Suppliers!$A$2:$G$101,4,FALSE)</f>
        <v>North</v>
      </c>
      <c r="N343" t="str">
        <f>VLOOKUP(B343,Raw_Suppliers!$A$2:$G$101,6,FALSE)</f>
        <v>None</v>
      </c>
      <c r="O343">
        <f>VLOOKUP(B343,Raw_Suppliers!$A$2:$G$101,7,FALSE)</f>
        <v>1</v>
      </c>
      <c r="P343" t="str">
        <f t="shared" si="31"/>
        <v>Yes</v>
      </c>
      <c r="Q343">
        <f t="shared" si="32"/>
        <v>0</v>
      </c>
      <c r="R343" t="str">
        <f t="shared" si="33"/>
        <v>Late</v>
      </c>
      <c r="S343">
        <f t="shared" si="34"/>
        <v>2022</v>
      </c>
      <c r="T343">
        <f t="shared" si="35"/>
        <v>5</v>
      </c>
    </row>
    <row r="344" spans="1:20" x14ac:dyDescent="0.25">
      <c r="A344" t="s">
        <v>612</v>
      </c>
      <c r="B344" t="s">
        <v>79</v>
      </c>
      <c r="C344" t="s">
        <v>613</v>
      </c>
      <c r="D344" s="1">
        <v>45094</v>
      </c>
      <c r="E344">
        <v>17</v>
      </c>
      <c r="F344">
        <v>24.218698954452599</v>
      </c>
      <c r="G344" s="1">
        <v>45104</v>
      </c>
      <c r="H344" s="1">
        <v>45109</v>
      </c>
      <c r="I344">
        <v>411.71788222569398</v>
      </c>
      <c r="J344">
        <f t="shared" si="30"/>
        <v>5</v>
      </c>
      <c r="K344" t="str">
        <f>VLOOKUP(B344,Raw_Suppliers!$A$2:$G$101,2,FALSE)</f>
        <v>Vertex Fusion Inc</v>
      </c>
      <c r="L344" t="str">
        <f>VLOOKUP(B344,Raw_Suppliers!$A$2:$G$101,3,FALSE)</f>
        <v>India</v>
      </c>
      <c r="M344" t="str">
        <f>VLOOKUP(B344,Raw_Suppliers!$A$2:$G$101,4,FALSE)</f>
        <v>Central</v>
      </c>
      <c r="N344" t="str">
        <f>VLOOKUP(B344,Raw_Suppliers!$A$2:$G$101,6,FALSE)</f>
        <v>ISO 9001</v>
      </c>
      <c r="O344">
        <f>VLOOKUP(B344,Raw_Suppliers!$A$2:$G$101,7,FALSE)</f>
        <v>0</v>
      </c>
      <c r="P344" t="str">
        <f t="shared" si="31"/>
        <v>No</v>
      </c>
      <c r="Q344">
        <f t="shared" si="32"/>
        <v>0</v>
      </c>
      <c r="R344" t="str">
        <f t="shared" si="33"/>
        <v>Late</v>
      </c>
      <c r="S344">
        <f t="shared" si="34"/>
        <v>2023</v>
      </c>
      <c r="T344">
        <f t="shared" si="35"/>
        <v>6</v>
      </c>
    </row>
    <row r="345" spans="1:20" x14ac:dyDescent="0.25">
      <c r="A345" t="s">
        <v>614</v>
      </c>
      <c r="B345" t="s">
        <v>154</v>
      </c>
      <c r="C345" t="s">
        <v>380</v>
      </c>
      <c r="D345" s="1">
        <v>45285</v>
      </c>
      <c r="E345">
        <v>10</v>
      </c>
      <c r="F345">
        <v>67.702057418375503</v>
      </c>
      <c r="G345" s="1">
        <v>45300</v>
      </c>
      <c r="H345" s="1">
        <v>45298</v>
      </c>
      <c r="I345">
        <v>677.020574183755</v>
      </c>
      <c r="J345">
        <f t="shared" si="30"/>
        <v>-2</v>
      </c>
      <c r="K345" t="str">
        <f>VLOOKUP(B345,Raw_Suppliers!$A$2:$G$101,2,FALSE)</f>
        <v>Apex Ultra Ltd</v>
      </c>
      <c r="L345" t="str">
        <f>VLOOKUP(B345,Raw_Suppliers!$A$2:$G$101,3,FALSE)</f>
        <v>Canada</v>
      </c>
      <c r="M345" t="str">
        <f>VLOOKUP(B345,Raw_Suppliers!$A$2:$G$101,4,FALSE)</f>
        <v>West</v>
      </c>
      <c r="N345" t="str">
        <f>VLOOKUP(B345,Raw_Suppliers!$A$2:$G$101,6,FALSE)</f>
        <v>None</v>
      </c>
      <c r="O345">
        <f>VLOOKUP(B345,Raw_Suppliers!$A$2:$G$101,7,FALSE)</f>
        <v>1</v>
      </c>
      <c r="P345" t="str">
        <f t="shared" si="31"/>
        <v>Yes</v>
      </c>
      <c r="Q345">
        <f t="shared" si="32"/>
        <v>1</v>
      </c>
      <c r="R345" t="str">
        <f t="shared" si="33"/>
        <v>On Time</v>
      </c>
      <c r="S345">
        <f t="shared" si="34"/>
        <v>2023</v>
      </c>
      <c r="T345">
        <f t="shared" si="35"/>
        <v>12</v>
      </c>
    </row>
    <row r="346" spans="1:20" x14ac:dyDescent="0.25">
      <c r="A346" t="s">
        <v>615</v>
      </c>
      <c r="B346" t="s">
        <v>140</v>
      </c>
      <c r="C346" t="s">
        <v>195</v>
      </c>
      <c r="D346" s="1">
        <v>44374</v>
      </c>
      <c r="E346">
        <v>10</v>
      </c>
      <c r="F346">
        <v>10.108317614951901</v>
      </c>
      <c r="G346" s="1">
        <v>44385</v>
      </c>
      <c r="H346" s="1">
        <v>44383</v>
      </c>
      <c r="I346">
        <v>101.08317614951901</v>
      </c>
      <c r="J346">
        <f t="shared" si="30"/>
        <v>-2</v>
      </c>
      <c r="K346" t="str">
        <f>VLOOKUP(B346,Raw_Suppliers!$A$2:$G$101,2,FALSE)</f>
        <v>Gamma Quantum Inc</v>
      </c>
      <c r="L346" t="str">
        <f>VLOOKUP(B346,Raw_Suppliers!$A$2:$G$101,3,FALSE)</f>
        <v>Germany</v>
      </c>
      <c r="M346" t="str">
        <f>VLOOKUP(B346,Raw_Suppliers!$A$2:$G$101,4,FALSE)</f>
        <v>North</v>
      </c>
      <c r="N346" t="str">
        <f>VLOOKUP(B346,Raw_Suppliers!$A$2:$G$101,6,FALSE)</f>
        <v>None</v>
      </c>
      <c r="O346">
        <f>VLOOKUP(B346,Raw_Suppliers!$A$2:$G$101,7,FALSE)</f>
        <v>1</v>
      </c>
      <c r="P346" t="str">
        <f t="shared" si="31"/>
        <v>Yes</v>
      </c>
      <c r="Q346">
        <f t="shared" si="32"/>
        <v>1</v>
      </c>
      <c r="R346" t="str">
        <f t="shared" si="33"/>
        <v>On Time</v>
      </c>
      <c r="S346">
        <f t="shared" si="34"/>
        <v>2021</v>
      </c>
      <c r="T346">
        <f t="shared" si="35"/>
        <v>6</v>
      </c>
    </row>
    <row r="347" spans="1:20" x14ac:dyDescent="0.25">
      <c r="A347" t="s">
        <v>616</v>
      </c>
      <c r="B347" t="s">
        <v>617</v>
      </c>
      <c r="C347" t="s">
        <v>413</v>
      </c>
      <c r="D347" s="1">
        <v>44646</v>
      </c>
      <c r="E347">
        <v>9</v>
      </c>
      <c r="F347">
        <v>79.739358192736105</v>
      </c>
      <c r="G347" s="1">
        <v>44659</v>
      </c>
      <c r="H347" s="1">
        <v>44664</v>
      </c>
      <c r="I347">
        <v>717.65422373462502</v>
      </c>
      <c r="J347">
        <f t="shared" si="30"/>
        <v>5</v>
      </c>
      <c r="K347" t="str">
        <f>VLOOKUP(B347,Raw_Suppliers!$A$2:$G$101,2,FALSE)</f>
        <v>Eco Vertex Ltd</v>
      </c>
      <c r="L347" t="str">
        <f>VLOOKUP(B347,Raw_Suppliers!$A$2:$G$101,3,FALSE)</f>
        <v>UK</v>
      </c>
      <c r="M347" t="str">
        <f>VLOOKUP(B347,Raw_Suppliers!$A$2:$G$101,4,FALSE)</f>
        <v>Central</v>
      </c>
      <c r="N347" t="str">
        <f>VLOOKUP(B347,Raw_Suppliers!$A$2:$G$101,6,FALSE)</f>
        <v>None</v>
      </c>
      <c r="O347">
        <f>VLOOKUP(B347,Raw_Suppliers!$A$2:$G$101,7,FALSE)</f>
        <v>0</v>
      </c>
      <c r="P347" t="str">
        <f t="shared" si="31"/>
        <v>No</v>
      </c>
      <c r="Q347">
        <f t="shared" si="32"/>
        <v>0</v>
      </c>
      <c r="R347" t="str">
        <f t="shared" si="33"/>
        <v>Late</v>
      </c>
      <c r="S347">
        <f t="shared" si="34"/>
        <v>2022</v>
      </c>
      <c r="T347">
        <f t="shared" si="35"/>
        <v>3</v>
      </c>
    </row>
    <row r="348" spans="1:20" x14ac:dyDescent="0.25">
      <c r="A348" t="s">
        <v>618</v>
      </c>
      <c r="B348" t="s">
        <v>104</v>
      </c>
      <c r="C348" t="s">
        <v>302</v>
      </c>
      <c r="D348" s="1">
        <v>44921</v>
      </c>
      <c r="E348">
        <v>9</v>
      </c>
      <c r="F348">
        <v>48.221386657929102</v>
      </c>
      <c r="G348" s="1">
        <v>44941</v>
      </c>
      <c r="H348" s="1">
        <v>44943</v>
      </c>
      <c r="I348">
        <v>433.992479921361</v>
      </c>
      <c r="J348">
        <f t="shared" si="30"/>
        <v>2</v>
      </c>
      <c r="K348" t="str">
        <f>VLOOKUP(B348,Raw_Suppliers!$A$2:$G$101,2,FALSE)</f>
        <v>Prime Omega Corp</v>
      </c>
      <c r="L348" t="str">
        <f>VLOOKUP(B348,Raw_Suppliers!$A$2:$G$101,3,FALSE)</f>
        <v>India</v>
      </c>
      <c r="M348" t="str">
        <f>VLOOKUP(B348,Raw_Suppliers!$A$2:$G$101,4,FALSE)</f>
        <v>Central</v>
      </c>
      <c r="N348" t="str">
        <f>VLOOKUP(B348,Raw_Suppliers!$A$2:$G$101,6,FALSE)</f>
        <v>ISO 14001</v>
      </c>
      <c r="O348">
        <f>VLOOKUP(B348,Raw_Suppliers!$A$2:$G$101,7,FALSE)</f>
        <v>0</v>
      </c>
      <c r="P348" t="str">
        <f t="shared" si="31"/>
        <v>No</v>
      </c>
      <c r="Q348">
        <f t="shared" si="32"/>
        <v>0</v>
      </c>
      <c r="R348" t="str">
        <f t="shared" si="33"/>
        <v>Late</v>
      </c>
      <c r="S348">
        <f t="shared" si="34"/>
        <v>2022</v>
      </c>
      <c r="T348">
        <f t="shared" si="35"/>
        <v>12</v>
      </c>
    </row>
    <row r="349" spans="1:20" x14ac:dyDescent="0.25">
      <c r="A349" t="s">
        <v>619</v>
      </c>
      <c r="B349" t="s">
        <v>40</v>
      </c>
      <c r="C349" t="s">
        <v>38</v>
      </c>
      <c r="D349" s="1">
        <v>45097</v>
      </c>
      <c r="E349">
        <v>10</v>
      </c>
      <c r="F349">
        <v>58.807176319403197</v>
      </c>
      <c r="G349" s="1">
        <v>45113</v>
      </c>
      <c r="H349" s="1">
        <v>45110</v>
      </c>
      <c r="I349">
        <v>588.07176319403197</v>
      </c>
      <c r="J349">
        <f t="shared" si="30"/>
        <v>-3</v>
      </c>
      <c r="K349" t="str">
        <f>VLOOKUP(B349,Raw_Suppliers!$A$2:$G$101,2,FALSE)</f>
        <v>Ultra Apex Inc</v>
      </c>
      <c r="L349" t="str">
        <f>VLOOKUP(B349,Raw_Suppliers!$A$2:$G$101,3,FALSE)</f>
        <v>India</v>
      </c>
      <c r="M349" t="str">
        <f>VLOOKUP(B349,Raw_Suppliers!$A$2:$G$101,4,FALSE)</f>
        <v>West</v>
      </c>
      <c r="N349" t="str">
        <f>VLOOKUP(B349,Raw_Suppliers!$A$2:$G$101,6,FALSE)</f>
        <v>ISO 9001</v>
      </c>
      <c r="O349">
        <f>VLOOKUP(B349,Raw_Suppliers!$A$2:$G$101,7,FALSE)</f>
        <v>0</v>
      </c>
      <c r="P349" t="str">
        <f t="shared" si="31"/>
        <v>No</v>
      </c>
      <c r="Q349">
        <f t="shared" si="32"/>
        <v>1</v>
      </c>
      <c r="R349" t="str">
        <f t="shared" si="33"/>
        <v>On Time</v>
      </c>
      <c r="S349">
        <f t="shared" si="34"/>
        <v>2023</v>
      </c>
      <c r="T349">
        <f t="shared" si="35"/>
        <v>6</v>
      </c>
    </row>
    <row r="350" spans="1:20" x14ac:dyDescent="0.25">
      <c r="A350" t="s">
        <v>620</v>
      </c>
      <c r="B350" t="s">
        <v>114</v>
      </c>
      <c r="C350" t="s">
        <v>341</v>
      </c>
      <c r="D350" s="1">
        <v>45150</v>
      </c>
      <c r="E350">
        <v>22</v>
      </c>
      <c r="F350">
        <v>72.791096284076602</v>
      </c>
      <c r="G350" s="1">
        <v>45172</v>
      </c>
      <c r="H350" s="1">
        <v>45170</v>
      </c>
      <c r="I350">
        <v>1601.4041182496801</v>
      </c>
      <c r="J350">
        <f t="shared" si="30"/>
        <v>-2</v>
      </c>
      <c r="K350" t="str">
        <f>VLOOKUP(B350,Raw_Suppliers!$A$2:$G$101,2,FALSE)</f>
        <v>Fusion Fusion LLC</v>
      </c>
      <c r="L350" t="str">
        <f>VLOOKUP(B350,Raw_Suppliers!$A$2:$G$101,3,FALSE)</f>
        <v>China</v>
      </c>
      <c r="M350" t="str">
        <f>VLOOKUP(B350,Raw_Suppliers!$A$2:$G$101,4,FALSE)</f>
        <v>North</v>
      </c>
      <c r="N350" t="str">
        <f>VLOOKUP(B350,Raw_Suppliers!$A$2:$G$101,6,FALSE)</f>
        <v>ISO 45001</v>
      </c>
      <c r="O350">
        <f>VLOOKUP(B350,Raw_Suppliers!$A$2:$G$101,7,FALSE)</f>
        <v>1</v>
      </c>
      <c r="P350" t="str">
        <f t="shared" si="31"/>
        <v>Yes</v>
      </c>
      <c r="Q350">
        <f t="shared" si="32"/>
        <v>1</v>
      </c>
      <c r="R350" t="str">
        <f t="shared" si="33"/>
        <v>On Time</v>
      </c>
      <c r="S350">
        <f t="shared" si="34"/>
        <v>2023</v>
      </c>
      <c r="T350">
        <f t="shared" si="35"/>
        <v>8</v>
      </c>
    </row>
    <row r="351" spans="1:20" x14ac:dyDescent="0.25">
      <c r="A351" t="s">
        <v>621</v>
      </c>
      <c r="B351" t="s">
        <v>617</v>
      </c>
      <c r="C351" t="s">
        <v>155</v>
      </c>
      <c r="D351" s="1">
        <v>45324</v>
      </c>
      <c r="E351">
        <v>13</v>
      </c>
      <c r="F351">
        <v>26.651269024724701</v>
      </c>
      <c r="G351" s="1">
        <v>45337</v>
      </c>
      <c r="H351" s="1">
        <v>45342</v>
      </c>
      <c r="I351">
        <v>346.466497321421</v>
      </c>
      <c r="J351">
        <f t="shared" si="30"/>
        <v>5</v>
      </c>
      <c r="K351" t="str">
        <f>VLOOKUP(B351,Raw_Suppliers!$A$2:$G$101,2,FALSE)</f>
        <v>Eco Vertex Ltd</v>
      </c>
      <c r="L351" t="str">
        <f>VLOOKUP(B351,Raw_Suppliers!$A$2:$G$101,3,FALSE)</f>
        <v>UK</v>
      </c>
      <c r="M351" t="str">
        <f>VLOOKUP(B351,Raw_Suppliers!$A$2:$G$101,4,FALSE)</f>
        <v>Central</v>
      </c>
      <c r="N351" t="str">
        <f>VLOOKUP(B351,Raw_Suppliers!$A$2:$G$101,6,FALSE)</f>
        <v>None</v>
      </c>
      <c r="O351">
        <f>VLOOKUP(B351,Raw_Suppliers!$A$2:$G$101,7,FALSE)</f>
        <v>0</v>
      </c>
      <c r="P351" t="str">
        <f t="shared" si="31"/>
        <v>No</v>
      </c>
      <c r="Q351">
        <f t="shared" si="32"/>
        <v>0</v>
      </c>
      <c r="R351" t="str">
        <f t="shared" si="33"/>
        <v>Late</v>
      </c>
      <c r="S351">
        <f t="shared" si="34"/>
        <v>2024</v>
      </c>
      <c r="T351">
        <f t="shared" si="35"/>
        <v>2</v>
      </c>
    </row>
    <row r="352" spans="1:20" x14ac:dyDescent="0.25">
      <c r="A352" t="s">
        <v>622</v>
      </c>
      <c r="B352" t="s">
        <v>350</v>
      </c>
      <c r="C352" t="s">
        <v>623</v>
      </c>
      <c r="D352" s="1">
        <v>44218</v>
      </c>
      <c r="E352">
        <v>11</v>
      </c>
      <c r="F352">
        <v>43.156867770378597</v>
      </c>
      <c r="G352" s="1">
        <v>44236</v>
      </c>
      <c r="H352" s="1">
        <v>44237</v>
      </c>
      <c r="I352">
        <v>474.72554547416502</v>
      </c>
      <c r="J352">
        <f t="shared" si="30"/>
        <v>1</v>
      </c>
      <c r="K352" t="str">
        <f>VLOOKUP(B352,Raw_Suppliers!$A$2:$G$101,2,FALSE)</f>
        <v>Prime Gamma GmbH</v>
      </c>
      <c r="L352" t="str">
        <f>VLOOKUP(B352,Raw_Suppliers!$A$2:$G$101,3,FALSE)</f>
        <v>Denmark</v>
      </c>
      <c r="M352" t="str">
        <f>VLOOKUP(B352,Raw_Suppliers!$A$2:$G$101,4,FALSE)</f>
        <v>West</v>
      </c>
      <c r="N352" t="str">
        <f>VLOOKUP(B352,Raw_Suppliers!$A$2:$G$101,6,FALSE)</f>
        <v>ISO 9001</v>
      </c>
      <c r="O352">
        <f>VLOOKUP(B352,Raw_Suppliers!$A$2:$G$101,7,FALSE)</f>
        <v>0</v>
      </c>
      <c r="P352" t="str">
        <f t="shared" si="31"/>
        <v>No</v>
      </c>
      <c r="Q352">
        <f t="shared" si="32"/>
        <v>0</v>
      </c>
      <c r="R352" t="str">
        <f t="shared" si="33"/>
        <v>Late</v>
      </c>
      <c r="S352">
        <f t="shared" si="34"/>
        <v>2021</v>
      </c>
      <c r="T352">
        <f t="shared" si="35"/>
        <v>1</v>
      </c>
    </row>
    <row r="353" spans="1:20" x14ac:dyDescent="0.25">
      <c r="A353" t="s">
        <v>624</v>
      </c>
      <c r="B353" t="s">
        <v>207</v>
      </c>
      <c r="C353" t="s">
        <v>623</v>
      </c>
      <c r="D353" s="1">
        <v>44520</v>
      </c>
      <c r="E353">
        <v>7</v>
      </c>
      <c r="F353">
        <v>55.369876864231699</v>
      </c>
      <c r="G353" s="1">
        <v>44542</v>
      </c>
      <c r="H353" s="1">
        <v>44547</v>
      </c>
      <c r="I353">
        <v>387.589138049621</v>
      </c>
      <c r="J353">
        <f t="shared" si="30"/>
        <v>5</v>
      </c>
      <c r="K353" t="str">
        <f>VLOOKUP(B353,Raw_Suppliers!$A$2:$G$101,2,FALSE)</f>
        <v>Nova Alpha Ltd</v>
      </c>
      <c r="L353" t="str">
        <f>VLOOKUP(B353,Raw_Suppliers!$A$2:$G$101,3,FALSE)</f>
        <v>India</v>
      </c>
      <c r="M353" t="str">
        <f>VLOOKUP(B353,Raw_Suppliers!$A$2:$G$101,4,FALSE)</f>
        <v>East</v>
      </c>
      <c r="N353" t="str">
        <f>VLOOKUP(B353,Raw_Suppliers!$A$2:$G$101,6,FALSE)</f>
        <v>ISO 9001</v>
      </c>
      <c r="O353">
        <f>VLOOKUP(B353,Raw_Suppliers!$A$2:$G$101,7,FALSE)</f>
        <v>0</v>
      </c>
      <c r="P353" t="str">
        <f t="shared" si="31"/>
        <v>No</v>
      </c>
      <c r="Q353">
        <f t="shared" si="32"/>
        <v>0</v>
      </c>
      <c r="R353" t="str">
        <f t="shared" si="33"/>
        <v>Late</v>
      </c>
      <c r="S353">
        <f t="shared" si="34"/>
        <v>2021</v>
      </c>
      <c r="T353">
        <f t="shared" si="35"/>
        <v>11</v>
      </c>
    </row>
    <row r="354" spans="1:20" x14ac:dyDescent="0.25">
      <c r="A354" t="s">
        <v>625</v>
      </c>
      <c r="B354" t="s">
        <v>539</v>
      </c>
      <c r="C354" t="s">
        <v>527</v>
      </c>
      <c r="D354" s="1">
        <v>44449</v>
      </c>
      <c r="E354">
        <v>5</v>
      </c>
      <c r="F354">
        <v>64.691781205039504</v>
      </c>
      <c r="G354" s="1">
        <v>44469</v>
      </c>
      <c r="H354" s="1">
        <v>44466</v>
      </c>
      <c r="I354">
        <v>323.458906025197</v>
      </c>
      <c r="J354">
        <f t="shared" si="30"/>
        <v>-3</v>
      </c>
      <c r="K354" t="str">
        <f>VLOOKUP(B354,Raw_Suppliers!$A$2:$G$101,2,FALSE)</f>
        <v>Eco Eco Ltd</v>
      </c>
      <c r="L354" t="str">
        <f>VLOOKUP(B354,Raw_Suppliers!$A$2:$G$101,3,FALSE)</f>
        <v>USA</v>
      </c>
      <c r="M354" t="str">
        <f>VLOOKUP(B354,Raw_Suppliers!$A$2:$G$101,4,FALSE)</f>
        <v>South</v>
      </c>
      <c r="N354" t="str">
        <f>VLOOKUP(B354,Raw_Suppliers!$A$2:$G$101,6,FALSE)</f>
        <v>ISO 45001</v>
      </c>
      <c r="O354">
        <f>VLOOKUP(B354,Raw_Suppliers!$A$2:$G$101,7,FALSE)</f>
        <v>1</v>
      </c>
      <c r="P354" t="str">
        <f t="shared" si="31"/>
        <v>Yes</v>
      </c>
      <c r="Q354">
        <f t="shared" si="32"/>
        <v>1</v>
      </c>
      <c r="R354" t="str">
        <f t="shared" si="33"/>
        <v>On Time</v>
      </c>
      <c r="S354">
        <f t="shared" si="34"/>
        <v>2021</v>
      </c>
      <c r="T354">
        <f t="shared" si="35"/>
        <v>9</v>
      </c>
    </row>
    <row r="355" spans="1:20" x14ac:dyDescent="0.25">
      <c r="A355" t="s">
        <v>626</v>
      </c>
      <c r="B355" t="s">
        <v>427</v>
      </c>
      <c r="C355" t="s">
        <v>627</v>
      </c>
      <c r="D355" s="1">
        <v>45196</v>
      </c>
      <c r="E355">
        <v>13</v>
      </c>
      <c r="F355">
        <v>55.6176359646497</v>
      </c>
      <c r="G355" s="1">
        <v>45217</v>
      </c>
      <c r="H355" s="1">
        <v>45217</v>
      </c>
      <c r="I355">
        <v>723.02926754044699</v>
      </c>
      <c r="J355">
        <f t="shared" si="30"/>
        <v>0</v>
      </c>
      <c r="K355" t="str">
        <f>VLOOKUP(B355,Raw_Suppliers!$A$2:$G$101,2,FALSE)</f>
        <v>Nova Alpha Corp</v>
      </c>
      <c r="L355" t="str">
        <f>VLOOKUP(B355,Raw_Suppliers!$A$2:$G$101,3,FALSE)</f>
        <v>Denmark</v>
      </c>
      <c r="M355" t="str">
        <f>VLOOKUP(B355,Raw_Suppliers!$A$2:$G$101,4,FALSE)</f>
        <v>Central</v>
      </c>
      <c r="N355" t="str">
        <f>VLOOKUP(B355,Raw_Suppliers!$A$2:$G$101,6,FALSE)</f>
        <v>None</v>
      </c>
      <c r="O355">
        <f>VLOOKUP(B355,Raw_Suppliers!$A$2:$G$101,7,FALSE)</f>
        <v>0</v>
      </c>
      <c r="P355" t="str">
        <f t="shared" si="31"/>
        <v>No</v>
      </c>
      <c r="Q355">
        <f t="shared" si="32"/>
        <v>1</v>
      </c>
      <c r="R355" t="str">
        <f t="shared" si="33"/>
        <v>On Time</v>
      </c>
      <c r="S355">
        <f t="shared" si="34"/>
        <v>2023</v>
      </c>
      <c r="T355">
        <f t="shared" si="35"/>
        <v>9</v>
      </c>
    </row>
    <row r="356" spans="1:20" x14ac:dyDescent="0.25">
      <c r="A356" t="s">
        <v>628</v>
      </c>
      <c r="B356" t="s">
        <v>379</v>
      </c>
      <c r="C356" t="s">
        <v>629</v>
      </c>
      <c r="D356" s="1">
        <v>44904</v>
      </c>
      <c r="E356">
        <v>6</v>
      </c>
      <c r="F356">
        <v>77.427361550386195</v>
      </c>
      <c r="G356" s="1">
        <v>44920</v>
      </c>
      <c r="H356" s="1">
        <v>44921</v>
      </c>
      <c r="I356">
        <v>464.564169302317</v>
      </c>
      <c r="J356">
        <f t="shared" si="30"/>
        <v>1</v>
      </c>
      <c r="K356" t="str">
        <f>VLOOKUP(B356,Raw_Suppliers!$A$2:$G$101,2,FALSE)</f>
        <v>Apex Fusion Ltd</v>
      </c>
      <c r="L356" t="str">
        <f>VLOOKUP(B356,Raw_Suppliers!$A$2:$G$101,3,FALSE)</f>
        <v>USA</v>
      </c>
      <c r="M356" t="str">
        <f>VLOOKUP(B356,Raw_Suppliers!$A$2:$G$101,4,FALSE)</f>
        <v>East</v>
      </c>
      <c r="N356" t="str">
        <f>VLOOKUP(B356,Raw_Suppliers!$A$2:$G$101,6,FALSE)</f>
        <v>ISO 14001</v>
      </c>
      <c r="O356">
        <f>VLOOKUP(B356,Raw_Suppliers!$A$2:$G$101,7,FALSE)</f>
        <v>1</v>
      </c>
      <c r="P356" t="str">
        <f t="shared" si="31"/>
        <v>Yes</v>
      </c>
      <c r="Q356">
        <f t="shared" si="32"/>
        <v>0</v>
      </c>
      <c r="R356" t="str">
        <f t="shared" si="33"/>
        <v>Late</v>
      </c>
      <c r="S356">
        <f t="shared" si="34"/>
        <v>2022</v>
      </c>
      <c r="T356">
        <f t="shared" si="35"/>
        <v>12</v>
      </c>
    </row>
    <row r="357" spans="1:20" x14ac:dyDescent="0.25">
      <c r="A357" t="s">
        <v>630</v>
      </c>
      <c r="B357" t="s">
        <v>189</v>
      </c>
      <c r="C357" t="s">
        <v>346</v>
      </c>
      <c r="D357" s="1">
        <v>44612</v>
      </c>
      <c r="E357">
        <v>7</v>
      </c>
      <c r="F357">
        <v>22.447384790188799</v>
      </c>
      <c r="G357" s="1">
        <v>44635</v>
      </c>
      <c r="H357" s="1">
        <v>44637</v>
      </c>
      <c r="I357">
        <v>157.13169353132099</v>
      </c>
      <c r="J357">
        <f t="shared" si="30"/>
        <v>2</v>
      </c>
      <c r="K357" t="str">
        <f>VLOOKUP(B357,Raw_Suppliers!$A$2:$G$101,2,FALSE)</f>
        <v>Apex Pioneer Ltd</v>
      </c>
      <c r="L357" t="str">
        <f>VLOOKUP(B357,Raw_Suppliers!$A$2:$G$101,3,FALSE)</f>
        <v>Canada</v>
      </c>
      <c r="M357" t="str">
        <f>VLOOKUP(B357,Raw_Suppliers!$A$2:$G$101,4,FALSE)</f>
        <v>South</v>
      </c>
      <c r="N357" t="str">
        <f>VLOOKUP(B357,Raw_Suppliers!$A$2:$G$101,6,FALSE)</f>
        <v>ISO 14001</v>
      </c>
      <c r="O357">
        <f>VLOOKUP(B357,Raw_Suppliers!$A$2:$G$101,7,FALSE)</f>
        <v>1</v>
      </c>
      <c r="P357" t="str">
        <f t="shared" si="31"/>
        <v>Yes</v>
      </c>
      <c r="Q357">
        <f t="shared" si="32"/>
        <v>0</v>
      </c>
      <c r="R357" t="str">
        <f t="shared" si="33"/>
        <v>Late</v>
      </c>
      <c r="S357">
        <f t="shared" si="34"/>
        <v>2022</v>
      </c>
      <c r="T357">
        <f t="shared" si="35"/>
        <v>2</v>
      </c>
    </row>
    <row r="358" spans="1:20" x14ac:dyDescent="0.25">
      <c r="A358" t="s">
        <v>631</v>
      </c>
      <c r="B358" t="s">
        <v>194</v>
      </c>
      <c r="C358" t="s">
        <v>20</v>
      </c>
      <c r="D358" s="1">
        <v>44845</v>
      </c>
      <c r="E358">
        <v>10</v>
      </c>
      <c r="F358">
        <v>77.814999632381202</v>
      </c>
      <c r="G358" s="1">
        <v>44865</v>
      </c>
      <c r="H358" s="1">
        <v>44865</v>
      </c>
      <c r="I358">
        <v>778.14999632381205</v>
      </c>
      <c r="J358">
        <f t="shared" si="30"/>
        <v>0</v>
      </c>
      <c r="K358" t="str">
        <f>VLOOKUP(B358,Raw_Suppliers!$A$2:$G$101,2,FALSE)</f>
        <v>Eco Pioneer Corp</v>
      </c>
      <c r="L358" t="str">
        <f>VLOOKUP(B358,Raw_Suppliers!$A$2:$G$101,3,FALSE)</f>
        <v>China</v>
      </c>
      <c r="M358" t="str">
        <f>VLOOKUP(B358,Raw_Suppliers!$A$2:$G$101,4,FALSE)</f>
        <v>East</v>
      </c>
      <c r="N358" t="str">
        <f>VLOOKUP(B358,Raw_Suppliers!$A$2:$G$101,6,FALSE)</f>
        <v>ISO 14001</v>
      </c>
      <c r="O358">
        <f>VLOOKUP(B358,Raw_Suppliers!$A$2:$G$101,7,FALSE)</f>
        <v>1</v>
      </c>
      <c r="P358" t="str">
        <f t="shared" si="31"/>
        <v>Yes</v>
      </c>
      <c r="Q358">
        <f t="shared" si="32"/>
        <v>1</v>
      </c>
      <c r="R358" t="str">
        <f t="shared" si="33"/>
        <v>On Time</v>
      </c>
      <c r="S358">
        <f t="shared" si="34"/>
        <v>2022</v>
      </c>
      <c r="T358">
        <f t="shared" si="35"/>
        <v>10</v>
      </c>
    </row>
    <row r="359" spans="1:20" x14ac:dyDescent="0.25">
      <c r="A359" t="s">
        <v>632</v>
      </c>
      <c r="B359" t="s">
        <v>324</v>
      </c>
      <c r="C359" t="s">
        <v>297</v>
      </c>
      <c r="D359" s="1">
        <v>45320</v>
      </c>
      <c r="E359">
        <v>11</v>
      </c>
      <c r="F359">
        <v>49.6130584767023</v>
      </c>
      <c r="G359" s="1">
        <v>45333</v>
      </c>
      <c r="H359" s="1">
        <v>45333</v>
      </c>
      <c r="I359">
        <v>545.74364324372505</v>
      </c>
      <c r="J359">
        <f t="shared" si="30"/>
        <v>0</v>
      </c>
      <c r="K359" t="str">
        <f>VLOOKUP(B359,Raw_Suppliers!$A$2:$G$101,2,FALSE)</f>
        <v>Gamma Nano Corp</v>
      </c>
      <c r="L359" t="str">
        <f>VLOOKUP(B359,Raw_Suppliers!$A$2:$G$101,3,FALSE)</f>
        <v>Germany</v>
      </c>
      <c r="M359" t="str">
        <f>VLOOKUP(B359,Raw_Suppliers!$A$2:$G$101,4,FALSE)</f>
        <v>West</v>
      </c>
      <c r="N359" t="str">
        <f>VLOOKUP(B359,Raw_Suppliers!$A$2:$G$101,6,FALSE)</f>
        <v>ISO 9001</v>
      </c>
      <c r="O359">
        <f>VLOOKUP(B359,Raw_Suppliers!$A$2:$G$101,7,FALSE)</f>
        <v>0</v>
      </c>
      <c r="P359" t="str">
        <f t="shared" si="31"/>
        <v>No</v>
      </c>
      <c r="Q359">
        <f t="shared" si="32"/>
        <v>1</v>
      </c>
      <c r="R359" t="str">
        <f t="shared" si="33"/>
        <v>On Time</v>
      </c>
      <c r="S359">
        <f t="shared" si="34"/>
        <v>2024</v>
      </c>
      <c r="T359">
        <f t="shared" si="35"/>
        <v>1</v>
      </c>
    </row>
    <row r="360" spans="1:20" x14ac:dyDescent="0.25">
      <c r="A360" t="s">
        <v>633</v>
      </c>
      <c r="B360" t="s">
        <v>326</v>
      </c>
      <c r="C360" t="s">
        <v>421</v>
      </c>
      <c r="D360" s="1">
        <v>45139</v>
      </c>
      <c r="E360">
        <v>13</v>
      </c>
      <c r="F360">
        <v>72.254953044744198</v>
      </c>
      <c r="G360" s="1">
        <v>45149</v>
      </c>
      <c r="H360" s="1">
        <v>45146</v>
      </c>
      <c r="I360">
        <v>939.31438958167496</v>
      </c>
      <c r="J360">
        <f t="shared" si="30"/>
        <v>-3</v>
      </c>
      <c r="K360" t="str">
        <f>VLOOKUP(B360,Raw_Suppliers!$A$2:$G$101,2,FALSE)</f>
        <v>Ultra Fusion Corp</v>
      </c>
      <c r="L360" t="str">
        <f>VLOOKUP(B360,Raw_Suppliers!$A$2:$G$101,3,FALSE)</f>
        <v>Canada</v>
      </c>
      <c r="M360" t="str">
        <f>VLOOKUP(B360,Raw_Suppliers!$A$2:$G$101,4,FALSE)</f>
        <v>South</v>
      </c>
      <c r="N360" t="str">
        <f>VLOOKUP(B360,Raw_Suppliers!$A$2:$G$101,6,FALSE)</f>
        <v>None</v>
      </c>
      <c r="O360">
        <f>VLOOKUP(B360,Raw_Suppliers!$A$2:$G$101,7,FALSE)</f>
        <v>1</v>
      </c>
      <c r="P360" t="str">
        <f t="shared" si="31"/>
        <v>Yes</v>
      </c>
      <c r="Q360">
        <f t="shared" si="32"/>
        <v>1</v>
      </c>
      <c r="R360" t="str">
        <f t="shared" si="33"/>
        <v>On Time</v>
      </c>
      <c r="S360">
        <f t="shared" si="34"/>
        <v>2023</v>
      </c>
      <c r="T360">
        <f t="shared" si="35"/>
        <v>8</v>
      </c>
    </row>
    <row r="361" spans="1:20" x14ac:dyDescent="0.25">
      <c r="A361" t="s">
        <v>634</v>
      </c>
      <c r="B361" t="s">
        <v>301</v>
      </c>
      <c r="C361" t="s">
        <v>210</v>
      </c>
      <c r="D361" s="1">
        <v>45240</v>
      </c>
      <c r="E361">
        <v>6</v>
      </c>
      <c r="F361">
        <v>15.403970799743901</v>
      </c>
      <c r="G361" s="1">
        <v>45253</v>
      </c>
      <c r="H361" s="1">
        <v>45259</v>
      </c>
      <c r="I361">
        <v>92.423824798463798</v>
      </c>
      <c r="J361">
        <f t="shared" si="30"/>
        <v>6</v>
      </c>
      <c r="K361" t="str">
        <f>VLOOKUP(B361,Raw_Suppliers!$A$2:$G$101,2,FALSE)</f>
        <v>Beta Eco Inc</v>
      </c>
      <c r="L361" t="str">
        <f>VLOOKUP(B361,Raw_Suppliers!$A$2:$G$101,3,FALSE)</f>
        <v>Denmark</v>
      </c>
      <c r="M361" t="str">
        <f>VLOOKUP(B361,Raw_Suppliers!$A$2:$G$101,4,FALSE)</f>
        <v>South</v>
      </c>
      <c r="N361" t="str">
        <f>VLOOKUP(B361,Raw_Suppliers!$A$2:$G$101,6,FALSE)</f>
        <v>ISO 14001</v>
      </c>
      <c r="O361">
        <f>VLOOKUP(B361,Raw_Suppliers!$A$2:$G$101,7,FALSE)</f>
        <v>1</v>
      </c>
      <c r="P361" t="str">
        <f t="shared" si="31"/>
        <v>Yes</v>
      </c>
      <c r="Q361">
        <f t="shared" si="32"/>
        <v>0</v>
      </c>
      <c r="R361" t="str">
        <f t="shared" si="33"/>
        <v>Late</v>
      </c>
      <c r="S361">
        <f t="shared" si="34"/>
        <v>2023</v>
      </c>
      <c r="T361">
        <f t="shared" si="35"/>
        <v>11</v>
      </c>
    </row>
    <row r="362" spans="1:20" x14ac:dyDescent="0.25">
      <c r="A362" t="s">
        <v>635</v>
      </c>
      <c r="B362" t="s">
        <v>119</v>
      </c>
      <c r="C362" t="s">
        <v>170</v>
      </c>
      <c r="D362" s="1">
        <v>44748</v>
      </c>
      <c r="E362">
        <v>15</v>
      </c>
      <c r="F362">
        <v>31.284249493155802</v>
      </c>
      <c r="G362" s="1">
        <v>44764</v>
      </c>
      <c r="H362" s="1">
        <v>44770</v>
      </c>
      <c r="I362">
        <v>469.26374239733701</v>
      </c>
      <c r="J362">
        <f t="shared" si="30"/>
        <v>6</v>
      </c>
      <c r="K362" t="str">
        <f>VLOOKUP(B362,Raw_Suppliers!$A$2:$G$101,2,FALSE)</f>
        <v>Pioneer Apex Corp</v>
      </c>
      <c r="L362" t="str">
        <f>VLOOKUP(B362,Raw_Suppliers!$A$2:$G$101,3,FALSE)</f>
        <v>USA</v>
      </c>
      <c r="M362" t="str">
        <f>VLOOKUP(B362,Raw_Suppliers!$A$2:$G$101,4,FALSE)</f>
        <v>Central</v>
      </c>
      <c r="N362" t="str">
        <f>VLOOKUP(B362,Raw_Suppliers!$A$2:$G$101,6,FALSE)</f>
        <v>None</v>
      </c>
      <c r="O362">
        <f>VLOOKUP(B362,Raw_Suppliers!$A$2:$G$101,7,FALSE)</f>
        <v>0</v>
      </c>
      <c r="P362" t="str">
        <f t="shared" si="31"/>
        <v>No</v>
      </c>
      <c r="Q362">
        <f t="shared" si="32"/>
        <v>0</v>
      </c>
      <c r="R362" t="str">
        <f t="shared" si="33"/>
        <v>Late</v>
      </c>
      <c r="S362">
        <f t="shared" si="34"/>
        <v>2022</v>
      </c>
      <c r="T362">
        <f t="shared" si="35"/>
        <v>7</v>
      </c>
    </row>
    <row r="363" spans="1:20" x14ac:dyDescent="0.25">
      <c r="A363" t="s">
        <v>636</v>
      </c>
      <c r="B363" t="s">
        <v>379</v>
      </c>
      <c r="C363" t="s">
        <v>41</v>
      </c>
      <c r="D363" s="1">
        <v>44248</v>
      </c>
      <c r="E363">
        <v>10</v>
      </c>
      <c r="F363">
        <v>19.768778151015699</v>
      </c>
      <c r="G363" s="1">
        <v>44259</v>
      </c>
      <c r="H363" s="1">
        <v>44263</v>
      </c>
      <c r="I363">
        <v>197.68778151015701</v>
      </c>
      <c r="J363">
        <f t="shared" si="30"/>
        <v>4</v>
      </c>
      <c r="K363" t="str">
        <f>VLOOKUP(B363,Raw_Suppliers!$A$2:$G$101,2,FALSE)</f>
        <v>Apex Fusion Ltd</v>
      </c>
      <c r="L363" t="str">
        <f>VLOOKUP(B363,Raw_Suppliers!$A$2:$G$101,3,FALSE)</f>
        <v>USA</v>
      </c>
      <c r="M363" t="str">
        <f>VLOOKUP(B363,Raw_Suppliers!$A$2:$G$101,4,FALSE)</f>
        <v>East</v>
      </c>
      <c r="N363" t="str">
        <f>VLOOKUP(B363,Raw_Suppliers!$A$2:$G$101,6,FALSE)</f>
        <v>ISO 14001</v>
      </c>
      <c r="O363">
        <f>VLOOKUP(B363,Raw_Suppliers!$A$2:$G$101,7,FALSE)</f>
        <v>1</v>
      </c>
      <c r="P363" t="str">
        <f t="shared" si="31"/>
        <v>Yes</v>
      </c>
      <c r="Q363">
        <f t="shared" si="32"/>
        <v>0</v>
      </c>
      <c r="R363" t="str">
        <f t="shared" si="33"/>
        <v>Late</v>
      </c>
      <c r="S363">
        <f t="shared" si="34"/>
        <v>2021</v>
      </c>
      <c r="T363">
        <f t="shared" si="35"/>
        <v>2</v>
      </c>
    </row>
    <row r="364" spans="1:20" x14ac:dyDescent="0.25">
      <c r="A364" t="s">
        <v>637</v>
      </c>
      <c r="B364" t="s">
        <v>242</v>
      </c>
      <c r="C364" t="s">
        <v>144</v>
      </c>
      <c r="D364" s="1">
        <v>44920</v>
      </c>
      <c r="E364">
        <v>9</v>
      </c>
      <c r="F364">
        <v>52.777093124989499</v>
      </c>
      <c r="G364" s="1">
        <v>44934</v>
      </c>
      <c r="H364" s="1">
        <v>44939</v>
      </c>
      <c r="I364">
        <v>474.99383812490601</v>
      </c>
      <c r="J364">
        <f t="shared" si="30"/>
        <v>5</v>
      </c>
      <c r="K364" t="str">
        <f>VLOOKUP(B364,Raw_Suppliers!$A$2:$G$101,2,FALSE)</f>
        <v>Omega Nova GmbH</v>
      </c>
      <c r="L364" t="str">
        <f>VLOOKUP(B364,Raw_Suppliers!$A$2:$G$101,3,FALSE)</f>
        <v>Denmark</v>
      </c>
      <c r="M364" t="str">
        <f>VLOOKUP(B364,Raw_Suppliers!$A$2:$G$101,4,FALSE)</f>
        <v>East</v>
      </c>
      <c r="N364" t="str">
        <f>VLOOKUP(B364,Raw_Suppliers!$A$2:$G$101,6,FALSE)</f>
        <v>ISO 45001</v>
      </c>
      <c r="O364">
        <f>VLOOKUP(B364,Raw_Suppliers!$A$2:$G$101,7,FALSE)</f>
        <v>0</v>
      </c>
      <c r="P364" t="str">
        <f t="shared" si="31"/>
        <v>No</v>
      </c>
      <c r="Q364">
        <f t="shared" si="32"/>
        <v>0</v>
      </c>
      <c r="R364" t="str">
        <f t="shared" si="33"/>
        <v>Late</v>
      </c>
      <c r="S364">
        <f t="shared" si="34"/>
        <v>2022</v>
      </c>
      <c r="T364">
        <f t="shared" si="35"/>
        <v>12</v>
      </c>
    </row>
    <row r="365" spans="1:20" x14ac:dyDescent="0.25">
      <c r="A365" t="s">
        <v>638</v>
      </c>
      <c r="B365" t="s">
        <v>76</v>
      </c>
      <c r="C365" t="s">
        <v>413</v>
      </c>
      <c r="D365" s="1">
        <v>44232</v>
      </c>
      <c r="E365">
        <v>17</v>
      </c>
      <c r="F365">
        <v>4.0285093912714203</v>
      </c>
      <c r="G365" s="1">
        <v>44256</v>
      </c>
      <c r="H365" s="1">
        <v>44260</v>
      </c>
      <c r="I365">
        <v>68.484659651614194</v>
      </c>
      <c r="J365">
        <f t="shared" si="30"/>
        <v>4</v>
      </c>
      <c r="K365" t="str">
        <f>VLOOKUP(B365,Raw_Suppliers!$A$2:$G$101,2,FALSE)</f>
        <v>Alpha Beta Ltd</v>
      </c>
      <c r="L365" t="str">
        <f>VLOOKUP(B365,Raw_Suppliers!$A$2:$G$101,3,FALSE)</f>
        <v>UK</v>
      </c>
      <c r="M365" t="str">
        <f>VLOOKUP(B365,Raw_Suppliers!$A$2:$G$101,4,FALSE)</f>
        <v>South</v>
      </c>
      <c r="N365" t="str">
        <f>VLOOKUP(B365,Raw_Suppliers!$A$2:$G$101,6,FALSE)</f>
        <v>None</v>
      </c>
      <c r="O365">
        <f>VLOOKUP(B365,Raw_Suppliers!$A$2:$G$101,7,FALSE)</f>
        <v>1</v>
      </c>
      <c r="P365" t="str">
        <f t="shared" si="31"/>
        <v>Yes</v>
      </c>
      <c r="Q365">
        <f t="shared" si="32"/>
        <v>0</v>
      </c>
      <c r="R365" t="str">
        <f t="shared" si="33"/>
        <v>Late</v>
      </c>
      <c r="S365">
        <f t="shared" si="34"/>
        <v>2021</v>
      </c>
      <c r="T365">
        <f t="shared" si="35"/>
        <v>2</v>
      </c>
    </row>
    <row r="366" spans="1:20" x14ac:dyDescent="0.25">
      <c r="A366" t="s">
        <v>639</v>
      </c>
      <c r="B366" t="s">
        <v>67</v>
      </c>
      <c r="C366" t="s">
        <v>415</v>
      </c>
      <c r="D366" s="1">
        <v>45169</v>
      </c>
      <c r="E366">
        <v>10</v>
      </c>
      <c r="F366">
        <v>14.180684894788</v>
      </c>
      <c r="G366" s="1">
        <v>45187</v>
      </c>
      <c r="H366" s="1">
        <v>45188</v>
      </c>
      <c r="I366">
        <v>141.80684894788001</v>
      </c>
      <c r="J366">
        <f t="shared" si="30"/>
        <v>1</v>
      </c>
      <c r="K366" t="str">
        <f>VLOOKUP(B366,Raw_Suppliers!$A$2:$G$101,2,FALSE)</f>
        <v>Nova Eco LLC</v>
      </c>
      <c r="L366" t="str">
        <f>VLOOKUP(B366,Raw_Suppliers!$A$2:$G$101,3,FALSE)</f>
        <v>Germany</v>
      </c>
      <c r="M366" t="str">
        <f>VLOOKUP(B366,Raw_Suppliers!$A$2:$G$101,4,FALSE)</f>
        <v>Central</v>
      </c>
      <c r="N366" t="str">
        <f>VLOOKUP(B366,Raw_Suppliers!$A$2:$G$101,6,FALSE)</f>
        <v>ISO 9001</v>
      </c>
      <c r="O366">
        <f>VLOOKUP(B366,Raw_Suppliers!$A$2:$G$101,7,FALSE)</f>
        <v>1</v>
      </c>
      <c r="P366" t="str">
        <f t="shared" si="31"/>
        <v>Yes</v>
      </c>
      <c r="Q366">
        <f t="shared" si="32"/>
        <v>0</v>
      </c>
      <c r="R366" t="str">
        <f t="shared" si="33"/>
        <v>Late</v>
      </c>
      <c r="S366">
        <f t="shared" si="34"/>
        <v>2023</v>
      </c>
      <c r="T366">
        <f t="shared" si="35"/>
        <v>8</v>
      </c>
    </row>
    <row r="367" spans="1:20" x14ac:dyDescent="0.25">
      <c r="A367" t="s">
        <v>640</v>
      </c>
      <c r="B367" t="s">
        <v>88</v>
      </c>
      <c r="C367" t="s">
        <v>187</v>
      </c>
      <c r="D367" s="1">
        <v>45390</v>
      </c>
      <c r="E367">
        <v>10</v>
      </c>
      <c r="F367">
        <v>34.739063180511401</v>
      </c>
      <c r="G367" s="1">
        <v>45407</v>
      </c>
      <c r="H367" s="1">
        <v>45404</v>
      </c>
      <c r="I367">
        <v>347.39063180511403</v>
      </c>
      <c r="J367">
        <f t="shared" si="30"/>
        <v>-3</v>
      </c>
      <c r="K367" t="str">
        <f>VLOOKUP(B367,Raw_Suppliers!$A$2:$G$101,2,FALSE)</f>
        <v>Eco Nano GmbH</v>
      </c>
      <c r="L367" t="str">
        <f>VLOOKUP(B367,Raw_Suppliers!$A$2:$G$101,3,FALSE)</f>
        <v>Denmark</v>
      </c>
      <c r="M367" t="str">
        <f>VLOOKUP(B367,Raw_Suppliers!$A$2:$G$101,4,FALSE)</f>
        <v>Central</v>
      </c>
      <c r="N367" t="str">
        <f>VLOOKUP(B367,Raw_Suppliers!$A$2:$G$101,6,FALSE)</f>
        <v>ISO 9001</v>
      </c>
      <c r="O367">
        <f>VLOOKUP(B367,Raw_Suppliers!$A$2:$G$101,7,FALSE)</f>
        <v>1</v>
      </c>
      <c r="P367" t="str">
        <f t="shared" si="31"/>
        <v>Yes</v>
      </c>
      <c r="Q367">
        <f t="shared" si="32"/>
        <v>1</v>
      </c>
      <c r="R367" t="str">
        <f t="shared" si="33"/>
        <v>On Time</v>
      </c>
      <c r="S367">
        <f t="shared" si="34"/>
        <v>2024</v>
      </c>
      <c r="T367">
        <f t="shared" si="35"/>
        <v>4</v>
      </c>
    </row>
    <row r="368" spans="1:20" x14ac:dyDescent="0.25">
      <c r="A368" t="s">
        <v>641</v>
      </c>
      <c r="B368" t="s">
        <v>321</v>
      </c>
      <c r="C368" t="s">
        <v>279</v>
      </c>
      <c r="D368" s="1">
        <v>45246</v>
      </c>
      <c r="E368">
        <v>10</v>
      </c>
      <c r="F368">
        <v>42.523389185698598</v>
      </c>
      <c r="G368" s="1">
        <v>45260</v>
      </c>
      <c r="H368" s="1">
        <v>45258</v>
      </c>
      <c r="I368">
        <v>425.23389185698602</v>
      </c>
      <c r="J368">
        <f t="shared" si="30"/>
        <v>-2</v>
      </c>
      <c r="K368" t="str">
        <f>VLOOKUP(B368,Raw_Suppliers!$A$2:$G$101,2,FALSE)</f>
        <v>Vertex Delta LLC</v>
      </c>
      <c r="L368" t="str">
        <f>VLOOKUP(B368,Raw_Suppliers!$A$2:$G$101,3,FALSE)</f>
        <v>India</v>
      </c>
      <c r="M368" t="str">
        <f>VLOOKUP(B368,Raw_Suppliers!$A$2:$G$101,4,FALSE)</f>
        <v>South</v>
      </c>
      <c r="N368" t="str">
        <f>VLOOKUP(B368,Raw_Suppliers!$A$2:$G$101,6,FALSE)</f>
        <v>ISO 45001</v>
      </c>
      <c r="O368">
        <f>VLOOKUP(B368,Raw_Suppliers!$A$2:$G$101,7,FALSE)</f>
        <v>0</v>
      </c>
      <c r="P368" t="str">
        <f t="shared" si="31"/>
        <v>No</v>
      </c>
      <c r="Q368">
        <f t="shared" si="32"/>
        <v>1</v>
      </c>
      <c r="R368" t="str">
        <f t="shared" si="33"/>
        <v>On Time</v>
      </c>
      <c r="S368">
        <f t="shared" si="34"/>
        <v>2023</v>
      </c>
      <c r="T368">
        <f t="shared" si="35"/>
        <v>11</v>
      </c>
    </row>
    <row r="369" spans="1:20" x14ac:dyDescent="0.25">
      <c r="A369" t="s">
        <v>642</v>
      </c>
      <c r="B369" t="s">
        <v>176</v>
      </c>
      <c r="C369" t="s">
        <v>167</v>
      </c>
      <c r="D369" s="1">
        <v>45230</v>
      </c>
      <c r="E369">
        <v>14</v>
      </c>
      <c r="F369">
        <v>39.067968311405302</v>
      </c>
      <c r="G369" s="1">
        <v>45243</v>
      </c>
      <c r="H369" s="1">
        <v>45241</v>
      </c>
      <c r="I369">
        <v>546.95155635967501</v>
      </c>
      <c r="J369">
        <f t="shared" si="30"/>
        <v>-2</v>
      </c>
      <c r="K369" t="str">
        <f>VLOOKUP(B369,Raw_Suppliers!$A$2:$G$101,2,FALSE)</f>
        <v>Nano Ultra Corp</v>
      </c>
      <c r="L369" t="str">
        <f>VLOOKUP(B369,Raw_Suppliers!$A$2:$G$101,3,FALSE)</f>
        <v>Canada</v>
      </c>
      <c r="M369" t="str">
        <f>VLOOKUP(B369,Raw_Suppliers!$A$2:$G$101,4,FALSE)</f>
        <v>Central</v>
      </c>
      <c r="N369" t="str">
        <f>VLOOKUP(B369,Raw_Suppliers!$A$2:$G$101,6,FALSE)</f>
        <v>ISO 9001</v>
      </c>
      <c r="O369">
        <f>VLOOKUP(B369,Raw_Suppliers!$A$2:$G$101,7,FALSE)</f>
        <v>0</v>
      </c>
      <c r="P369" t="str">
        <f t="shared" si="31"/>
        <v>No</v>
      </c>
      <c r="Q369">
        <f t="shared" si="32"/>
        <v>1</v>
      </c>
      <c r="R369" t="str">
        <f t="shared" si="33"/>
        <v>On Time</v>
      </c>
      <c r="S369">
        <f t="shared" si="34"/>
        <v>2023</v>
      </c>
      <c r="T369">
        <f t="shared" si="35"/>
        <v>10</v>
      </c>
    </row>
    <row r="370" spans="1:20" x14ac:dyDescent="0.25">
      <c r="A370" t="s">
        <v>643</v>
      </c>
      <c r="B370" t="s">
        <v>179</v>
      </c>
      <c r="C370" t="s">
        <v>146</v>
      </c>
      <c r="D370" s="1">
        <v>44468</v>
      </c>
      <c r="E370">
        <v>10</v>
      </c>
      <c r="F370">
        <v>76.990580408196905</v>
      </c>
      <c r="G370" s="1">
        <v>44485</v>
      </c>
      <c r="H370" s="1">
        <v>44486</v>
      </c>
      <c r="I370">
        <v>769.90580408196899</v>
      </c>
      <c r="J370">
        <f t="shared" si="30"/>
        <v>1</v>
      </c>
      <c r="K370" t="str">
        <f>VLOOKUP(B370,Raw_Suppliers!$A$2:$G$101,2,FALSE)</f>
        <v>Nova Gamma Ltd</v>
      </c>
      <c r="L370" t="str">
        <f>VLOOKUP(B370,Raw_Suppliers!$A$2:$G$101,3,FALSE)</f>
        <v>Denmark</v>
      </c>
      <c r="M370" t="str">
        <f>VLOOKUP(B370,Raw_Suppliers!$A$2:$G$101,4,FALSE)</f>
        <v>East</v>
      </c>
      <c r="N370" t="str">
        <f>VLOOKUP(B370,Raw_Suppliers!$A$2:$G$101,6,FALSE)</f>
        <v>ISO 9001</v>
      </c>
      <c r="O370">
        <f>VLOOKUP(B370,Raw_Suppliers!$A$2:$G$101,7,FALSE)</f>
        <v>0</v>
      </c>
      <c r="P370" t="str">
        <f t="shared" si="31"/>
        <v>No</v>
      </c>
      <c r="Q370">
        <f t="shared" si="32"/>
        <v>0</v>
      </c>
      <c r="R370" t="str">
        <f t="shared" si="33"/>
        <v>Late</v>
      </c>
      <c r="S370">
        <f t="shared" si="34"/>
        <v>2021</v>
      </c>
      <c r="T370">
        <f t="shared" si="35"/>
        <v>9</v>
      </c>
    </row>
    <row r="371" spans="1:20" x14ac:dyDescent="0.25">
      <c r="A371" t="s">
        <v>644</v>
      </c>
      <c r="B371" t="s">
        <v>114</v>
      </c>
      <c r="C371" t="s">
        <v>217</v>
      </c>
      <c r="D371" s="1">
        <v>44978</v>
      </c>
      <c r="E371">
        <v>3</v>
      </c>
      <c r="F371">
        <v>72.663596736847694</v>
      </c>
      <c r="G371" s="1">
        <v>44989</v>
      </c>
      <c r="H371" s="1">
        <v>44989</v>
      </c>
      <c r="I371">
        <v>217.990790210543</v>
      </c>
      <c r="J371">
        <f t="shared" si="30"/>
        <v>0</v>
      </c>
      <c r="K371" t="str">
        <f>VLOOKUP(B371,Raw_Suppliers!$A$2:$G$101,2,FALSE)</f>
        <v>Fusion Fusion LLC</v>
      </c>
      <c r="L371" t="str">
        <f>VLOOKUP(B371,Raw_Suppliers!$A$2:$G$101,3,FALSE)</f>
        <v>China</v>
      </c>
      <c r="M371" t="str">
        <f>VLOOKUP(B371,Raw_Suppliers!$A$2:$G$101,4,FALSE)</f>
        <v>North</v>
      </c>
      <c r="N371" t="str">
        <f>VLOOKUP(B371,Raw_Suppliers!$A$2:$G$101,6,FALSE)</f>
        <v>ISO 45001</v>
      </c>
      <c r="O371">
        <f>VLOOKUP(B371,Raw_Suppliers!$A$2:$G$101,7,FALSE)</f>
        <v>1</v>
      </c>
      <c r="P371" t="str">
        <f t="shared" si="31"/>
        <v>Yes</v>
      </c>
      <c r="Q371">
        <f t="shared" si="32"/>
        <v>1</v>
      </c>
      <c r="R371" t="str">
        <f t="shared" si="33"/>
        <v>On Time</v>
      </c>
      <c r="S371">
        <f t="shared" si="34"/>
        <v>2023</v>
      </c>
      <c r="T371">
        <f t="shared" si="35"/>
        <v>2</v>
      </c>
    </row>
    <row r="372" spans="1:20" x14ac:dyDescent="0.25">
      <c r="A372" t="s">
        <v>645</v>
      </c>
      <c r="B372" t="s">
        <v>40</v>
      </c>
      <c r="C372" t="s">
        <v>540</v>
      </c>
      <c r="D372" s="1">
        <v>44770</v>
      </c>
      <c r="E372">
        <v>11</v>
      </c>
      <c r="F372">
        <v>64.294434686751799</v>
      </c>
      <c r="G372" s="1">
        <v>44783</v>
      </c>
      <c r="H372" s="1">
        <v>44789</v>
      </c>
      <c r="I372">
        <v>707.23878155426996</v>
      </c>
      <c r="J372">
        <f t="shared" si="30"/>
        <v>6</v>
      </c>
      <c r="K372" t="str">
        <f>VLOOKUP(B372,Raw_Suppliers!$A$2:$G$101,2,FALSE)</f>
        <v>Ultra Apex Inc</v>
      </c>
      <c r="L372" t="str">
        <f>VLOOKUP(B372,Raw_Suppliers!$A$2:$G$101,3,FALSE)</f>
        <v>India</v>
      </c>
      <c r="M372" t="str">
        <f>VLOOKUP(B372,Raw_Suppliers!$A$2:$G$101,4,FALSE)</f>
        <v>West</v>
      </c>
      <c r="N372" t="str">
        <f>VLOOKUP(B372,Raw_Suppliers!$A$2:$G$101,6,FALSE)</f>
        <v>ISO 9001</v>
      </c>
      <c r="O372">
        <f>VLOOKUP(B372,Raw_Suppliers!$A$2:$G$101,7,FALSE)</f>
        <v>0</v>
      </c>
      <c r="P372" t="str">
        <f t="shared" si="31"/>
        <v>No</v>
      </c>
      <c r="Q372">
        <f t="shared" si="32"/>
        <v>0</v>
      </c>
      <c r="R372" t="str">
        <f t="shared" si="33"/>
        <v>Late</v>
      </c>
      <c r="S372">
        <f t="shared" si="34"/>
        <v>2022</v>
      </c>
      <c r="T372">
        <f t="shared" si="35"/>
        <v>7</v>
      </c>
    </row>
    <row r="373" spans="1:20" x14ac:dyDescent="0.25">
      <c r="A373" t="s">
        <v>646</v>
      </c>
      <c r="B373" t="s">
        <v>237</v>
      </c>
      <c r="C373" t="s">
        <v>102</v>
      </c>
      <c r="D373" s="1">
        <v>45004</v>
      </c>
      <c r="E373">
        <v>12</v>
      </c>
      <c r="F373">
        <v>44.209428232733501</v>
      </c>
      <c r="G373" s="1">
        <v>45028</v>
      </c>
      <c r="H373" s="1">
        <v>45027</v>
      </c>
      <c r="I373">
        <v>530.51313879280201</v>
      </c>
      <c r="J373">
        <f t="shared" si="30"/>
        <v>-1</v>
      </c>
      <c r="K373" t="str">
        <f>VLOOKUP(B373,Raw_Suppliers!$A$2:$G$101,2,FALSE)</f>
        <v>Eco Beta Inc</v>
      </c>
      <c r="L373" t="str">
        <f>VLOOKUP(B373,Raw_Suppliers!$A$2:$G$101,3,FALSE)</f>
        <v>Germany</v>
      </c>
      <c r="M373" t="str">
        <f>VLOOKUP(B373,Raw_Suppliers!$A$2:$G$101,4,FALSE)</f>
        <v>North</v>
      </c>
      <c r="N373" t="str">
        <f>VLOOKUP(B373,Raw_Suppliers!$A$2:$G$101,6,FALSE)</f>
        <v>ISO 14001</v>
      </c>
      <c r="O373">
        <f>VLOOKUP(B373,Raw_Suppliers!$A$2:$G$101,7,FALSE)</f>
        <v>0</v>
      </c>
      <c r="P373" t="str">
        <f t="shared" si="31"/>
        <v>No</v>
      </c>
      <c r="Q373">
        <f t="shared" si="32"/>
        <v>1</v>
      </c>
      <c r="R373" t="str">
        <f t="shared" si="33"/>
        <v>On Time</v>
      </c>
      <c r="S373">
        <f t="shared" si="34"/>
        <v>2023</v>
      </c>
      <c r="T373">
        <f t="shared" si="35"/>
        <v>3</v>
      </c>
    </row>
    <row r="374" spans="1:20" x14ac:dyDescent="0.25">
      <c r="A374" t="s">
        <v>647</v>
      </c>
      <c r="B374" t="s">
        <v>442</v>
      </c>
      <c r="C374" t="s">
        <v>138</v>
      </c>
      <c r="D374" s="1">
        <v>45280</v>
      </c>
      <c r="E374">
        <v>12</v>
      </c>
      <c r="F374">
        <v>45.4781581323832</v>
      </c>
      <c r="G374" s="1">
        <v>45296</v>
      </c>
      <c r="H374" s="1">
        <v>45299</v>
      </c>
      <c r="I374">
        <v>545.737897588598</v>
      </c>
      <c r="J374">
        <f t="shared" si="30"/>
        <v>3</v>
      </c>
      <c r="K374" t="str">
        <f>VLOOKUP(B374,Raw_Suppliers!$A$2:$G$101,2,FALSE)</f>
        <v>Vertex Delta LLC</v>
      </c>
      <c r="L374" t="str">
        <f>VLOOKUP(B374,Raw_Suppliers!$A$2:$G$101,3,FALSE)</f>
        <v>Canada</v>
      </c>
      <c r="M374" t="str">
        <f>VLOOKUP(B374,Raw_Suppliers!$A$2:$G$101,4,FALSE)</f>
        <v>East</v>
      </c>
      <c r="N374" t="str">
        <f>VLOOKUP(B374,Raw_Suppliers!$A$2:$G$101,6,FALSE)</f>
        <v>ISO 14001</v>
      </c>
      <c r="O374">
        <f>VLOOKUP(B374,Raw_Suppliers!$A$2:$G$101,7,FALSE)</f>
        <v>1</v>
      </c>
      <c r="P374" t="str">
        <f t="shared" si="31"/>
        <v>Yes</v>
      </c>
      <c r="Q374">
        <f t="shared" si="32"/>
        <v>0</v>
      </c>
      <c r="R374" t="str">
        <f t="shared" si="33"/>
        <v>Late</v>
      </c>
      <c r="S374">
        <f t="shared" si="34"/>
        <v>2023</v>
      </c>
      <c r="T374">
        <f t="shared" si="35"/>
        <v>12</v>
      </c>
    </row>
    <row r="375" spans="1:20" x14ac:dyDescent="0.25">
      <c r="A375" t="s">
        <v>648</v>
      </c>
      <c r="B375" t="s">
        <v>219</v>
      </c>
      <c r="C375" t="s">
        <v>402</v>
      </c>
      <c r="D375" s="1">
        <v>44799</v>
      </c>
      <c r="E375">
        <v>15</v>
      </c>
      <c r="F375">
        <v>23.925639151508001</v>
      </c>
      <c r="G375" s="1">
        <v>44820</v>
      </c>
      <c r="H375" s="1">
        <v>44820</v>
      </c>
      <c r="I375">
        <v>358.88458727262002</v>
      </c>
      <c r="J375">
        <f t="shared" si="30"/>
        <v>0</v>
      </c>
      <c r="K375" t="str">
        <f>VLOOKUP(B375,Raw_Suppliers!$A$2:$G$101,2,FALSE)</f>
        <v>Quantum Quantum Ltd</v>
      </c>
      <c r="L375" t="str">
        <f>VLOOKUP(B375,Raw_Suppliers!$A$2:$G$101,3,FALSE)</f>
        <v>USA</v>
      </c>
      <c r="M375" t="str">
        <f>VLOOKUP(B375,Raw_Suppliers!$A$2:$G$101,4,FALSE)</f>
        <v>South</v>
      </c>
      <c r="N375" t="str">
        <f>VLOOKUP(B375,Raw_Suppliers!$A$2:$G$101,6,FALSE)</f>
        <v>ISO 14001</v>
      </c>
      <c r="O375">
        <f>VLOOKUP(B375,Raw_Suppliers!$A$2:$G$101,7,FALSE)</f>
        <v>0</v>
      </c>
      <c r="P375" t="str">
        <f t="shared" si="31"/>
        <v>No</v>
      </c>
      <c r="Q375">
        <f t="shared" si="32"/>
        <v>1</v>
      </c>
      <c r="R375" t="str">
        <f t="shared" si="33"/>
        <v>On Time</v>
      </c>
      <c r="S375">
        <f t="shared" si="34"/>
        <v>2022</v>
      </c>
      <c r="T375">
        <f t="shared" si="35"/>
        <v>8</v>
      </c>
    </row>
    <row r="376" spans="1:20" x14ac:dyDescent="0.25">
      <c r="A376" t="s">
        <v>649</v>
      </c>
      <c r="B376" t="s">
        <v>64</v>
      </c>
      <c r="C376" t="s">
        <v>254</v>
      </c>
      <c r="D376" s="1">
        <v>44540</v>
      </c>
      <c r="E376">
        <v>13</v>
      </c>
      <c r="F376">
        <v>55.907119335583801</v>
      </c>
      <c r="G376" s="1">
        <v>44561</v>
      </c>
      <c r="H376" s="1">
        <v>44562</v>
      </c>
      <c r="I376">
        <v>726.79255136258905</v>
      </c>
      <c r="J376">
        <f t="shared" si="30"/>
        <v>1</v>
      </c>
      <c r="K376" t="str">
        <f>VLOOKUP(B376,Raw_Suppliers!$A$2:$G$101,2,FALSE)</f>
        <v>Apex Quantum Inc</v>
      </c>
      <c r="L376" t="str">
        <f>VLOOKUP(B376,Raw_Suppliers!$A$2:$G$101,3,FALSE)</f>
        <v>India</v>
      </c>
      <c r="M376" t="str">
        <f>VLOOKUP(B376,Raw_Suppliers!$A$2:$G$101,4,FALSE)</f>
        <v>North</v>
      </c>
      <c r="N376" t="str">
        <f>VLOOKUP(B376,Raw_Suppliers!$A$2:$G$101,6,FALSE)</f>
        <v>ISO 45001</v>
      </c>
      <c r="O376">
        <f>VLOOKUP(B376,Raw_Suppliers!$A$2:$G$101,7,FALSE)</f>
        <v>1</v>
      </c>
      <c r="P376" t="str">
        <f t="shared" si="31"/>
        <v>Yes</v>
      </c>
      <c r="Q376">
        <f t="shared" si="32"/>
        <v>0</v>
      </c>
      <c r="R376" t="str">
        <f t="shared" si="33"/>
        <v>Late</v>
      </c>
      <c r="S376">
        <f t="shared" si="34"/>
        <v>2021</v>
      </c>
      <c r="T376">
        <f t="shared" si="35"/>
        <v>12</v>
      </c>
    </row>
    <row r="377" spans="1:20" x14ac:dyDescent="0.25">
      <c r="A377" t="s">
        <v>650</v>
      </c>
      <c r="B377" t="s">
        <v>295</v>
      </c>
      <c r="C377" t="s">
        <v>208</v>
      </c>
      <c r="D377" s="1">
        <v>45121</v>
      </c>
      <c r="E377">
        <v>8</v>
      </c>
      <c r="F377">
        <v>52.1027493660646</v>
      </c>
      <c r="G377" s="1">
        <v>45136</v>
      </c>
      <c r="H377" s="1">
        <v>45134</v>
      </c>
      <c r="I377">
        <v>416.82199492851697</v>
      </c>
      <c r="J377">
        <f t="shared" si="30"/>
        <v>-2</v>
      </c>
      <c r="K377" t="str">
        <f>VLOOKUP(B377,Raw_Suppliers!$A$2:$G$101,2,FALSE)</f>
        <v>Delta Quantum GmbH</v>
      </c>
      <c r="L377" t="str">
        <f>VLOOKUP(B377,Raw_Suppliers!$A$2:$G$101,3,FALSE)</f>
        <v>Brazil</v>
      </c>
      <c r="M377" t="str">
        <f>VLOOKUP(B377,Raw_Suppliers!$A$2:$G$101,4,FALSE)</f>
        <v>North</v>
      </c>
      <c r="N377" t="str">
        <f>VLOOKUP(B377,Raw_Suppliers!$A$2:$G$101,6,FALSE)</f>
        <v>ISO 9001</v>
      </c>
      <c r="O377">
        <f>VLOOKUP(B377,Raw_Suppliers!$A$2:$G$101,7,FALSE)</f>
        <v>1</v>
      </c>
      <c r="P377" t="str">
        <f t="shared" si="31"/>
        <v>Yes</v>
      </c>
      <c r="Q377">
        <f t="shared" si="32"/>
        <v>1</v>
      </c>
      <c r="R377" t="str">
        <f t="shared" si="33"/>
        <v>On Time</v>
      </c>
      <c r="S377">
        <f t="shared" si="34"/>
        <v>2023</v>
      </c>
      <c r="T377">
        <f t="shared" si="35"/>
        <v>7</v>
      </c>
    </row>
    <row r="378" spans="1:20" x14ac:dyDescent="0.25">
      <c r="A378" t="s">
        <v>651</v>
      </c>
      <c r="B378" t="s">
        <v>61</v>
      </c>
      <c r="C378" t="s">
        <v>224</v>
      </c>
      <c r="D378" s="1">
        <v>44311</v>
      </c>
      <c r="E378">
        <v>7</v>
      </c>
      <c r="F378">
        <v>37.569602235796701</v>
      </c>
      <c r="G378" s="1">
        <v>44321</v>
      </c>
      <c r="H378" s="1">
        <v>44326</v>
      </c>
      <c r="I378">
        <v>262.98721565057701</v>
      </c>
      <c r="J378">
        <f t="shared" si="30"/>
        <v>5</v>
      </c>
      <c r="K378" t="str">
        <f>VLOOKUP(B378,Raw_Suppliers!$A$2:$G$101,2,FALSE)</f>
        <v>Ultra Gamma LLC</v>
      </c>
      <c r="L378" t="str">
        <f>VLOOKUP(B378,Raw_Suppliers!$A$2:$G$101,3,FALSE)</f>
        <v>Canada</v>
      </c>
      <c r="M378" t="str">
        <f>VLOOKUP(B378,Raw_Suppliers!$A$2:$G$101,4,FALSE)</f>
        <v>North</v>
      </c>
      <c r="N378" t="str">
        <f>VLOOKUP(B378,Raw_Suppliers!$A$2:$G$101,6,FALSE)</f>
        <v>ISO 9001</v>
      </c>
      <c r="O378">
        <f>VLOOKUP(B378,Raw_Suppliers!$A$2:$G$101,7,FALSE)</f>
        <v>1</v>
      </c>
      <c r="P378" t="str">
        <f t="shared" si="31"/>
        <v>Yes</v>
      </c>
      <c r="Q378">
        <f t="shared" si="32"/>
        <v>0</v>
      </c>
      <c r="R378" t="str">
        <f t="shared" si="33"/>
        <v>Late</v>
      </c>
      <c r="S378">
        <f t="shared" si="34"/>
        <v>2021</v>
      </c>
      <c r="T378">
        <f t="shared" si="35"/>
        <v>4</v>
      </c>
    </row>
    <row r="379" spans="1:20" x14ac:dyDescent="0.25">
      <c r="A379" t="s">
        <v>652</v>
      </c>
      <c r="B379" t="s">
        <v>240</v>
      </c>
      <c r="C379" t="s">
        <v>187</v>
      </c>
      <c r="D379" s="1">
        <v>44218</v>
      </c>
      <c r="E379">
        <v>9</v>
      </c>
      <c r="F379">
        <v>38.971387464162397</v>
      </c>
      <c r="G379" s="1">
        <v>44237</v>
      </c>
      <c r="H379" s="1">
        <v>44241</v>
      </c>
      <c r="I379">
        <v>350.74248717746201</v>
      </c>
      <c r="J379">
        <f t="shared" si="30"/>
        <v>4</v>
      </c>
      <c r="K379" t="str">
        <f>VLOOKUP(B379,Raw_Suppliers!$A$2:$G$101,2,FALSE)</f>
        <v>Apex Omega LLC</v>
      </c>
      <c r="L379" t="str">
        <f>VLOOKUP(B379,Raw_Suppliers!$A$2:$G$101,3,FALSE)</f>
        <v>UK</v>
      </c>
      <c r="M379" t="str">
        <f>VLOOKUP(B379,Raw_Suppliers!$A$2:$G$101,4,FALSE)</f>
        <v>South</v>
      </c>
      <c r="N379" t="str">
        <f>VLOOKUP(B379,Raw_Suppliers!$A$2:$G$101,6,FALSE)</f>
        <v>ISO 9001</v>
      </c>
      <c r="O379">
        <f>VLOOKUP(B379,Raw_Suppliers!$A$2:$G$101,7,FALSE)</f>
        <v>0</v>
      </c>
      <c r="P379" t="str">
        <f t="shared" si="31"/>
        <v>No</v>
      </c>
      <c r="Q379">
        <f t="shared" si="32"/>
        <v>0</v>
      </c>
      <c r="R379" t="str">
        <f t="shared" si="33"/>
        <v>Late</v>
      </c>
      <c r="S379">
        <f t="shared" si="34"/>
        <v>2021</v>
      </c>
      <c r="T379">
        <f t="shared" si="35"/>
        <v>1</v>
      </c>
    </row>
    <row r="380" spans="1:20" x14ac:dyDescent="0.25">
      <c r="A380" t="s">
        <v>653</v>
      </c>
      <c r="B380" t="s">
        <v>130</v>
      </c>
      <c r="C380" t="s">
        <v>654</v>
      </c>
      <c r="D380" s="1">
        <v>44518</v>
      </c>
      <c r="E380">
        <v>10</v>
      </c>
      <c r="F380">
        <v>63.325457481417203</v>
      </c>
      <c r="G380" s="1">
        <v>44535</v>
      </c>
      <c r="H380" s="1">
        <v>44533</v>
      </c>
      <c r="I380">
        <v>633.25457481417197</v>
      </c>
      <c r="J380">
        <f t="shared" si="30"/>
        <v>-2</v>
      </c>
      <c r="K380" t="str">
        <f>VLOOKUP(B380,Raw_Suppliers!$A$2:$G$101,2,FALSE)</f>
        <v>Beta Gamma Corp</v>
      </c>
      <c r="L380" t="str">
        <f>VLOOKUP(B380,Raw_Suppliers!$A$2:$G$101,3,FALSE)</f>
        <v>USA</v>
      </c>
      <c r="M380" t="str">
        <f>VLOOKUP(B380,Raw_Suppliers!$A$2:$G$101,4,FALSE)</f>
        <v>West</v>
      </c>
      <c r="N380" t="str">
        <f>VLOOKUP(B380,Raw_Suppliers!$A$2:$G$101,6,FALSE)</f>
        <v>None</v>
      </c>
      <c r="O380">
        <f>VLOOKUP(B380,Raw_Suppliers!$A$2:$G$101,7,FALSE)</f>
        <v>0</v>
      </c>
      <c r="P380" t="str">
        <f t="shared" si="31"/>
        <v>No</v>
      </c>
      <c r="Q380">
        <f t="shared" si="32"/>
        <v>1</v>
      </c>
      <c r="R380" t="str">
        <f t="shared" si="33"/>
        <v>On Time</v>
      </c>
      <c r="S380">
        <f t="shared" si="34"/>
        <v>2021</v>
      </c>
      <c r="T380">
        <f t="shared" si="35"/>
        <v>11</v>
      </c>
    </row>
    <row r="381" spans="1:20" x14ac:dyDescent="0.25">
      <c r="A381" t="s">
        <v>655</v>
      </c>
      <c r="B381" t="s">
        <v>382</v>
      </c>
      <c r="C381" t="s">
        <v>272</v>
      </c>
      <c r="D381" s="1">
        <v>44401</v>
      </c>
      <c r="E381">
        <v>9</v>
      </c>
      <c r="F381">
        <v>55.9739774311819</v>
      </c>
      <c r="G381" s="1">
        <v>44421</v>
      </c>
      <c r="H381" s="1">
        <v>44420</v>
      </c>
      <c r="I381">
        <v>503.76579688063703</v>
      </c>
      <c r="J381">
        <f t="shared" si="30"/>
        <v>-1</v>
      </c>
      <c r="K381" t="str">
        <f>VLOOKUP(B381,Raw_Suppliers!$A$2:$G$101,2,FALSE)</f>
        <v>Omega Gamma Ltd</v>
      </c>
      <c r="L381" t="str">
        <f>VLOOKUP(B381,Raw_Suppliers!$A$2:$G$101,3,FALSE)</f>
        <v>USA</v>
      </c>
      <c r="M381" t="str">
        <f>VLOOKUP(B381,Raw_Suppliers!$A$2:$G$101,4,FALSE)</f>
        <v>Central</v>
      </c>
      <c r="N381" t="str">
        <f>VLOOKUP(B381,Raw_Suppliers!$A$2:$G$101,6,FALSE)</f>
        <v>None</v>
      </c>
      <c r="O381">
        <f>VLOOKUP(B381,Raw_Suppliers!$A$2:$G$101,7,FALSE)</f>
        <v>0</v>
      </c>
      <c r="P381" t="str">
        <f t="shared" si="31"/>
        <v>No</v>
      </c>
      <c r="Q381">
        <f t="shared" si="32"/>
        <v>1</v>
      </c>
      <c r="R381" t="str">
        <f t="shared" si="33"/>
        <v>On Time</v>
      </c>
      <c r="S381">
        <f t="shared" si="34"/>
        <v>2021</v>
      </c>
      <c r="T381">
        <f t="shared" si="35"/>
        <v>7</v>
      </c>
    </row>
    <row r="382" spans="1:20" x14ac:dyDescent="0.25">
      <c r="A382" t="s">
        <v>656</v>
      </c>
      <c r="B382" t="s">
        <v>88</v>
      </c>
      <c r="C382" t="s">
        <v>623</v>
      </c>
      <c r="D382" s="1">
        <v>45105</v>
      </c>
      <c r="E382">
        <v>11</v>
      </c>
      <c r="F382">
        <v>7.7408786874004996</v>
      </c>
      <c r="G382" s="1">
        <v>45118</v>
      </c>
      <c r="H382" s="1">
        <v>45117</v>
      </c>
      <c r="I382">
        <v>85.149665561405499</v>
      </c>
      <c r="J382">
        <f t="shared" si="30"/>
        <v>-1</v>
      </c>
      <c r="K382" t="str">
        <f>VLOOKUP(B382,Raw_Suppliers!$A$2:$G$101,2,FALSE)</f>
        <v>Eco Nano GmbH</v>
      </c>
      <c r="L382" t="str">
        <f>VLOOKUP(B382,Raw_Suppliers!$A$2:$G$101,3,FALSE)</f>
        <v>Denmark</v>
      </c>
      <c r="M382" t="str">
        <f>VLOOKUP(B382,Raw_Suppliers!$A$2:$G$101,4,FALSE)</f>
        <v>Central</v>
      </c>
      <c r="N382" t="str">
        <f>VLOOKUP(B382,Raw_Suppliers!$A$2:$G$101,6,FALSE)</f>
        <v>ISO 9001</v>
      </c>
      <c r="O382">
        <f>VLOOKUP(B382,Raw_Suppliers!$A$2:$G$101,7,FALSE)</f>
        <v>1</v>
      </c>
      <c r="P382" t="str">
        <f t="shared" si="31"/>
        <v>Yes</v>
      </c>
      <c r="Q382">
        <f t="shared" si="32"/>
        <v>1</v>
      </c>
      <c r="R382" t="str">
        <f t="shared" si="33"/>
        <v>On Time</v>
      </c>
      <c r="S382">
        <f t="shared" si="34"/>
        <v>2023</v>
      </c>
      <c r="T382">
        <f t="shared" si="35"/>
        <v>6</v>
      </c>
    </row>
    <row r="383" spans="1:20" x14ac:dyDescent="0.25">
      <c r="A383" t="s">
        <v>657</v>
      </c>
      <c r="B383" t="s">
        <v>295</v>
      </c>
      <c r="C383" t="s">
        <v>308</v>
      </c>
      <c r="D383" s="1">
        <v>45206</v>
      </c>
      <c r="E383">
        <v>9</v>
      </c>
      <c r="F383">
        <v>12.4079220144197</v>
      </c>
      <c r="G383" s="1">
        <v>45226</v>
      </c>
      <c r="H383" s="1">
        <v>45226</v>
      </c>
      <c r="I383">
        <v>111.671298129777</v>
      </c>
      <c r="J383">
        <f t="shared" si="30"/>
        <v>0</v>
      </c>
      <c r="K383" t="str">
        <f>VLOOKUP(B383,Raw_Suppliers!$A$2:$G$101,2,FALSE)</f>
        <v>Delta Quantum GmbH</v>
      </c>
      <c r="L383" t="str">
        <f>VLOOKUP(B383,Raw_Suppliers!$A$2:$G$101,3,FALSE)</f>
        <v>Brazil</v>
      </c>
      <c r="M383" t="str">
        <f>VLOOKUP(B383,Raw_Suppliers!$A$2:$G$101,4,FALSE)</f>
        <v>North</v>
      </c>
      <c r="N383" t="str">
        <f>VLOOKUP(B383,Raw_Suppliers!$A$2:$G$101,6,FALSE)</f>
        <v>ISO 9001</v>
      </c>
      <c r="O383">
        <f>VLOOKUP(B383,Raw_Suppliers!$A$2:$G$101,7,FALSE)</f>
        <v>1</v>
      </c>
      <c r="P383" t="str">
        <f t="shared" si="31"/>
        <v>Yes</v>
      </c>
      <c r="Q383">
        <f t="shared" si="32"/>
        <v>1</v>
      </c>
      <c r="R383" t="str">
        <f t="shared" si="33"/>
        <v>On Time</v>
      </c>
      <c r="S383">
        <f t="shared" si="34"/>
        <v>2023</v>
      </c>
      <c r="T383">
        <f t="shared" si="35"/>
        <v>10</v>
      </c>
    </row>
    <row r="384" spans="1:20" x14ac:dyDescent="0.25">
      <c r="A384" t="s">
        <v>658</v>
      </c>
      <c r="B384" t="s">
        <v>321</v>
      </c>
      <c r="C384" t="s">
        <v>297</v>
      </c>
      <c r="D384" s="1">
        <v>44293</v>
      </c>
      <c r="E384">
        <v>13</v>
      </c>
      <c r="F384">
        <v>70.966015905410501</v>
      </c>
      <c r="G384" s="1">
        <v>44317</v>
      </c>
      <c r="H384" s="1">
        <v>44314</v>
      </c>
      <c r="I384">
        <v>922.55820677033705</v>
      </c>
      <c r="J384">
        <f t="shared" si="30"/>
        <v>-3</v>
      </c>
      <c r="K384" t="str">
        <f>VLOOKUP(B384,Raw_Suppliers!$A$2:$G$101,2,FALSE)</f>
        <v>Vertex Delta LLC</v>
      </c>
      <c r="L384" t="str">
        <f>VLOOKUP(B384,Raw_Suppliers!$A$2:$G$101,3,FALSE)</f>
        <v>India</v>
      </c>
      <c r="M384" t="str">
        <f>VLOOKUP(B384,Raw_Suppliers!$A$2:$G$101,4,FALSE)</f>
        <v>South</v>
      </c>
      <c r="N384" t="str">
        <f>VLOOKUP(B384,Raw_Suppliers!$A$2:$G$101,6,FALSE)</f>
        <v>ISO 45001</v>
      </c>
      <c r="O384">
        <f>VLOOKUP(B384,Raw_Suppliers!$A$2:$G$101,7,FALSE)</f>
        <v>0</v>
      </c>
      <c r="P384" t="str">
        <f t="shared" si="31"/>
        <v>No</v>
      </c>
      <c r="Q384">
        <f t="shared" si="32"/>
        <v>1</v>
      </c>
      <c r="R384" t="str">
        <f t="shared" si="33"/>
        <v>On Time</v>
      </c>
      <c r="S384">
        <f t="shared" si="34"/>
        <v>2021</v>
      </c>
      <c r="T384">
        <f t="shared" si="35"/>
        <v>4</v>
      </c>
    </row>
    <row r="385" spans="1:20" x14ac:dyDescent="0.25">
      <c r="A385" t="s">
        <v>659</v>
      </c>
      <c r="B385" t="s">
        <v>482</v>
      </c>
      <c r="C385" t="s">
        <v>540</v>
      </c>
      <c r="D385" s="1">
        <v>44428</v>
      </c>
      <c r="E385">
        <v>11</v>
      </c>
      <c r="F385">
        <v>38.656485487796999</v>
      </c>
      <c r="G385" s="1">
        <v>44446</v>
      </c>
      <c r="H385" s="1">
        <v>44452</v>
      </c>
      <c r="I385">
        <v>425.22134036576699</v>
      </c>
      <c r="J385">
        <f t="shared" si="30"/>
        <v>6</v>
      </c>
      <c r="K385" t="str">
        <f>VLOOKUP(B385,Raw_Suppliers!$A$2:$G$101,2,FALSE)</f>
        <v>Eco Prime Corp</v>
      </c>
      <c r="L385" t="str">
        <f>VLOOKUP(B385,Raw_Suppliers!$A$2:$G$101,3,FALSE)</f>
        <v>China</v>
      </c>
      <c r="M385" t="str">
        <f>VLOOKUP(B385,Raw_Suppliers!$A$2:$G$101,4,FALSE)</f>
        <v>East</v>
      </c>
      <c r="N385" t="str">
        <f>VLOOKUP(B385,Raw_Suppliers!$A$2:$G$101,6,FALSE)</f>
        <v>ISO 45001</v>
      </c>
      <c r="O385">
        <f>VLOOKUP(B385,Raw_Suppliers!$A$2:$G$101,7,FALSE)</f>
        <v>1</v>
      </c>
      <c r="P385" t="str">
        <f t="shared" si="31"/>
        <v>Yes</v>
      </c>
      <c r="Q385">
        <f t="shared" si="32"/>
        <v>0</v>
      </c>
      <c r="R385" t="str">
        <f t="shared" si="33"/>
        <v>Late</v>
      </c>
      <c r="S385">
        <f t="shared" si="34"/>
        <v>2021</v>
      </c>
      <c r="T385">
        <f t="shared" si="35"/>
        <v>8</v>
      </c>
    </row>
    <row r="386" spans="1:20" x14ac:dyDescent="0.25">
      <c r="A386" t="s">
        <v>660</v>
      </c>
      <c r="B386" t="s">
        <v>88</v>
      </c>
      <c r="C386" t="s">
        <v>661</v>
      </c>
      <c r="D386" s="1">
        <v>44730</v>
      </c>
      <c r="E386">
        <v>6</v>
      </c>
      <c r="F386">
        <v>42.755936407705299</v>
      </c>
      <c r="G386" s="1">
        <v>44753</v>
      </c>
      <c r="H386" s="1">
        <v>44755</v>
      </c>
      <c r="I386">
        <v>256.53561844623198</v>
      </c>
      <c r="J386">
        <f t="shared" si="30"/>
        <v>2</v>
      </c>
      <c r="K386" t="str">
        <f>VLOOKUP(B386,Raw_Suppliers!$A$2:$G$101,2,FALSE)</f>
        <v>Eco Nano GmbH</v>
      </c>
      <c r="L386" t="str">
        <f>VLOOKUP(B386,Raw_Suppliers!$A$2:$G$101,3,FALSE)</f>
        <v>Denmark</v>
      </c>
      <c r="M386" t="str">
        <f>VLOOKUP(B386,Raw_Suppliers!$A$2:$G$101,4,FALSE)</f>
        <v>Central</v>
      </c>
      <c r="N386" t="str">
        <f>VLOOKUP(B386,Raw_Suppliers!$A$2:$G$101,6,FALSE)</f>
        <v>ISO 9001</v>
      </c>
      <c r="O386">
        <f>VLOOKUP(B386,Raw_Suppliers!$A$2:$G$101,7,FALSE)</f>
        <v>1</v>
      </c>
      <c r="P386" t="str">
        <f t="shared" si="31"/>
        <v>Yes</v>
      </c>
      <c r="Q386">
        <f t="shared" si="32"/>
        <v>0</v>
      </c>
      <c r="R386" t="str">
        <f t="shared" si="33"/>
        <v>Late</v>
      </c>
      <c r="S386">
        <f t="shared" si="34"/>
        <v>2022</v>
      </c>
      <c r="T386">
        <f t="shared" si="35"/>
        <v>6</v>
      </c>
    </row>
    <row r="387" spans="1:20" x14ac:dyDescent="0.25">
      <c r="A387" t="s">
        <v>662</v>
      </c>
      <c r="B387" t="s">
        <v>157</v>
      </c>
      <c r="C387" t="s">
        <v>521</v>
      </c>
      <c r="D387" s="1">
        <v>44734</v>
      </c>
      <c r="E387">
        <v>14</v>
      </c>
      <c r="F387">
        <v>61.419143230924199</v>
      </c>
      <c r="G387" s="1">
        <v>44747</v>
      </c>
      <c r="H387" s="1">
        <v>44753</v>
      </c>
      <c r="I387">
        <v>859.86800523293903</v>
      </c>
      <c r="J387">
        <f t="shared" ref="J387:J450" si="36">H387-G387</f>
        <v>6</v>
      </c>
      <c r="K387" t="str">
        <f>VLOOKUP(B387,Raw_Suppliers!$A$2:$G$101,2,FALSE)</f>
        <v>Pioneer Omega Ltd</v>
      </c>
      <c r="L387" t="str">
        <f>VLOOKUP(B387,Raw_Suppliers!$A$2:$G$101,3,FALSE)</f>
        <v>Brazil</v>
      </c>
      <c r="M387" t="str">
        <f>VLOOKUP(B387,Raw_Suppliers!$A$2:$G$101,4,FALSE)</f>
        <v>East</v>
      </c>
      <c r="N387" t="str">
        <f>VLOOKUP(B387,Raw_Suppliers!$A$2:$G$101,6,FALSE)</f>
        <v>None</v>
      </c>
      <c r="O387">
        <f>VLOOKUP(B387,Raw_Suppliers!$A$2:$G$101,7,FALSE)</f>
        <v>0</v>
      </c>
      <c r="P387" t="str">
        <f t="shared" ref="P387:P450" si="37">IF(O387=1,"Yes","No")</f>
        <v>No</v>
      </c>
      <c r="Q387">
        <f t="shared" ref="Q387:Q450" si="38">IF(J387&lt;=0,1,0)</f>
        <v>0</v>
      </c>
      <c r="R387" t="str">
        <f t="shared" ref="R387:R450" si="39">IF(Q387=1,"On Time","Late")</f>
        <v>Late</v>
      </c>
      <c r="S387">
        <f t="shared" ref="S387:S450" si="40">YEAR(D387)</f>
        <v>2022</v>
      </c>
      <c r="T387">
        <f t="shared" ref="T387:T450" si="41">MONTH(D387)</f>
        <v>6</v>
      </c>
    </row>
    <row r="388" spans="1:20" x14ac:dyDescent="0.25">
      <c r="A388" t="s">
        <v>663</v>
      </c>
      <c r="B388" t="s">
        <v>154</v>
      </c>
      <c r="C388" t="s">
        <v>664</v>
      </c>
      <c r="D388" s="1">
        <v>44392</v>
      </c>
      <c r="E388">
        <v>8</v>
      </c>
      <c r="F388">
        <v>56.839610469102503</v>
      </c>
      <c r="G388" s="1">
        <v>44402</v>
      </c>
      <c r="H388" s="1">
        <v>44408</v>
      </c>
      <c r="I388">
        <v>454.71688375282002</v>
      </c>
      <c r="J388">
        <f t="shared" si="36"/>
        <v>6</v>
      </c>
      <c r="K388" t="str">
        <f>VLOOKUP(B388,Raw_Suppliers!$A$2:$G$101,2,FALSE)</f>
        <v>Apex Ultra Ltd</v>
      </c>
      <c r="L388" t="str">
        <f>VLOOKUP(B388,Raw_Suppliers!$A$2:$G$101,3,FALSE)</f>
        <v>Canada</v>
      </c>
      <c r="M388" t="str">
        <f>VLOOKUP(B388,Raw_Suppliers!$A$2:$G$101,4,FALSE)</f>
        <v>West</v>
      </c>
      <c r="N388" t="str">
        <f>VLOOKUP(B388,Raw_Suppliers!$A$2:$G$101,6,FALSE)</f>
        <v>None</v>
      </c>
      <c r="O388">
        <f>VLOOKUP(B388,Raw_Suppliers!$A$2:$G$101,7,FALSE)</f>
        <v>1</v>
      </c>
      <c r="P388" t="str">
        <f t="shared" si="37"/>
        <v>Yes</v>
      </c>
      <c r="Q388">
        <f t="shared" si="38"/>
        <v>0</v>
      </c>
      <c r="R388" t="str">
        <f t="shared" si="39"/>
        <v>Late</v>
      </c>
      <c r="S388">
        <f t="shared" si="40"/>
        <v>2021</v>
      </c>
      <c r="T388">
        <f t="shared" si="41"/>
        <v>7</v>
      </c>
    </row>
    <row r="389" spans="1:20" x14ac:dyDescent="0.25">
      <c r="A389" t="s">
        <v>665</v>
      </c>
      <c r="B389" t="s">
        <v>261</v>
      </c>
      <c r="C389" t="s">
        <v>540</v>
      </c>
      <c r="D389" s="1">
        <v>45148</v>
      </c>
      <c r="E389">
        <v>12</v>
      </c>
      <c r="F389">
        <v>27.799240286342599</v>
      </c>
      <c r="G389" s="1">
        <v>45162</v>
      </c>
      <c r="H389" s="1">
        <v>45163</v>
      </c>
      <c r="I389">
        <v>333.59088343611103</v>
      </c>
      <c r="J389">
        <f t="shared" si="36"/>
        <v>1</v>
      </c>
      <c r="K389" t="str">
        <f>VLOOKUP(B389,Raw_Suppliers!$A$2:$G$101,2,FALSE)</f>
        <v>Delta Fusion Corp</v>
      </c>
      <c r="L389" t="str">
        <f>VLOOKUP(B389,Raw_Suppliers!$A$2:$G$101,3,FALSE)</f>
        <v>Denmark</v>
      </c>
      <c r="M389" t="str">
        <f>VLOOKUP(B389,Raw_Suppliers!$A$2:$G$101,4,FALSE)</f>
        <v>West</v>
      </c>
      <c r="N389" t="str">
        <f>VLOOKUP(B389,Raw_Suppliers!$A$2:$G$101,6,FALSE)</f>
        <v>ISO 45001</v>
      </c>
      <c r="O389">
        <f>VLOOKUP(B389,Raw_Suppliers!$A$2:$G$101,7,FALSE)</f>
        <v>0</v>
      </c>
      <c r="P389" t="str">
        <f t="shared" si="37"/>
        <v>No</v>
      </c>
      <c r="Q389">
        <f t="shared" si="38"/>
        <v>0</v>
      </c>
      <c r="R389" t="str">
        <f t="shared" si="39"/>
        <v>Late</v>
      </c>
      <c r="S389">
        <f t="shared" si="40"/>
        <v>2023</v>
      </c>
      <c r="T389">
        <f t="shared" si="41"/>
        <v>8</v>
      </c>
    </row>
    <row r="390" spans="1:20" x14ac:dyDescent="0.25">
      <c r="A390" t="s">
        <v>666</v>
      </c>
      <c r="B390" t="s">
        <v>247</v>
      </c>
      <c r="C390" t="s">
        <v>152</v>
      </c>
      <c r="D390" s="1">
        <v>44629</v>
      </c>
      <c r="E390">
        <v>6</v>
      </c>
      <c r="F390">
        <v>55.400776387823001</v>
      </c>
      <c r="G390" s="1">
        <v>44652</v>
      </c>
      <c r="H390" s="1">
        <v>44650</v>
      </c>
      <c r="I390">
        <v>332.40465832693798</v>
      </c>
      <c r="J390">
        <f t="shared" si="36"/>
        <v>-2</v>
      </c>
      <c r="K390" t="str">
        <f>VLOOKUP(B390,Raw_Suppliers!$A$2:$G$101,2,FALSE)</f>
        <v>Ultra Apex LLC</v>
      </c>
      <c r="L390" t="str">
        <f>VLOOKUP(B390,Raw_Suppliers!$A$2:$G$101,3,FALSE)</f>
        <v>Germany</v>
      </c>
      <c r="M390" t="str">
        <f>VLOOKUP(B390,Raw_Suppliers!$A$2:$G$101,4,FALSE)</f>
        <v>West</v>
      </c>
      <c r="N390" t="str">
        <f>VLOOKUP(B390,Raw_Suppliers!$A$2:$G$101,6,FALSE)</f>
        <v>ISO 9001</v>
      </c>
      <c r="O390">
        <f>VLOOKUP(B390,Raw_Suppliers!$A$2:$G$101,7,FALSE)</f>
        <v>0</v>
      </c>
      <c r="P390" t="str">
        <f t="shared" si="37"/>
        <v>No</v>
      </c>
      <c r="Q390">
        <f t="shared" si="38"/>
        <v>1</v>
      </c>
      <c r="R390" t="str">
        <f t="shared" si="39"/>
        <v>On Time</v>
      </c>
      <c r="S390">
        <f t="shared" si="40"/>
        <v>2022</v>
      </c>
      <c r="T390">
        <f t="shared" si="41"/>
        <v>3</v>
      </c>
    </row>
    <row r="391" spans="1:20" x14ac:dyDescent="0.25">
      <c r="A391" t="s">
        <v>667</v>
      </c>
      <c r="B391" t="s">
        <v>267</v>
      </c>
      <c r="C391" t="s">
        <v>668</v>
      </c>
      <c r="D391" s="1">
        <v>44934</v>
      </c>
      <c r="E391">
        <v>12</v>
      </c>
      <c r="F391">
        <v>65.5746662927789</v>
      </c>
      <c r="G391" s="1">
        <v>44955</v>
      </c>
      <c r="H391" s="1">
        <v>44958</v>
      </c>
      <c r="I391">
        <v>786.89599551334697</v>
      </c>
      <c r="J391">
        <f t="shared" si="36"/>
        <v>3</v>
      </c>
      <c r="K391" t="str">
        <f>VLOOKUP(B391,Raw_Suppliers!$A$2:$G$101,2,FALSE)</f>
        <v>Omega Nova Corp</v>
      </c>
      <c r="L391" t="str">
        <f>VLOOKUP(B391,Raw_Suppliers!$A$2:$G$101,3,FALSE)</f>
        <v>India</v>
      </c>
      <c r="M391" t="str">
        <f>VLOOKUP(B391,Raw_Suppliers!$A$2:$G$101,4,FALSE)</f>
        <v>West</v>
      </c>
      <c r="N391" t="str">
        <f>VLOOKUP(B391,Raw_Suppliers!$A$2:$G$101,6,FALSE)</f>
        <v>ISO 45001</v>
      </c>
      <c r="O391">
        <f>VLOOKUP(B391,Raw_Suppliers!$A$2:$G$101,7,FALSE)</f>
        <v>0</v>
      </c>
      <c r="P391" t="str">
        <f t="shared" si="37"/>
        <v>No</v>
      </c>
      <c r="Q391">
        <f t="shared" si="38"/>
        <v>0</v>
      </c>
      <c r="R391" t="str">
        <f t="shared" si="39"/>
        <v>Late</v>
      </c>
      <c r="S391">
        <f t="shared" si="40"/>
        <v>2023</v>
      </c>
      <c r="T391">
        <f t="shared" si="41"/>
        <v>1</v>
      </c>
    </row>
    <row r="392" spans="1:20" x14ac:dyDescent="0.25">
      <c r="A392" t="s">
        <v>669</v>
      </c>
      <c r="B392" t="s">
        <v>324</v>
      </c>
      <c r="C392" t="s">
        <v>112</v>
      </c>
      <c r="D392" s="1">
        <v>44947</v>
      </c>
      <c r="E392">
        <v>13</v>
      </c>
      <c r="F392">
        <v>75.425171438418701</v>
      </c>
      <c r="G392" s="1">
        <v>44964</v>
      </c>
      <c r="H392" s="1">
        <v>44969</v>
      </c>
      <c r="I392">
        <v>980.52722869944296</v>
      </c>
      <c r="J392">
        <f t="shared" si="36"/>
        <v>5</v>
      </c>
      <c r="K392" t="str">
        <f>VLOOKUP(B392,Raw_Suppliers!$A$2:$G$101,2,FALSE)</f>
        <v>Gamma Nano Corp</v>
      </c>
      <c r="L392" t="str">
        <f>VLOOKUP(B392,Raw_Suppliers!$A$2:$G$101,3,FALSE)</f>
        <v>Germany</v>
      </c>
      <c r="M392" t="str">
        <f>VLOOKUP(B392,Raw_Suppliers!$A$2:$G$101,4,FALSE)</f>
        <v>West</v>
      </c>
      <c r="N392" t="str">
        <f>VLOOKUP(B392,Raw_Suppliers!$A$2:$G$101,6,FALSE)</f>
        <v>ISO 9001</v>
      </c>
      <c r="O392">
        <f>VLOOKUP(B392,Raw_Suppliers!$A$2:$G$101,7,FALSE)</f>
        <v>0</v>
      </c>
      <c r="P392" t="str">
        <f t="shared" si="37"/>
        <v>No</v>
      </c>
      <c r="Q392">
        <f t="shared" si="38"/>
        <v>0</v>
      </c>
      <c r="R392" t="str">
        <f t="shared" si="39"/>
        <v>Late</v>
      </c>
      <c r="S392">
        <f t="shared" si="40"/>
        <v>2023</v>
      </c>
      <c r="T392">
        <f t="shared" si="41"/>
        <v>1</v>
      </c>
    </row>
    <row r="393" spans="1:20" x14ac:dyDescent="0.25">
      <c r="A393" t="s">
        <v>670</v>
      </c>
      <c r="B393" t="s">
        <v>43</v>
      </c>
      <c r="C393" t="s">
        <v>184</v>
      </c>
      <c r="D393" s="1">
        <v>45133</v>
      </c>
      <c r="E393">
        <v>12</v>
      </c>
      <c r="F393">
        <v>43.229132515747096</v>
      </c>
      <c r="G393" s="1">
        <v>45153</v>
      </c>
      <c r="H393" s="1">
        <v>45159</v>
      </c>
      <c r="I393">
        <v>518.74959018896504</v>
      </c>
      <c r="J393">
        <f t="shared" si="36"/>
        <v>6</v>
      </c>
      <c r="K393" t="str">
        <f>VLOOKUP(B393,Raw_Suppliers!$A$2:$G$101,2,FALSE)</f>
        <v>Alpha Ultra Corp</v>
      </c>
      <c r="L393" t="str">
        <f>VLOOKUP(B393,Raw_Suppliers!$A$2:$G$101,3,FALSE)</f>
        <v>USA</v>
      </c>
      <c r="M393" t="str">
        <f>VLOOKUP(B393,Raw_Suppliers!$A$2:$G$101,4,FALSE)</f>
        <v>Central</v>
      </c>
      <c r="N393" t="str">
        <f>VLOOKUP(B393,Raw_Suppliers!$A$2:$G$101,6,FALSE)</f>
        <v>ISO 9001</v>
      </c>
      <c r="O393">
        <f>VLOOKUP(B393,Raw_Suppliers!$A$2:$G$101,7,FALSE)</f>
        <v>1</v>
      </c>
      <c r="P393" t="str">
        <f t="shared" si="37"/>
        <v>Yes</v>
      </c>
      <c r="Q393">
        <f t="shared" si="38"/>
        <v>0</v>
      </c>
      <c r="R393" t="str">
        <f t="shared" si="39"/>
        <v>Late</v>
      </c>
      <c r="S393">
        <f t="shared" si="40"/>
        <v>2023</v>
      </c>
      <c r="T393">
        <f t="shared" si="41"/>
        <v>7</v>
      </c>
    </row>
    <row r="394" spans="1:20" x14ac:dyDescent="0.25">
      <c r="A394" t="s">
        <v>671</v>
      </c>
      <c r="B394" t="s">
        <v>472</v>
      </c>
      <c r="C394" t="s">
        <v>165</v>
      </c>
      <c r="D394" s="1">
        <v>44623</v>
      </c>
      <c r="E394">
        <v>13</v>
      </c>
      <c r="F394">
        <v>56.082397254342297</v>
      </c>
      <c r="G394" s="1">
        <v>44634</v>
      </c>
      <c r="H394" s="1">
        <v>44639</v>
      </c>
      <c r="I394">
        <v>729.07116430644896</v>
      </c>
      <c r="J394">
        <f t="shared" si="36"/>
        <v>5</v>
      </c>
      <c r="K394" t="str">
        <f>VLOOKUP(B394,Raw_Suppliers!$A$2:$G$101,2,FALSE)</f>
        <v>Pioneer Alpha Corp</v>
      </c>
      <c r="L394" t="str">
        <f>VLOOKUP(B394,Raw_Suppliers!$A$2:$G$101,3,FALSE)</f>
        <v>Canada</v>
      </c>
      <c r="M394" t="str">
        <f>VLOOKUP(B394,Raw_Suppliers!$A$2:$G$101,4,FALSE)</f>
        <v>North</v>
      </c>
      <c r="N394" t="str">
        <f>VLOOKUP(B394,Raw_Suppliers!$A$2:$G$101,6,FALSE)</f>
        <v>None</v>
      </c>
      <c r="O394">
        <f>VLOOKUP(B394,Raw_Suppliers!$A$2:$G$101,7,FALSE)</f>
        <v>1</v>
      </c>
      <c r="P394" t="str">
        <f t="shared" si="37"/>
        <v>Yes</v>
      </c>
      <c r="Q394">
        <f t="shared" si="38"/>
        <v>0</v>
      </c>
      <c r="R394" t="str">
        <f t="shared" si="39"/>
        <v>Late</v>
      </c>
      <c r="S394">
        <f t="shared" si="40"/>
        <v>2022</v>
      </c>
      <c r="T394">
        <f t="shared" si="41"/>
        <v>3</v>
      </c>
    </row>
    <row r="395" spans="1:20" x14ac:dyDescent="0.25">
      <c r="A395" t="s">
        <v>672</v>
      </c>
      <c r="B395" t="s">
        <v>119</v>
      </c>
      <c r="C395" t="s">
        <v>317</v>
      </c>
      <c r="D395" s="1">
        <v>44541</v>
      </c>
      <c r="E395">
        <v>9</v>
      </c>
      <c r="F395">
        <v>70.787545401240607</v>
      </c>
      <c r="G395" s="1">
        <v>44555</v>
      </c>
      <c r="H395" s="1">
        <v>44556</v>
      </c>
      <c r="I395">
        <v>637.08790861116495</v>
      </c>
      <c r="J395">
        <f t="shared" si="36"/>
        <v>1</v>
      </c>
      <c r="K395" t="str">
        <f>VLOOKUP(B395,Raw_Suppliers!$A$2:$G$101,2,FALSE)</f>
        <v>Pioneer Apex Corp</v>
      </c>
      <c r="L395" t="str">
        <f>VLOOKUP(B395,Raw_Suppliers!$A$2:$G$101,3,FALSE)</f>
        <v>USA</v>
      </c>
      <c r="M395" t="str">
        <f>VLOOKUP(B395,Raw_Suppliers!$A$2:$G$101,4,FALSE)</f>
        <v>Central</v>
      </c>
      <c r="N395" t="str">
        <f>VLOOKUP(B395,Raw_Suppliers!$A$2:$G$101,6,FALSE)</f>
        <v>None</v>
      </c>
      <c r="O395">
        <f>VLOOKUP(B395,Raw_Suppliers!$A$2:$G$101,7,FALSE)</f>
        <v>0</v>
      </c>
      <c r="P395" t="str">
        <f t="shared" si="37"/>
        <v>No</v>
      </c>
      <c r="Q395">
        <f t="shared" si="38"/>
        <v>0</v>
      </c>
      <c r="R395" t="str">
        <f t="shared" si="39"/>
        <v>Late</v>
      </c>
      <c r="S395">
        <f t="shared" si="40"/>
        <v>2021</v>
      </c>
      <c r="T395">
        <f t="shared" si="41"/>
        <v>12</v>
      </c>
    </row>
    <row r="396" spans="1:20" x14ac:dyDescent="0.25">
      <c r="A396" t="s">
        <v>673</v>
      </c>
      <c r="B396" t="s">
        <v>442</v>
      </c>
      <c r="C396" t="s">
        <v>268</v>
      </c>
      <c r="D396" s="1">
        <v>44579</v>
      </c>
      <c r="E396">
        <v>8</v>
      </c>
      <c r="F396">
        <v>48.731061104471898</v>
      </c>
      <c r="G396" s="1">
        <v>44592</v>
      </c>
      <c r="H396" s="1">
        <v>44590</v>
      </c>
      <c r="I396">
        <v>389.84848883577502</v>
      </c>
      <c r="J396">
        <f t="shared" si="36"/>
        <v>-2</v>
      </c>
      <c r="K396" t="str">
        <f>VLOOKUP(B396,Raw_Suppliers!$A$2:$G$101,2,FALSE)</f>
        <v>Vertex Delta LLC</v>
      </c>
      <c r="L396" t="str">
        <f>VLOOKUP(B396,Raw_Suppliers!$A$2:$G$101,3,FALSE)</f>
        <v>Canada</v>
      </c>
      <c r="M396" t="str">
        <f>VLOOKUP(B396,Raw_Suppliers!$A$2:$G$101,4,FALSE)</f>
        <v>East</v>
      </c>
      <c r="N396" t="str">
        <f>VLOOKUP(B396,Raw_Suppliers!$A$2:$G$101,6,FALSE)</f>
        <v>ISO 14001</v>
      </c>
      <c r="O396">
        <f>VLOOKUP(B396,Raw_Suppliers!$A$2:$G$101,7,FALSE)</f>
        <v>1</v>
      </c>
      <c r="P396" t="str">
        <f t="shared" si="37"/>
        <v>Yes</v>
      </c>
      <c r="Q396">
        <f t="shared" si="38"/>
        <v>1</v>
      </c>
      <c r="R396" t="str">
        <f t="shared" si="39"/>
        <v>On Time</v>
      </c>
      <c r="S396">
        <f t="shared" si="40"/>
        <v>2022</v>
      </c>
      <c r="T396">
        <f t="shared" si="41"/>
        <v>1</v>
      </c>
    </row>
    <row r="397" spans="1:20" x14ac:dyDescent="0.25">
      <c r="A397" t="s">
        <v>674</v>
      </c>
      <c r="B397" t="s">
        <v>340</v>
      </c>
      <c r="C397" t="s">
        <v>233</v>
      </c>
      <c r="D397" s="1">
        <v>45038</v>
      </c>
      <c r="E397">
        <v>7</v>
      </c>
      <c r="F397">
        <v>67.796738370822695</v>
      </c>
      <c r="G397" s="1">
        <v>45061</v>
      </c>
      <c r="H397" s="1">
        <v>45067</v>
      </c>
      <c r="I397">
        <v>474.577168595758</v>
      </c>
      <c r="J397">
        <f t="shared" si="36"/>
        <v>6</v>
      </c>
      <c r="K397" t="str">
        <f>VLOOKUP(B397,Raw_Suppliers!$A$2:$G$101,2,FALSE)</f>
        <v>Pioneer Ultra GmbH</v>
      </c>
      <c r="L397" t="str">
        <f>VLOOKUP(B397,Raw_Suppliers!$A$2:$G$101,3,FALSE)</f>
        <v>China</v>
      </c>
      <c r="M397" t="str">
        <f>VLOOKUP(B397,Raw_Suppliers!$A$2:$G$101,4,FALSE)</f>
        <v>Central</v>
      </c>
      <c r="N397" t="str">
        <f>VLOOKUP(B397,Raw_Suppliers!$A$2:$G$101,6,FALSE)</f>
        <v>ISO 9001</v>
      </c>
      <c r="O397">
        <f>VLOOKUP(B397,Raw_Suppliers!$A$2:$G$101,7,FALSE)</f>
        <v>0</v>
      </c>
      <c r="P397" t="str">
        <f t="shared" si="37"/>
        <v>No</v>
      </c>
      <c r="Q397">
        <f t="shared" si="38"/>
        <v>0</v>
      </c>
      <c r="R397" t="str">
        <f t="shared" si="39"/>
        <v>Late</v>
      </c>
      <c r="S397">
        <f t="shared" si="40"/>
        <v>2023</v>
      </c>
      <c r="T397">
        <f t="shared" si="41"/>
        <v>4</v>
      </c>
    </row>
    <row r="398" spans="1:20" x14ac:dyDescent="0.25">
      <c r="A398" t="s">
        <v>675</v>
      </c>
      <c r="B398" t="s">
        <v>394</v>
      </c>
      <c r="C398" t="s">
        <v>92</v>
      </c>
      <c r="D398" s="1">
        <v>45204</v>
      </c>
      <c r="E398">
        <v>15</v>
      </c>
      <c r="F398">
        <v>59.867278450142798</v>
      </c>
      <c r="G398" s="1">
        <v>45222</v>
      </c>
      <c r="H398" s="1">
        <v>45220</v>
      </c>
      <c r="I398">
        <v>898.00917675214203</v>
      </c>
      <c r="J398">
        <f t="shared" si="36"/>
        <v>-2</v>
      </c>
      <c r="K398" t="str">
        <f>VLOOKUP(B398,Raw_Suppliers!$A$2:$G$101,2,FALSE)</f>
        <v>Ultra Prime Inc</v>
      </c>
      <c r="L398" t="str">
        <f>VLOOKUP(B398,Raw_Suppliers!$A$2:$G$101,3,FALSE)</f>
        <v>Brazil</v>
      </c>
      <c r="M398" t="str">
        <f>VLOOKUP(B398,Raw_Suppliers!$A$2:$G$101,4,FALSE)</f>
        <v>West</v>
      </c>
      <c r="N398" t="str">
        <f>VLOOKUP(B398,Raw_Suppliers!$A$2:$G$101,6,FALSE)</f>
        <v>ISO 9001</v>
      </c>
      <c r="O398">
        <f>VLOOKUP(B398,Raw_Suppliers!$A$2:$G$101,7,FALSE)</f>
        <v>1</v>
      </c>
      <c r="P398" t="str">
        <f t="shared" si="37"/>
        <v>Yes</v>
      </c>
      <c r="Q398">
        <f t="shared" si="38"/>
        <v>1</v>
      </c>
      <c r="R398" t="str">
        <f t="shared" si="39"/>
        <v>On Time</v>
      </c>
      <c r="S398">
        <f t="shared" si="40"/>
        <v>2023</v>
      </c>
      <c r="T398">
        <f t="shared" si="41"/>
        <v>10</v>
      </c>
    </row>
    <row r="399" spans="1:20" x14ac:dyDescent="0.25">
      <c r="A399" t="s">
        <v>676</v>
      </c>
      <c r="B399" t="s">
        <v>19</v>
      </c>
      <c r="C399" t="s">
        <v>453</v>
      </c>
      <c r="D399" s="1">
        <v>45245</v>
      </c>
      <c r="E399">
        <v>9</v>
      </c>
      <c r="F399">
        <v>30.307510665518901</v>
      </c>
      <c r="G399" s="1">
        <v>45257</v>
      </c>
      <c r="H399" s="1">
        <v>45261</v>
      </c>
      <c r="I399">
        <v>272.76759598966999</v>
      </c>
      <c r="J399">
        <f t="shared" si="36"/>
        <v>4</v>
      </c>
      <c r="K399" t="str">
        <f>VLOOKUP(B399,Raw_Suppliers!$A$2:$G$101,2,FALSE)</f>
        <v>Nova Beta Corp</v>
      </c>
      <c r="L399" t="str">
        <f>VLOOKUP(B399,Raw_Suppliers!$A$2:$G$101,3,FALSE)</f>
        <v>Brazil</v>
      </c>
      <c r="M399" t="str">
        <f>VLOOKUP(B399,Raw_Suppliers!$A$2:$G$101,4,FALSE)</f>
        <v>South</v>
      </c>
      <c r="N399" t="str">
        <f>VLOOKUP(B399,Raw_Suppliers!$A$2:$G$101,6,FALSE)</f>
        <v>ISO 14001</v>
      </c>
      <c r="O399">
        <f>VLOOKUP(B399,Raw_Suppliers!$A$2:$G$101,7,FALSE)</f>
        <v>1</v>
      </c>
      <c r="P399" t="str">
        <f t="shared" si="37"/>
        <v>Yes</v>
      </c>
      <c r="Q399">
        <f t="shared" si="38"/>
        <v>0</v>
      </c>
      <c r="R399" t="str">
        <f t="shared" si="39"/>
        <v>Late</v>
      </c>
      <c r="S399">
        <f t="shared" si="40"/>
        <v>2023</v>
      </c>
      <c r="T399">
        <f t="shared" si="41"/>
        <v>11</v>
      </c>
    </row>
    <row r="400" spans="1:20" x14ac:dyDescent="0.25">
      <c r="A400" t="s">
        <v>677</v>
      </c>
      <c r="B400" t="s">
        <v>19</v>
      </c>
      <c r="C400" t="s">
        <v>262</v>
      </c>
      <c r="D400" s="1">
        <v>44826</v>
      </c>
      <c r="E400">
        <v>14</v>
      </c>
      <c r="F400">
        <v>65.230673540248503</v>
      </c>
      <c r="G400" s="1">
        <v>44843</v>
      </c>
      <c r="H400" s="1">
        <v>44848</v>
      </c>
      <c r="I400">
        <v>913.22942956348004</v>
      </c>
      <c r="J400">
        <f t="shared" si="36"/>
        <v>5</v>
      </c>
      <c r="K400" t="str">
        <f>VLOOKUP(B400,Raw_Suppliers!$A$2:$G$101,2,FALSE)</f>
        <v>Nova Beta Corp</v>
      </c>
      <c r="L400" t="str">
        <f>VLOOKUP(B400,Raw_Suppliers!$A$2:$G$101,3,FALSE)</f>
        <v>Brazil</v>
      </c>
      <c r="M400" t="str">
        <f>VLOOKUP(B400,Raw_Suppliers!$A$2:$G$101,4,FALSE)</f>
        <v>South</v>
      </c>
      <c r="N400" t="str">
        <f>VLOOKUP(B400,Raw_Suppliers!$A$2:$G$101,6,FALSE)</f>
        <v>ISO 14001</v>
      </c>
      <c r="O400">
        <f>VLOOKUP(B400,Raw_Suppliers!$A$2:$G$101,7,FALSE)</f>
        <v>1</v>
      </c>
      <c r="P400" t="str">
        <f t="shared" si="37"/>
        <v>Yes</v>
      </c>
      <c r="Q400">
        <f t="shared" si="38"/>
        <v>0</v>
      </c>
      <c r="R400" t="str">
        <f t="shared" si="39"/>
        <v>Late</v>
      </c>
      <c r="S400">
        <f t="shared" si="40"/>
        <v>2022</v>
      </c>
      <c r="T400">
        <f t="shared" si="41"/>
        <v>9</v>
      </c>
    </row>
    <row r="401" spans="1:20" x14ac:dyDescent="0.25">
      <c r="A401" t="s">
        <v>678</v>
      </c>
      <c r="B401" t="s">
        <v>198</v>
      </c>
      <c r="C401" t="s">
        <v>192</v>
      </c>
      <c r="D401" s="1">
        <v>44257</v>
      </c>
      <c r="E401">
        <v>8</v>
      </c>
      <c r="F401">
        <v>32.0403734948828</v>
      </c>
      <c r="G401" s="1">
        <v>44274</v>
      </c>
      <c r="H401" s="1">
        <v>44275</v>
      </c>
      <c r="I401">
        <v>256.322987959062</v>
      </c>
      <c r="J401">
        <f t="shared" si="36"/>
        <v>1</v>
      </c>
      <c r="K401" t="str">
        <f>VLOOKUP(B401,Raw_Suppliers!$A$2:$G$101,2,FALSE)</f>
        <v>Gamma Vertex Corp</v>
      </c>
      <c r="L401" t="str">
        <f>VLOOKUP(B401,Raw_Suppliers!$A$2:$G$101,3,FALSE)</f>
        <v>Denmark</v>
      </c>
      <c r="M401" t="str">
        <f>VLOOKUP(B401,Raw_Suppliers!$A$2:$G$101,4,FALSE)</f>
        <v>South</v>
      </c>
      <c r="N401" t="str">
        <f>VLOOKUP(B401,Raw_Suppliers!$A$2:$G$101,6,FALSE)</f>
        <v>None</v>
      </c>
      <c r="O401">
        <f>VLOOKUP(B401,Raw_Suppliers!$A$2:$G$101,7,FALSE)</f>
        <v>1</v>
      </c>
      <c r="P401" t="str">
        <f t="shared" si="37"/>
        <v>Yes</v>
      </c>
      <c r="Q401">
        <f t="shared" si="38"/>
        <v>0</v>
      </c>
      <c r="R401" t="str">
        <f t="shared" si="39"/>
        <v>Late</v>
      </c>
      <c r="S401">
        <f t="shared" si="40"/>
        <v>2021</v>
      </c>
      <c r="T401">
        <f t="shared" si="41"/>
        <v>3</v>
      </c>
    </row>
    <row r="402" spans="1:20" x14ac:dyDescent="0.25">
      <c r="A402" t="s">
        <v>679</v>
      </c>
      <c r="B402" t="s">
        <v>556</v>
      </c>
      <c r="C402" t="s">
        <v>297</v>
      </c>
      <c r="D402" s="1">
        <v>44238</v>
      </c>
      <c r="E402">
        <v>7</v>
      </c>
      <c r="F402">
        <v>35.416169256607702</v>
      </c>
      <c r="G402" s="1">
        <v>44257</v>
      </c>
      <c r="H402" s="1">
        <v>44254</v>
      </c>
      <c r="I402">
        <v>247.913184796254</v>
      </c>
      <c r="J402">
        <f t="shared" si="36"/>
        <v>-3</v>
      </c>
      <c r="K402" t="str">
        <f>VLOOKUP(B402,Raw_Suppliers!$A$2:$G$101,2,FALSE)</f>
        <v>Ultra Delta Ltd</v>
      </c>
      <c r="L402" t="str">
        <f>VLOOKUP(B402,Raw_Suppliers!$A$2:$G$101,3,FALSE)</f>
        <v>China</v>
      </c>
      <c r="M402" t="str">
        <f>VLOOKUP(B402,Raw_Suppliers!$A$2:$G$101,4,FALSE)</f>
        <v>Central</v>
      </c>
      <c r="N402" t="str">
        <f>VLOOKUP(B402,Raw_Suppliers!$A$2:$G$101,6,FALSE)</f>
        <v>ISO 45001</v>
      </c>
      <c r="O402">
        <f>VLOOKUP(B402,Raw_Suppliers!$A$2:$G$101,7,FALSE)</f>
        <v>0</v>
      </c>
      <c r="P402" t="str">
        <f t="shared" si="37"/>
        <v>No</v>
      </c>
      <c r="Q402">
        <f t="shared" si="38"/>
        <v>1</v>
      </c>
      <c r="R402" t="str">
        <f t="shared" si="39"/>
        <v>On Time</v>
      </c>
      <c r="S402">
        <f t="shared" si="40"/>
        <v>2021</v>
      </c>
      <c r="T402">
        <f t="shared" si="41"/>
        <v>2</v>
      </c>
    </row>
    <row r="403" spans="1:20" x14ac:dyDescent="0.25">
      <c r="A403" t="s">
        <v>680</v>
      </c>
      <c r="B403" t="s">
        <v>43</v>
      </c>
      <c r="C403" t="s">
        <v>328</v>
      </c>
      <c r="D403" s="1">
        <v>44892</v>
      </c>
      <c r="E403">
        <v>11</v>
      </c>
      <c r="F403">
        <v>61.017263315012897</v>
      </c>
      <c r="G403" s="1">
        <v>44912</v>
      </c>
      <c r="H403" s="1">
        <v>44910</v>
      </c>
      <c r="I403">
        <v>671.18989646514206</v>
      </c>
      <c r="J403">
        <f t="shared" si="36"/>
        <v>-2</v>
      </c>
      <c r="K403" t="str">
        <f>VLOOKUP(B403,Raw_Suppliers!$A$2:$G$101,2,FALSE)</f>
        <v>Alpha Ultra Corp</v>
      </c>
      <c r="L403" t="str">
        <f>VLOOKUP(B403,Raw_Suppliers!$A$2:$G$101,3,FALSE)</f>
        <v>USA</v>
      </c>
      <c r="M403" t="str">
        <f>VLOOKUP(B403,Raw_Suppliers!$A$2:$G$101,4,FALSE)</f>
        <v>Central</v>
      </c>
      <c r="N403" t="str">
        <f>VLOOKUP(B403,Raw_Suppliers!$A$2:$G$101,6,FALSE)</f>
        <v>ISO 9001</v>
      </c>
      <c r="O403">
        <f>VLOOKUP(B403,Raw_Suppliers!$A$2:$G$101,7,FALSE)</f>
        <v>1</v>
      </c>
      <c r="P403" t="str">
        <f t="shared" si="37"/>
        <v>Yes</v>
      </c>
      <c r="Q403">
        <f t="shared" si="38"/>
        <v>1</v>
      </c>
      <c r="R403" t="str">
        <f t="shared" si="39"/>
        <v>On Time</v>
      </c>
      <c r="S403">
        <f t="shared" si="40"/>
        <v>2022</v>
      </c>
      <c r="T403">
        <f t="shared" si="41"/>
        <v>11</v>
      </c>
    </row>
    <row r="404" spans="1:20" x14ac:dyDescent="0.25">
      <c r="A404" t="s">
        <v>681</v>
      </c>
      <c r="B404" t="s">
        <v>61</v>
      </c>
      <c r="C404" t="s">
        <v>504</v>
      </c>
      <c r="D404" s="1">
        <v>44453</v>
      </c>
      <c r="E404">
        <v>8</v>
      </c>
      <c r="F404">
        <v>55.105789294433897</v>
      </c>
      <c r="G404" s="1">
        <v>44476</v>
      </c>
      <c r="H404" s="1">
        <v>44480</v>
      </c>
      <c r="I404">
        <v>440.84631435547101</v>
      </c>
      <c r="J404">
        <f t="shared" si="36"/>
        <v>4</v>
      </c>
      <c r="K404" t="str">
        <f>VLOOKUP(B404,Raw_Suppliers!$A$2:$G$101,2,FALSE)</f>
        <v>Ultra Gamma LLC</v>
      </c>
      <c r="L404" t="str">
        <f>VLOOKUP(B404,Raw_Suppliers!$A$2:$G$101,3,FALSE)</f>
        <v>Canada</v>
      </c>
      <c r="M404" t="str">
        <f>VLOOKUP(B404,Raw_Suppliers!$A$2:$G$101,4,FALSE)</f>
        <v>North</v>
      </c>
      <c r="N404" t="str">
        <f>VLOOKUP(B404,Raw_Suppliers!$A$2:$G$101,6,FALSE)</f>
        <v>ISO 9001</v>
      </c>
      <c r="O404">
        <f>VLOOKUP(B404,Raw_Suppliers!$A$2:$G$101,7,FALSE)</f>
        <v>1</v>
      </c>
      <c r="P404" t="str">
        <f t="shared" si="37"/>
        <v>Yes</v>
      </c>
      <c r="Q404">
        <f t="shared" si="38"/>
        <v>0</v>
      </c>
      <c r="R404" t="str">
        <f t="shared" si="39"/>
        <v>Late</v>
      </c>
      <c r="S404">
        <f t="shared" si="40"/>
        <v>2021</v>
      </c>
      <c r="T404">
        <f t="shared" si="41"/>
        <v>9</v>
      </c>
    </row>
    <row r="405" spans="1:20" x14ac:dyDescent="0.25">
      <c r="A405" t="s">
        <v>682</v>
      </c>
      <c r="B405" t="s">
        <v>564</v>
      </c>
      <c r="C405" t="s">
        <v>432</v>
      </c>
      <c r="D405" s="1">
        <v>45293</v>
      </c>
      <c r="E405">
        <v>10</v>
      </c>
      <c r="F405">
        <v>27.988363504056998</v>
      </c>
      <c r="G405" s="1">
        <v>45307</v>
      </c>
      <c r="H405" s="1">
        <v>45310</v>
      </c>
      <c r="I405">
        <v>279.88363504057003</v>
      </c>
      <c r="J405">
        <f t="shared" si="36"/>
        <v>3</v>
      </c>
      <c r="K405" t="str">
        <f>VLOOKUP(B405,Raw_Suppliers!$A$2:$G$101,2,FALSE)</f>
        <v>Ultra Ultra GmbH</v>
      </c>
      <c r="L405" t="str">
        <f>VLOOKUP(B405,Raw_Suppliers!$A$2:$G$101,3,FALSE)</f>
        <v>India</v>
      </c>
      <c r="M405" t="str">
        <f>VLOOKUP(B405,Raw_Suppliers!$A$2:$G$101,4,FALSE)</f>
        <v>Central</v>
      </c>
      <c r="N405" t="str">
        <f>VLOOKUP(B405,Raw_Suppliers!$A$2:$G$101,6,FALSE)</f>
        <v>ISO 14001</v>
      </c>
      <c r="O405">
        <f>VLOOKUP(B405,Raw_Suppliers!$A$2:$G$101,7,FALSE)</f>
        <v>1</v>
      </c>
      <c r="P405" t="str">
        <f t="shared" si="37"/>
        <v>Yes</v>
      </c>
      <c r="Q405">
        <f t="shared" si="38"/>
        <v>0</v>
      </c>
      <c r="R405" t="str">
        <f t="shared" si="39"/>
        <v>Late</v>
      </c>
      <c r="S405">
        <f t="shared" si="40"/>
        <v>2024</v>
      </c>
      <c r="T405">
        <f t="shared" si="41"/>
        <v>1</v>
      </c>
    </row>
    <row r="406" spans="1:20" x14ac:dyDescent="0.25">
      <c r="A406" t="s">
        <v>683</v>
      </c>
      <c r="B406" t="s">
        <v>564</v>
      </c>
      <c r="C406" t="s">
        <v>594</v>
      </c>
      <c r="D406" s="1">
        <v>44801</v>
      </c>
      <c r="E406">
        <v>14</v>
      </c>
      <c r="F406">
        <v>10.610803977676399</v>
      </c>
      <c r="G406" s="1">
        <v>44817</v>
      </c>
      <c r="H406" s="1">
        <v>44822</v>
      </c>
      <c r="I406">
        <v>148.55125568746999</v>
      </c>
      <c r="J406">
        <f t="shared" si="36"/>
        <v>5</v>
      </c>
      <c r="K406" t="str">
        <f>VLOOKUP(B406,Raw_Suppliers!$A$2:$G$101,2,FALSE)</f>
        <v>Ultra Ultra GmbH</v>
      </c>
      <c r="L406" t="str">
        <f>VLOOKUP(B406,Raw_Suppliers!$A$2:$G$101,3,FALSE)</f>
        <v>India</v>
      </c>
      <c r="M406" t="str">
        <f>VLOOKUP(B406,Raw_Suppliers!$A$2:$G$101,4,FALSE)</f>
        <v>Central</v>
      </c>
      <c r="N406" t="str">
        <f>VLOOKUP(B406,Raw_Suppliers!$A$2:$G$101,6,FALSE)</f>
        <v>ISO 14001</v>
      </c>
      <c r="O406">
        <f>VLOOKUP(B406,Raw_Suppliers!$A$2:$G$101,7,FALSE)</f>
        <v>1</v>
      </c>
      <c r="P406" t="str">
        <f t="shared" si="37"/>
        <v>Yes</v>
      </c>
      <c r="Q406">
        <f t="shared" si="38"/>
        <v>0</v>
      </c>
      <c r="R406" t="str">
        <f t="shared" si="39"/>
        <v>Late</v>
      </c>
      <c r="S406">
        <f t="shared" si="40"/>
        <v>2022</v>
      </c>
      <c r="T406">
        <f t="shared" si="41"/>
        <v>8</v>
      </c>
    </row>
    <row r="407" spans="1:20" x14ac:dyDescent="0.25">
      <c r="A407" t="s">
        <v>684</v>
      </c>
      <c r="B407" t="s">
        <v>203</v>
      </c>
      <c r="C407" t="s">
        <v>363</v>
      </c>
      <c r="D407" s="1">
        <v>45149</v>
      </c>
      <c r="E407">
        <v>15</v>
      </c>
      <c r="F407">
        <v>77.352644353048703</v>
      </c>
      <c r="G407" s="1">
        <v>45172</v>
      </c>
      <c r="H407" s="1">
        <v>45170</v>
      </c>
      <c r="I407">
        <v>1160.2896652957299</v>
      </c>
      <c r="J407">
        <f t="shared" si="36"/>
        <v>-2</v>
      </c>
      <c r="K407" t="str">
        <f>VLOOKUP(B407,Raw_Suppliers!$A$2:$G$101,2,FALSE)</f>
        <v>Nova Eco LLC</v>
      </c>
      <c r="L407" t="str">
        <f>VLOOKUP(B407,Raw_Suppliers!$A$2:$G$101,3,FALSE)</f>
        <v>Denmark</v>
      </c>
      <c r="M407" t="str">
        <f>VLOOKUP(B407,Raw_Suppliers!$A$2:$G$101,4,FALSE)</f>
        <v>South</v>
      </c>
      <c r="N407" t="str">
        <f>VLOOKUP(B407,Raw_Suppliers!$A$2:$G$101,6,FALSE)</f>
        <v>ISO 14001</v>
      </c>
      <c r="O407">
        <f>VLOOKUP(B407,Raw_Suppliers!$A$2:$G$101,7,FALSE)</f>
        <v>0</v>
      </c>
      <c r="P407" t="str">
        <f t="shared" si="37"/>
        <v>No</v>
      </c>
      <c r="Q407">
        <f t="shared" si="38"/>
        <v>1</v>
      </c>
      <c r="R407" t="str">
        <f t="shared" si="39"/>
        <v>On Time</v>
      </c>
      <c r="S407">
        <f t="shared" si="40"/>
        <v>2023</v>
      </c>
      <c r="T407">
        <f t="shared" si="41"/>
        <v>8</v>
      </c>
    </row>
    <row r="408" spans="1:20" x14ac:dyDescent="0.25">
      <c r="A408" t="s">
        <v>685</v>
      </c>
      <c r="B408" t="s">
        <v>686</v>
      </c>
      <c r="C408" t="s">
        <v>421</v>
      </c>
      <c r="D408" s="1">
        <v>45018</v>
      </c>
      <c r="E408">
        <v>6</v>
      </c>
      <c r="F408">
        <v>51.314846522385203</v>
      </c>
      <c r="G408" s="1">
        <v>45041</v>
      </c>
      <c r="H408" s="1">
        <v>45040</v>
      </c>
      <c r="I408">
        <v>307.88907913431098</v>
      </c>
      <c r="J408">
        <f t="shared" si="36"/>
        <v>-1</v>
      </c>
      <c r="K408" t="str">
        <f>VLOOKUP(B408,Raw_Suppliers!$A$2:$G$101,2,FALSE)</f>
        <v>Eco Gamma GmbH</v>
      </c>
      <c r="L408" t="str">
        <f>VLOOKUP(B408,Raw_Suppliers!$A$2:$G$101,3,FALSE)</f>
        <v>China</v>
      </c>
      <c r="M408" t="str">
        <f>VLOOKUP(B408,Raw_Suppliers!$A$2:$G$101,4,FALSE)</f>
        <v>South</v>
      </c>
      <c r="N408" t="str">
        <f>VLOOKUP(B408,Raw_Suppliers!$A$2:$G$101,6,FALSE)</f>
        <v>ISO 9001</v>
      </c>
      <c r="O408">
        <f>VLOOKUP(B408,Raw_Suppliers!$A$2:$G$101,7,FALSE)</f>
        <v>0</v>
      </c>
      <c r="P408" t="str">
        <f t="shared" si="37"/>
        <v>No</v>
      </c>
      <c r="Q408">
        <f t="shared" si="38"/>
        <v>1</v>
      </c>
      <c r="R408" t="str">
        <f t="shared" si="39"/>
        <v>On Time</v>
      </c>
      <c r="S408">
        <f t="shared" si="40"/>
        <v>2023</v>
      </c>
      <c r="T408">
        <f t="shared" si="41"/>
        <v>4</v>
      </c>
    </row>
    <row r="409" spans="1:20" x14ac:dyDescent="0.25">
      <c r="A409" t="s">
        <v>687</v>
      </c>
      <c r="B409" t="s">
        <v>124</v>
      </c>
      <c r="C409" t="s">
        <v>428</v>
      </c>
      <c r="D409" s="1">
        <v>44707</v>
      </c>
      <c r="E409">
        <v>11</v>
      </c>
      <c r="F409">
        <v>66.462026420324094</v>
      </c>
      <c r="G409" s="1">
        <v>44719</v>
      </c>
      <c r="H409" s="1">
        <v>44716</v>
      </c>
      <c r="I409">
        <v>731.082290623566</v>
      </c>
      <c r="J409">
        <f t="shared" si="36"/>
        <v>-3</v>
      </c>
      <c r="K409" t="str">
        <f>VLOOKUP(B409,Raw_Suppliers!$A$2:$G$101,2,FALSE)</f>
        <v>Vertex Delta Inc</v>
      </c>
      <c r="L409" t="str">
        <f>VLOOKUP(B409,Raw_Suppliers!$A$2:$G$101,3,FALSE)</f>
        <v>Germany</v>
      </c>
      <c r="M409" t="str">
        <f>VLOOKUP(B409,Raw_Suppliers!$A$2:$G$101,4,FALSE)</f>
        <v>South</v>
      </c>
      <c r="N409" t="str">
        <f>VLOOKUP(B409,Raw_Suppliers!$A$2:$G$101,6,FALSE)</f>
        <v>ISO 9001</v>
      </c>
      <c r="O409">
        <f>VLOOKUP(B409,Raw_Suppliers!$A$2:$G$101,7,FALSE)</f>
        <v>0</v>
      </c>
      <c r="P409" t="str">
        <f t="shared" si="37"/>
        <v>No</v>
      </c>
      <c r="Q409">
        <f t="shared" si="38"/>
        <v>1</v>
      </c>
      <c r="R409" t="str">
        <f t="shared" si="39"/>
        <v>On Time</v>
      </c>
      <c r="S409">
        <f t="shared" si="40"/>
        <v>2022</v>
      </c>
      <c r="T409">
        <f t="shared" si="41"/>
        <v>5</v>
      </c>
    </row>
    <row r="410" spans="1:20" x14ac:dyDescent="0.25">
      <c r="A410" t="s">
        <v>688</v>
      </c>
      <c r="B410" t="s">
        <v>154</v>
      </c>
      <c r="C410" t="s">
        <v>689</v>
      </c>
      <c r="D410" s="1">
        <v>44850</v>
      </c>
      <c r="E410">
        <v>4</v>
      </c>
      <c r="F410">
        <v>4.0277316945545198</v>
      </c>
      <c r="G410" s="1">
        <v>44868</v>
      </c>
      <c r="H410" s="1">
        <v>44870</v>
      </c>
      <c r="I410">
        <v>16.110926778218101</v>
      </c>
      <c r="J410">
        <f t="shared" si="36"/>
        <v>2</v>
      </c>
      <c r="K410" t="str">
        <f>VLOOKUP(B410,Raw_Suppliers!$A$2:$G$101,2,FALSE)</f>
        <v>Apex Ultra Ltd</v>
      </c>
      <c r="L410" t="str">
        <f>VLOOKUP(B410,Raw_Suppliers!$A$2:$G$101,3,FALSE)</f>
        <v>Canada</v>
      </c>
      <c r="M410" t="str">
        <f>VLOOKUP(B410,Raw_Suppliers!$A$2:$G$101,4,FALSE)</f>
        <v>West</v>
      </c>
      <c r="N410" t="str">
        <f>VLOOKUP(B410,Raw_Suppliers!$A$2:$G$101,6,FALSE)</f>
        <v>None</v>
      </c>
      <c r="O410">
        <f>VLOOKUP(B410,Raw_Suppliers!$A$2:$G$101,7,FALSE)</f>
        <v>1</v>
      </c>
      <c r="P410" t="str">
        <f t="shared" si="37"/>
        <v>Yes</v>
      </c>
      <c r="Q410">
        <f t="shared" si="38"/>
        <v>0</v>
      </c>
      <c r="R410" t="str">
        <f t="shared" si="39"/>
        <v>Late</v>
      </c>
      <c r="S410">
        <f t="shared" si="40"/>
        <v>2022</v>
      </c>
      <c r="T410">
        <f t="shared" si="41"/>
        <v>10</v>
      </c>
    </row>
    <row r="411" spans="1:20" x14ac:dyDescent="0.25">
      <c r="A411" t="s">
        <v>690</v>
      </c>
      <c r="B411" t="s">
        <v>205</v>
      </c>
      <c r="C411" t="s">
        <v>691</v>
      </c>
      <c r="D411" s="1">
        <v>44232</v>
      </c>
      <c r="E411">
        <v>7</v>
      </c>
      <c r="F411">
        <v>14.622981918470201</v>
      </c>
      <c r="G411" s="1">
        <v>44244</v>
      </c>
      <c r="H411" s="1">
        <v>44250</v>
      </c>
      <c r="I411">
        <v>102.360873429292</v>
      </c>
      <c r="J411">
        <f t="shared" si="36"/>
        <v>6</v>
      </c>
      <c r="K411" t="str">
        <f>VLOOKUP(B411,Raw_Suppliers!$A$2:$G$101,2,FALSE)</f>
        <v>Ultra Eco LLC</v>
      </c>
      <c r="L411" t="str">
        <f>VLOOKUP(B411,Raw_Suppliers!$A$2:$G$101,3,FALSE)</f>
        <v>China</v>
      </c>
      <c r="M411" t="str">
        <f>VLOOKUP(B411,Raw_Suppliers!$A$2:$G$101,4,FALSE)</f>
        <v>South</v>
      </c>
      <c r="N411" t="str">
        <f>VLOOKUP(B411,Raw_Suppliers!$A$2:$G$101,6,FALSE)</f>
        <v>ISO 14001</v>
      </c>
      <c r="O411">
        <f>VLOOKUP(B411,Raw_Suppliers!$A$2:$G$101,7,FALSE)</f>
        <v>1</v>
      </c>
      <c r="P411" t="str">
        <f t="shared" si="37"/>
        <v>Yes</v>
      </c>
      <c r="Q411">
        <f t="shared" si="38"/>
        <v>0</v>
      </c>
      <c r="R411" t="str">
        <f t="shared" si="39"/>
        <v>Late</v>
      </c>
      <c r="S411">
        <f t="shared" si="40"/>
        <v>2021</v>
      </c>
      <c r="T411">
        <f t="shared" si="41"/>
        <v>2</v>
      </c>
    </row>
    <row r="412" spans="1:20" x14ac:dyDescent="0.25">
      <c r="A412" t="s">
        <v>692</v>
      </c>
      <c r="B412" t="s">
        <v>686</v>
      </c>
      <c r="C412" t="s">
        <v>693</v>
      </c>
      <c r="D412" s="1">
        <v>44994</v>
      </c>
      <c r="E412">
        <v>8</v>
      </c>
      <c r="F412">
        <v>32.039550811405697</v>
      </c>
      <c r="G412" s="1">
        <v>45018</v>
      </c>
      <c r="H412" s="1">
        <v>45019</v>
      </c>
      <c r="I412">
        <v>256.31640649124603</v>
      </c>
      <c r="J412">
        <f t="shared" si="36"/>
        <v>1</v>
      </c>
      <c r="K412" t="str">
        <f>VLOOKUP(B412,Raw_Suppliers!$A$2:$G$101,2,FALSE)</f>
        <v>Eco Gamma GmbH</v>
      </c>
      <c r="L412" t="str">
        <f>VLOOKUP(B412,Raw_Suppliers!$A$2:$G$101,3,FALSE)</f>
        <v>China</v>
      </c>
      <c r="M412" t="str">
        <f>VLOOKUP(B412,Raw_Suppliers!$A$2:$G$101,4,FALSE)</f>
        <v>South</v>
      </c>
      <c r="N412" t="str">
        <f>VLOOKUP(B412,Raw_Suppliers!$A$2:$G$101,6,FALSE)</f>
        <v>ISO 9001</v>
      </c>
      <c r="O412">
        <f>VLOOKUP(B412,Raw_Suppliers!$A$2:$G$101,7,FALSE)</f>
        <v>0</v>
      </c>
      <c r="P412" t="str">
        <f t="shared" si="37"/>
        <v>No</v>
      </c>
      <c r="Q412">
        <f t="shared" si="38"/>
        <v>0</v>
      </c>
      <c r="R412" t="str">
        <f t="shared" si="39"/>
        <v>Late</v>
      </c>
      <c r="S412">
        <f t="shared" si="40"/>
        <v>2023</v>
      </c>
      <c r="T412">
        <f t="shared" si="41"/>
        <v>3</v>
      </c>
    </row>
    <row r="413" spans="1:20" x14ac:dyDescent="0.25">
      <c r="A413" t="s">
        <v>694</v>
      </c>
      <c r="B413" t="s">
        <v>109</v>
      </c>
      <c r="C413" t="s">
        <v>230</v>
      </c>
      <c r="D413" s="1">
        <v>45188</v>
      </c>
      <c r="E413">
        <v>4</v>
      </c>
      <c r="F413">
        <v>5.7234883675024602</v>
      </c>
      <c r="G413" s="1">
        <v>45202</v>
      </c>
      <c r="H413" s="1">
        <v>45203</v>
      </c>
      <c r="I413">
        <v>22.893953470009802</v>
      </c>
      <c r="J413">
        <f t="shared" si="36"/>
        <v>1</v>
      </c>
      <c r="K413" t="str">
        <f>VLOOKUP(B413,Raw_Suppliers!$A$2:$G$101,2,FALSE)</f>
        <v>Nano Fusion GmbH</v>
      </c>
      <c r="L413" t="str">
        <f>VLOOKUP(B413,Raw_Suppliers!$A$2:$G$101,3,FALSE)</f>
        <v>Denmark</v>
      </c>
      <c r="M413" t="str">
        <f>VLOOKUP(B413,Raw_Suppliers!$A$2:$G$101,4,FALSE)</f>
        <v>North</v>
      </c>
      <c r="N413" t="str">
        <f>VLOOKUP(B413,Raw_Suppliers!$A$2:$G$101,6,FALSE)</f>
        <v>ISO 9001</v>
      </c>
      <c r="O413">
        <f>VLOOKUP(B413,Raw_Suppliers!$A$2:$G$101,7,FALSE)</f>
        <v>0</v>
      </c>
      <c r="P413" t="str">
        <f t="shared" si="37"/>
        <v>No</v>
      </c>
      <c r="Q413">
        <f t="shared" si="38"/>
        <v>0</v>
      </c>
      <c r="R413" t="str">
        <f t="shared" si="39"/>
        <v>Late</v>
      </c>
      <c r="S413">
        <f t="shared" si="40"/>
        <v>2023</v>
      </c>
      <c r="T413">
        <f t="shared" si="41"/>
        <v>9</v>
      </c>
    </row>
    <row r="414" spans="1:20" x14ac:dyDescent="0.25">
      <c r="A414" t="s">
        <v>695</v>
      </c>
      <c r="B414" t="s">
        <v>299</v>
      </c>
      <c r="C414" t="s">
        <v>589</v>
      </c>
      <c r="D414" s="1">
        <v>45118</v>
      </c>
      <c r="E414">
        <v>11</v>
      </c>
      <c r="F414">
        <v>31.131860156182501</v>
      </c>
      <c r="G414" s="1">
        <v>45136</v>
      </c>
      <c r="H414" s="1">
        <v>45138</v>
      </c>
      <c r="I414">
        <v>342.45046171800698</v>
      </c>
      <c r="J414">
        <f t="shared" si="36"/>
        <v>2</v>
      </c>
      <c r="K414" t="str">
        <f>VLOOKUP(B414,Raw_Suppliers!$A$2:$G$101,2,FALSE)</f>
        <v>Nova Alpha Inc</v>
      </c>
      <c r="L414" t="str">
        <f>VLOOKUP(B414,Raw_Suppliers!$A$2:$G$101,3,FALSE)</f>
        <v>UK</v>
      </c>
      <c r="M414" t="str">
        <f>VLOOKUP(B414,Raw_Suppliers!$A$2:$G$101,4,FALSE)</f>
        <v>South</v>
      </c>
      <c r="N414" t="str">
        <f>VLOOKUP(B414,Raw_Suppliers!$A$2:$G$101,6,FALSE)</f>
        <v>None</v>
      </c>
      <c r="O414">
        <f>VLOOKUP(B414,Raw_Suppliers!$A$2:$G$101,7,FALSE)</f>
        <v>1</v>
      </c>
      <c r="P414" t="str">
        <f t="shared" si="37"/>
        <v>Yes</v>
      </c>
      <c r="Q414">
        <f t="shared" si="38"/>
        <v>0</v>
      </c>
      <c r="R414" t="str">
        <f t="shared" si="39"/>
        <v>Late</v>
      </c>
      <c r="S414">
        <f t="shared" si="40"/>
        <v>2023</v>
      </c>
      <c r="T414">
        <f t="shared" si="41"/>
        <v>7</v>
      </c>
    </row>
    <row r="415" spans="1:20" x14ac:dyDescent="0.25">
      <c r="A415" t="s">
        <v>696</v>
      </c>
      <c r="B415" t="s">
        <v>16</v>
      </c>
      <c r="C415" t="s">
        <v>245</v>
      </c>
      <c r="D415" s="1">
        <v>44460</v>
      </c>
      <c r="E415">
        <v>11</v>
      </c>
      <c r="F415">
        <v>77.253559523791097</v>
      </c>
      <c r="G415" s="1">
        <v>44476</v>
      </c>
      <c r="H415" s="1">
        <v>44478</v>
      </c>
      <c r="I415">
        <v>849.78915476170198</v>
      </c>
      <c r="J415">
        <f t="shared" si="36"/>
        <v>2</v>
      </c>
      <c r="K415" t="str">
        <f>VLOOKUP(B415,Raw_Suppliers!$A$2:$G$101,2,FALSE)</f>
        <v>Beta Pioneer Inc</v>
      </c>
      <c r="L415" t="str">
        <f>VLOOKUP(B415,Raw_Suppliers!$A$2:$G$101,3,FALSE)</f>
        <v>USA</v>
      </c>
      <c r="M415" t="str">
        <f>VLOOKUP(B415,Raw_Suppliers!$A$2:$G$101,4,FALSE)</f>
        <v>Central</v>
      </c>
      <c r="N415" t="str">
        <f>VLOOKUP(B415,Raw_Suppliers!$A$2:$G$101,6,FALSE)</f>
        <v>ISO 45001</v>
      </c>
      <c r="O415">
        <f>VLOOKUP(B415,Raw_Suppliers!$A$2:$G$101,7,FALSE)</f>
        <v>1</v>
      </c>
      <c r="P415" t="str">
        <f t="shared" si="37"/>
        <v>Yes</v>
      </c>
      <c r="Q415">
        <f t="shared" si="38"/>
        <v>0</v>
      </c>
      <c r="R415" t="str">
        <f t="shared" si="39"/>
        <v>Late</v>
      </c>
      <c r="S415">
        <f t="shared" si="40"/>
        <v>2021</v>
      </c>
      <c r="T415">
        <f t="shared" si="41"/>
        <v>9</v>
      </c>
    </row>
    <row r="416" spans="1:20" x14ac:dyDescent="0.25">
      <c r="A416" t="s">
        <v>697</v>
      </c>
      <c r="B416" t="s">
        <v>104</v>
      </c>
      <c r="C416" t="s">
        <v>600</v>
      </c>
      <c r="D416" s="1">
        <v>44357</v>
      </c>
      <c r="E416">
        <v>6</v>
      </c>
      <c r="F416">
        <v>40.693032047234801</v>
      </c>
      <c r="G416" s="1">
        <v>44369</v>
      </c>
      <c r="H416" s="1">
        <v>44371</v>
      </c>
      <c r="I416">
        <v>244.15819228340899</v>
      </c>
      <c r="J416">
        <f t="shared" si="36"/>
        <v>2</v>
      </c>
      <c r="K416" t="str">
        <f>VLOOKUP(B416,Raw_Suppliers!$A$2:$G$101,2,FALSE)</f>
        <v>Prime Omega Corp</v>
      </c>
      <c r="L416" t="str">
        <f>VLOOKUP(B416,Raw_Suppliers!$A$2:$G$101,3,FALSE)</f>
        <v>India</v>
      </c>
      <c r="M416" t="str">
        <f>VLOOKUP(B416,Raw_Suppliers!$A$2:$G$101,4,FALSE)</f>
        <v>Central</v>
      </c>
      <c r="N416" t="str">
        <f>VLOOKUP(B416,Raw_Suppliers!$A$2:$G$101,6,FALSE)</f>
        <v>ISO 14001</v>
      </c>
      <c r="O416">
        <f>VLOOKUP(B416,Raw_Suppliers!$A$2:$G$101,7,FALSE)</f>
        <v>0</v>
      </c>
      <c r="P416" t="str">
        <f t="shared" si="37"/>
        <v>No</v>
      </c>
      <c r="Q416">
        <f t="shared" si="38"/>
        <v>0</v>
      </c>
      <c r="R416" t="str">
        <f t="shared" si="39"/>
        <v>Late</v>
      </c>
      <c r="S416">
        <f t="shared" si="40"/>
        <v>2021</v>
      </c>
      <c r="T416">
        <f t="shared" si="41"/>
        <v>6</v>
      </c>
    </row>
    <row r="417" spans="1:20" x14ac:dyDescent="0.25">
      <c r="A417" t="s">
        <v>698</v>
      </c>
      <c r="B417" t="s">
        <v>46</v>
      </c>
      <c r="C417" t="s">
        <v>133</v>
      </c>
      <c r="D417" s="1">
        <v>44656</v>
      </c>
      <c r="E417">
        <v>13</v>
      </c>
      <c r="F417">
        <v>13.6519436932261</v>
      </c>
      <c r="G417" s="1">
        <v>44678</v>
      </c>
      <c r="H417" s="1">
        <v>44678</v>
      </c>
      <c r="I417">
        <v>177.47526801193899</v>
      </c>
      <c r="J417">
        <f t="shared" si="36"/>
        <v>0</v>
      </c>
      <c r="K417" t="str">
        <f>VLOOKUP(B417,Raw_Suppliers!$A$2:$G$101,2,FALSE)</f>
        <v>Prime Prime Inc</v>
      </c>
      <c r="L417" t="str">
        <f>VLOOKUP(B417,Raw_Suppliers!$A$2:$G$101,3,FALSE)</f>
        <v>UK</v>
      </c>
      <c r="M417" t="str">
        <f>VLOOKUP(B417,Raw_Suppliers!$A$2:$G$101,4,FALSE)</f>
        <v>South</v>
      </c>
      <c r="N417" t="str">
        <f>VLOOKUP(B417,Raw_Suppliers!$A$2:$G$101,6,FALSE)</f>
        <v>None</v>
      </c>
      <c r="O417">
        <f>VLOOKUP(B417,Raw_Suppliers!$A$2:$G$101,7,FALSE)</f>
        <v>1</v>
      </c>
      <c r="P417" t="str">
        <f t="shared" si="37"/>
        <v>Yes</v>
      </c>
      <c r="Q417">
        <f t="shared" si="38"/>
        <v>1</v>
      </c>
      <c r="R417" t="str">
        <f t="shared" si="39"/>
        <v>On Time</v>
      </c>
      <c r="S417">
        <f t="shared" si="40"/>
        <v>2022</v>
      </c>
      <c r="T417">
        <f t="shared" si="41"/>
        <v>4</v>
      </c>
    </row>
    <row r="418" spans="1:20" x14ac:dyDescent="0.25">
      <c r="A418" t="s">
        <v>699</v>
      </c>
      <c r="B418" t="s">
        <v>40</v>
      </c>
      <c r="C418" t="s">
        <v>268</v>
      </c>
      <c r="D418" s="1">
        <v>44443</v>
      </c>
      <c r="E418">
        <v>14</v>
      </c>
      <c r="F418">
        <v>47.191802199832097</v>
      </c>
      <c r="G418" s="1">
        <v>44467</v>
      </c>
      <c r="H418" s="1">
        <v>44467</v>
      </c>
      <c r="I418">
        <v>660.68523079764896</v>
      </c>
      <c r="J418">
        <f t="shared" si="36"/>
        <v>0</v>
      </c>
      <c r="K418" t="str">
        <f>VLOOKUP(B418,Raw_Suppliers!$A$2:$G$101,2,FALSE)</f>
        <v>Ultra Apex Inc</v>
      </c>
      <c r="L418" t="str">
        <f>VLOOKUP(B418,Raw_Suppliers!$A$2:$G$101,3,FALSE)</f>
        <v>India</v>
      </c>
      <c r="M418" t="str">
        <f>VLOOKUP(B418,Raw_Suppliers!$A$2:$G$101,4,FALSE)</f>
        <v>West</v>
      </c>
      <c r="N418" t="str">
        <f>VLOOKUP(B418,Raw_Suppliers!$A$2:$G$101,6,FALSE)</f>
        <v>ISO 9001</v>
      </c>
      <c r="O418">
        <f>VLOOKUP(B418,Raw_Suppliers!$A$2:$G$101,7,FALSE)</f>
        <v>0</v>
      </c>
      <c r="P418" t="str">
        <f t="shared" si="37"/>
        <v>No</v>
      </c>
      <c r="Q418">
        <f t="shared" si="38"/>
        <v>1</v>
      </c>
      <c r="R418" t="str">
        <f t="shared" si="39"/>
        <v>On Time</v>
      </c>
      <c r="S418">
        <f t="shared" si="40"/>
        <v>2021</v>
      </c>
      <c r="T418">
        <f t="shared" si="41"/>
        <v>9</v>
      </c>
    </row>
    <row r="419" spans="1:20" x14ac:dyDescent="0.25">
      <c r="A419" t="s">
        <v>700</v>
      </c>
      <c r="B419" t="s">
        <v>301</v>
      </c>
      <c r="C419" t="s">
        <v>701</v>
      </c>
      <c r="D419" s="1">
        <v>44681</v>
      </c>
      <c r="E419">
        <v>15</v>
      </c>
      <c r="F419">
        <v>61.049482652379297</v>
      </c>
      <c r="G419" s="1">
        <v>44695</v>
      </c>
      <c r="H419" s="1">
        <v>44699</v>
      </c>
      <c r="I419">
        <v>915.74223978568898</v>
      </c>
      <c r="J419">
        <f t="shared" si="36"/>
        <v>4</v>
      </c>
      <c r="K419" t="str">
        <f>VLOOKUP(B419,Raw_Suppliers!$A$2:$G$101,2,FALSE)</f>
        <v>Beta Eco Inc</v>
      </c>
      <c r="L419" t="str">
        <f>VLOOKUP(B419,Raw_Suppliers!$A$2:$G$101,3,FALSE)</f>
        <v>Denmark</v>
      </c>
      <c r="M419" t="str">
        <f>VLOOKUP(B419,Raw_Suppliers!$A$2:$G$101,4,FALSE)</f>
        <v>South</v>
      </c>
      <c r="N419" t="str">
        <f>VLOOKUP(B419,Raw_Suppliers!$A$2:$G$101,6,FALSE)</f>
        <v>ISO 14001</v>
      </c>
      <c r="O419">
        <f>VLOOKUP(B419,Raw_Suppliers!$A$2:$G$101,7,FALSE)</f>
        <v>1</v>
      </c>
      <c r="P419" t="str">
        <f t="shared" si="37"/>
        <v>Yes</v>
      </c>
      <c r="Q419">
        <f t="shared" si="38"/>
        <v>0</v>
      </c>
      <c r="R419" t="str">
        <f t="shared" si="39"/>
        <v>Late</v>
      </c>
      <c r="S419">
        <f t="shared" si="40"/>
        <v>2022</v>
      </c>
      <c r="T419">
        <f t="shared" si="41"/>
        <v>4</v>
      </c>
    </row>
    <row r="420" spans="1:20" x14ac:dyDescent="0.25">
      <c r="A420" t="s">
        <v>702</v>
      </c>
      <c r="B420" t="s">
        <v>179</v>
      </c>
      <c r="C420" t="s">
        <v>703</v>
      </c>
      <c r="D420" s="1">
        <v>44478</v>
      </c>
      <c r="E420">
        <v>10</v>
      </c>
      <c r="F420">
        <v>54.3455422653957</v>
      </c>
      <c r="G420" s="1">
        <v>44490</v>
      </c>
      <c r="H420" s="1">
        <v>44487</v>
      </c>
      <c r="I420">
        <v>543.45542265395704</v>
      </c>
      <c r="J420">
        <f t="shared" si="36"/>
        <v>-3</v>
      </c>
      <c r="K420" t="str">
        <f>VLOOKUP(B420,Raw_Suppliers!$A$2:$G$101,2,FALSE)</f>
        <v>Nova Gamma Ltd</v>
      </c>
      <c r="L420" t="str">
        <f>VLOOKUP(B420,Raw_Suppliers!$A$2:$G$101,3,FALSE)</f>
        <v>Denmark</v>
      </c>
      <c r="M420" t="str">
        <f>VLOOKUP(B420,Raw_Suppliers!$A$2:$G$101,4,FALSE)</f>
        <v>East</v>
      </c>
      <c r="N420" t="str">
        <f>VLOOKUP(B420,Raw_Suppliers!$A$2:$G$101,6,FALSE)</f>
        <v>ISO 9001</v>
      </c>
      <c r="O420">
        <f>VLOOKUP(B420,Raw_Suppliers!$A$2:$G$101,7,FALSE)</f>
        <v>0</v>
      </c>
      <c r="P420" t="str">
        <f t="shared" si="37"/>
        <v>No</v>
      </c>
      <c r="Q420">
        <f t="shared" si="38"/>
        <v>1</v>
      </c>
      <c r="R420" t="str">
        <f t="shared" si="39"/>
        <v>On Time</v>
      </c>
      <c r="S420">
        <f t="shared" si="40"/>
        <v>2021</v>
      </c>
      <c r="T420">
        <f t="shared" si="41"/>
        <v>10</v>
      </c>
    </row>
    <row r="421" spans="1:20" x14ac:dyDescent="0.25">
      <c r="A421" t="s">
        <v>704</v>
      </c>
      <c r="B421" t="s">
        <v>28</v>
      </c>
      <c r="C421" t="s">
        <v>434</v>
      </c>
      <c r="D421" s="1">
        <v>44864</v>
      </c>
      <c r="E421">
        <v>12</v>
      </c>
      <c r="F421">
        <v>47.746025803366699</v>
      </c>
      <c r="G421" s="1">
        <v>44879</v>
      </c>
      <c r="H421" s="1">
        <v>44883</v>
      </c>
      <c r="I421">
        <v>572.95230964040002</v>
      </c>
      <c r="J421">
        <f t="shared" si="36"/>
        <v>4</v>
      </c>
      <c r="K421" t="str">
        <f>VLOOKUP(B421,Raw_Suppliers!$A$2:$G$101,2,FALSE)</f>
        <v>Fusion Vertex Inc</v>
      </c>
      <c r="L421" t="str">
        <f>VLOOKUP(B421,Raw_Suppliers!$A$2:$G$101,3,FALSE)</f>
        <v>Denmark</v>
      </c>
      <c r="M421" t="str">
        <f>VLOOKUP(B421,Raw_Suppliers!$A$2:$G$101,4,FALSE)</f>
        <v>Central</v>
      </c>
      <c r="N421" t="str">
        <f>VLOOKUP(B421,Raw_Suppliers!$A$2:$G$101,6,FALSE)</f>
        <v>ISO 45001</v>
      </c>
      <c r="O421">
        <f>VLOOKUP(B421,Raw_Suppliers!$A$2:$G$101,7,FALSE)</f>
        <v>0</v>
      </c>
      <c r="P421" t="str">
        <f t="shared" si="37"/>
        <v>No</v>
      </c>
      <c r="Q421">
        <f t="shared" si="38"/>
        <v>0</v>
      </c>
      <c r="R421" t="str">
        <f t="shared" si="39"/>
        <v>Late</v>
      </c>
      <c r="S421">
        <f t="shared" si="40"/>
        <v>2022</v>
      </c>
      <c r="T421">
        <f t="shared" si="41"/>
        <v>10</v>
      </c>
    </row>
    <row r="422" spans="1:20" x14ac:dyDescent="0.25">
      <c r="A422" t="s">
        <v>705</v>
      </c>
      <c r="B422" t="s">
        <v>61</v>
      </c>
      <c r="C422" t="s">
        <v>228</v>
      </c>
      <c r="D422" s="1">
        <v>44293</v>
      </c>
      <c r="E422">
        <v>14</v>
      </c>
      <c r="F422">
        <v>40.3484069264724</v>
      </c>
      <c r="G422" s="1">
        <v>44314</v>
      </c>
      <c r="H422" s="1">
        <v>44319</v>
      </c>
      <c r="I422">
        <v>564.87769697061299</v>
      </c>
      <c r="J422">
        <f t="shared" si="36"/>
        <v>5</v>
      </c>
      <c r="K422" t="str">
        <f>VLOOKUP(B422,Raw_Suppliers!$A$2:$G$101,2,FALSE)</f>
        <v>Ultra Gamma LLC</v>
      </c>
      <c r="L422" t="str">
        <f>VLOOKUP(B422,Raw_Suppliers!$A$2:$G$101,3,FALSE)</f>
        <v>Canada</v>
      </c>
      <c r="M422" t="str">
        <f>VLOOKUP(B422,Raw_Suppliers!$A$2:$G$101,4,FALSE)</f>
        <v>North</v>
      </c>
      <c r="N422" t="str">
        <f>VLOOKUP(B422,Raw_Suppliers!$A$2:$G$101,6,FALSE)</f>
        <v>ISO 9001</v>
      </c>
      <c r="O422">
        <f>VLOOKUP(B422,Raw_Suppliers!$A$2:$G$101,7,FALSE)</f>
        <v>1</v>
      </c>
      <c r="P422" t="str">
        <f t="shared" si="37"/>
        <v>Yes</v>
      </c>
      <c r="Q422">
        <f t="shared" si="38"/>
        <v>0</v>
      </c>
      <c r="R422" t="str">
        <f t="shared" si="39"/>
        <v>Late</v>
      </c>
      <c r="S422">
        <f t="shared" si="40"/>
        <v>2021</v>
      </c>
      <c r="T422">
        <f t="shared" si="41"/>
        <v>4</v>
      </c>
    </row>
    <row r="423" spans="1:20" x14ac:dyDescent="0.25">
      <c r="A423" t="s">
        <v>706</v>
      </c>
      <c r="B423" t="s">
        <v>539</v>
      </c>
      <c r="C423" t="s">
        <v>629</v>
      </c>
      <c r="D423" s="1">
        <v>44402</v>
      </c>
      <c r="E423">
        <v>14</v>
      </c>
      <c r="F423">
        <v>49.6114287246155</v>
      </c>
      <c r="G423" s="1">
        <v>44415</v>
      </c>
      <c r="H423" s="1">
        <v>44419</v>
      </c>
      <c r="I423">
        <v>694.56000214461699</v>
      </c>
      <c r="J423">
        <f t="shared" si="36"/>
        <v>4</v>
      </c>
      <c r="K423" t="str">
        <f>VLOOKUP(B423,Raw_Suppliers!$A$2:$G$101,2,FALSE)</f>
        <v>Eco Eco Ltd</v>
      </c>
      <c r="L423" t="str">
        <f>VLOOKUP(B423,Raw_Suppliers!$A$2:$G$101,3,FALSE)</f>
        <v>USA</v>
      </c>
      <c r="M423" t="str">
        <f>VLOOKUP(B423,Raw_Suppliers!$A$2:$G$101,4,FALSE)</f>
        <v>South</v>
      </c>
      <c r="N423" t="str">
        <f>VLOOKUP(B423,Raw_Suppliers!$A$2:$G$101,6,FALSE)</f>
        <v>ISO 45001</v>
      </c>
      <c r="O423">
        <f>VLOOKUP(B423,Raw_Suppliers!$A$2:$G$101,7,FALSE)</f>
        <v>1</v>
      </c>
      <c r="P423" t="str">
        <f t="shared" si="37"/>
        <v>Yes</v>
      </c>
      <c r="Q423">
        <f t="shared" si="38"/>
        <v>0</v>
      </c>
      <c r="R423" t="str">
        <f t="shared" si="39"/>
        <v>Late</v>
      </c>
      <c r="S423">
        <f t="shared" si="40"/>
        <v>2021</v>
      </c>
      <c r="T423">
        <f t="shared" si="41"/>
        <v>7</v>
      </c>
    </row>
    <row r="424" spans="1:20" x14ac:dyDescent="0.25">
      <c r="A424" t="s">
        <v>707</v>
      </c>
      <c r="B424" t="s">
        <v>564</v>
      </c>
      <c r="C424" t="s">
        <v>14</v>
      </c>
      <c r="D424" s="1">
        <v>44610</v>
      </c>
      <c r="E424">
        <v>7</v>
      </c>
      <c r="F424">
        <v>12.269537144109099</v>
      </c>
      <c r="G424" s="1">
        <v>44625</v>
      </c>
      <c r="H424" s="1">
        <v>44626</v>
      </c>
      <c r="I424">
        <v>85.886760008764199</v>
      </c>
      <c r="J424">
        <f t="shared" si="36"/>
        <v>1</v>
      </c>
      <c r="K424" t="str">
        <f>VLOOKUP(B424,Raw_Suppliers!$A$2:$G$101,2,FALSE)</f>
        <v>Ultra Ultra GmbH</v>
      </c>
      <c r="L424" t="str">
        <f>VLOOKUP(B424,Raw_Suppliers!$A$2:$G$101,3,FALSE)</f>
        <v>India</v>
      </c>
      <c r="M424" t="str">
        <f>VLOOKUP(B424,Raw_Suppliers!$A$2:$G$101,4,FALSE)</f>
        <v>Central</v>
      </c>
      <c r="N424" t="str">
        <f>VLOOKUP(B424,Raw_Suppliers!$A$2:$G$101,6,FALSE)</f>
        <v>ISO 14001</v>
      </c>
      <c r="O424">
        <f>VLOOKUP(B424,Raw_Suppliers!$A$2:$G$101,7,FALSE)</f>
        <v>1</v>
      </c>
      <c r="P424" t="str">
        <f t="shared" si="37"/>
        <v>Yes</v>
      </c>
      <c r="Q424">
        <f t="shared" si="38"/>
        <v>0</v>
      </c>
      <c r="R424" t="str">
        <f t="shared" si="39"/>
        <v>Late</v>
      </c>
      <c r="S424">
        <f t="shared" si="40"/>
        <v>2022</v>
      </c>
      <c r="T424">
        <f t="shared" si="41"/>
        <v>2</v>
      </c>
    </row>
    <row r="425" spans="1:20" x14ac:dyDescent="0.25">
      <c r="A425" t="s">
        <v>708</v>
      </c>
      <c r="B425" t="s">
        <v>326</v>
      </c>
      <c r="C425" t="s">
        <v>150</v>
      </c>
      <c r="D425" s="1">
        <v>45124</v>
      </c>
      <c r="E425">
        <v>13</v>
      </c>
      <c r="F425">
        <v>52.646075273157798</v>
      </c>
      <c r="G425" s="1">
        <v>45139</v>
      </c>
      <c r="H425" s="1">
        <v>45143</v>
      </c>
      <c r="I425">
        <v>684.39897855105198</v>
      </c>
      <c r="J425">
        <f t="shared" si="36"/>
        <v>4</v>
      </c>
      <c r="K425" t="str">
        <f>VLOOKUP(B425,Raw_Suppliers!$A$2:$G$101,2,FALSE)</f>
        <v>Ultra Fusion Corp</v>
      </c>
      <c r="L425" t="str">
        <f>VLOOKUP(B425,Raw_Suppliers!$A$2:$G$101,3,FALSE)</f>
        <v>Canada</v>
      </c>
      <c r="M425" t="str">
        <f>VLOOKUP(B425,Raw_Suppliers!$A$2:$G$101,4,FALSE)</f>
        <v>South</v>
      </c>
      <c r="N425" t="str">
        <f>VLOOKUP(B425,Raw_Suppliers!$A$2:$G$101,6,FALSE)</f>
        <v>None</v>
      </c>
      <c r="O425">
        <f>VLOOKUP(B425,Raw_Suppliers!$A$2:$G$101,7,FALSE)</f>
        <v>1</v>
      </c>
      <c r="P425" t="str">
        <f t="shared" si="37"/>
        <v>Yes</v>
      </c>
      <c r="Q425">
        <f t="shared" si="38"/>
        <v>0</v>
      </c>
      <c r="R425" t="str">
        <f t="shared" si="39"/>
        <v>Late</v>
      </c>
      <c r="S425">
        <f t="shared" si="40"/>
        <v>2023</v>
      </c>
      <c r="T425">
        <f t="shared" si="41"/>
        <v>7</v>
      </c>
    </row>
    <row r="426" spans="1:20" x14ac:dyDescent="0.25">
      <c r="A426" t="s">
        <v>709</v>
      </c>
      <c r="B426" t="s">
        <v>119</v>
      </c>
      <c r="C426" t="s">
        <v>259</v>
      </c>
      <c r="D426" s="1">
        <v>45015</v>
      </c>
      <c r="E426">
        <v>15</v>
      </c>
      <c r="F426">
        <v>9.8289098931400005</v>
      </c>
      <c r="G426" s="1">
        <v>45039</v>
      </c>
      <c r="H426" s="1">
        <v>45040</v>
      </c>
      <c r="I426">
        <v>147.4336483971</v>
      </c>
      <c r="J426">
        <f t="shared" si="36"/>
        <v>1</v>
      </c>
      <c r="K426" t="str">
        <f>VLOOKUP(B426,Raw_Suppliers!$A$2:$G$101,2,FALSE)</f>
        <v>Pioneer Apex Corp</v>
      </c>
      <c r="L426" t="str">
        <f>VLOOKUP(B426,Raw_Suppliers!$A$2:$G$101,3,FALSE)</f>
        <v>USA</v>
      </c>
      <c r="M426" t="str">
        <f>VLOOKUP(B426,Raw_Suppliers!$A$2:$G$101,4,FALSE)</f>
        <v>Central</v>
      </c>
      <c r="N426" t="str">
        <f>VLOOKUP(B426,Raw_Suppliers!$A$2:$G$101,6,FALSE)</f>
        <v>None</v>
      </c>
      <c r="O426">
        <f>VLOOKUP(B426,Raw_Suppliers!$A$2:$G$101,7,FALSE)</f>
        <v>0</v>
      </c>
      <c r="P426" t="str">
        <f t="shared" si="37"/>
        <v>No</v>
      </c>
      <c r="Q426">
        <f t="shared" si="38"/>
        <v>0</v>
      </c>
      <c r="R426" t="str">
        <f t="shared" si="39"/>
        <v>Late</v>
      </c>
      <c r="S426">
        <f t="shared" si="40"/>
        <v>2023</v>
      </c>
      <c r="T426">
        <f t="shared" si="41"/>
        <v>3</v>
      </c>
    </row>
    <row r="427" spans="1:20" x14ac:dyDescent="0.25">
      <c r="A427" t="s">
        <v>710</v>
      </c>
      <c r="B427" t="s">
        <v>140</v>
      </c>
      <c r="C427" t="s">
        <v>693</v>
      </c>
      <c r="D427" s="1">
        <v>44953</v>
      </c>
      <c r="E427">
        <v>15</v>
      </c>
      <c r="F427">
        <v>40.978061506173802</v>
      </c>
      <c r="G427" s="1">
        <v>44972</v>
      </c>
      <c r="H427" s="1">
        <v>44972</v>
      </c>
      <c r="I427">
        <v>614.67092259260801</v>
      </c>
      <c r="J427">
        <f t="shared" si="36"/>
        <v>0</v>
      </c>
      <c r="K427" t="str">
        <f>VLOOKUP(B427,Raw_Suppliers!$A$2:$G$101,2,FALSE)</f>
        <v>Gamma Quantum Inc</v>
      </c>
      <c r="L427" t="str">
        <f>VLOOKUP(B427,Raw_Suppliers!$A$2:$G$101,3,FALSE)</f>
        <v>Germany</v>
      </c>
      <c r="M427" t="str">
        <f>VLOOKUP(B427,Raw_Suppliers!$A$2:$G$101,4,FALSE)</f>
        <v>North</v>
      </c>
      <c r="N427" t="str">
        <f>VLOOKUP(B427,Raw_Suppliers!$A$2:$G$101,6,FALSE)</f>
        <v>None</v>
      </c>
      <c r="O427">
        <f>VLOOKUP(B427,Raw_Suppliers!$A$2:$G$101,7,FALSE)</f>
        <v>1</v>
      </c>
      <c r="P427" t="str">
        <f t="shared" si="37"/>
        <v>Yes</v>
      </c>
      <c r="Q427">
        <f t="shared" si="38"/>
        <v>1</v>
      </c>
      <c r="R427" t="str">
        <f t="shared" si="39"/>
        <v>On Time</v>
      </c>
      <c r="S427">
        <f t="shared" si="40"/>
        <v>2023</v>
      </c>
      <c r="T427">
        <f t="shared" si="41"/>
        <v>1</v>
      </c>
    </row>
    <row r="428" spans="1:20" x14ac:dyDescent="0.25">
      <c r="A428" t="s">
        <v>711</v>
      </c>
      <c r="B428" t="s">
        <v>288</v>
      </c>
      <c r="C428" t="s">
        <v>661</v>
      </c>
      <c r="D428" s="1">
        <v>44299</v>
      </c>
      <c r="E428">
        <v>16</v>
      </c>
      <c r="F428">
        <v>29.982365647497399</v>
      </c>
      <c r="G428" s="1">
        <v>44309</v>
      </c>
      <c r="H428" s="1">
        <v>44309</v>
      </c>
      <c r="I428">
        <v>479.71785035995902</v>
      </c>
      <c r="J428">
        <f t="shared" si="36"/>
        <v>0</v>
      </c>
      <c r="K428" t="str">
        <f>VLOOKUP(B428,Raw_Suppliers!$A$2:$G$101,2,FALSE)</f>
        <v>Alpha Beta LLC</v>
      </c>
      <c r="L428" t="str">
        <f>VLOOKUP(B428,Raw_Suppliers!$A$2:$G$101,3,FALSE)</f>
        <v>India</v>
      </c>
      <c r="M428" t="str">
        <f>VLOOKUP(B428,Raw_Suppliers!$A$2:$G$101,4,FALSE)</f>
        <v>West</v>
      </c>
      <c r="N428" t="str">
        <f>VLOOKUP(B428,Raw_Suppliers!$A$2:$G$101,6,FALSE)</f>
        <v>ISO 45001</v>
      </c>
      <c r="O428">
        <f>VLOOKUP(B428,Raw_Suppliers!$A$2:$G$101,7,FALSE)</f>
        <v>0</v>
      </c>
      <c r="P428" t="str">
        <f t="shared" si="37"/>
        <v>No</v>
      </c>
      <c r="Q428">
        <f t="shared" si="38"/>
        <v>1</v>
      </c>
      <c r="R428" t="str">
        <f t="shared" si="39"/>
        <v>On Time</v>
      </c>
      <c r="S428">
        <f t="shared" si="40"/>
        <v>2021</v>
      </c>
      <c r="T428">
        <f t="shared" si="41"/>
        <v>4</v>
      </c>
    </row>
    <row r="429" spans="1:20" x14ac:dyDescent="0.25">
      <c r="A429" t="s">
        <v>712</v>
      </c>
      <c r="B429" t="s">
        <v>288</v>
      </c>
      <c r="C429" t="s">
        <v>17</v>
      </c>
      <c r="D429" s="1">
        <v>45072</v>
      </c>
      <c r="E429">
        <v>10</v>
      </c>
      <c r="F429">
        <v>51.541561265747298</v>
      </c>
      <c r="G429" s="1">
        <v>45087</v>
      </c>
      <c r="H429" s="1">
        <v>45088</v>
      </c>
      <c r="I429">
        <v>515.41561265747305</v>
      </c>
      <c r="J429">
        <f t="shared" si="36"/>
        <v>1</v>
      </c>
      <c r="K429" t="str">
        <f>VLOOKUP(B429,Raw_Suppliers!$A$2:$G$101,2,FALSE)</f>
        <v>Alpha Beta LLC</v>
      </c>
      <c r="L429" t="str">
        <f>VLOOKUP(B429,Raw_Suppliers!$A$2:$G$101,3,FALSE)</f>
        <v>India</v>
      </c>
      <c r="M429" t="str">
        <f>VLOOKUP(B429,Raw_Suppliers!$A$2:$G$101,4,FALSE)</f>
        <v>West</v>
      </c>
      <c r="N429" t="str">
        <f>VLOOKUP(B429,Raw_Suppliers!$A$2:$G$101,6,FALSE)</f>
        <v>ISO 45001</v>
      </c>
      <c r="O429">
        <f>VLOOKUP(B429,Raw_Suppliers!$A$2:$G$101,7,FALSE)</f>
        <v>0</v>
      </c>
      <c r="P429" t="str">
        <f t="shared" si="37"/>
        <v>No</v>
      </c>
      <c r="Q429">
        <f t="shared" si="38"/>
        <v>0</v>
      </c>
      <c r="R429" t="str">
        <f t="shared" si="39"/>
        <v>Late</v>
      </c>
      <c r="S429">
        <f t="shared" si="40"/>
        <v>2023</v>
      </c>
      <c r="T429">
        <f t="shared" si="41"/>
        <v>5</v>
      </c>
    </row>
    <row r="430" spans="1:20" x14ac:dyDescent="0.25">
      <c r="A430" t="s">
        <v>713</v>
      </c>
      <c r="B430" t="s">
        <v>49</v>
      </c>
      <c r="C430" t="s">
        <v>473</v>
      </c>
      <c r="D430" s="1">
        <v>44363</v>
      </c>
      <c r="E430">
        <v>12</v>
      </c>
      <c r="F430">
        <v>6.2644019286491197</v>
      </c>
      <c r="G430" s="1">
        <v>44383</v>
      </c>
      <c r="H430" s="1">
        <v>44382</v>
      </c>
      <c r="I430">
        <v>75.172823143789401</v>
      </c>
      <c r="J430">
        <f t="shared" si="36"/>
        <v>-1</v>
      </c>
      <c r="K430" t="str">
        <f>VLOOKUP(B430,Raw_Suppliers!$A$2:$G$101,2,FALSE)</f>
        <v>Prime Prime Corp</v>
      </c>
      <c r="L430" t="str">
        <f>VLOOKUP(B430,Raw_Suppliers!$A$2:$G$101,3,FALSE)</f>
        <v>China</v>
      </c>
      <c r="M430" t="str">
        <f>VLOOKUP(B430,Raw_Suppliers!$A$2:$G$101,4,FALSE)</f>
        <v>North</v>
      </c>
      <c r="N430" t="str">
        <f>VLOOKUP(B430,Raw_Suppliers!$A$2:$G$101,6,FALSE)</f>
        <v>ISO 45001</v>
      </c>
      <c r="O430">
        <f>VLOOKUP(B430,Raw_Suppliers!$A$2:$G$101,7,FALSE)</f>
        <v>0</v>
      </c>
      <c r="P430" t="str">
        <f t="shared" si="37"/>
        <v>No</v>
      </c>
      <c r="Q430">
        <f t="shared" si="38"/>
        <v>1</v>
      </c>
      <c r="R430" t="str">
        <f t="shared" si="39"/>
        <v>On Time</v>
      </c>
      <c r="S430">
        <f t="shared" si="40"/>
        <v>2021</v>
      </c>
      <c r="T430">
        <f t="shared" si="41"/>
        <v>6</v>
      </c>
    </row>
    <row r="431" spans="1:20" x14ac:dyDescent="0.25">
      <c r="A431" t="s">
        <v>714</v>
      </c>
      <c r="B431" t="s">
        <v>359</v>
      </c>
      <c r="C431" t="s">
        <v>547</v>
      </c>
      <c r="D431" s="1">
        <v>44415</v>
      </c>
      <c r="E431">
        <v>15</v>
      </c>
      <c r="F431">
        <v>77.017404093576204</v>
      </c>
      <c r="G431" s="1">
        <v>44428</v>
      </c>
      <c r="H431" s="1">
        <v>44434</v>
      </c>
      <c r="I431">
        <v>1155.26106140364</v>
      </c>
      <c r="J431">
        <f t="shared" si="36"/>
        <v>6</v>
      </c>
      <c r="K431" t="str">
        <f>VLOOKUP(B431,Raw_Suppliers!$A$2:$G$101,2,FALSE)</f>
        <v>Alpha Alpha Corp</v>
      </c>
      <c r="L431" t="str">
        <f>VLOOKUP(B431,Raw_Suppliers!$A$2:$G$101,3,FALSE)</f>
        <v>India</v>
      </c>
      <c r="M431" t="str">
        <f>VLOOKUP(B431,Raw_Suppliers!$A$2:$G$101,4,FALSE)</f>
        <v>North</v>
      </c>
      <c r="N431" t="str">
        <f>VLOOKUP(B431,Raw_Suppliers!$A$2:$G$101,6,FALSE)</f>
        <v>ISO 9001</v>
      </c>
      <c r="O431">
        <f>VLOOKUP(B431,Raw_Suppliers!$A$2:$G$101,7,FALSE)</f>
        <v>1</v>
      </c>
      <c r="P431" t="str">
        <f t="shared" si="37"/>
        <v>Yes</v>
      </c>
      <c r="Q431">
        <f t="shared" si="38"/>
        <v>0</v>
      </c>
      <c r="R431" t="str">
        <f t="shared" si="39"/>
        <v>Late</v>
      </c>
      <c r="S431">
        <f t="shared" si="40"/>
        <v>2021</v>
      </c>
      <c r="T431">
        <f t="shared" si="41"/>
        <v>8</v>
      </c>
    </row>
    <row r="432" spans="1:20" x14ac:dyDescent="0.25">
      <c r="A432" t="s">
        <v>715</v>
      </c>
      <c r="B432" t="s">
        <v>43</v>
      </c>
      <c r="C432" t="s">
        <v>691</v>
      </c>
      <c r="D432" s="1">
        <v>45325</v>
      </c>
      <c r="E432">
        <v>10</v>
      </c>
      <c r="F432">
        <v>33.588139177215297</v>
      </c>
      <c r="G432" s="1">
        <v>45339</v>
      </c>
      <c r="H432" s="1">
        <v>45345</v>
      </c>
      <c r="I432">
        <v>335.88139177215299</v>
      </c>
      <c r="J432">
        <f t="shared" si="36"/>
        <v>6</v>
      </c>
      <c r="K432" t="str">
        <f>VLOOKUP(B432,Raw_Suppliers!$A$2:$G$101,2,FALSE)</f>
        <v>Alpha Ultra Corp</v>
      </c>
      <c r="L432" t="str">
        <f>VLOOKUP(B432,Raw_Suppliers!$A$2:$G$101,3,FALSE)</f>
        <v>USA</v>
      </c>
      <c r="M432" t="str">
        <f>VLOOKUP(B432,Raw_Suppliers!$A$2:$G$101,4,FALSE)</f>
        <v>Central</v>
      </c>
      <c r="N432" t="str">
        <f>VLOOKUP(B432,Raw_Suppliers!$A$2:$G$101,6,FALSE)</f>
        <v>ISO 9001</v>
      </c>
      <c r="O432">
        <f>VLOOKUP(B432,Raw_Suppliers!$A$2:$G$101,7,FALSE)</f>
        <v>1</v>
      </c>
      <c r="P432" t="str">
        <f t="shared" si="37"/>
        <v>Yes</v>
      </c>
      <c r="Q432">
        <f t="shared" si="38"/>
        <v>0</v>
      </c>
      <c r="R432" t="str">
        <f t="shared" si="39"/>
        <v>Late</v>
      </c>
      <c r="S432">
        <f t="shared" si="40"/>
        <v>2024</v>
      </c>
      <c r="T432">
        <f t="shared" si="41"/>
        <v>2</v>
      </c>
    </row>
    <row r="433" spans="1:20" x14ac:dyDescent="0.25">
      <c r="A433" t="s">
        <v>716</v>
      </c>
      <c r="B433" t="s">
        <v>96</v>
      </c>
      <c r="C433" t="s">
        <v>453</v>
      </c>
      <c r="D433" s="1">
        <v>44324</v>
      </c>
      <c r="E433">
        <v>10</v>
      </c>
      <c r="F433">
        <v>52.839435548963998</v>
      </c>
      <c r="G433" s="1">
        <v>44343</v>
      </c>
      <c r="H433" s="1">
        <v>44342</v>
      </c>
      <c r="I433">
        <v>528.39435548964002</v>
      </c>
      <c r="J433">
        <f t="shared" si="36"/>
        <v>-1</v>
      </c>
      <c r="K433" t="str">
        <f>VLOOKUP(B433,Raw_Suppliers!$A$2:$G$101,2,FALSE)</f>
        <v>Alpha Nova Ltd</v>
      </c>
      <c r="L433" t="str">
        <f>VLOOKUP(B433,Raw_Suppliers!$A$2:$G$101,3,FALSE)</f>
        <v>UK</v>
      </c>
      <c r="M433" t="str">
        <f>VLOOKUP(B433,Raw_Suppliers!$A$2:$G$101,4,FALSE)</f>
        <v>West</v>
      </c>
      <c r="N433" t="str">
        <f>VLOOKUP(B433,Raw_Suppliers!$A$2:$G$101,6,FALSE)</f>
        <v>ISO 14001</v>
      </c>
      <c r="O433">
        <f>VLOOKUP(B433,Raw_Suppliers!$A$2:$G$101,7,FALSE)</f>
        <v>0</v>
      </c>
      <c r="P433" t="str">
        <f t="shared" si="37"/>
        <v>No</v>
      </c>
      <c r="Q433">
        <f t="shared" si="38"/>
        <v>1</v>
      </c>
      <c r="R433" t="str">
        <f t="shared" si="39"/>
        <v>On Time</v>
      </c>
      <c r="S433">
        <f t="shared" si="40"/>
        <v>2021</v>
      </c>
      <c r="T433">
        <f t="shared" si="41"/>
        <v>5</v>
      </c>
    </row>
    <row r="434" spans="1:20" x14ac:dyDescent="0.25">
      <c r="A434" t="s">
        <v>717</v>
      </c>
      <c r="B434" t="s">
        <v>174</v>
      </c>
      <c r="C434" t="s">
        <v>718</v>
      </c>
      <c r="D434" s="1">
        <v>44244</v>
      </c>
      <c r="E434">
        <v>13</v>
      </c>
      <c r="F434">
        <v>15.742334542468701</v>
      </c>
      <c r="G434" s="1">
        <v>44254</v>
      </c>
      <c r="H434" s="1">
        <v>44254</v>
      </c>
      <c r="I434">
        <v>204.65034905209299</v>
      </c>
      <c r="J434">
        <f t="shared" si="36"/>
        <v>0</v>
      </c>
      <c r="K434" t="str">
        <f>VLOOKUP(B434,Raw_Suppliers!$A$2:$G$101,2,FALSE)</f>
        <v>Quantum Eco LLC</v>
      </c>
      <c r="L434" t="str">
        <f>VLOOKUP(B434,Raw_Suppliers!$A$2:$G$101,3,FALSE)</f>
        <v>Denmark</v>
      </c>
      <c r="M434" t="str">
        <f>VLOOKUP(B434,Raw_Suppliers!$A$2:$G$101,4,FALSE)</f>
        <v>East</v>
      </c>
      <c r="N434" t="str">
        <f>VLOOKUP(B434,Raw_Suppliers!$A$2:$G$101,6,FALSE)</f>
        <v>ISO 9001</v>
      </c>
      <c r="O434">
        <f>VLOOKUP(B434,Raw_Suppliers!$A$2:$G$101,7,FALSE)</f>
        <v>1</v>
      </c>
      <c r="P434" t="str">
        <f t="shared" si="37"/>
        <v>Yes</v>
      </c>
      <c r="Q434">
        <f t="shared" si="38"/>
        <v>1</v>
      </c>
      <c r="R434" t="str">
        <f t="shared" si="39"/>
        <v>On Time</v>
      </c>
      <c r="S434">
        <f t="shared" si="40"/>
        <v>2021</v>
      </c>
      <c r="T434">
        <f t="shared" si="41"/>
        <v>2</v>
      </c>
    </row>
    <row r="435" spans="1:20" x14ac:dyDescent="0.25">
      <c r="A435" t="s">
        <v>719</v>
      </c>
      <c r="B435" t="s">
        <v>58</v>
      </c>
      <c r="C435" t="s">
        <v>720</v>
      </c>
      <c r="D435" s="1">
        <v>44777</v>
      </c>
      <c r="E435">
        <v>12</v>
      </c>
      <c r="F435">
        <v>61.781694911796997</v>
      </c>
      <c r="G435" s="1">
        <v>44794</v>
      </c>
      <c r="H435" s="1">
        <v>44795</v>
      </c>
      <c r="I435">
        <v>741.38033894156399</v>
      </c>
      <c r="J435">
        <f t="shared" si="36"/>
        <v>1</v>
      </c>
      <c r="K435" t="str">
        <f>VLOOKUP(B435,Raw_Suppliers!$A$2:$G$101,2,FALSE)</f>
        <v>Quantum Nano Inc</v>
      </c>
      <c r="L435" t="str">
        <f>VLOOKUP(B435,Raw_Suppliers!$A$2:$G$101,3,FALSE)</f>
        <v>Brazil</v>
      </c>
      <c r="M435" t="str">
        <f>VLOOKUP(B435,Raw_Suppliers!$A$2:$G$101,4,FALSE)</f>
        <v>East</v>
      </c>
      <c r="N435" t="str">
        <f>VLOOKUP(B435,Raw_Suppliers!$A$2:$G$101,6,FALSE)</f>
        <v>ISO 9001</v>
      </c>
      <c r="O435">
        <f>VLOOKUP(B435,Raw_Suppliers!$A$2:$G$101,7,FALSE)</f>
        <v>1</v>
      </c>
      <c r="P435" t="str">
        <f t="shared" si="37"/>
        <v>Yes</v>
      </c>
      <c r="Q435">
        <f t="shared" si="38"/>
        <v>0</v>
      </c>
      <c r="R435" t="str">
        <f t="shared" si="39"/>
        <v>Late</v>
      </c>
      <c r="S435">
        <f t="shared" si="40"/>
        <v>2022</v>
      </c>
      <c r="T435">
        <f t="shared" si="41"/>
        <v>8</v>
      </c>
    </row>
    <row r="436" spans="1:20" x14ac:dyDescent="0.25">
      <c r="A436" t="s">
        <v>721</v>
      </c>
      <c r="B436" t="s">
        <v>194</v>
      </c>
      <c r="C436" t="s">
        <v>722</v>
      </c>
      <c r="D436" s="1">
        <v>45394</v>
      </c>
      <c r="E436">
        <v>9</v>
      </c>
      <c r="F436">
        <v>76.844112111847906</v>
      </c>
      <c r="G436" s="1">
        <v>45406</v>
      </c>
      <c r="H436" s="1">
        <v>45410</v>
      </c>
      <c r="I436">
        <v>691.59700900663097</v>
      </c>
      <c r="J436">
        <f t="shared" si="36"/>
        <v>4</v>
      </c>
      <c r="K436" t="str">
        <f>VLOOKUP(B436,Raw_Suppliers!$A$2:$G$101,2,FALSE)</f>
        <v>Eco Pioneer Corp</v>
      </c>
      <c r="L436" t="str">
        <f>VLOOKUP(B436,Raw_Suppliers!$A$2:$G$101,3,FALSE)</f>
        <v>China</v>
      </c>
      <c r="M436" t="str">
        <f>VLOOKUP(B436,Raw_Suppliers!$A$2:$G$101,4,FALSE)</f>
        <v>East</v>
      </c>
      <c r="N436" t="str">
        <f>VLOOKUP(B436,Raw_Suppliers!$A$2:$G$101,6,FALSE)</f>
        <v>ISO 14001</v>
      </c>
      <c r="O436">
        <f>VLOOKUP(B436,Raw_Suppliers!$A$2:$G$101,7,FALSE)</f>
        <v>1</v>
      </c>
      <c r="P436" t="str">
        <f t="shared" si="37"/>
        <v>Yes</v>
      </c>
      <c r="Q436">
        <f t="shared" si="38"/>
        <v>0</v>
      </c>
      <c r="R436" t="str">
        <f t="shared" si="39"/>
        <v>Late</v>
      </c>
      <c r="S436">
        <f t="shared" si="40"/>
        <v>2024</v>
      </c>
      <c r="T436">
        <f t="shared" si="41"/>
        <v>4</v>
      </c>
    </row>
    <row r="437" spans="1:20" x14ac:dyDescent="0.25">
      <c r="A437" t="s">
        <v>723</v>
      </c>
      <c r="B437" t="s">
        <v>10</v>
      </c>
      <c r="C437" t="s">
        <v>47</v>
      </c>
      <c r="D437" s="1">
        <v>44698</v>
      </c>
      <c r="E437">
        <v>15</v>
      </c>
      <c r="F437">
        <v>41.213631374388299</v>
      </c>
      <c r="G437" s="1">
        <v>44719</v>
      </c>
      <c r="H437" s="1">
        <v>44717</v>
      </c>
      <c r="I437">
        <v>618.20447061582502</v>
      </c>
      <c r="J437">
        <f t="shared" si="36"/>
        <v>-2</v>
      </c>
      <c r="K437" t="str">
        <f>VLOOKUP(B437,Raw_Suppliers!$A$2:$G$101,2,FALSE)</f>
        <v>Vertex Beta GmbH</v>
      </c>
      <c r="L437" t="str">
        <f>VLOOKUP(B437,Raw_Suppliers!$A$2:$G$101,3,FALSE)</f>
        <v>India</v>
      </c>
      <c r="M437" t="str">
        <f>VLOOKUP(B437,Raw_Suppliers!$A$2:$G$101,4,FALSE)</f>
        <v>North</v>
      </c>
      <c r="N437" t="str">
        <f>VLOOKUP(B437,Raw_Suppliers!$A$2:$G$101,6,FALSE)</f>
        <v>ISO 14001</v>
      </c>
      <c r="O437">
        <f>VLOOKUP(B437,Raw_Suppliers!$A$2:$G$101,7,FALSE)</f>
        <v>0</v>
      </c>
      <c r="P437" t="str">
        <f t="shared" si="37"/>
        <v>No</v>
      </c>
      <c r="Q437">
        <f t="shared" si="38"/>
        <v>1</v>
      </c>
      <c r="R437" t="str">
        <f t="shared" si="39"/>
        <v>On Time</v>
      </c>
      <c r="S437">
        <f t="shared" si="40"/>
        <v>2022</v>
      </c>
      <c r="T437">
        <f t="shared" si="41"/>
        <v>5</v>
      </c>
    </row>
    <row r="438" spans="1:20" x14ac:dyDescent="0.25">
      <c r="A438" t="s">
        <v>724</v>
      </c>
      <c r="B438" t="s">
        <v>160</v>
      </c>
      <c r="C438" t="s">
        <v>100</v>
      </c>
      <c r="D438" s="1">
        <v>44948</v>
      </c>
      <c r="E438">
        <v>11</v>
      </c>
      <c r="F438">
        <v>34.485019012525399</v>
      </c>
      <c r="G438" s="1">
        <v>44961</v>
      </c>
      <c r="H438" s="1">
        <v>44966</v>
      </c>
      <c r="I438">
        <v>379.33520913778</v>
      </c>
      <c r="J438">
        <f t="shared" si="36"/>
        <v>5</v>
      </c>
      <c r="K438" t="str">
        <f>VLOOKUP(B438,Raw_Suppliers!$A$2:$G$101,2,FALSE)</f>
        <v>Omega Beta Corp</v>
      </c>
      <c r="L438" t="str">
        <f>VLOOKUP(B438,Raw_Suppliers!$A$2:$G$101,3,FALSE)</f>
        <v>China</v>
      </c>
      <c r="M438" t="str">
        <f>VLOOKUP(B438,Raw_Suppliers!$A$2:$G$101,4,FALSE)</f>
        <v>East</v>
      </c>
      <c r="N438" t="str">
        <f>VLOOKUP(B438,Raw_Suppliers!$A$2:$G$101,6,FALSE)</f>
        <v>ISO 45001</v>
      </c>
      <c r="O438">
        <f>VLOOKUP(B438,Raw_Suppliers!$A$2:$G$101,7,FALSE)</f>
        <v>1</v>
      </c>
      <c r="P438" t="str">
        <f t="shared" si="37"/>
        <v>Yes</v>
      </c>
      <c r="Q438">
        <f t="shared" si="38"/>
        <v>0</v>
      </c>
      <c r="R438" t="str">
        <f t="shared" si="39"/>
        <v>Late</v>
      </c>
      <c r="S438">
        <f t="shared" si="40"/>
        <v>2023</v>
      </c>
      <c r="T438">
        <f t="shared" si="41"/>
        <v>1</v>
      </c>
    </row>
    <row r="439" spans="1:20" x14ac:dyDescent="0.25">
      <c r="A439" t="s">
        <v>725</v>
      </c>
      <c r="B439" t="s">
        <v>82</v>
      </c>
      <c r="C439" t="s">
        <v>701</v>
      </c>
      <c r="D439" s="1">
        <v>44649</v>
      </c>
      <c r="E439">
        <v>12</v>
      </c>
      <c r="F439">
        <v>67.721346708207093</v>
      </c>
      <c r="G439" s="1">
        <v>44661</v>
      </c>
      <c r="H439" s="1">
        <v>44662</v>
      </c>
      <c r="I439">
        <v>812.65616049848495</v>
      </c>
      <c r="J439">
        <f t="shared" si="36"/>
        <v>1</v>
      </c>
      <c r="K439" t="str">
        <f>VLOOKUP(B439,Raw_Suppliers!$A$2:$G$101,2,FALSE)</f>
        <v>Gamma Quantum LLC</v>
      </c>
      <c r="L439" t="str">
        <f>VLOOKUP(B439,Raw_Suppliers!$A$2:$G$101,3,FALSE)</f>
        <v>Canada</v>
      </c>
      <c r="M439" t="str">
        <f>VLOOKUP(B439,Raw_Suppliers!$A$2:$G$101,4,FALSE)</f>
        <v>Central</v>
      </c>
      <c r="N439" t="str">
        <f>VLOOKUP(B439,Raw_Suppliers!$A$2:$G$101,6,FALSE)</f>
        <v>None</v>
      </c>
      <c r="O439">
        <f>VLOOKUP(B439,Raw_Suppliers!$A$2:$G$101,7,FALSE)</f>
        <v>1</v>
      </c>
      <c r="P439" t="str">
        <f t="shared" si="37"/>
        <v>Yes</v>
      </c>
      <c r="Q439">
        <f t="shared" si="38"/>
        <v>0</v>
      </c>
      <c r="R439" t="str">
        <f t="shared" si="39"/>
        <v>Late</v>
      </c>
      <c r="S439">
        <f t="shared" si="40"/>
        <v>2022</v>
      </c>
      <c r="T439">
        <f t="shared" si="41"/>
        <v>3</v>
      </c>
    </row>
    <row r="440" spans="1:20" x14ac:dyDescent="0.25">
      <c r="A440" t="s">
        <v>726</v>
      </c>
      <c r="B440" t="s">
        <v>324</v>
      </c>
      <c r="C440" t="s">
        <v>727</v>
      </c>
      <c r="D440" s="1">
        <v>44866</v>
      </c>
      <c r="E440">
        <v>10</v>
      </c>
      <c r="F440">
        <v>3.7418928607113502</v>
      </c>
      <c r="G440" s="1">
        <v>44883</v>
      </c>
      <c r="H440" s="1">
        <v>44884</v>
      </c>
      <c r="I440">
        <v>37.4189286071135</v>
      </c>
      <c r="J440">
        <f t="shared" si="36"/>
        <v>1</v>
      </c>
      <c r="K440" t="str">
        <f>VLOOKUP(B440,Raw_Suppliers!$A$2:$G$101,2,FALSE)</f>
        <v>Gamma Nano Corp</v>
      </c>
      <c r="L440" t="str">
        <f>VLOOKUP(B440,Raw_Suppliers!$A$2:$G$101,3,FALSE)</f>
        <v>Germany</v>
      </c>
      <c r="M440" t="str">
        <f>VLOOKUP(B440,Raw_Suppliers!$A$2:$G$101,4,FALSE)</f>
        <v>West</v>
      </c>
      <c r="N440" t="str">
        <f>VLOOKUP(B440,Raw_Suppliers!$A$2:$G$101,6,FALSE)</f>
        <v>ISO 9001</v>
      </c>
      <c r="O440">
        <f>VLOOKUP(B440,Raw_Suppliers!$A$2:$G$101,7,FALSE)</f>
        <v>0</v>
      </c>
      <c r="P440" t="str">
        <f t="shared" si="37"/>
        <v>No</v>
      </c>
      <c r="Q440">
        <f t="shared" si="38"/>
        <v>0</v>
      </c>
      <c r="R440" t="str">
        <f t="shared" si="39"/>
        <v>Late</v>
      </c>
      <c r="S440">
        <f t="shared" si="40"/>
        <v>2022</v>
      </c>
      <c r="T440">
        <f t="shared" si="41"/>
        <v>11</v>
      </c>
    </row>
    <row r="441" spans="1:20" x14ac:dyDescent="0.25">
      <c r="A441" t="s">
        <v>728</v>
      </c>
      <c r="B441" t="s">
        <v>28</v>
      </c>
      <c r="C441" t="s">
        <v>559</v>
      </c>
      <c r="D441" s="1">
        <v>44217</v>
      </c>
      <c r="E441">
        <v>10</v>
      </c>
      <c r="F441">
        <v>60.545231380052499</v>
      </c>
      <c r="G441" s="1">
        <v>44237</v>
      </c>
      <c r="H441" s="1">
        <v>44235</v>
      </c>
      <c r="I441">
        <v>605.45231380052496</v>
      </c>
      <c r="J441">
        <f t="shared" si="36"/>
        <v>-2</v>
      </c>
      <c r="K441" t="str">
        <f>VLOOKUP(B441,Raw_Suppliers!$A$2:$G$101,2,FALSE)</f>
        <v>Fusion Vertex Inc</v>
      </c>
      <c r="L441" t="str">
        <f>VLOOKUP(B441,Raw_Suppliers!$A$2:$G$101,3,FALSE)</f>
        <v>Denmark</v>
      </c>
      <c r="M441" t="str">
        <f>VLOOKUP(B441,Raw_Suppliers!$A$2:$G$101,4,FALSE)</f>
        <v>Central</v>
      </c>
      <c r="N441" t="str">
        <f>VLOOKUP(B441,Raw_Suppliers!$A$2:$G$101,6,FALSE)</f>
        <v>ISO 45001</v>
      </c>
      <c r="O441">
        <f>VLOOKUP(B441,Raw_Suppliers!$A$2:$G$101,7,FALSE)</f>
        <v>0</v>
      </c>
      <c r="P441" t="str">
        <f t="shared" si="37"/>
        <v>No</v>
      </c>
      <c r="Q441">
        <f t="shared" si="38"/>
        <v>1</v>
      </c>
      <c r="R441" t="str">
        <f t="shared" si="39"/>
        <v>On Time</v>
      </c>
      <c r="S441">
        <f t="shared" si="40"/>
        <v>2021</v>
      </c>
      <c r="T441">
        <f t="shared" si="41"/>
        <v>1</v>
      </c>
    </row>
    <row r="442" spans="1:20" x14ac:dyDescent="0.25">
      <c r="A442" t="s">
        <v>729</v>
      </c>
      <c r="B442" t="s">
        <v>314</v>
      </c>
      <c r="C442" t="s">
        <v>521</v>
      </c>
      <c r="D442" s="1">
        <v>45248</v>
      </c>
      <c r="E442">
        <v>14</v>
      </c>
      <c r="F442">
        <v>53.956255094076297</v>
      </c>
      <c r="G442" s="1">
        <v>45269</v>
      </c>
      <c r="H442" s="1">
        <v>45272</v>
      </c>
      <c r="I442">
        <v>755.38757131706802</v>
      </c>
      <c r="J442">
        <f t="shared" si="36"/>
        <v>3</v>
      </c>
      <c r="K442" t="str">
        <f>VLOOKUP(B442,Raw_Suppliers!$A$2:$G$101,2,FALSE)</f>
        <v>Gamma Nova Ltd</v>
      </c>
      <c r="L442" t="str">
        <f>VLOOKUP(B442,Raw_Suppliers!$A$2:$G$101,3,FALSE)</f>
        <v>USA</v>
      </c>
      <c r="M442" t="str">
        <f>VLOOKUP(B442,Raw_Suppliers!$A$2:$G$101,4,FALSE)</f>
        <v>North</v>
      </c>
      <c r="N442" t="str">
        <f>VLOOKUP(B442,Raw_Suppliers!$A$2:$G$101,6,FALSE)</f>
        <v>ISO 45001</v>
      </c>
      <c r="O442">
        <f>VLOOKUP(B442,Raw_Suppliers!$A$2:$G$101,7,FALSE)</f>
        <v>0</v>
      </c>
      <c r="P442" t="str">
        <f t="shared" si="37"/>
        <v>No</v>
      </c>
      <c r="Q442">
        <f t="shared" si="38"/>
        <v>0</v>
      </c>
      <c r="R442" t="str">
        <f t="shared" si="39"/>
        <v>Late</v>
      </c>
      <c r="S442">
        <f t="shared" si="40"/>
        <v>2023</v>
      </c>
      <c r="T442">
        <f t="shared" si="41"/>
        <v>11</v>
      </c>
    </row>
    <row r="443" spans="1:20" x14ac:dyDescent="0.25">
      <c r="A443" t="s">
        <v>730</v>
      </c>
      <c r="B443" t="s">
        <v>61</v>
      </c>
      <c r="C443" t="s">
        <v>600</v>
      </c>
      <c r="D443" s="1">
        <v>44762</v>
      </c>
      <c r="E443">
        <v>6</v>
      </c>
      <c r="F443">
        <v>12.463036630004201</v>
      </c>
      <c r="G443" s="1">
        <v>44781</v>
      </c>
      <c r="H443" s="1">
        <v>44785</v>
      </c>
      <c r="I443">
        <v>74.778219780025296</v>
      </c>
      <c r="J443">
        <f t="shared" si="36"/>
        <v>4</v>
      </c>
      <c r="K443" t="str">
        <f>VLOOKUP(B443,Raw_Suppliers!$A$2:$G$101,2,FALSE)</f>
        <v>Ultra Gamma LLC</v>
      </c>
      <c r="L443" t="str">
        <f>VLOOKUP(B443,Raw_Suppliers!$A$2:$G$101,3,FALSE)</f>
        <v>Canada</v>
      </c>
      <c r="M443" t="str">
        <f>VLOOKUP(B443,Raw_Suppliers!$A$2:$G$101,4,FALSE)</f>
        <v>North</v>
      </c>
      <c r="N443" t="str">
        <f>VLOOKUP(B443,Raw_Suppliers!$A$2:$G$101,6,FALSE)</f>
        <v>ISO 9001</v>
      </c>
      <c r="O443">
        <f>VLOOKUP(B443,Raw_Suppliers!$A$2:$G$101,7,FALSE)</f>
        <v>1</v>
      </c>
      <c r="P443" t="str">
        <f t="shared" si="37"/>
        <v>Yes</v>
      </c>
      <c r="Q443">
        <f t="shared" si="38"/>
        <v>0</v>
      </c>
      <c r="R443" t="str">
        <f t="shared" si="39"/>
        <v>Late</v>
      </c>
      <c r="S443">
        <f t="shared" si="40"/>
        <v>2022</v>
      </c>
      <c r="T443">
        <f t="shared" si="41"/>
        <v>7</v>
      </c>
    </row>
    <row r="444" spans="1:20" x14ac:dyDescent="0.25">
      <c r="A444" t="s">
        <v>731</v>
      </c>
      <c r="B444" t="s">
        <v>299</v>
      </c>
      <c r="C444" t="s">
        <v>396</v>
      </c>
      <c r="D444" s="1">
        <v>44763</v>
      </c>
      <c r="E444">
        <v>13</v>
      </c>
      <c r="F444">
        <v>68.411900912335994</v>
      </c>
      <c r="G444" s="1">
        <v>44776</v>
      </c>
      <c r="H444" s="1">
        <v>44773</v>
      </c>
      <c r="I444">
        <v>889.35471186036898</v>
      </c>
      <c r="J444">
        <f t="shared" si="36"/>
        <v>-3</v>
      </c>
      <c r="K444" t="str">
        <f>VLOOKUP(B444,Raw_Suppliers!$A$2:$G$101,2,FALSE)</f>
        <v>Nova Alpha Inc</v>
      </c>
      <c r="L444" t="str">
        <f>VLOOKUP(B444,Raw_Suppliers!$A$2:$G$101,3,FALSE)</f>
        <v>UK</v>
      </c>
      <c r="M444" t="str">
        <f>VLOOKUP(B444,Raw_Suppliers!$A$2:$G$101,4,FALSE)</f>
        <v>South</v>
      </c>
      <c r="N444" t="str">
        <f>VLOOKUP(B444,Raw_Suppliers!$A$2:$G$101,6,FALSE)</f>
        <v>None</v>
      </c>
      <c r="O444">
        <f>VLOOKUP(B444,Raw_Suppliers!$A$2:$G$101,7,FALSE)</f>
        <v>1</v>
      </c>
      <c r="P444" t="str">
        <f t="shared" si="37"/>
        <v>Yes</v>
      </c>
      <c r="Q444">
        <f t="shared" si="38"/>
        <v>1</v>
      </c>
      <c r="R444" t="str">
        <f t="shared" si="39"/>
        <v>On Time</v>
      </c>
      <c r="S444">
        <f t="shared" si="40"/>
        <v>2022</v>
      </c>
      <c r="T444">
        <f t="shared" si="41"/>
        <v>7</v>
      </c>
    </row>
    <row r="445" spans="1:20" x14ac:dyDescent="0.25">
      <c r="A445" t="s">
        <v>732</v>
      </c>
      <c r="B445" t="s">
        <v>160</v>
      </c>
      <c r="C445" t="s">
        <v>290</v>
      </c>
      <c r="D445" s="1">
        <v>45311</v>
      </c>
      <c r="E445">
        <v>6</v>
      </c>
      <c r="F445">
        <v>66.516814839441196</v>
      </c>
      <c r="G445" s="1">
        <v>45333</v>
      </c>
      <c r="H445" s="1">
        <v>45333</v>
      </c>
      <c r="I445">
        <v>399.100889036647</v>
      </c>
      <c r="J445">
        <f t="shared" si="36"/>
        <v>0</v>
      </c>
      <c r="K445" t="str">
        <f>VLOOKUP(B445,Raw_Suppliers!$A$2:$G$101,2,FALSE)</f>
        <v>Omega Beta Corp</v>
      </c>
      <c r="L445" t="str">
        <f>VLOOKUP(B445,Raw_Suppliers!$A$2:$G$101,3,FALSE)</f>
        <v>China</v>
      </c>
      <c r="M445" t="str">
        <f>VLOOKUP(B445,Raw_Suppliers!$A$2:$G$101,4,FALSE)</f>
        <v>East</v>
      </c>
      <c r="N445" t="str">
        <f>VLOOKUP(B445,Raw_Suppliers!$A$2:$G$101,6,FALSE)</f>
        <v>ISO 45001</v>
      </c>
      <c r="O445">
        <f>VLOOKUP(B445,Raw_Suppliers!$A$2:$G$101,7,FALSE)</f>
        <v>1</v>
      </c>
      <c r="P445" t="str">
        <f t="shared" si="37"/>
        <v>Yes</v>
      </c>
      <c r="Q445">
        <f t="shared" si="38"/>
        <v>1</v>
      </c>
      <c r="R445" t="str">
        <f t="shared" si="39"/>
        <v>On Time</v>
      </c>
      <c r="S445">
        <f t="shared" si="40"/>
        <v>2024</v>
      </c>
      <c r="T445">
        <f t="shared" si="41"/>
        <v>1</v>
      </c>
    </row>
    <row r="446" spans="1:20" x14ac:dyDescent="0.25">
      <c r="A446" t="s">
        <v>733</v>
      </c>
      <c r="B446" t="s">
        <v>321</v>
      </c>
      <c r="C446" t="s">
        <v>167</v>
      </c>
      <c r="D446" s="1">
        <v>44842</v>
      </c>
      <c r="E446">
        <v>11</v>
      </c>
      <c r="F446">
        <v>61.529619880981301</v>
      </c>
      <c r="G446" s="1">
        <v>44858</v>
      </c>
      <c r="H446" s="1">
        <v>44856</v>
      </c>
      <c r="I446">
        <v>676.82581869079399</v>
      </c>
      <c r="J446">
        <f t="shared" si="36"/>
        <v>-2</v>
      </c>
      <c r="K446" t="str">
        <f>VLOOKUP(B446,Raw_Suppliers!$A$2:$G$101,2,FALSE)</f>
        <v>Vertex Delta LLC</v>
      </c>
      <c r="L446" t="str">
        <f>VLOOKUP(B446,Raw_Suppliers!$A$2:$G$101,3,FALSE)</f>
        <v>India</v>
      </c>
      <c r="M446" t="str">
        <f>VLOOKUP(B446,Raw_Suppliers!$A$2:$G$101,4,FALSE)</f>
        <v>South</v>
      </c>
      <c r="N446" t="str">
        <f>VLOOKUP(B446,Raw_Suppliers!$A$2:$G$101,6,FALSE)</f>
        <v>ISO 45001</v>
      </c>
      <c r="O446">
        <f>VLOOKUP(B446,Raw_Suppliers!$A$2:$G$101,7,FALSE)</f>
        <v>0</v>
      </c>
      <c r="P446" t="str">
        <f t="shared" si="37"/>
        <v>No</v>
      </c>
      <c r="Q446">
        <f t="shared" si="38"/>
        <v>1</v>
      </c>
      <c r="R446" t="str">
        <f t="shared" si="39"/>
        <v>On Time</v>
      </c>
      <c r="S446">
        <f t="shared" si="40"/>
        <v>2022</v>
      </c>
      <c r="T446">
        <f t="shared" si="41"/>
        <v>10</v>
      </c>
    </row>
    <row r="447" spans="1:20" x14ac:dyDescent="0.25">
      <c r="A447" t="s">
        <v>734</v>
      </c>
      <c r="B447" t="s">
        <v>31</v>
      </c>
      <c r="C447" t="s">
        <v>44</v>
      </c>
      <c r="D447" s="1">
        <v>44764</v>
      </c>
      <c r="E447">
        <v>14</v>
      </c>
      <c r="F447">
        <v>29.0789832921865</v>
      </c>
      <c r="G447" s="1">
        <v>44788</v>
      </c>
      <c r="H447" s="1">
        <v>44792</v>
      </c>
      <c r="I447">
        <v>407.10576609061098</v>
      </c>
      <c r="J447">
        <f t="shared" si="36"/>
        <v>4</v>
      </c>
      <c r="K447" t="str">
        <f>VLOOKUP(B447,Raw_Suppliers!$A$2:$G$101,2,FALSE)</f>
        <v>Nova Nano GmbH</v>
      </c>
      <c r="L447" t="str">
        <f>VLOOKUP(B447,Raw_Suppliers!$A$2:$G$101,3,FALSE)</f>
        <v>Denmark</v>
      </c>
      <c r="M447" t="str">
        <f>VLOOKUP(B447,Raw_Suppliers!$A$2:$G$101,4,FALSE)</f>
        <v>South</v>
      </c>
      <c r="N447" t="str">
        <f>VLOOKUP(B447,Raw_Suppliers!$A$2:$G$101,6,FALSE)</f>
        <v>ISO 14001</v>
      </c>
      <c r="O447">
        <f>VLOOKUP(B447,Raw_Suppliers!$A$2:$G$101,7,FALSE)</f>
        <v>1</v>
      </c>
      <c r="P447" t="str">
        <f t="shared" si="37"/>
        <v>Yes</v>
      </c>
      <c r="Q447">
        <f t="shared" si="38"/>
        <v>0</v>
      </c>
      <c r="R447" t="str">
        <f t="shared" si="39"/>
        <v>Late</v>
      </c>
      <c r="S447">
        <f t="shared" si="40"/>
        <v>2022</v>
      </c>
      <c r="T447">
        <f t="shared" si="41"/>
        <v>7</v>
      </c>
    </row>
    <row r="448" spans="1:20" x14ac:dyDescent="0.25">
      <c r="A448" t="s">
        <v>735</v>
      </c>
      <c r="B448" t="s">
        <v>247</v>
      </c>
      <c r="C448" t="s">
        <v>177</v>
      </c>
      <c r="D448" s="1">
        <v>44397</v>
      </c>
      <c r="E448">
        <v>8</v>
      </c>
      <c r="F448">
        <v>39.443947018446003</v>
      </c>
      <c r="G448" s="1">
        <v>44408</v>
      </c>
      <c r="H448" s="1">
        <v>44407</v>
      </c>
      <c r="I448">
        <v>315.55157614756803</v>
      </c>
      <c r="J448">
        <f t="shared" si="36"/>
        <v>-1</v>
      </c>
      <c r="K448" t="str">
        <f>VLOOKUP(B448,Raw_Suppliers!$A$2:$G$101,2,FALSE)</f>
        <v>Ultra Apex LLC</v>
      </c>
      <c r="L448" t="str">
        <f>VLOOKUP(B448,Raw_Suppliers!$A$2:$G$101,3,FALSE)</f>
        <v>Germany</v>
      </c>
      <c r="M448" t="str">
        <f>VLOOKUP(B448,Raw_Suppliers!$A$2:$G$101,4,FALSE)</f>
        <v>West</v>
      </c>
      <c r="N448" t="str">
        <f>VLOOKUP(B448,Raw_Suppliers!$A$2:$G$101,6,FALSE)</f>
        <v>ISO 9001</v>
      </c>
      <c r="O448">
        <f>VLOOKUP(B448,Raw_Suppliers!$A$2:$G$101,7,FALSE)</f>
        <v>0</v>
      </c>
      <c r="P448" t="str">
        <f t="shared" si="37"/>
        <v>No</v>
      </c>
      <c r="Q448">
        <f t="shared" si="38"/>
        <v>1</v>
      </c>
      <c r="R448" t="str">
        <f t="shared" si="39"/>
        <v>On Time</v>
      </c>
      <c r="S448">
        <f t="shared" si="40"/>
        <v>2021</v>
      </c>
      <c r="T448">
        <f t="shared" si="41"/>
        <v>7</v>
      </c>
    </row>
    <row r="449" spans="1:20" x14ac:dyDescent="0.25">
      <c r="A449" t="s">
        <v>736</v>
      </c>
      <c r="B449" t="s">
        <v>34</v>
      </c>
      <c r="C449" t="s">
        <v>77</v>
      </c>
      <c r="D449" s="1">
        <v>44927</v>
      </c>
      <c r="E449">
        <v>7</v>
      </c>
      <c r="F449">
        <v>29.500692003595301</v>
      </c>
      <c r="G449" s="1">
        <v>44947</v>
      </c>
      <c r="H449" s="1">
        <v>44945</v>
      </c>
      <c r="I449">
        <v>206.50484402516699</v>
      </c>
      <c r="J449">
        <f t="shared" si="36"/>
        <v>-2</v>
      </c>
      <c r="K449" t="str">
        <f>VLOOKUP(B449,Raw_Suppliers!$A$2:$G$101,2,FALSE)</f>
        <v>Omega Alpha Corp</v>
      </c>
      <c r="L449" t="str">
        <f>VLOOKUP(B449,Raw_Suppliers!$A$2:$G$101,3,FALSE)</f>
        <v>UK</v>
      </c>
      <c r="M449" t="str">
        <f>VLOOKUP(B449,Raw_Suppliers!$A$2:$G$101,4,FALSE)</f>
        <v>West</v>
      </c>
      <c r="N449" t="str">
        <f>VLOOKUP(B449,Raw_Suppliers!$A$2:$G$101,6,FALSE)</f>
        <v>ISO 45001</v>
      </c>
      <c r="O449">
        <f>VLOOKUP(B449,Raw_Suppliers!$A$2:$G$101,7,FALSE)</f>
        <v>0</v>
      </c>
      <c r="P449" t="str">
        <f t="shared" si="37"/>
        <v>No</v>
      </c>
      <c r="Q449">
        <f t="shared" si="38"/>
        <v>1</v>
      </c>
      <c r="R449" t="str">
        <f t="shared" si="39"/>
        <v>On Time</v>
      </c>
      <c r="S449">
        <f t="shared" si="40"/>
        <v>2023</v>
      </c>
      <c r="T449">
        <f t="shared" si="41"/>
        <v>1</v>
      </c>
    </row>
    <row r="450" spans="1:20" x14ac:dyDescent="0.25">
      <c r="A450" t="s">
        <v>737</v>
      </c>
      <c r="B450" t="s">
        <v>37</v>
      </c>
      <c r="C450" t="s">
        <v>430</v>
      </c>
      <c r="D450" s="1">
        <v>44860</v>
      </c>
      <c r="E450">
        <v>8</v>
      </c>
      <c r="F450">
        <v>11.152251778070401</v>
      </c>
      <c r="G450" s="1">
        <v>44876</v>
      </c>
      <c r="H450" s="1">
        <v>44882</v>
      </c>
      <c r="I450">
        <v>89.218014224563603</v>
      </c>
      <c r="J450">
        <f t="shared" si="36"/>
        <v>6</v>
      </c>
      <c r="K450" t="str">
        <f>VLOOKUP(B450,Raw_Suppliers!$A$2:$G$101,2,FALSE)</f>
        <v>Apex Apex Ltd</v>
      </c>
      <c r="L450" t="str">
        <f>VLOOKUP(B450,Raw_Suppliers!$A$2:$G$101,3,FALSE)</f>
        <v>Canada</v>
      </c>
      <c r="M450" t="str">
        <f>VLOOKUP(B450,Raw_Suppliers!$A$2:$G$101,4,FALSE)</f>
        <v>East</v>
      </c>
      <c r="N450" t="str">
        <f>VLOOKUP(B450,Raw_Suppliers!$A$2:$G$101,6,FALSE)</f>
        <v>ISO 9001</v>
      </c>
      <c r="O450">
        <f>VLOOKUP(B450,Raw_Suppliers!$A$2:$G$101,7,FALSE)</f>
        <v>1</v>
      </c>
      <c r="P450" t="str">
        <f t="shared" si="37"/>
        <v>Yes</v>
      </c>
      <c r="Q450">
        <f t="shared" si="38"/>
        <v>0</v>
      </c>
      <c r="R450" t="str">
        <f t="shared" si="39"/>
        <v>Late</v>
      </c>
      <c r="S450">
        <f t="shared" si="40"/>
        <v>2022</v>
      </c>
      <c r="T450">
        <f t="shared" si="41"/>
        <v>10</v>
      </c>
    </row>
    <row r="451" spans="1:20" x14ac:dyDescent="0.25">
      <c r="A451" t="s">
        <v>738</v>
      </c>
      <c r="B451" t="s">
        <v>564</v>
      </c>
      <c r="C451" t="s">
        <v>110</v>
      </c>
      <c r="D451" s="1">
        <v>44271</v>
      </c>
      <c r="E451">
        <v>16</v>
      </c>
      <c r="F451">
        <v>22.223499344846399</v>
      </c>
      <c r="G451" s="1">
        <v>44287</v>
      </c>
      <c r="H451" s="1">
        <v>44289</v>
      </c>
      <c r="I451">
        <v>355.57598951754301</v>
      </c>
      <c r="J451">
        <f t="shared" ref="J451:J514" si="42">H451-G451</f>
        <v>2</v>
      </c>
      <c r="K451" t="str">
        <f>VLOOKUP(B451,Raw_Suppliers!$A$2:$G$101,2,FALSE)</f>
        <v>Ultra Ultra GmbH</v>
      </c>
      <c r="L451" t="str">
        <f>VLOOKUP(B451,Raw_Suppliers!$A$2:$G$101,3,FALSE)</f>
        <v>India</v>
      </c>
      <c r="M451" t="str">
        <f>VLOOKUP(B451,Raw_Suppliers!$A$2:$G$101,4,FALSE)</f>
        <v>Central</v>
      </c>
      <c r="N451" t="str">
        <f>VLOOKUP(B451,Raw_Suppliers!$A$2:$G$101,6,FALSE)</f>
        <v>ISO 14001</v>
      </c>
      <c r="O451">
        <f>VLOOKUP(B451,Raw_Suppliers!$A$2:$G$101,7,FALSE)</f>
        <v>1</v>
      </c>
      <c r="P451" t="str">
        <f t="shared" ref="P451:P514" si="43">IF(O451=1,"Yes","No")</f>
        <v>Yes</v>
      </c>
      <c r="Q451">
        <f t="shared" ref="Q451:Q514" si="44">IF(J451&lt;=0,1,0)</f>
        <v>0</v>
      </c>
      <c r="R451" t="str">
        <f t="shared" ref="R451:R514" si="45">IF(Q451=1,"On Time","Late")</f>
        <v>Late</v>
      </c>
      <c r="S451">
        <f t="shared" ref="S451:S514" si="46">YEAR(D451)</f>
        <v>2021</v>
      </c>
      <c r="T451">
        <f t="shared" ref="T451:T514" si="47">MONTH(D451)</f>
        <v>3</v>
      </c>
    </row>
    <row r="452" spans="1:20" x14ac:dyDescent="0.25">
      <c r="A452" t="s">
        <v>739</v>
      </c>
      <c r="B452" t="s">
        <v>58</v>
      </c>
      <c r="C452" t="s">
        <v>402</v>
      </c>
      <c r="D452" s="1">
        <v>44800</v>
      </c>
      <c r="E452">
        <v>16</v>
      </c>
      <c r="F452">
        <v>18.295405961935501</v>
      </c>
      <c r="G452" s="1">
        <v>44820</v>
      </c>
      <c r="H452" s="1">
        <v>44821</v>
      </c>
      <c r="I452">
        <v>292.72649539096801</v>
      </c>
      <c r="J452">
        <f t="shared" si="42"/>
        <v>1</v>
      </c>
      <c r="K452" t="str">
        <f>VLOOKUP(B452,Raw_Suppliers!$A$2:$G$101,2,FALSE)</f>
        <v>Quantum Nano Inc</v>
      </c>
      <c r="L452" t="str">
        <f>VLOOKUP(B452,Raw_Suppliers!$A$2:$G$101,3,FALSE)</f>
        <v>Brazil</v>
      </c>
      <c r="M452" t="str">
        <f>VLOOKUP(B452,Raw_Suppliers!$A$2:$G$101,4,FALSE)</f>
        <v>East</v>
      </c>
      <c r="N452" t="str">
        <f>VLOOKUP(B452,Raw_Suppliers!$A$2:$G$101,6,FALSE)</f>
        <v>ISO 9001</v>
      </c>
      <c r="O452">
        <f>VLOOKUP(B452,Raw_Suppliers!$A$2:$G$101,7,FALSE)</f>
        <v>1</v>
      </c>
      <c r="P452" t="str">
        <f t="shared" si="43"/>
        <v>Yes</v>
      </c>
      <c r="Q452">
        <f t="shared" si="44"/>
        <v>0</v>
      </c>
      <c r="R452" t="str">
        <f t="shared" si="45"/>
        <v>Late</v>
      </c>
      <c r="S452">
        <f t="shared" si="46"/>
        <v>2022</v>
      </c>
      <c r="T452">
        <f t="shared" si="47"/>
        <v>8</v>
      </c>
    </row>
    <row r="453" spans="1:20" x14ac:dyDescent="0.25">
      <c r="A453" t="s">
        <v>740</v>
      </c>
      <c r="B453" t="s">
        <v>109</v>
      </c>
      <c r="C453" t="s">
        <v>415</v>
      </c>
      <c r="D453" s="1">
        <v>44887</v>
      </c>
      <c r="E453">
        <v>9</v>
      </c>
      <c r="F453">
        <v>13.964899395945199</v>
      </c>
      <c r="G453" s="1">
        <v>44910</v>
      </c>
      <c r="H453" s="1">
        <v>44908</v>
      </c>
      <c r="I453">
        <v>125.684094563507</v>
      </c>
      <c r="J453">
        <f t="shared" si="42"/>
        <v>-2</v>
      </c>
      <c r="K453" t="str">
        <f>VLOOKUP(B453,Raw_Suppliers!$A$2:$G$101,2,FALSE)</f>
        <v>Nano Fusion GmbH</v>
      </c>
      <c r="L453" t="str">
        <f>VLOOKUP(B453,Raw_Suppliers!$A$2:$G$101,3,FALSE)</f>
        <v>Denmark</v>
      </c>
      <c r="M453" t="str">
        <f>VLOOKUP(B453,Raw_Suppliers!$A$2:$G$101,4,FALSE)</f>
        <v>North</v>
      </c>
      <c r="N453" t="str">
        <f>VLOOKUP(B453,Raw_Suppliers!$A$2:$G$101,6,FALSE)</f>
        <v>ISO 9001</v>
      </c>
      <c r="O453">
        <f>VLOOKUP(B453,Raw_Suppliers!$A$2:$G$101,7,FALSE)</f>
        <v>0</v>
      </c>
      <c r="P453" t="str">
        <f t="shared" si="43"/>
        <v>No</v>
      </c>
      <c r="Q453">
        <f t="shared" si="44"/>
        <v>1</v>
      </c>
      <c r="R453" t="str">
        <f t="shared" si="45"/>
        <v>On Time</v>
      </c>
      <c r="S453">
        <f t="shared" si="46"/>
        <v>2022</v>
      </c>
      <c r="T453">
        <f t="shared" si="47"/>
        <v>11</v>
      </c>
    </row>
    <row r="454" spans="1:20" x14ac:dyDescent="0.25">
      <c r="A454" t="s">
        <v>741</v>
      </c>
      <c r="B454" t="s">
        <v>49</v>
      </c>
      <c r="C454" t="s">
        <v>83</v>
      </c>
      <c r="D454" s="1">
        <v>44294</v>
      </c>
      <c r="E454">
        <v>9</v>
      </c>
      <c r="F454">
        <v>19.235062112451299</v>
      </c>
      <c r="G454" s="1">
        <v>44307</v>
      </c>
      <c r="H454" s="1">
        <v>44309</v>
      </c>
      <c r="I454">
        <v>173.115559012061</v>
      </c>
      <c r="J454">
        <f t="shared" si="42"/>
        <v>2</v>
      </c>
      <c r="K454" t="str">
        <f>VLOOKUP(B454,Raw_Suppliers!$A$2:$G$101,2,FALSE)</f>
        <v>Prime Prime Corp</v>
      </c>
      <c r="L454" t="str">
        <f>VLOOKUP(B454,Raw_Suppliers!$A$2:$G$101,3,FALSE)</f>
        <v>China</v>
      </c>
      <c r="M454" t="str">
        <f>VLOOKUP(B454,Raw_Suppliers!$A$2:$G$101,4,FALSE)</f>
        <v>North</v>
      </c>
      <c r="N454" t="str">
        <f>VLOOKUP(B454,Raw_Suppliers!$A$2:$G$101,6,FALSE)</f>
        <v>ISO 45001</v>
      </c>
      <c r="O454">
        <f>VLOOKUP(B454,Raw_Suppliers!$A$2:$G$101,7,FALSE)</f>
        <v>0</v>
      </c>
      <c r="P454" t="str">
        <f t="shared" si="43"/>
        <v>No</v>
      </c>
      <c r="Q454">
        <f t="shared" si="44"/>
        <v>0</v>
      </c>
      <c r="R454" t="str">
        <f t="shared" si="45"/>
        <v>Late</v>
      </c>
      <c r="S454">
        <f t="shared" si="46"/>
        <v>2021</v>
      </c>
      <c r="T454">
        <f t="shared" si="47"/>
        <v>4</v>
      </c>
    </row>
    <row r="455" spans="1:20" x14ac:dyDescent="0.25">
      <c r="A455" t="s">
        <v>742</v>
      </c>
      <c r="B455" t="s">
        <v>76</v>
      </c>
      <c r="C455" t="s">
        <v>68</v>
      </c>
      <c r="D455" s="1">
        <v>45173</v>
      </c>
      <c r="E455">
        <v>11</v>
      </c>
      <c r="F455">
        <v>29.2868473408233</v>
      </c>
      <c r="G455" s="1">
        <v>45184</v>
      </c>
      <c r="H455" s="1">
        <v>45184</v>
      </c>
      <c r="I455">
        <v>322.15532074905599</v>
      </c>
      <c r="J455">
        <f t="shared" si="42"/>
        <v>0</v>
      </c>
      <c r="K455" t="str">
        <f>VLOOKUP(B455,Raw_Suppliers!$A$2:$G$101,2,FALSE)</f>
        <v>Alpha Beta Ltd</v>
      </c>
      <c r="L455" t="str">
        <f>VLOOKUP(B455,Raw_Suppliers!$A$2:$G$101,3,FALSE)</f>
        <v>UK</v>
      </c>
      <c r="M455" t="str">
        <f>VLOOKUP(B455,Raw_Suppliers!$A$2:$G$101,4,FALSE)</f>
        <v>South</v>
      </c>
      <c r="N455" t="str">
        <f>VLOOKUP(B455,Raw_Suppliers!$A$2:$G$101,6,FALSE)</f>
        <v>None</v>
      </c>
      <c r="O455">
        <f>VLOOKUP(B455,Raw_Suppliers!$A$2:$G$101,7,FALSE)</f>
        <v>1</v>
      </c>
      <c r="P455" t="str">
        <f t="shared" si="43"/>
        <v>Yes</v>
      </c>
      <c r="Q455">
        <f t="shared" si="44"/>
        <v>1</v>
      </c>
      <c r="R455" t="str">
        <f t="shared" si="45"/>
        <v>On Time</v>
      </c>
      <c r="S455">
        <f t="shared" si="46"/>
        <v>2023</v>
      </c>
      <c r="T455">
        <f t="shared" si="47"/>
        <v>9</v>
      </c>
    </row>
    <row r="456" spans="1:20" x14ac:dyDescent="0.25">
      <c r="A456" t="s">
        <v>743</v>
      </c>
      <c r="B456" t="s">
        <v>482</v>
      </c>
      <c r="C456" t="s">
        <v>418</v>
      </c>
      <c r="D456" s="1">
        <v>45158</v>
      </c>
      <c r="E456">
        <v>6</v>
      </c>
      <c r="F456">
        <v>41.620027607724801</v>
      </c>
      <c r="G456" s="1">
        <v>45177</v>
      </c>
      <c r="H456" s="1">
        <v>45179</v>
      </c>
      <c r="I456">
        <v>249.72016564634899</v>
      </c>
      <c r="J456">
        <f t="shared" si="42"/>
        <v>2</v>
      </c>
      <c r="K456" t="str">
        <f>VLOOKUP(B456,Raw_Suppliers!$A$2:$G$101,2,FALSE)</f>
        <v>Eco Prime Corp</v>
      </c>
      <c r="L456" t="str">
        <f>VLOOKUP(B456,Raw_Suppliers!$A$2:$G$101,3,FALSE)</f>
        <v>China</v>
      </c>
      <c r="M456" t="str">
        <f>VLOOKUP(B456,Raw_Suppliers!$A$2:$G$101,4,FALSE)</f>
        <v>East</v>
      </c>
      <c r="N456" t="str">
        <f>VLOOKUP(B456,Raw_Suppliers!$A$2:$G$101,6,FALSE)</f>
        <v>ISO 45001</v>
      </c>
      <c r="O456">
        <f>VLOOKUP(B456,Raw_Suppliers!$A$2:$G$101,7,FALSE)</f>
        <v>1</v>
      </c>
      <c r="P456" t="str">
        <f t="shared" si="43"/>
        <v>Yes</v>
      </c>
      <c r="Q456">
        <f t="shared" si="44"/>
        <v>0</v>
      </c>
      <c r="R456" t="str">
        <f t="shared" si="45"/>
        <v>Late</v>
      </c>
      <c r="S456">
        <f t="shared" si="46"/>
        <v>2023</v>
      </c>
      <c r="T456">
        <f t="shared" si="47"/>
        <v>8</v>
      </c>
    </row>
    <row r="457" spans="1:20" x14ac:dyDescent="0.25">
      <c r="A457" t="s">
        <v>744</v>
      </c>
      <c r="B457" t="s">
        <v>43</v>
      </c>
      <c r="C457" t="s">
        <v>473</v>
      </c>
      <c r="D457" s="1">
        <v>45243</v>
      </c>
      <c r="E457">
        <v>9</v>
      </c>
      <c r="F457">
        <v>3.9392567615340899</v>
      </c>
      <c r="G457" s="1">
        <v>45256</v>
      </c>
      <c r="H457" s="1">
        <v>45260</v>
      </c>
      <c r="I457">
        <v>35.453310853806798</v>
      </c>
      <c r="J457">
        <f t="shared" si="42"/>
        <v>4</v>
      </c>
      <c r="K457" t="str">
        <f>VLOOKUP(B457,Raw_Suppliers!$A$2:$G$101,2,FALSE)</f>
        <v>Alpha Ultra Corp</v>
      </c>
      <c r="L457" t="str">
        <f>VLOOKUP(B457,Raw_Suppliers!$A$2:$G$101,3,FALSE)</f>
        <v>USA</v>
      </c>
      <c r="M457" t="str">
        <f>VLOOKUP(B457,Raw_Suppliers!$A$2:$G$101,4,FALSE)</f>
        <v>Central</v>
      </c>
      <c r="N457" t="str">
        <f>VLOOKUP(B457,Raw_Suppliers!$A$2:$G$101,6,FALSE)</f>
        <v>ISO 9001</v>
      </c>
      <c r="O457">
        <f>VLOOKUP(B457,Raw_Suppliers!$A$2:$G$101,7,FALSE)</f>
        <v>1</v>
      </c>
      <c r="P457" t="str">
        <f t="shared" si="43"/>
        <v>Yes</v>
      </c>
      <c r="Q457">
        <f t="shared" si="44"/>
        <v>0</v>
      </c>
      <c r="R457" t="str">
        <f t="shared" si="45"/>
        <v>Late</v>
      </c>
      <c r="S457">
        <f t="shared" si="46"/>
        <v>2023</v>
      </c>
      <c r="T457">
        <f t="shared" si="47"/>
        <v>11</v>
      </c>
    </row>
    <row r="458" spans="1:20" x14ac:dyDescent="0.25">
      <c r="A458" t="s">
        <v>745</v>
      </c>
      <c r="B458" t="s">
        <v>121</v>
      </c>
      <c r="C458" t="s">
        <v>283</v>
      </c>
      <c r="D458" s="1">
        <v>44390</v>
      </c>
      <c r="E458">
        <v>8</v>
      </c>
      <c r="F458">
        <v>30.9939257580351</v>
      </c>
      <c r="G458" s="1">
        <v>44409</v>
      </c>
      <c r="H458" s="1">
        <v>44409</v>
      </c>
      <c r="I458">
        <v>247.951406064281</v>
      </c>
      <c r="J458">
        <f t="shared" si="42"/>
        <v>0</v>
      </c>
      <c r="K458" t="str">
        <f>VLOOKUP(B458,Raw_Suppliers!$A$2:$G$101,2,FALSE)</f>
        <v>Vertex Vertex Inc</v>
      </c>
      <c r="L458" t="str">
        <f>VLOOKUP(B458,Raw_Suppliers!$A$2:$G$101,3,FALSE)</f>
        <v>USA</v>
      </c>
      <c r="M458" t="str">
        <f>VLOOKUP(B458,Raw_Suppliers!$A$2:$G$101,4,FALSE)</f>
        <v>West</v>
      </c>
      <c r="N458" t="str">
        <f>VLOOKUP(B458,Raw_Suppliers!$A$2:$G$101,6,FALSE)</f>
        <v>None</v>
      </c>
      <c r="O458">
        <f>VLOOKUP(B458,Raw_Suppliers!$A$2:$G$101,7,FALSE)</f>
        <v>0</v>
      </c>
      <c r="P458" t="str">
        <f t="shared" si="43"/>
        <v>No</v>
      </c>
      <c r="Q458">
        <f t="shared" si="44"/>
        <v>1</v>
      </c>
      <c r="R458" t="str">
        <f t="shared" si="45"/>
        <v>On Time</v>
      </c>
      <c r="S458">
        <f t="shared" si="46"/>
        <v>2021</v>
      </c>
      <c r="T458">
        <f t="shared" si="47"/>
        <v>7</v>
      </c>
    </row>
    <row r="459" spans="1:20" x14ac:dyDescent="0.25">
      <c r="A459" t="s">
        <v>746</v>
      </c>
      <c r="B459" t="s">
        <v>135</v>
      </c>
      <c r="C459" t="s">
        <v>125</v>
      </c>
      <c r="D459" s="1">
        <v>45328</v>
      </c>
      <c r="E459">
        <v>11</v>
      </c>
      <c r="F459">
        <v>12.5085517296991</v>
      </c>
      <c r="G459" s="1">
        <v>45347</v>
      </c>
      <c r="H459" s="1">
        <v>45351</v>
      </c>
      <c r="I459">
        <v>137.59406902669099</v>
      </c>
      <c r="J459">
        <f t="shared" si="42"/>
        <v>4</v>
      </c>
      <c r="K459" t="str">
        <f>VLOOKUP(B459,Raw_Suppliers!$A$2:$G$101,2,FALSE)</f>
        <v>Alpha Prime Ltd</v>
      </c>
      <c r="L459" t="str">
        <f>VLOOKUP(B459,Raw_Suppliers!$A$2:$G$101,3,FALSE)</f>
        <v>UK</v>
      </c>
      <c r="M459" t="str">
        <f>VLOOKUP(B459,Raw_Suppliers!$A$2:$G$101,4,FALSE)</f>
        <v>East</v>
      </c>
      <c r="N459" t="str">
        <f>VLOOKUP(B459,Raw_Suppliers!$A$2:$G$101,6,FALSE)</f>
        <v>None</v>
      </c>
      <c r="O459">
        <f>VLOOKUP(B459,Raw_Suppliers!$A$2:$G$101,7,FALSE)</f>
        <v>1</v>
      </c>
      <c r="P459" t="str">
        <f t="shared" si="43"/>
        <v>Yes</v>
      </c>
      <c r="Q459">
        <f t="shared" si="44"/>
        <v>0</v>
      </c>
      <c r="R459" t="str">
        <f t="shared" si="45"/>
        <v>Late</v>
      </c>
      <c r="S459">
        <f t="shared" si="46"/>
        <v>2024</v>
      </c>
      <c r="T459">
        <f t="shared" si="47"/>
        <v>2</v>
      </c>
    </row>
    <row r="460" spans="1:20" x14ac:dyDescent="0.25">
      <c r="A460" t="s">
        <v>747</v>
      </c>
      <c r="B460" t="s">
        <v>179</v>
      </c>
      <c r="C460" t="s">
        <v>748</v>
      </c>
      <c r="D460" s="1">
        <v>45110</v>
      </c>
      <c r="E460">
        <v>6</v>
      </c>
      <c r="F460">
        <v>34.357348654284401</v>
      </c>
      <c r="G460" s="1">
        <v>45121</v>
      </c>
      <c r="H460" s="1">
        <v>45118</v>
      </c>
      <c r="I460">
        <v>206.14409192570599</v>
      </c>
      <c r="J460">
        <f t="shared" si="42"/>
        <v>-3</v>
      </c>
      <c r="K460" t="str">
        <f>VLOOKUP(B460,Raw_Suppliers!$A$2:$G$101,2,FALSE)</f>
        <v>Nova Gamma Ltd</v>
      </c>
      <c r="L460" t="str">
        <f>VLOOKUP(B460,Raw_Suppliers!$A$2:$G$101,3,FALSE)</f>
        <v>Denmark</v>
      </c>
      <c r="M460" t="str">
        <f>VLOOKUP(B460,Raw_Suppliers!$A$2:$G$101,4,FALSE)</f>
        <v>East</v>
      </c>
      <c r="N460" t="str">
        <f>VLOOKUP(B460,Raw_Suppliers!$A$2:$G$101,6,FALSE)</f>
        <v>ISO 9001</v>
      </c>
      <c r="O460">
        <f>VLOOKUP(B460,Raw_Suppliers!$A$2:$G$101,7,FALSE)</f>
        <v>0</v>
      </c>
      <c r="P460" t="str">
        <f t="shared" si="43"/>
        <v>No</v>
      </c>
      <c r="Q460">
        <f t="shared" si="44"/>
        <v>1</v>
      </c>
      <c r="R460" t="str">
        <f t="shared" si="45"/>
        <v>On Time</v>
      </c>
      <c r="S460">
        <f t="shared" si="46"/>
        <v>2023</v>
      </c>
      <c r="T460">
        <f t="shared" si="47"/>
        <v>7</v>
      </c>
    </row>
    <row r="461" spans="1:20" x14ac:dyDescent="0.25">
      <c r="A461" t="s">
        <v>749</v>
      </c>
      <c r="B461" t="s">
        <v>247</v>
      </c>
      <c r="C461" t="s">
        <v>693</v>
      </c>
      <c r="D461" s="1">
        <v>44710</v>
      </c>
      <c r="E461">
        <v>14</v>
      </c>
      <c r="F461">
        <v>58.9595326985919</v>
      </c>
      <c r="G461" s="1">
        <v>44734</v>
      </c>
      <c r="H461" s="1">
        <v>44731</v>
      </c>
      <c r="I461">
        <v>825.43345778028697</v>
      </c>
      <c r="J461">
        <f t="shared" si="42"/>
        <v>-3</v>
      </c>
      <c r="K461" t="str">
        <f>VLOOKUP(B461,Raw_Suppliers!$A$2:$G$101,2,FALSE)</f>
        <v>Ultra Apex LLC</v>
      </c>
      <c r="L461" t="str">
        <f>VLOOKUP(B461,Raw_Suppliers!$A$2:$G$101,3,FALSE)</f>
        <v>Germany</v>
      </c>
      <c r="M461" t="str">
        <f>VLOOKUP(B461,Raw_Suppliers!$A$2:$G$101,4,FALSE)</f>
        <v>West</v>
      </c>
      <c r="N461" t="str">
        <f>VLOOKUP(B461,Raw_Suppliers!$A$2:$G$101,6,FALSE)</f>
        <v>ISO 9001</v>
      </c>
      <c r="O461">
        <f>VLOOKUP(B461,Raw_Suppliers!$A$2:$G$101,7,FALSE)</f>
        <v>0</v>
      </c>
      <c r="P461" t="str">
        <f t="shared" si="43"/>
        <v>No</v>
      </c>
      <c r="Q461">
        <f t="shared" si="44"/>
        <v>1</v>
      </c>
      <c r="R461" t="str">
        <f t="shared" si="45"/>
        <v>On Time</v>
      </c>
      <c r="S461">
        <f t="shared" si="46"/>
        <v>2022</v>
      </c>
      <c r="T461">
        <f t="shared" si="47"/>
        <v>5</v>
      </c>
    </row>
    <row r="462" spans="1:20" x14ac:dyDescent="0.25">
      <c r="A462" t="s">
        <v>750</v>
      </c>
      <c r="B462" t="s">
        <v>751</v>
      </c>
      <c r="C462" t="s">
        <v>396</v>
      </c>
      <c r="D462" s="1">
        <v>44796</v>
      </c>
      <c r="E462">
        <v>10</v>
      </c>
      <c r="F462">
        <v>64.533394148140005</v>
      </c>
      <c r="G462" s="1">
        <v>44819</v>
      </c>
      <c r="H462" s="1">
        <v>44825</v>
      </c>
      <c r="I462">
        <v>645.33394148139996</v>
      </c>
      <c r="J462">
        <f t="shared" si="42"/>
        <v>6</v>
      </c>
      <c r="K462" t="str">
        <f>VLOOKUP(B462,Raw_Suppliers!$A$2:$G$101,2,FALSE)</f>
        <v>Nano Vertex LLC</v>
      </c>
      <c r="L462" t="str">
        <f>VLOOKUP(B462,Raw_Suppliers!$A$2:$G$101,3,FALSE)</f>
        <v>China</v>
      </c>
      <c r="M462" t="str">
        <f>VLOOKUP(B462,Raw_Suppliers!$A$2:$G$101,4,FALSE)</f>
        <v>North</v>
      </c>
      <c r="N462" t="str">
        <f>VLOOKUP(B462,Raw_Suppliers!$A$2:$G$101,6,FALSE)</f>
        <v>ISO 9001</v>
      </c>
      <c r="O462">
        <f>VLOOKUP(B462,Raw_Suppliers!$A$2:$G$101,7,FALSE)</f>
        <v>1</v>
      </c>
      <c r="P462" t="str">
        <f t="shared" si="43"/>
        <v>Yes</v>
      </c>
      <c r="Q462">
        <f t="shared" si="44"/>
        <v>0</v>
      </c>
      <c r="R462" t="str">
        <f t="shared" si="45"/>
        <v>Late</v>
      </c>
      <c r="S462">
        <f t="shared" si="46"/>
        <v>2022</v>
      </c>
      <c r="T462">
        <f t="shared" si="47"/>
        <v>8</v>
      </c>
    </row>
    <row r="463" spans="1:20" x14ac:dyDescent="0.25">
      <c r="A463" t="s">
        <v>752</v>
      </c>
      <c r="B463" t="s">
        <v>174</v>
      </c>
      <c r="C463" t="s">
        <v>268</v>
      </c>
      <c r="D463" s="1">
        <v>44238</v>
      </c>
      <c r="E463">
        <v>16</v>
      </c>
      <c r="F463">
        <v>45.291430467186501</v>
      </c>
      <c r="G463" s="1">
        <v>44251</v>
      </c>
      <c r="H463" s="1">
        <v>44253</v>
      </c>
      <c r="I463">
        <v>724.66288747498402</v>
      </c>
      <c r="J463">
        <f t="shared" si="42"/>
        <v>2</v>
      </c>
      <c r="K463" t="str">
        <f>VLOOKUP(B463,Raw_Suppliers!$A$2:$G$101,2,FALSE)</f>
        <v>Quantum Eco LLC</v>
      </c>
      <c r="L463" t="str">
        <f>VLOOKUP(B463,Raw_Suppliers!$A$2:$G$101,3,FALSE)</f>
        <v>Denmark</v>
      </c>
      <c r="M463" t="str">
        <f>VLOOKUP(B463,Raw_Suppliers!$A$2:$G$101,4,FALSE)</f>
        <v>East</v>
      </c>
      <c r="N463" t="str">
        <f>VLOOKUP(B463,Raw_Suppliers!$A$2:$G$101,6,FALSE)</f>
        <v>ISO 9001</v>
      </c>
      <c r="O463">
        <f>VLOOKUP(B463,Raw_Suppliers!$A$2:$G$101,7,FALSE)</f>
        <v>1</v>
      </c>
      <c r="P463" t="str">
        <f t="shared" si="43"/>
        <v>Yes</v>
      </c>
      <c r="Q463">
        <f t="shared" si="44"/>
        <v>0</v>
      </c>
      <c r="R463" t="str">
        <f t="shared" si="45"/>
        <v>Late</v>
      </c>
      <c r="S463">
        <f t="shared" si="46"/>
        <v>2021</v>
      </c>
      <c r="T463">
        <f t="shared" si="47"/>
        <v>2</v>
      </c>
    </row>
    <row r="464" spans="1:20" x14ac:dyDescent="0.25">
      <c r="A464" t="s">
        <v>753</v>
      </c>
      <c r="B464" t="s">
        <v>130</v>
      </c>
      <c r="C464" t="s">
        <v>281</v>
      </c>
      <c r="D464" s="1">
        <v>45274</v>
      </c>
      <c r="E464">
        <v>15</v>
      </c>
      <c r="F464">
        <v>55.316271914808503</v>
      </c>
      <c r="G464" s="1">
        <v>45292</v>
      </c>
      <c r="H464" s="1">
        <v>45291</v>
      </c>
      <c r="I464">
        <v>829.74407872212805</v>
      </c>
      <c r="J464">
        <f t="shared" si="42"/>
        <v>-1</v>
      </c>
      <c r="K464" t="str">
        <f>VLOOKUP(B464,Raw_Suppliers!$A$2:$G$101,2,FALSE)</f>
        <v>Beta Gamma Corp</v>
      </c>
      <c r="L464" t="str">
        <f>VLOOKUP(B464,Raw_Suppliers!$A$2:$G$101,3,FALSE)</f>
        <v>USA</v>
      </c>
      <c r="M464" t="str">
        <f>VLOOKUP(B464,Raw_Suppliers!$A$2:$G$101,4,FALSE)</f>
        <v>West</v>
      </c>
      <c r="N464" t="str">
        <f>VLOOKUP(B464,Raw_Suppliers!$A$2:$G$101,6,FALSE)</f>
        <v>None</v>
      </c>
      <c r="O464">
        <f>VLOOKUP(B464,Raw_Suppliers!$A$2:$G$101,7,FALSE)</f>
        <v>0</v>
      </c>
      <c r="P464" t="str">
        <f t="shared" si="43"/>
        <v>No</v>
      </c>
      <c r="Q464">
        <f t="shared" si="44"/>
        <v>1</v>
      </c>
      <c r="R464" t="str">
        <f t="shared" si="45"/>
        <v>On Time</v>
      </c>
      <c r="S464">
        <f t="shared" si="46"/>
        <v>2023</v>
      </c>
      <c r="T464">
        <f t="shared" si="47"/>
        <v>12</v>
      </c>
    </row>
    <row r="465" spans="1:20" x14ac:dyDescent="0.25">
      <c r="A465" t="s">
        <v>754</v>
      </c>
      <c r="B465" t="s">
        <v>288</v>
      </c>
      <c r="C465" t="s">
        <v>131</v>
      </c>
      <c r="D465" s="1">
        <v>45124</v>
      </c>
      <c r="E465">
        <v>11</v>
      </c>
      <c r="F465">
        <v>8.5556294173401408</v>
      </c>
      <c r="G465" s="1">
        <v>45141</v>
      </c>
      <c r="H465" s="1">
        <v>45141</v>
      </c>
      <c r="I465">
        <v>94.111923590741597</v>
      </c>
      <c r="J465">
        <f t="shared" si="42"/>
        <v>0</v>
      </c>
      <c r="K465" t="str">
        <f>VLOOKUP(B465,Raw_Suppliers!$A$2:$G$101,2,FALSE)</f>
        <v>Alpha Beta LLC</v>
      </c>
      <c r="L465" t="str">
        <f>VLOOKUP(B465,Raw_Suppliers!$A$2:$G$101,3,FALSE)</f>
        <v>India</v>
      </c>
      <c r="M465" t="str">
        <f>VLOOKUP(B465,Raw_Suppliers!$A$2:$G$101,4,FALSE)</f>
        <v>West</v>
      </c>
      <c r="N465" t="str">
        <f>VLOOKUP(B465,Raw_Suppliers!$A$2:$G$101,6,FALSE)</f>
        <v>ISO 45001</v>
      </c>
      <c r="O465">
        <f>VLOOKUP(B465,Raw_Suppliers!$A$2:$G$101,7,FALSE)</f>
        <v>0</v>
      </c>
      <c r="P465" t="str">
        <f t="shared" si="43"/>
        <v>No</v>
      </c>
      <c r="Q465">
        <f t="shared" si="44"/>
        <v>1</v>
      </c>
      <c r="R465" t="str">
        <f t="shared" si="45"/>
        <v>On Time</v>
      </c>
      <c r="S465">
        <f t="shared" si="46"/>
        <v>2023</v>
      </c>
      <c r="T465">
        <f t="shared" si="47"/>
        <v>7</v>
      </c>
    </row>
    <row r="466" spans="1:20" x14ac:dyDescent="0.25">
      <c r="A466" t="s">
        <v>755</v>
      </c>
      <c r="B466" t="s">
        <v>96</v>
      </c>
      <c r="C466" t="s">
        <v>495</v>
      </c>
      <c r="D466" s="1">
        <v>44984</v>
      </c>
      <c r="E466">
        <v>11</v>
      </c>
      <c r="F466">
        <v>10.419651811877101</v>
      </c>
      <c r="G466" s="1">
        <v>44999</v>
      </c>
      <c r="H466" s="1">
        <v>45005</v>
      </c>
      <c r="I466">
        <v>114.616169930648</v>
      </c>
      <c r="J466">
        <f t="shared" si="42"/>
        <v>6</v>
      </c>
      <c r="K466" t="str">
        <f>VLOOKUP(B466,Raw_Suppliers!$A$2:$G$101,2,FALSE)</f>
        <v>Alpha Nova Ltd</v>
      </c>
      <c r="L466" t="str">
        <f>VLOOKUP(B466,Raw_Suppliers!$A$2:$G$101,3,FALSE)</f>
        <v>UK</v>
      </c>
      <c r="M466" t="str">
        <f>VLOOKUP(B466,Raw_Suppliers!$A$2:$G$101,4,FALSE)</f>
        <v>West</v>
      </c>
      <c r="N466" t="str">
        <f>VLOOKUP(B466,Raw_Suppliers!$A$2:$G$101,6,FALSE)</f>
        <v>ISO 14001</v>
      </c>
      <c r="O466">
        <f>VLOOKUP(B466,Raw_Suppliers!$A$2:$G$101,7,FALSE)</f>
        <v>0</v>
      </c>
      <c r="P466" t="str">
        <f t="shared" si="43"/>
        <v>No</v>
      </c>
      <c r="Q466">
        <f t="shared" si="44"/>
        <v>0</v>
      </c>
      <c r="R466" t="str">
        <f t="shared" si="45"/>
        <v>Late</v>
      </c>
      <c r="S466">
        <f t="shared" si="46"/>
        <v>2023</v>
      </c>
      <c r="T466">
        <f t="shared" si="47"/>
        <v>2</v>
      </c>
    </row>
    <row r="467" spans="1:20" x14ac:dyDescent="0.25">
      <c r="A467" t="s">
        <v>756</v>
      </c>
      <c r="B467" t="s">
        <v>10</v>
      </c>
      <c r="C467" t="s">
        <v>251</v>
      </c>
      <c r="D467" s="1">
        <v>44277</v>
      </c>
      <c r="E467">
        <v>9</v>
      </c>
      <c r="F467">
        <v>56.051303579535798</v>
      </c>
      <c r="G467" s="1">
        <v>44300</v>
      </c>
      <c r="H467" s="1">
        <v>44298</v>
      </c>
      <c r="I467">
        <v>504.461732215822</v>
      </c>
      <c r="J467">
        <f t="shared" si="42"/>
        <v>-2</v>
      </c>
      <c r="K467" t="str">
        <f>VLOOKUP(B467,Raw_Suppliers!$A$2:$G$101,2,FALSE)</f>
        <v>Vertex Beta GmbH</v>
      </c>
      <c r="L467" t="str">
        <f>VLOOKUP(B467,Raw_Suppliers!$A$2:$G$101,3,FALSE)</f>
        <v>India</v>
      </c>
      <c r="M467" t="str">
        <f>VLOOKUP(B467,Raw_Suppliers!$A$2:$G$101,4,FALSE)</f>
        <v>North</v>
      </c>
      <c r="N467" t="str">
        <f>VLOOKUP(B467,Raw_Suppliers!$A$2:$G$101,6,FALSE)</f>
        <v>ISO 14001</v>
      </c>
      <c r="O467">
        <f>VLOOKUP(B467,Raw_Suppliers!$A$2:$G$101,7,FALSE)</f>
        <v>0</v>
      </c>
      <c r="P467" t="str">
        <f t="shared" si="43"/>
        <v>No</v>
      </c>
      <c r="Q467">
        <f t="shared" si="44"/>
        <v>1</v>
      </c>
      <c r="R467" t="str">
        <f t="shared" si="45"/>
        <v>On Time</v>
      </c>
      <c r="S467">
        <f t="shared" si="46"/>
        <v>2021</v>
      </c>
      <c r="T467">
        <f t="shared" si="47"/>
        <v>3</v>
      </c>
    </row>
    <row r="468" spans="1:20" x14ac:dyDescent="0.25">
      <c r="A468" t="s">
        <v>757</v>
      </c>
      <c r="B468" t="s">
        <v>135</v>
      </c>
      <c r="C468" t="s">
        <v>748</v>
      </c>
      <c r="D468" s="1">
        <v>44620</v>
      </c>
      <c r="E468">
        <v>10</v>
      </c>
      <c r="F468">
        <v>47.7200874253272</v>
      </c>
      <c r="G468" s="1">
        <v>44630</v>
      </c>
      <c r="H468" s="1">
        <v>44628</v>
      </c>
      <c r="I468">
        <v>477.20087425327199</v>
      </c>
      <c r="J468">
        <f t="shared" si="42"/>
        <v>-2</v>
      </c>
      <c r="K468" t="str">
        <f>VLOOKUP(B468,Raw_Suppliers!$A$2:$G$101,2,FALSE)</f>
        <v>Alpha Prime Ltd</v>
      </c>
      <c r="L468" t="str">
        <f>VLOOKUP(B468,Raw_Suppliers!$A$2:$G$101,3,FALSE)</f>
        <v>UK</v>
      </c>
      <c r="M468" t="str">
        <f>VLOOKUP(B468,Raw_Suppliers!$A$2:$G$101,4,FALSE)</f>
        <v>East</v>
      </c>
      <c r="N468" t="str">
        <f>VLOOKUP(B468,Raw_Suppliers!$A$2:$G$101,6,FALSE)</f>
        <v>None</v>
      </c>
      <c r="O468">
        <f>VLOOKUP(B468,Raw_Suppliers!$A$2:$G$101,7,FALSE)</f>
        <v>1</v>
      </c>
      <c r="P468" t="str">
        <f t="shared" si="43"/>
        <v>Yes</v>
      </c>
      <c r="Q468">
        <f t="shared" si="44"/>
        <v>1</v>
      </c>
      <c r="R468" t="str">
        <f t="shared" si="45"/>
        <v>On Time</v>
      </c>
      <c r="S468">
        <f t="shared" si="46"/>
        <v>2022</v>
      </c>
      <c r="T468">
        <f t="shared" si="47"/>
        <v>2</v>
      </c>
    </row>
    <row r="469" spans="1:20" x14ac:dyDescent="0.25">
      <c r="A469" t="s">
        <v>758</v>
      </c>
      <c r="B469" t="s">
        <v>564</v>
      </c>
      <c r="C469" t="s">
        <v>759</v>
      </c>
      <c r="D469" s="1">
        <v>44962</v>
      </c>
      <c r="E469">
        <v>10</v>
      </c>
      <c r="F469">
        <v>30.1010818390642</v>
      </c>
      <c r="G469" s="1">
        <v>44975</v>
      </c>
      <c r="H469" s="1">
        <v>44981</v>
      </c>
      <c r="I469">
        <v>301.01081839064199</v>
      </c>
      <c r="J469">
        <f t="shared" si="42"/>
        <v>6</v>
      </c>
      <c r="K469" t="str">
        <f>VLOOKUP(B469,Raw_Suppliers!$A$2:$G$101,2,FALSE)</f>
        <v>Ultra Ultra GmbH</v>
      </c>
      <c r="L469" t="str">
        <f>VLOOKUP(B469,Raw_Suppliers!$A$2:$G$101,3,FALSE)</f>
        <v>India</v>
      </c>
      <c r="M469" t="str">
        <f>VLOOKUP(B469,Raw_Suppliers!$A$2:$G$101,4,FALSE)</f>
        <v>Central</v>
      </c>
      <c r="N469" t="str">
        <f>VLOOKUP(B469,Raw_Suppliers!$A$2:$G$101,6,FALSE)</f>
        <v>ISO 14001</v>
      </c>
      <c r="O469">
        <f>VLOOKUP(B469,Raw_Suppliers!$A$2:$G$101,7,FALSE)</f>
        <v>1</v>
      </c>
      <c r="P469" t="str">
        <f t="shared" si="43"/>
        <v>Yes</v>
      </c>
      <c r="Q469">
        <f t="shared" si="44"/>
        <v>0</v>
      </c>
      <c r="R469" t="str">
        <f t="shared" si="45"/>
        <v>Late</v>
      </c>
      <c r="S469">
        <f t="shared" si="46"/>
        <v>2023</v>
      </c>
      <c r="T469">
        <f t="shared" si="47"/>
        <v>2</v>
      </c>
    </row>
    <row r="470" spans="1:20" x14ac:dyDescent="0.25">
      <c r="A470" t="s">
        <v>760</v>
      </c>
      <c r="B470" t="s">
        <v>61</v>
      </c>
      <c r="C470" t="s">
        <v>281</v>
      </c>
      <c r="D470" s="1">
        <v>44406</v>
      </c>
      <c r="E470">
        <v>12</v>
      </c>
      <c r="F470">
        <v>71.428141746603302</v>
      </c>
      <c r="G470" s="1">
        <v>44418</v>
      </c>
      <c r="H470" s="1">
        <v>44420</v>
      </c>
      <c r="I470">
        <v>857.13770095923906</v>
      </c>
      <c r="J470">
        <f t="shared" si="42"/>
        <v>2</v>
      </c>
      <c r="K470" t="str">
        <f>VLOOKUP(B470,Raw_Suppliers!$A$2:$G$101,2,FALSE)</f>
        <v>Ultra Gamma LLC</v>
      </c>
      <c r="L470" t="str">
        <f>VLOOKUP(B470,Raw_Suppliers!$A$2:$G$101,3,FALSE)</f>
        <v>Canada</v>
      </c>
      <c r="M470" t="str">
        <f>VLOOKUP(B470,Raw_Suppliers!$A$2:$G$101,4,FALSE)</f>
        <v>North</v>
      </c>
      <c r="N470" t="str">
        <f>VLOOKUP(B470,Raw_Suppliers!$A$2:$G$101,6,FALSE)</f>
        <v>ISO 9001</v>
      </c>
      <c r="O470">
        <f>VLOOKUP(B470,Raw_Suppliers!$A$2:$G$101,7,FALSE)</f>
        <v>1</v>
      </c>
      <c r="P470" t="str">
        <f t="shared" si="43"/>
        <v>Yes</v>
      </c>
      <c r="Q470">
        <f t="shared" si="44"/>
        <v>0</v>
      </c>
      <c r="R470" t="str">
        <f t="shared" si="45"/>
        <v>Late</v>
      </c>
      <c r="S470">
        <f t="shared" si="46"/>
        <v>2021</v>
      </c>
      <c r="T470">
        <f t="shared" si="47"/>
        <v>7</v>
      </c>
    </row>
    <row r="471" spans="1:20" x14ac:dyDescent="0.25">
      <c r="A471" t="s">
        <v>761</v>
      </c>
      <c r="B471" t="s">
        <v>324</v>
      </c>
      <c r="C471" t="s">
        <v>402</v>
      </c>
      <c r="D471" s="1">
        <v>45113</v>
      </c>
      <c r="E471">
        <v>14</v>
      </c>
      <c r="F471">
        <v>58.136761708081103</v>
      </c>
      <c r="G471" s="1">
        <v>45133</v>
      </c>
      <c r="H471" s="1">
        <v>45132</v>
      </c>
      <c r="I471">
        <v>813.914663913136</v>
      </c>
      <c r="J471">
        <f t="shared" si="42"/>
        <v>-1</v>
      </c>
      <c r="K471" t="str">
        <f>VLOOKUP(B471,Raw_Suppliers!$A$2:$G$101,2,FALSE)</f>
        <v>Gamma Nano Corp</v>
      </c>
      <c r="L471" t="str">
        <f>VLOOKUP(B471,Raw_Suppliers!$A$2:$G$101,3,FALSE)</f>
        <v>Germany</v>
      </c>
      <c r="M471" t="str">
        <f>VLOOKUP(B471,Raw_Suppliers!$A$2:$G$101,4,FALSE)</f>
        <v>West</v>
      </c>
      <c r="N471" t="str">
        <f>VLOOKUP(B471,Raw_Suppliers!$A$2:$G$101,6,FALSE)</f>
        <v>ISO 9001</v>
      </c>
      <c r="O471">
        <f>VLOOKUP(B471,Raw_Suppliers!$A$2:$G$101,7,FALSE)</f>
        <v>0</v>
      </c>
      <c r="P471" t="str">
        <f t="shared" si="43"/>
        <v>No</v>
      </c>
      <c r="Q471">
        <f t="shared" si="44"/>
        <v>1</v>
      </c>
      <c r="R471" t="str">
        <f t="shared" si="45"/>
        <v>On Time</v>
      </c>
      <c r="S471">
        <f t="shared" si="46"/>
        <v>2023</v>
      </c>
      <c r="T471">
        <f t="shared" si="47"/>
        <v>7</v>
      </c>
    </row>
    <row r="472" spans="1:20" x14ac:dyDescent="0.25">
      <c r="A472" t="s">
        <v>762</v>
      </c>
      <c r="B472" t="s">
        <v>82</v>
      </c>
      <c r="C472" t="s">
        <v>763</v>
      </c>
      <c r="D472" s="1">
        <v>45274</v>
      </c>
      <c r="E472">
        <v>13</v>
      </c>
      <c r="F472">
        <v>28.437389326673799</v>
      </c>
      <c r="G472" s="1">
        <v>45291</v>
      </c>
      <c r="H472" s="1">
        <v>45296</v>
      </c>
      <c r="I472">
        <v>369.68606124676</v>
      </c>
      <c r="J472">
        <f t="shared" si="42"/>
        <v>5</v>
      </c>
      <c r="K472" t="str">
        <f>VLOOKUP(B472,Raw_Suppliers!$A$2:$G$101,2,FALSE)</f>
        <v>Gamma Quantum LLC</v>
      </c>
      <c r="L472" t="str">
        <f>VLOOKUP(B472,Raw_Suppliers!$A$2:$G$101,3,FALSE)</f>
        <v>Canada</v>
      </c>
      <c r="M472" t="str">
        <f>VLOOKUP(B472,Raw_Suppliers!$A$2:$G$101,4,FALSE)</f>
        <v>Central</v>
      </c>
      <c r="N472" t="str">
        <f>VLOOKUP(B472,Raw_Suppliers!$A$2:$G$101,6,FALSE)</f>
        <v>None</v>
      </c>
      <c r="O472">
        <f>VLOOKUP(B472,Raw_Suppliers!$A$2:$G$101,7,FALSE)</f>
        <v>1</v>
      </c>
      <c r="P472" t="str">
        <f t="shared" si="43"/>
        <v>Yes</v>
      </c>
      <c r="Q472">
        <f t="shared" si="44"/>
        <v>0</v>
      </c>
      <c r="R472" t="str">
        <f t="shared" si="45"/>
        <v>Late</v>
      </c>
      <c r="S472">
        <f t="shared" si="46"/>
        <v>2023</v>
      </c>
      <c r="T472">
        <f t="shared" si="47"/>
        <v>12</v>
      </c>
    </row>
    <row r="473" spans="1:20" x14ac:dyDescent="0.25">
      <c r="A473" t="s">
        <v>764</v>
      </c>
      <c r="B473" t="s">
        <v>43</v>
      </c>
      <c r="C473" t="s">
        <v>765</v>
      </c>
      <c r="D473" s="1">
        <v>44906</v>
      </c>
      <c r="E473">
        <v>12</v>
      </c>
      <c r="F473">
        <v>19.7375151714438</v>
      </c>
      <c r="G473" s="1">
        <v>44925</v>
      </c>
      <c r="H473" s="1">
        <v>44922</v>
      </c>
      <c r="I473">
        <v>236.85018205732601</v>
      </c>
      <c r="J473">
        <f t="shared" si="42"/>
        <v>-3</v>
      </c>
      <c r="K473" t="str">
        <f>VLOOKUP(B473,Raw_Suppliers!$A$2:$G$101,2,FALSE)</f>
        <v>Alpha Ultra Corp</v>
      </c>
      <c r="L473" t="str">
        <f>VLOOKUP(B473,Raw_Suppliers!$A$2:$G$101,3,FALSE)</f>
        <v>USA</v>
      </c>
      <c r="M473" t="str">
        <f>VLOOKUP(B473,Raw_Suppliers!$A$2:$G$101,4,FALSE)</f>
        <v>Central</v>
      </c>
      <c r="N473" t="str">
        <f>VLOOKUP(B473,Raw_Suppliers!$A$2:$G$101,6,FALSE)</f>
        <v>ISO 9001</v>
      </c>
      <c r="O473">
        <f>VLOOKUP(B473,Raw_Suppliers!$A$2:$G$101,7,FALSE)</f>
        <v>1</v>
      </c>
      <c r="P473" t="str">
        <f t="shared" si="43"/>
        <v>Yes</v>
      </c>
      <c r="Q473">
        <f t="shared" si="44"/>
        <v>1</v>
      </c>
      <c r="R473" t="str">
        <f t="shared" si="45"/>
        <v>On Time</v>
      </c>
      <c r="S473">
        <f t="shared" si="46"/>
        <v>2022</v>
      </c>
      <c r="T473">
        <f t="shared" si="47"/>
        <v>12</v>
      </c>
    </row>
    <row r="474" spans="1:20" x14ac:dyDescent="0.25">
      <c r="A474" t="s">
        <v>766</v>
      </c>
      <c r="B474" t="s">
        <v>205</v>
      </c>
      <c r="C474" t="s">
        <v>370</v>
      </c>
      <c r="D474" s="1">
        <v>44931</v>
      </c>
      <c r="E474">
        <v>14</v>
      </c>
      <c r="F474">
        <v>44.082646103096998</v>
      </c>
      <c r="G474" s="1">
        <v>44942</v>
      </c>
      <c r="H474" s="1">
        <v>44942</v>
      </c>
      <c r="I474">
        <v>617.15704544335802</v>
      </c>
      <c r="J474">
        <f t="shared" si="42"/>
        <v>0</v>
      </c>
      <c r="K474" t="str">
        <f>VLOOKUP(B474,Raw_Suppliers!$A$2:$G$101,2,FALSE)</f>
        <v>Ultra Eco LLC</v>
      </c>
      <c r="L474" t="str">
        <f>VLOOKUP(B474,Raw_Suppliers!$A$2:$G$101,3,FALSE)</f>
        <v>China</v>
      </c>
      <c r="M474" t="str">
        <f>VLOOKUP(B474,Raw_Suppliers!$A$2:$G$101,4,FALSE)</f>
        <v>South</v>
      </c>
      <c r="N474" t="str">
        <f>VLOOKUP(B474,Raw_Suppliers!$A$2:$G$101,6,FALSE)</f>
        <v>ISO 14001</v>
      </c>
      <c r="O474">
        <f>VLOOKUP(B474,Raw_Suppliers!$A$2:$G$101,7,FALSE)</f>
        <v>1</v>
      </c>
      <c r="P474" t="str">
        <f t="shared" si="43"/>
        <v>Yes</v>
      </c>
      <c r="Q474">
        <f t="shared" si="44"/>
        <v>1</v>
      </c>
      <c r="R474" t="str">
        <f t="shared" si="45"/>
        <v>On Time</v>
      </c>
      <c r="S474">
        <f t="shared" si="46"/>
        <v>2023</v>
      </c>
      <c r="T474">
        <f t="shared" si="47"/>
        <v>1</v>
      </c>
    </row>
    <row r="475" spans="1:20" x14ac:dyDescent="0.25">
      <c r="A475" t="s">
        <v>767</v>
      </c>
      <c r="B475" t="s">
        <v>475</v>
      </c>
      <c r="C475" t="s">
        <v>11</v>
      </c>
      <c r="D475" s="1">
        <v>44227</v>
      </c>
      <c r="E475">
        <v>10</v>
      </c>
      <c r="F475">
        <v>63.542529323189797</v>
      </c>
      <c r="G475" s="1">
        <v>44240</v>
      </c>
      <c r="H475" s="1">
        <v>44238</v>
      </c>
      <c r="I475">
        <v>635.42529323189797</v>
      </c>
      <c r="J475">
        <f t="shared" si="42"/>
        <v>-2</v>
      </c>
      <c r="K475" t="str">
        <f>VLOOKUP(B475,Raw_Suppliers!$A$2:$G$101,2,FALSE)</f>
        <v>Ultra Delta LLC</v>
      </c>
      <c r="L475" t="str">
        <f>VLOOKUP(B475,Raw_Suppliers!$A$2:$G$101,3,FALSE)</f>
        <v>UK</v>
      </c>
      <c r="M475" t="str">
        <f>VLOOKUP(B475,Raw_Suppliers!$A$2:$G$101,4,FALSE)</f>
        <v>North</v>
      </c>
      <c r="N475" t="str">
        <f>VLOOKUP(B475,Raw_Suppliers!$A$2:$G$101,6,FALSE)</f>
        <v>None</v>
      </c>
      <c r="O475">
        <f>VLOOKUP(B475,Raw_Suppliers!$A$2:$G$101,7,FALSE)</f>
        <v>1</v>
      </c>
      <c r="P475" t="str">
        <f t="shared" si="43"/>
        <v>Yes</v>
      </c>
      <c r="Q475">
        <f t="shared" si="44"/>
        <v>1</v>
      </c>
      <c r="R475" t="str">
        <f t="shared" si="45"/>
        <v>On Time</v>
      </c>
      <c r="S475">
        <f t="shared" si="46"/>
        <v>2021</v>
      </c>
      <c r="T475">
        <f t="shared" si="47"/>
        <v>1</v>
      </c>
    </row>
    <row r="476" spans="1:20" x14ac:dyDescent="0.25">
      <c r="A476" t="s">
        <v>768</v>
      </c>
      <c r="B476" t="s">
        <v>154</v>
      </c>
      <c r="C476" t="s">
        <v>177</v>
      </c>
      <c r="D476" s="1">
        <v>44663</v>
      </c>
      <c r="E476">
        <v>10</v>
      </c>
      <c r="F476">
        <v>52.250128102868899</v>
      </c>
      <c r="G476" s="1">
        <v>44684</v>
      </c>
      <c r="H476" s="1">
        <v>44681</v>
      </c>
      <c r="I476">
        <v>522.50128102868905</v>
      </c>
      <c r="J476">
        <f t="shared" si="42"/>
        <v>-3</v>
      </c>
      <c r="K476" t="str">
        <f>VLOOKUP(B476,Raw_Suppliers!$A$2:$G$101,2,FALSE)</f>
        <v>Apex Ultra Ltd</v>
      </c>
      <c r="L476" t="str">
        <f>VLOOKUP(B476,Raw_Suppliers!$A$2:$G$101,3,FALSE)</f>
        <v>Canada</v>
      </c>
      <c r="M476" t="str">
        <f>VLOOKUP(B476,Raw_Suppliers!$A$2:$G$101,4,FALSE)</f>
        <v>West</v>
      </c>
      <c r="N476" t="str">
        <f>VLOOKUP(B476,Raw_Suppliers!$A$2:$G$101,6,FALSE)</f>
        <v>None</v>
      </c>
      <c r="O476">
        <f>VLOOKUP(B476,Raw_Suppliers!$A$2:$G$101,7,FALSE)</f>
        <v>1</v>
      </c>
      <c r="P476" t="str">
        <f t="shared" si="43"/>
        <v>Yes</v>
      </c>
      <c r="Q476">
        <f t="shared" si="44"/>
        <v>1</v>
      </c>
      <c r="R476" t="str">
        <f t="shared" si="45"/>
        <v>On Time</v>
      </c>
      <c r="S476">
        <f t="shared" si="46"/>
        <v>2022</v>
      </c>
      <c r="T476">
        <f t="shared" si="47"/>
        <v>4</v>
      </c>
    </row>
    <row r="477" spans="1:20" x14ac:dyDescent="0.25">
      <c r="A477" t="s">
        <v>769</v>
      </c>
      <c r="B477" t="s">
        <v>293</v>
      </c>
      <c r="C477" t="s">
        <v>184</v>
      </c>
      <c r="D477" s="1">
        <v>45034</v>
      </c>
      <c r="E477">
        <v>14</v>
      </c>
      <c r="F477">
        <v>51.8332013936975</v>
      </c>
      <c r="G477" s="1">
        <v>45057</v>
      </c>
      <c r="H477" s="1">
        <v>45058</v>
      </c>
      <c r="I477">
        <v>725.66481951176502</v>
      </c>
      <c r="J477">
        <f t="shared" si="42"/>
        <v>1</v>
      </c>
      <c r="K477" t="str">
        <f>VLOOKUP(B477,Raw_Suppliers!$A$2:$G$101,2,FALSE)</f>
        <v>Fusion Apex LLC</v>
      </c>
      <c r="L477" t="str">
        <f>VLOOKUP(B477,Raw_Suppliers!$A$2:$G$101,3,FALSE)</f>
        <v>India</v>
      </c>
      <c r="M477" t="str">
        <f>VLOOKUP(B477,Raw_Suppliers!$A$2:$G$101,4,FALSE)</f>
        <v>Central</v>
      </c>
      <c r="N477" t="str">
        <f>VLOOKUP(B477,Raw_Suppliers!$A$2:$G$101,6,FALSE)</f>
        <v>ISO 14001</v>
      </c>
      <c r="O477">
        <f>VLOOKUP(B477,Raw_Suppliers!$A$2:$G$101,7,FALSE)</f>
        <v>1</v>
      </c>
      <c r="P477" t="str">
        <f t="shared" si="43"/>
        <v>Yes</v>
      </c>
      <c r="Q477">
        <f t="shared" si="44"/>
        <v>0</v>
      </c>
      <c r="R477" t="str">
        <f t="shared" si="45"/>
        <v>Late</v>
      </c>
      <c r="S477">
        <f t="shared" si="46"/>
        <v>2023</v>
      </c>
      <c r="T477">
        <f t="shared" si="47"/>
        <v>4</v>
      </c>
    </row>
    <row r="478" spans="1:20" x14ac:dyDescent="0.25">
      <c r="A478" t="s">
        <v>770</v>
      </c>
      <c r="B478" t="s">
        <v>194</v>
      </c>
      <c r="C478" t="s">
        <v>304</v>
      </c>
      <c r="D478" s="1">
        <v>44251</v>
      </c>
      <c r="E478">
        <v>7</v>
      </c>
      <c r="F478">
        <v>31.206183673390999</v>
      </c>
      <c r="G478" s="1">
        <v>44262</v>
      </c>
      <c r="H478" s="1">
        <v>44259</v>
      </c>
      <c r="I478">
        <v>218.443285713737</v>
      </c>
      <c r="J478">
        <f t="shared" si="42"/>
        <v>-3</v>
      </c>
      <c r="K478" t="str">
        <f>VLOOKUP(B478,Raw_Suppliers!$A$2:$G$101,2,FALSE)</f>
        <v>Eco Pioneer Corp</v>
      </c>
      <c r="L478" t="str">
        <f>VLOOKUP(B478,Raw_Suppliers!$A$2:$G$101,3,FALSE)</f>
        <v>China</v>
      </c>
      <c r="M478" t="str">
        <f>VLOOKUP(B478,Raw_Suppliers!$A$2:$G$101,4,FALSE)</f>
        <v>East</v>
      </c>
      <c r="N478" t="str">
        <f>VLOOKUP(B478,Raw_Suppliers!$A$2:$G$101,6,FALSE)</f>
        <v>ISO 14001</v>
      </c>
      <c r="O478">
        <f>VLOOKUP(B478,Raw_Suppliers!$A$2:$G$101,7,FALSE)</f>
        <v>1</v>
      </c>
      <c r="P478" t="str">
        <f t="shared" si="43"/>
        <v>Yes</v>
      </c>
      <c r="Q478">
        <f t="shared" si="44"/>
        <v>1</v>
      </c>
      <c r="R478" t="str">
        <f t="shared" si="45"/>
        <v>On Time</v>
      </c>
      <c r="S478">
        <f t="shared" si="46"/>
        <v>2021</v>
      </c>
      <c r="T478">
        <f t="shared" si="47"/>
        <v>2</v>
      </c>
    </row>
    <row r="479" spans="1:20" x14ac:dyDescent="0.25">
      <c r="A479" t="s">
        <v>771</v>
      </c>
      <c r="B479" t="s">
        <v>25</v>
      </c>
      <c r="C479" t="s">
        <v>208</v>
      </c>
      <c r="D479" s="1">
        <v>44857</v>
      </c>
      <c r="E479">
        <v>6</v>
      </c>
      <c r="F479">
        <v>20.473486013183098</v>
      </c>
      <c r="G479" s="1">
        <v>44872</v>
      </c>
      <c r="H479" s="1">
        <v>44870</v>
      </c>
      <c r="I479">
        <v>122.84091607909799</v>
      </c>
      <c r="J479">
        <f t="shared" si="42"/>
        <v>-2</v>
      </c>
      <c r="K479" t="str">
        <f>VLOOKUP(B479,Raw_Suppliers!$A$2:$G$101,2,FALSE)</f>
        <v>Quantum Fusion Corp</v>
      </c>
      <c r="L479" t="str">
        <f>VLOOKUP(B479,Raw_Suppliers!$A$2:$G$101,3,FALSE)</f>
        <v>UK</v>
      </c>
      <c r="M479" t="str">
        <f>VLOOKUP(B479,Raw_Suppliers!$A$2:$G$101,4,FALSE)</f>
        <v>North</v>
      </c>
      <c r="N479" t="str">
        <f>VLOOKUP(B479,Raw_Suppliers!$A$2:$G$101,6,FALSE)</f>
        <v>ISO 9001</v>
      </c>
      <c r="O479">
        <f>VLOOKUP(B479,Raw_Suppliers!$A$2:$G$101,7,FALSE)</f>
        <v>0</v>
      </c>
      <c r="P479" t="str">
        <f t="shared" si="43"/>
        <v>No</v>
      </c>
      <c r="Q479">
        <f t="shared" si="44"/>
        <v>1</v>
      </c>
      <c r="R479" t="str">
        <f t="shared" si="45"/>
        <v>On Time</v>
      </c>
      <c r="S479">
        <f t="shared" si="46"/>
        <v>2022</v>
      </c>
      <c r="T479">
        <f t="shared" si="47"/>
        <v>10</v>
      </c>
    </row>
    <row r="480" spans="1:20" x14ac:dyDescent="0.25">
      <c r="A480" t="s">
        <v>772</v>
      </c>
      <c r="B480" t="s">
        <v>76</v>
      </c>
      <c r="C480" t="s">
        <v>437</v>
      </c>
      <c r="D480" s="1">
        <v>44923</v>
      </c>
      <c r="E480">
        <v>11</v>
      </c>
      <c r="F480">
        <v>3.3954945593600101</v>
      </c>
      <c r="G480" s="1">
        <v>44939</v>
      </c>
      <c r="H480" s="1">
        <v>44943</v>
      </c>
      <c r="I480">
        <v>37.350440152960203</v>
      </c>
      <c r="J480">
        <f t="shared" si="42"/>
        <v>4</v>
      </c>
      <c r="K480" t="str">
        <f>VLOOKUP(B480,Raw_Suppliers!$A$2:$G$101,2,FALSE)</f>
        <v>Alpha Beta Ltd</v>
      </c>
      <c r="L480" t="str">
        <f>VLOOKUP(B480,Raw_Suppliers!$A$2:$G$101,3,FALSE)</f>
        <v>UK</v>
      </c>
      <c r="M480" t="str">
        <f>VLOOKUP(B480,Raw_Suppliers!$A$2:$G$101,4,FALSE)</f>
        <v>South</v>
      </c>
      <c r="N480" t="str">
        <f>VLOOKUP(B480,Raw_Suppliers!$A$2:$G$101,6,FALSE)</f>
        <v>None</v>
      </c>
      <c r="O480">
        <f>VLOOKUP(B480,Raw_Suppliers!$A$2:$G$101,7,FALSE)</f>
        <v>1</v>
      </c>
      <c r="P480" t="str">
        <f t="shared" si="43"/>
        <v>Yes</v>
      </c>
      <c r="Q480">
        <f t="shared" si="44"/>
        <v>0</v>
      </c>
      <c r="R480" t="str">
        <f t="shared" si="45"/>
        <v>Late</v>
      </c>
      <c r="S480">
        <f t="shared" si="46"/>
        <v>2022</v>
      </c>
      <c r="T480">
        <f t="shared" si="47"/>
        <v>12</v>
      </c>
    </row>
    <row r="481" spans="1:20" x14ac:dyDescent="0.25">
      <c r="A481" t="s">
        <v>773</v>
      </c>
      <c r="B481" t="s">
        <v>49</v>
      </c>
      <c r="C481" t="s">
        <v>748</v>
      </c>
      <c r="D481" s="1">
        <v>45115</v>
      </c>
      <c r="E481">
        <v>10</v>
      </c>
      <c r="F481">
        <v>20.0075812714385</v>
      </c>
      <c r="G481" s="1">
        <v>45137</v>
      </c>
      <c r="H481" s="1">
        <v>45134</v>
      </c>
      <c r="I481">
        <v>200.07581271438499</v>
      </c>
      <c r="J481">
        <f t="shared" si="42"/>
        <v>-3</v>
      </c>
      <c r="K481" t="str">
        <f>VLOOKUP(B481,Raw_Suppliers!$A$2:$G$101,2,FALSE)</f>
        <v>Prime Prime Corp</v>
      </c>
      <c r="L481" t="str">
        <f>VLOOKUP(B481,Raw_Suppliers!$A$2:$G$101,3,FALSE)</f>
        <v>China</v>
      </c>
      <c r="M481" t="str">
        <f>VLOOKUP(B481,Raw_Suppliers!$A$2:$G$101,4,FALSE)</f>
        <v>North</v>
      </c>
      <c r="N481" t="str">
        <f>VLOOKUP(B481,Raw_Suppliers!$A$2:$G$101,6,FALSE)</f>
        <v>ISO 45001</v>
      </c>
      <c r="O481">
        <f>VLOOKUP(B481,Raw_Suppliers!$A$2:$G$101,7,FALSE)</f>
        <v>0</v>
      </c>
      <c r="P481" t="str">
        <f t="shared" si="43"/>
        <v>No</v>
      </c>
      <c r="Q481">
        <f t="shared" si="44"/>
        <v>1</v>
      </c>
      <c r="R481" t="str">
        <f t="shared" si="45"/>
        <v>On Time</v>
      </c>
      <c r="S481">
        <f t="shared" si="46"/>
        <v>2023</v>
      </c>
      <c r="T481">
        <f t="shared" si="47"/>
        <v>7</v>
      </c>
    </row>
    <row r="482" spans="1:20" x14ac:dyDescent="0.25">
      <c r="A482" t="s">
        <v>774</v>
      </c>
      <c r="B482" t="s">
        <v>556</v>
      </c>
      <c r="C482" t="s">
        <v>437</v>
      </c>
      <c r="D482" s="1">
        <v>45249</v>
      </c>
      <c r="E482">
        <v>11</v>
      </c>
      <c r="F482">
        <v>24.911667842685599</v>
      </c>
      <c r="G482" s="1">
        <v>45261</v>
      </c>
      <c r="H482" s="1">
        <v>45260</v>
      </c>
      <c r="I482">
        <v>274.028346269542</v>
      </c>
      <c r="J482">
        <f t="shared" si="42"/>
        <v>-1</v>
      </c>
      <c r="K482" t="str">
        <f>VLOOKUP(B482,Raw_Suppliers!$A$2:$G$101,2,FALSE)</f>
        <v>Ultra Delta Ltd</v>
      </c>
      <c r="L482" t="str">
        <f>VLOOKUP(B482,Raw_Suppliers!$A$2:$G$101,3,FALSE)</f>
        <v>China</v>
      </c>
      <c r="M482" t="str">
        <f>VLOOKUP(B482,Raw_Suppliers!$A$2:$G$101,4,FALSE)</f>
        <v>Central</v>
      </c>
      <c r="N482" t="str">
        <f>VLOOKUP(B482,Raw_Suppliers!$A$2:$G$101,6,FALSE)</f>
        <v>ISO 45001</v>
      </c>
      <c r="O482">
        <f>VLOOKUP(B482,Raw_Suppliers!$A$2:$G$101,7,FALSE)</f>
        <v>0</v>
      </c>
      <c r="P482" t="str">
        <f t="shared" si="43"/>
        <v>No</v>
      </c>
      <c r="Q482">
        <f t="shared" si="44"/>
        <v>1</v>
      </c>
      <c r="R482" t="str">
        <f t="shared" si="45"/>
        <v>On Time</v>
      </c>
      <c r="S482">
        <f t="shared" si="46"/>
        <v>2023</v>
      </c>
      <c r="T482">
        <f t="shared" si="47"/>
        <v>11</v>
      </c>
    </row>
    <row r="483" spans="1:20" x14ac:dyDescent="0.25">
      <c r="A483" t="s">
        <v>775</v>
      </c>
      <c r="B483" t="s">
        <v>73</v>
      </c>
      <c r="C483" t="s">
        <v>41</v>
      </c>
      <c r="D483" s="1">
        <v>44551</v>
      </c>
      <c r="E483">
        <v>11</v>
      </c>
      <c r="F483">
        <v>38.998950283533098</v>
      </c>
      <c r="G483" s="1">
        <v>44573</v>
      </c>
      <c r="H483" s="1">
        <v>44574</v>
      </c>
      <c r="I483">
        <v>428.98845311886402</v>
      </c>
      <c r="J483">
        <f t="shared" si="42"/>
        <v>1</v>
      </c>
      <c r="K483" t="str">
        <f>VLOOKUP(B483,Raw_Suppliers!$A$2:$G$101,2,FALSE)</f>
        <v>Gamma Quantum LLC</v>
      </c>
      <c r="L483" t="str">
        <f>VLOOKUP(B483,Raw_Suppliers!$A$2:$G$101,3,FALSE)</f>
        <v>Germany</v>
      </c>
      <c r="M483" t="str">
        <f>VLOOKUP(B483,Raw_Suppliers!$A$2:$G$101,4,FALSE)</f>
        <v>Central</v>
      </c>
      <c r="N483" t="str">
        <f>VLOOKUP(B483,Raw_Suppliers!$A$2:$G$101,6,FALSE)</f>
        <v>ISO 9001</v>
      </c>
      <c r="O483">
        <f>VLOOKUP(B483,Raw_Suppliers!$A$2:$G$101,7,FALSE)</f>
        <v>1</v>
      </c>
      <c r="P483" t="str">
        <f t="shared" si="43"/>
        <v>Yes</v>
      </c>
      <c r="Q483">
        <f t="shared" si="44"/>
        <v>0</v>
      </c>
      <c r="R483" t="str">
        <f t="shared" si="45"/>
        <v>Late</v>
      </c>
      <c r="S483">
        <f t="shared" si="46"/>
        <v>2021</v>
      </c>
      <c r="T483">
        <f t="shared" si="47"/>
        <v>12</v>
      </c>
    </row>
    <row r="484" spans="1:20" x14ac:dyDescent="0.25">
      <c r="A484" t="s">
        <v>776</v>
      </c>
      <c r="B484" t="s">
        <v>160</v>
      </c>
      <c r="C484" t="s">
        <v>59</v>
      </c>
      <c r="D484" s="1">
        <v>44765</v>
      </c>
      <c r="E484">
        <v>7</v>
      </c>
      <c r="F484">
        <v>24.951529197011201</v>
      </c>
      <c r="G484" s="1">
        <v>44777</v>
      </c>
      <c r="H484" s="1">
        <v>44781</v>
      </c>
      <c r="I484">
        <v>174.660704379078</v>
      </c>
      <c r="J484">
        <f t="shared" si="42"/>
        <v>4</v>
      </c>
      <c r="K484" t="str">
        <f>VLOOKUP(B484,Raw_Suppliers!$A$2:$G$101,2,FALSE)</f>
        <v>Omega Beta Corp</v>
      </c>
      <c r="L484" t="str">
        <f>VLOOKUP(B484,Raw_Suppliers!$A$2:$G$101,3,FALSE)</f>
        <v>China</v>
      </c>
      <c r="M484" t="str">
        <f>VLOOKUP(B484,Raw_Suppliers!$A$2:$G$101,4,FALSE)</f>
        <v>East</v>
      </c>
      <c r="N484" t="str">
        <f>VLOOKUP(B484,Raw_Suppliers!$A$2:$G$101,6,FALSE)</f>
        <v>ISO 45001</v>
      </c>
      <c r="O484">
        <f>VLOOKUP(B484,Raw_Suppliers!$A$2:$G$101,7,FALSE)</f>
        <v>1</v>
      </c>
      <c r="P484" t="str">
        <f t="shared" si="43"/>
        <v>Yes</v>
      </c>
      <c r="Q484">
        <f t="shared" si="44"/>
        <v>0</v>
      </c>
      <c r="R484" t="str">
        <f t="shared" si="45"/>
        <v>Late</v>
      </c>
      <c r="S484">
        <f t="shared" si="46"/>
        <v>2022</v>
      </c>
      <c r="T484">
        <f t="shared" si="47"/>
        <v>7</v>
      </c>
    </row>
    <row r="485" spans="1:20" x14ac:dyDescent="0.25">
      <c r="A485" t="s">
        <v>777</v>
      </c>
      <c r="B485" t="s">
        <v>227</v>
      </c>
      <c r="C485" t="s">
        <v>444</v>
      </c>
      <c r="D485" s="1">
        <v>44794</v>
      </c>
      <c r="E485">
        <v>8</v>
      </c>
      <c r="F485">
        <v>50.795884548037598</v>
      </c>
      <c r="G485" s="1">
        <v>44818</v>
      </c>
      <c r="H485" s="1">
        <v>44815</v>
      </c>
      <c r="I485">
        <v>406.36707638430101</v>
      </c>
      <c r="J485">
        <f t="shared" si="42"/>
        <v>-3</v>
      </c>
      <c r="K485" t="str">
        <f>VLOOKUP(B485,Raw_Suppliers!$A$2:$G$101,2,FALSE)</f>
        <v>Delta Prime Inc</v>
      </c>
      <c r="L485" t="str">
        <f>VLOOKUP(B485,Raw_Suppliers!$A$2:$G$101,3,FALSE)</f>
        <v>Denmark</v>
      </c>
      <c r="M485" t="str">
        <f>VLOOKUP(B485,Raw_Suppliers!$A$2:$G$101,4,FALSE)</f>
        <v>South</v>
      </c>
      <c r="N485" t="str">
        <f>VLOOKUP(B485,Raw_Suppliers!$A$2:$G$101,6,FALSE)</f>
        <v>ISO 14001</v>
      </c>
      <c r="O485">
        <f>VLOOKUP(B485,Raw_Suppliers!$A$2:$G$101,7,FALSE)</f>
        <v>0</v>
      </c>
      <c r="P485" t="str">
        <f t="shared" si="43"/>
        <v>No</v>
      </c>
      <c r="Q485">
        <f t="shared" si="44"/>
        <v>1</v>
      </c>
      <c r="R485" t="str">
        <f t="shared" si="45"/>
        <v>On Time</v>
      </c>
      <c r="S485">
        <f t="shared" si="46"/>
        <v>2022</v>
      </c>
      <c r="T485">
        <f t="shared" si="47"/>
        <v>8</v>
      </c>
    </row>
    <row r="486" spans="1:20" x14ac:dyDescent="0.25">
      <c r="A486" t="s">
        <v>778</v>
      </c>
      <c r="B486" t="s">
        <v>227</v>
      </c>
      <c r="C486" t="s">
        <v>425</v>
      </c>
      <c r="D486" s="1">
        <v>44800</v>
      </c>
      <c r="E486">
        <v>9</v>
      </c>
      <c r="F486">
        <v>33.672971062004699</v>
      </c>
      <c r="G486" s="1">
        <v>44811</v>
      </c>
      <c r="H486" s="1">
        <v>44813</v>
      </c>
      <c r="I486">
        <v>303.05673955804201</v>
      </c>
      <c r="J486">
        <f t="shared" si="42"/>
        <v>2</v>
      </c>
      <c r="K486" t="str">
        <f>VLOOKUP(B486,Raw_Suppliers!$A$2:$G$101,2,FALSE)</f>
        <v>Delta Prime Inc</v>
      </c>
      <c r="L486" t="str">
        <f>VLOOKUP(B486,Raw_Suppliers!$A$2:$G$101,3,FALSE)</f>
        <v>Denmark</v>
      </c>
      <c r="M486" t="str">
        <f>VLOOKUP(B486,Raw_Suppliers!$A$2:$G$101,4,FALSE)</f>
        <v>South</v>
      </c>
      <c r="N486" t="str">
        <f>VLOOKUP(B486,Raw_Suppliers!$A$2:$G$101,6,FALSE)</f>
        <v>ISO 14001</v>
      </c>
      <c r="O486">
        <f>VLOOKUP(B486,Raw_Suppliers!$A$2:$G$101,7,FALSE)</f>
        <v>0</v>
      </c>
      <c r="P486" t="str">
        <f t="shared" si="43"/>
        <v>No</v>
      </c>
      <c r="Q486">
        <f t="shared" si="44"/>
        <v>0</v>
      </c>
      <c r="R486" t="str">
        <f t="shared" si="45"/>
        <v>Late</v>
      </c>
      <c r="S486">
        <f t="shared" si="46"/>
        <v>2022</v>
      </c>
      <c r="T486">
        <f t="shared" si="47"/>
        <v>8</v>
      </c>
    </row>
    <row r="487" spans="1:20" x14ac:dyDescent="0.25">
      <c r="A487" t="s">
        <v>779</v>
      </c>
      <c r="B487" t="s">
        <v>85</v>
      </c>
      <c r="C487" t="s">
        <v>540</v>
      </c>
      <c r="D487" s="1">
        <v>44863</v>
      </c>
      <c r="E487">
        <v>10</v>
      </c>
      <c r="F487">
        <v>41.170682316881397</v>
      </c>
      <c r="G487" s="1">
        <v>44876</v>
      </c>
      <c r="H487" s="1">
        <v>44879</v>
      </c>
      <c r="I487">
        <v>411.70682316881403</v>
      </c>
      <c r="J487">
        <f t="shared" si="42"/>
        <v>3</v>
      </c>
      <c r="K487" t="str">
        <f>VLOOKUP(B487,Raw_Suppliers!$A$2:$G$101,2,FALSE)</f>
        <v>Fusion Gamma LLC</v>
      </c>
      <c r="L487" t="str">
        <f>VLOOKUP(B487,Raw_Suppliers!$A$2:$G$101,3,FALSE)</f>
        <v>China</v>
      </c>
      <c r="M487" t="str">
        <f>VLOOKUP(B487,Raw_Suppliers!$A$2:$G$101,4,FALSE)</f>
        <v>East</v>
      </c>
      <c r="N487" t="str">
        <f>VLOOKUP(B487,Raw_Suppliers!$A$2:$G$101,6,FALSE)</f>
        <v>ISO 9001</v>
      </c>
      <c r="O487">
        <f>VLOOKUP(B487,Raw_Suppliers!$A$2:$G$101,7,FALSE)</f>
        <v>1</v>
      </c>
      <c r="P487" t="str">
        <f t="shared" si="43"/>
        <v>Yes</v>
      </c>
      <c r="Q487">
        <f t="shared" si="44"/>
        <v>0</v>
      </c>
      <c r="R487" t="str">
        <f t="shared" si="45"/>
        <v>Late</v>
      </c>
      <c r="S487">
        <f t="shared" si="46"/>
        <v>2022</v>
      </c>
      <c r="T487">
        <f t="shared" si="47"/>
        <v>10</v>
      </c>
    </row>
    <row r="488" spans="1:20" x14ac:dyDescent="0.25">
      <c r="A488" t="s">
        <v>780</v>
      </c>
      <c r="B488" t="s">
        <v>127</v>
      </c>
      <c r="C488" t="s">
        <v>259</v>
      </c>
      <c r="D488" s="1">
        <v>44373</v>
      </c>
      <c r="E488">
        <v>3</v>
      </c>
      <c r="F488">
        <v>55.524191077172901</v>
      </c>
      <c r="G488" s="1">
        <v>44397</v>
      </c>
      <c r="H488" s="1">
        <v>44394</v>
      </c>
      <c r="I488">
        <v>166.57257323151799</v>
      </c>
      <c r="J488">
        <f t="shared" si="42"/>
        <v>-3</v>
      </c>
      <c r="K488" t="str">
        <f>VLOOKUP(B488,Raw_Suppliers!$A$2:$G$101,2,FALSE)</f>
        <v>Eco Gamma LLC</v>
      </c>
      <c r="L488" t="str">
        <f>VLOOKUP(B488,Raw_Suppliers!$A$2:$G$101,3,FALSE)</f>
        <v>Canada</v>
      </c>
      <c r="M488" t="str">
        <f>VLOOKUP(B488,Raw_Suppliers!$A$2:$G$101,4,FALSE)</f>
        <v>West</v>
      </c>
      <c r="N488" t="str">
        <f>VLOOKUP(B488,Raw_Suppliers!$A$2:$G$101,6,FALSE)</f>
        <v>ISO 9001</v>
      </c>
      <c r="O488">
        <f>VLOOKUP(B488,Raw_Suppliers!$A$2:$G$101,7,FALSE)</f>
        <v>1</v>
      </c>
      <c r="P488" t="str">
        <f t="shared" si="43"/>
        <v>Yes</v>
      </c>
      <c r="Q488">
        <f t="shared" si="44"/>
        <v>1</v>
      </c>
      <c r="R488" t="str">
        <f t="shared" si="45"/>
        <v>On Time</v>
      </c>
      <c r="S488">
        <f t="shared" si="46"/>
        <v>2021</v>
      </c>
      <c r="T488">
        <f t="shared" si="47"/>
        <v>6</v>
      </c>
    </row>
    <row r="489" spans="1:20" x14ac:dyDescent="0.25">
      <c r="A489" t="s">
        <v>781</v>
      </c>
      <c r="B489" t="s">
        <v>253</v>
      </c>
      <c r="C489" t="s">
        <v>613</v>
      </c>
      <c r="D489" s="1">
        <v>44474</v>
      </c>
      <c r="E489">
        <v>18</v>
      </c>
      <c r="F489">
        <v>5.0244432684317903</v>
      </c>
      <c r="G489" s="1">
        <v>44492</v>
      </c>
      <c r="H489" s="1">
        <v>44496</v>
      </c>
      <c r="I489">
        <v>90.439978831772294</v>
      </c>
      <c r="J489">
        <f t="shared" si="42"/>
        <v>4</v>
      </c>
      <c r="K489" t="str">
        <f>VLOOKUP(B489,Raw_Suppliers!$A$2:$G$101,2,FALSE)</f>
        <v>Vertex Apex Ltd</v>
      </c>
      <c r="L489" t="str">
        <f>VLOOKUP(B489,Raw_Suppliers!$A$2:$G$101,3,FALSE)</f>
        <v>Brazil</v>
      </c>
      <c r="M489" t="str">
        <f>VLOOKUP(B489,Raw_Suppliers!$A$2:$G$101,4,FALSE)</f>
        <v>South</v>
      </c>
      <c r="N489" t="str">
        <f>VLOOKUP(B489,Raw_Suppliers!$A$2:$G$101,6,FALSE)</f>
        <v>None</v>
      </c>
      <c r="O489">
        <f>VLOOKUP(B489,Raw_Suppliers!$A$2:$G$101,7,FALSE)</f>
        <v>1</v>
      </c>
      <c r="P489" t="str">
        <f t="shared" si="43"/>
        <v>Yes</v>
      </c>
      <c r="Q489">
        <f t="shared" si="44"/>
        <v>0</v>
      </c>
      <c r="R489" t="str">
        <f t="shared" si="45"/>
        <v>Late</v>
      </c>
      <c r="S489">
        <f t="shared" si="46"/>
        <v>2021</v>
      </c>
      <c r="T489">
        <f t="shared" si="47"/>
        <v>10</v>
      </c>
    </row>
    <row r="490" spans="1:20" x14ac:dyDescent="0.25">
      <c r="A490" t="s">
        <v>782</v>
      </c>
      <c r="B490" t="s">
        <v>79</v>
      </c>
      <c r="C490" t="s">
        <v>86</v>
      </c>
      <c r="D490" s="1">
        <v>44890</v>
      </c>
      <c r="E490">
        <v>18</v>
      </c>
      <c r="F490">
        <v>66.537065948821606</v>
      </c>
      <c r="G490" s="1">
        <v>44902</v>
      </c>
      <c r="H490" s="1">
        <v>44905</v>
      </c>
      <c r="I490">
        <v>1197.66718707879</v>
      </c>
      <c r="J490">
        <f t="shared" si="42"/>
        <v>3</v>
      </c>
      <c r="K490" t="str">
        <f>VLOOKUP(B490,Raw_Suppliers!$A$2:$G$101,2,FALSE)</f>
        <v>Vertex Fusion Inc</v>
      </c>
      <c r="L490" t="str">
        <f>VLOOKUP(B490,Raw_Suppliers!$A$2:$G$101,3,FALSE)</f>
        <v>India</v>
      </c>
      <c r="M490" t="str">
        <f>VLOOKUP(B490,Raw_Suppliers!$A$2:$G$101,4,FALSE)</f>
        <v>Central</v>
      </c>
      <c r="N490" t="str">
        <f>VLOOKUP(B490,Raw_Suppliers!$A$2:$G$101,6,FALSE)</f>
        <v>ISO 9001</v>
      </c>
      <c r="O490">
        <f>VLOOKUP(B490,Raw_Suppliers!$A$2:$G$101,7,FALSE)</f>
        <v>0</v>
      </c>
      <c r="P490" t="str">
        <f t="shared" si="43"/>
        <v>No</v>
      </c>
      <c r="Q490">
        <f t="shared" si="44"/>
        <v>0</v>
      </c>
      <c r="R490" t="str">
        <f t="shared" si="45"/>
        <v>Late</v>
      </c>
      <c r="S490">
        <f t="shared" si="46"/>
        <v>2022</v>
      </c>
      <c r="T490">
        <f t="shared" si="47"/>
        <v>11</v>
      </c>
    </row>
    <row r="491" spans="1:20" x14ac:dyDescent="0.25">
      <c r="A491" t="s">
        <v>783</v>
      </c>
      <c r="B491" t="s">
        <v>442</v>
      </c>
      <c r="C491" t="s">
        <v>201</v>
      </c>
      <c r="D491" s="1">
        <v>44602</v>
      </c>
      <c r="E491">
        <v>9</v>
      </c>
      <c r="F491">
        <v>50.664116973312602</v>
      </c>
      <c r="G491" s="1">
        <v>44626</v>
      </c>
      <c r="H491" s="1">
        <v>44632</v>
      </c>
      <c r="I491">
        <v>455.97705275981298</v>
      </c>
      <c r="J491">
        <f t="shared" si="42"/>
        <v>6</v>
      </c>
      <c r="K491" t="str">
        <f>VLOOKUP(B491,Raw_Suppliers!$A$2:$G$101,2,FALSE)</f>
        <v>Vertex Delta LLC</v>
      </c>
      <c r="L491" t="str">
        <f>VLOOKUP(B491,Raw_Suppliers!$A$2:$G$101,3,FALSE)</f>
        <v>Canada</v>
      </c>
      <c r="M491" t="str">
        <f>VLOOKUP(B491,Raw_Suppliers!$A$2:$G$101,4,FALSE)</f>
        <v>East</v>
      </c>
      <c r="N491" t="str">
        <f>VLOOKUP(B491,Raw_Suppliers!$A$2:$G$101,6,FALSE)</f>
        <v>ISO 14001</v>
      </c>
      <c r="O491">
        <f>VLOOKUP(B491,Raw_Suppliers!$A$2:$G$101,7,FALSE)</f>
        <v>1</v>
      </c>
      <c r="P491" t="str">
        <f t="shared" si="43"/>
        <v>Yes</v>
      </c>
      <c r="Q491">
        <f t="shared" si="44"/>
        <v>0</v>
      </c>
      <c r="R491" t="str">
        <f t="shared" si="45"/>
        <v>Late</v>
      </c>
      <c r="S491">
        <f t="shared" si="46"/>
        <v>2022</v>
      </c>
      <c r="T491">
        <f t="shared" si="47"/>
        <v>2</v>
      </c>
    </row>
    <row r="492" spans="1:20" x14ac:dyDescent="0.25">
      <c r="A492" t="s">
        <v>784</v>
      </c>
      <c r="B492" t="s">
        <v>207</v>
      </c>
      <c r="C492" t="s">
        <v>274</v>
      </c>
      <c r="D492" s="1">
        <v>44205</v>
      </c>
      <c r="E492">
        <v>12</v>
      </c>
      <c r="F492">
        <v>8.6368725003252695</v>
      </c>
      <c r="G492" s="1">
        <v>44228</v>
      </c>
      <c r="H492" s="1">
        <v>44229</v>
      </c>
      <c r="I492">
        <v>103.642470003903</v>
      </c>
      <c r="J492">
        <f t="shared" si="42"/>
        <v>1</v>
      </c>
      <c r="K492" t="str">
        <f>VLOOKUP(B492,Raw_Suppliers!$A$2:$G$101,2,FALSE)</f>
        <v>Nova Alpha Ltd</v>
      </c>
      <c r="L492" t="str">
        <f>VLOOKUP(B492,Raw_Suppliers!$A$2:$G$101,3,FALSE)</f>
        <v>India</v>
      </c>
      <c r="M492" t="str">
        <f>VLOOKUP(B492,Raw_Suppliers!$A$2:$G$101,4,FALSE)</f>
        <v>East</v>
      </c>
      <c r="N492" t="str">
        <f>VLOOKUP(B492,Raw_Suppliers!$A$2:$G$101,6,FALSE)</f>
        <v>ISO 9001</v>
      </c>
      <c r="O492">
        <f>VLOOKUP(B492,Raw_Suppliers!$A$2:$G$101,7,FALSE)</f>
        <v>0</v>
      </c>
      <c r="P492" t="str">
        <f t="shared" si="43"/>
        <v>No</v>
      </c>
      <c r="Q492">
        <f t="shared" si="44"/>
        <v>0</v>
      </c>
      <c r="R492" t="str">
        <f t="shared" si="45"/>
        <v>Late</v>
      </c>
      <c r="S492">
        <f t="shared" si="46"/>
        <v>2021</v>
      </c>
      <c r="T492">
        <f t="shared" si="47"/>
        <v>1</v>
      </c>
    </row>
    <row r="493" spans="1:20" x14ac:dyDescent="0.25">
      <c r="A493" t="s">
        <v>785</v>
      </c>
      <c r="B493" t="s">
        <v>99</v>
      </c>
      <c r="C493" t="s">
        <v>217</v>
      </c>
      <c r="D493" s="1">
        <v>44266</v>
      </c>
      <c r="E493">
        <v>9</v>
      </c>
      <c r="F493">
        <v>56.459343686882399</v>
      </c>
      <c r="G493" s="1">
        <v>44288</v>
      </c>
      <c r="H493" s="1">
        <v>44289</v>
      </c>
      <c r="I493">
        <v>508.13409318194198</v>
      </c>
      <c r="J493">
        <f t="shared" si="42"/>
        <v>1</v>
      </c>
      <c r="K493" t="str">
        <f>VLOOKUP(B493,Raw_Suppliers!$A$2:$G$101,2,FALSE)</f>
        <v>Gamma Nova LLC</v>
      </c>
      <c r="L493" t="str">
        <f>VLOOKUP(B493,Raw_Suppliers!$A$2:$G$101,3,FALSE)</f>
        <v>USA</v>
      </c>
      <c r="M493" t="str">
        <f>VLOOKUP(B493,Raw_Suppliers!$A$2:$G$101,4,FALSE)</f>
        <v>North</v>
      </c>
      <c r="N493" t="str">
        <f>VLOOKUP(B493,Raw_Suppliers!$A$2:$G$101,6,FALSE)</f>
        <v>ISO 9001</v>
      </c>
      <c r="O493">
        <f>VLOOKUP(B493,Raw_Suppliers!$A$2:$G$101,7,FALSE)</f>
        <v>0</v>
      </c>
      <c r="P493" t="str">
        <f t="shared" si="43"/>
        <v>No</v>
      </c>
      <c r="Q493">
        <f t="shared" si="44"/>
        <v>0</v>
      </c>
      <c r="R493" t="str">
        <f t="shared" si="45"/>
        <v>Late</v>
      </c>
      <c r="S493">
        <f t="shared" si="46"/>
        <v>2021</v>
      </c>
      <c r="T493">
        <f t="shared" si="47"/>
        <v>3</v>
      </c>
    </row>
    <row r="494" spans="1:20" x14ac:dyDescent="0.25">
      <c r="A494" t="s">
        <v>786</v>
      </c>
      <c r="B494" t="s">
        <v>321</v>
      </c>
      <c r="C494" t="s">
        <v>245</v>
      </c>
      <c r="D494" s="1">
        <v>44593</v>
      </c>
      <c r="E494">
        <v>14</v>
      </c>
      <c r="F494">
        <v>59.133407894161103</v>
      </c>
      <c r="G494" s="1">
        <v>44617</v>
      </c>
      <c r="H494" s="1">
        <v>44616</v>
      </c>
      <c r="I494">
        <v>827.86771051825599</v>
      </c>
      <c r="J494">
        <f t="shared" si="42"/>
        <v>-1</v>
      </c>
      <c r="K494" t="str">
        <f>VLOOKUP(B494,Raw_Suppliers!$A$2:$G$101,2,FALSE)</f>
        <v>Vertex Delta LLC</v>
      </c>
      <c r="L494" t="str">
        <f>VLOOKUP(B494,Raw_Suppliers!$A$2:$G$101,3,FALSE)</f>
        <v>India</v>
      </c>
      <c r="M494" t="str">
        <f>VLOOKUP(B494,Raw_Suppliers!$A$2:$G$101,4,FALSE)</f>
        <v>South</v>
      </c>
      <c r="N494" t="str">
        <f>VLOOKUP(B494,Raw_Suppliers!$A$2:$G$101,6,FALSE)</f>
        <v>ISO 45001</v>
      </c>
      <c r="O494">
        <f>VLOOKUP(B494,Raw_Suppliers!$A$2:$G$101,7,FALSE)</f>
        <v>0</v>
      </c>
      <c r="P494" t="str">
        <f t="shared" si="43"/>
        <v>No</v>
      </c>
      <c r="Q494">
        <f t="shared" si="44"/>
        <v>1</v>
      </c>
      <c r="R494" t="str">
        <f t="shared" si="45"/>
        <v>On Time</v>
      </c>
      <c r="S494">
        <f t="shared" si="46"/>
        <v>2022</v>
      </c>
      <c r="T494">
        <f t="shared" si="47"/>
        <v>2</v>
      </c>
    </row>
    <row r="495" spans="1:20" x14ac:dyDescent="0.25">
      <c r="A495" t="s">
        <v>787</v>
      </c>
      <c r="B495" t="s">
        <v>19</v>
      </c>
      <c r="C495" t="s">
        <v>131</v>
      </c>
      <c r="D495" s="1">
        <v>44744</v>
      </c>
      <c r="E495">
        <v>11</v>
      </c>
      <c r="F495">
        <v>68.322111259401197</v>
      </c>
      <c r="G495" s="1">
        <v>44764</v>
      </c>
      <c r="H495" s="1">
        <v>44761</v>
      </c>
      <c r="I495">
        <v>751.543223853413</v>
      </c>
      <c r="J495">
        <f t="shared" si="42"/>
        <v>-3</v>
      </c>
      <c r="K495" t="str">
        <f>VLOOKUP(B495,Raw_Suppliers!$A$2:$G$101,2,FALSE)</f>
        <v>Nova Beta Corp</v>
      </c>
      <c r="L495" t="str">
        <f>VLOOKUP(B495,Raw_Suppliers!$A$2:$G$101,3,FALSE)</f>
        <v>Brazil</v>
      </c>
      <c r="M495" t="str">
        <f>VLOOKUP(B495,Raw_Suppliers!$A$2:$G$101,4,FALSE)</f>
        <v>South</v>
      </c>
      <c r="N495" t="str">
        <f>VLOOKUP(B495,Raw_Suppliers!$A$2:$G$101,6,FALSE)</f>
        <v>ISO 14001</v>
      </c>
      <c r="O495">
        <f>VLOOKUP(B495,Raw_Suppliers!$A$2:$G$101,7,FALSE)</f>
        <v>1</v>
      </c>
      <c r="P495" t="str">
        <f t="shared" si="43"/>
        <v>Yes</v>
      </c>
      <c r="Q495">
        <f t="shared" si="44"/>
        <v>1</v>
      </c>
      <c r="R495" t="str">
        <f t="shared" si="45"/>
        <v>On Time</v>
      </c>
      <c r="S495">
        <f t="shared" si="46"/>
        <v>2022</v>
      </c>
      <c r="T495">
        <f t="shared" si="47"/>
        <v>7</v>
      </c>
    </row>
    <row r="496" spans="1:20" x14ac:dyDescent="0.25">
      <c r="A496" t="s">
        <v>788</v>
      </c>
      <c r="B496" t="s">
        <v>10</v>
      </c>
      <c r="C496" t="s">
        <v>763</v>
      </c>
      <c r="D496" s="1">
        <v>44602</v>
      </c>
      <c r="E496">
        <v>12</v>
      </c>
      <c r="F496">
        <v>61.0105986212875</v>
      </c>
      <c r="G496" s="1">
        <v>44616</v>
      </c>
      <c r="H496" s="1">
        <v>44616</v>
      </c>
      <c r="I496">
        <v>732.12718345544999</v>
      </c>
      <c r="J496">
        <f t="shared" si="42"/>
        <v>0</v>
      </c>
      <c r="K496" t="str">
        <f>VLOOKUP(B496,Raw_Suppliers!$A$2:$G$101,2,FALSE)</f>
        <v>Vertex Beta GmbH</v>
      </c>
      <c r="L496" t="str">
        <f>VLOOKUP(B496,Raw_Suppliers!$A$2:$G$101,3,FALSE)</f>
        <v>India</v>
      </c>
      <c r="M496" t="str">
        <f>VLOOKUP(B496,Raw_Suppliers!$A$2:$G$101,4,FALSE)</f>
        <v>North</v>
      </c>
      <c r="N496" t="str">
        <f>VLOOKUP(B496,Raw_Suppliers!$A$2:$G$101,6,FALSE)</f>
        <v>ISO 14001</v>
      </c>
      <c r="O496">
        <f>VLOOKUP(B496,Raw_Suppliers!$A$2:$G$101,7,FALSE)</f>
        <v>0</v>
      </c>
      <c r="P496" t="str">
        <f t="shared" si="43"/>
        <v>No</v>
      </c>
      <c r="Q496">
        <f t="shared" si="44"/>
        <v>1</v>
      </c>
      <c r="R496" t="str">
        <f t="shared" si="45"/>
        <v>On Time</v>
      </c>
      <c r="S496">
        <f t="shared" si="46"/>
        <v>2022</v>
      </c>
      <c r="T496">
        <f t="shared" si="47"/>
        <v>2</v>
      </c>
    </row>
    <row r="497" spans="1:20" x14ac:dyDescent="0.25">
      <c r="A497" t="s">
        <v>789</v>
      </c>
      <c r="B497" t="s">
        <v>73</v>
      </c>
      <c r="C497" t="s">
        <v>425</v>
      </c>
      <c r="D497" s="1">
        <v>44458</v>
      </c>
      <c r="E497">
        <v>15</v>
      </c>
      <c r="F497">
        <v>33.281793474363703</v>
      </c>
      <c r="G497" s="1">
        <v>44480</v>
      </c>
      <c r="H497" s="1">
        <v>44478</v>
      </c>
      <c r="I497">
        <v>499.22690211545603</v>
      </c>
      <c r="J497">
        <f t="shared" si="42"/>
        <v>-2</v>
      </c>
      <c r="K497" t="str">
        <f>VLOOKUP(B497,Raw_Suppliers!$A$2:$G$101,2,FALSE)</f>
        <v>Gamma Quantum LLC</v>
      </c>
      <c r="L497" t="str">
        <f>VLOOKUP(B497,Raw_Suppliers!$A$2:$G$101,3,FALSE)</f>
        <v>Germany</v>
      </c>
      <c r="M497" t="str">
        <f>VLOOKUP(B497,Raw_Suppliers!$A$2:$G$101,4,FALSE)</f>
        <v>Central</v>
      </c>
      <c r="N497" t="str">
        <f>VLOOKUP(B497,Raw_Suppliers!$A$2:$G$101,6,FALSE)</f>
        <v>ISO 9001</v>
      </c>
      <c r="O497">
        <f>VLOOKUP(B497,Raw_Suppliers!$A$2:$G$101,7,FALSE)</f>
        <v>1</v>
      </c>
      <c r="P497" t="str">
        <f t="shared" si="43"/>
        <v>Yes</v>
      </c>
      <c r="Q497">
        <f t="shared" si="44"/>
        <v>1</v>
      </c>
      <c r="R497" t="str">
        <f t="shared" si="45"/>
        <v>On Time</v>
      </c>
      <c r="S497">
        <f t="shared" si="46"/>
        <v>2021</v>
      </c>
      <c r="T497">
        <f t="shared" si="47"/>
        <v>9</v>
      </c>
    </row>
    <row r="498" spans="1:20" x14ac:dyDescent="0.25">
      <c r="A498" t="s">
        <v>790</v>
      </c>
      <c r="B498" t="s">
        <v>73</v>
      </c>
      <c r="C498" t="s">
        <v>629</v>
      </c>
      <c r="D498" s="1">
        <v>44666</v>
      </c>
      <c r="E498">
        <v>10</v>
      </c>
      <c r="F498">
        <v>72.416768761401002</v>
      </c>
      <c r="G498" s="1">
        <v>44689</v>
      </c>
      <c r="H498" s="1">
        <v>44694</v>
      </c>
      <c r="I498">
        <v>724.16768761400999</v>
      </c>
      <c r="J498">
        <f t="shared" si="42"/>
        <v>5</v>
      </c>
      <c r="K498" t="str">
        <f>VLOOKUP(B498,Raw_Suppliers!$A$2:$G$101,2,FALSE)</f>
        <v>Gamma Quantum LLC</v>
      </c>
      <c r="L498" t="str">
        <f>VLOOKUP(B498,Raw_Suppliers!$A$2:$G$101,3,FALSE)</f>
        <v>Germany</v>
      </c>
      <c r="M498" t="str">
        <f>VLOOKUP(B498,Raw_Suppliers!$A$2:$G$101,4,FALSE)</f>
        <v>Central</v>
      </c>
      <c r="N498" t="str">
        <f>VLOOKUP(B498,Raw_Suppliers!$A$2:$G$101,6,FALSE)</f>
        <v>ISO 9001</v>
      </c>
      <c r="O498">
        <f>VLOOKUP(B498,Raw_Suppliers!$A$2:$G$101,7,FALSE)</f>
        <v>1</v>
      </c>
      <c r="P498" t="str">
        <f t="shared" si="43"/>
        <v>Yes</v>
      </c>
      <c r="Q498">
        <f t="shared" si="44"/>
        <v>0</v>
      </c>
      <c r="R498" t="str">
        <f t="shared" si="45"/>
        <v>Late</v>
      </c>
      <c r="S498">
        <f t="shared" si="46"/>
        <v>2022</v>
      </c>
      <c r="T498">
        <f t="shared" si="47"/>
        <v>4</v>
      </c>
    </row>
    <row r="499" spans="1:20" x14ac:dyDescent="0.25">
      <c r="A499" t="s">
        <v>791</v>
      </c>
      <c r="B499" t="s">
        <v>475</v>
      </c>
      <c r="C499" t="s">
        <v>792</v>
      </c>
      <c r="D499" s="1">
        <v>44913</v>
      </c>
      <c r="E499">
        <v>12</v>
      </c>
      <c r="F499">
        <v>35.8318975363973</v>
      </c>
      <c r="G499" s="1">
        <v>44928</v>
      </c>
      <c r="H499" s="1">
        <v>44931</v>
      </c>
      <c r="I499">
        <v>429.98277043676802</v>
      </c>
      <c r="J499">
        <f t="shared" si="42"/>
        <v>3</v>
      </c>
      <c r="K499" t="str">
        <f>VLOOKUP(B499,Raw_Suppliers!$A$2:$G$101,2,FALSE)</f>
        <v>Ultra Delta LLC</v>
      </c>
      <c r="L499" t="str">
        <f>VLOOKUP(B499,Raw_Suppliers!$A$2:$G$101,3,FALSE)</f>
        <v>UK</v>
      </c>
      <c r="M499" t="str">
        <f>VLOOKUP(B499,Raw_Suppliers!$A$2:$G$101,4,FALSE)</f>
        <v>North</v>
      </c>
      <c r="N499" t="str">
        <f>VLOOKUP(B499,Raw_Suppliers!$A$2:$G$101,6,FALSE)</f>
        <v>None</v>
      </c>
      <c r="O499">
        <f>VLOOKUP(B499,Raw_Suppliers!$A$2:$G$101,7,FALSE)</f>
        <v>1</v>
      </c>
      <c r="P499" t="str">
        <f t="shared" si="43"/>
        <v>Yes</v>
      </c>
      <c r="Q499">
        <f t="shared" si="44"/>
        <v>0</v>
      </c>
      <c r="R499" t="str">
        <f t="shared" si="45"/>
        <v>Late</v>
      </c>
      <c r="S499">
        <f t="shared" si="46"/>
        <v>2022</v>
      </c>
      <c r="T499">
        <f t="shared" si="47"/>
        <v>12</v>
      </c>
    </row>
    <row r="500" spans="1:20" x14ac:dyDescent="0.25">
      <c r="A500" t="s">
        <v>793</v>
      </c>
      <c r="B500" t="s">
        <v>70</v>
      </c>
      <c r="C500" t="s">
        <v>100</v>
      </c>
      <c r="D500" s="1">
        <v>45308</v>
      </c>
      <c r="E500">
        <v>16</v>
      </c>
      <c r="F500">
        <v>53.657623131039202</v>
      </c>
      <c r="G500" s="1">
        <v>45331</v>
      </c>
      <c r="H500" s="1">
        <v>45330</v>
      </c>
      <c r="I500">
        <v>858.521970096627</v>
      </c>
      <c r="J500">
        <f t="shared" si="42"/>
        <v>-1</v>
      </c>
      <c r="K500" t="str">
        <f>VLOOKUP(B500,Raw_Suppliers!$A$2:$G$101,2,FALSE)</f>
        <v>Prime Nano Ltd</v>
      </c>
      <c r="L500" t="str">
        <f>VLOOKUP(B500,Raw_Suppliers!$A$2:$G$101,3,FALSE)</f>
        <v>USA</v>
      </c>
      <c r="M500" t="str">
        <f>VLOOKUP(B500,Raw_Suppliers!$A$2:$G$101,4,FALSE)</f>
        <v>Central</v>
      </c>
      <c r="N500" t="str">
        <f>VLOOKUP(B500,Raw_Suppliers!$A$2:$G$101,6,FALSE)</f>
        <v>ISO 45001</v>
      </c>
      <c r="O500">
        <f>VLOOKUP(B500,Raw_Suppliers!$A$2:$G$101,7,FALSE)</f>
        <v>0</v>
      </c>
      <c r="P500" t="str">
        <f t="shared" si="43"/>
        <v>No</v>
      </c>
      <c r="Q500">
        <f t="shared" si="44"/>
        <v>1</v>
      </c>
      <c r="R500" t="str">
        <f t="shared" si="45"/>
        <v>On Time</v>
      </c>
      <c r="S500">
        <f t="shared" si="46"/>
        <v>2024</v>
      </c>
      <c r="T500">
        <f t="shared" si="47"/>
        <v>1</v>
      </c>
    </row>
    <row r="501" spans="1:20" x14ac:dyDescent="0.25">
      <c r="A501" t="s">
        <v>794</v>
      </c>
      <c r="B501" t="s">
        <v>109</v>
      </c>
      <c r="C501" t="s">
        <v>795</v>
      </c>
      <c r="D501" s="1">
        <v>45265</v>
      </c>
      <c r="E501">
        <v>8</v>
      </c>
      <c r="F501">
        <v>75.051849618908406</v>
      </c>
      <c r="G501" s="1">
        <v>45286</v>
      </c>
      <c r="H501" s="1">
        <v>45291</v>
      </c>
      <c r="I501">
        <v>600.41479695126702</v>
      </c>
      <c r="J501">
        <f t="shared" si="42"/>
        <v>5</v>
      </c>
      <c r="K501" t="str">
        <f>VLOOKUP(B501,Raw_Suppliers!$A$2:$G$101,2,FALSE)</f>
        <v>Nano Fusion GmbH</v>
      </c>
      <c r="L501" t="str">
        <f>VLOOKUP(B501,Raw_Suppliers!$A$2:$G$101,3,FALSE)</f>
        <v>Denmark</v>
      </c>
      <c r="M501" t="str">
        <f>VLOOKUP(B501,Raw_Suppliers!$A$2:$G$101,4,FALSE)</f>
        <v>North</v>
      </c>
      <c r="N501" t="str">
        <f>VLOOKUP(B501,Raw_Suppliers!$A$2:$G$101,6,FALSE)</f>
        <v>ISO 9001</v>
      </c>
      <c r="O501">
        <f>VLOOKUP(B501,Raw_Suppliers!$A$2:$G$101,7,FALSE)</f>
        <v>0</v>
      </c>
      <c r="P501" t="str">
        <f t="shared" si="43"/>
        <v>No</v>
      </c>
      <c r="Q501">
        <f t="shared" si="44"/>
        <v>0</v>
      </c>
      <c r="R501" t="str">
        <f t="shared" si="45"/>
        <v>Late</v>
      </c>
      <c r="S501">
        <f t="shared" si="46"/>
        <v>2023</v>
      </c>
      <c r="T501">
        <f t="shared" si="47"/>
        <v>12</v>
      </c>
    </row>
    <row r="502" spans="1:20" x14ac:dyDescent="0.25">
      <c r="A502" t="s">
        <v>796</v>
      </c>
      <c r="B502" t="s">
        <v>174</v>
      </c>
      <c r="C502" t="s">
        <v>668</v>
      </c>
      <c r="D502" s="1">
        <v>45300</v>
      </c>
      <c r="E502">
        <v>14</v>
      </c>
      <c r="F502">
        <v>76.824831471027693</v>
      </c>
      <c r="G502" s="1">
        <v>45312</v>
      </c>
      <c r="H502" s="1">
        <v>45313</v>
      </c>
      <c r="I502">
        <v>1075.54764059438</v>
      </c>
      <c r="J502">
        <f t="shared" si="42"/>
        <v>1</v>
      </c>
      <c r="K502" t="str">
        <f>VLOOKUP(B502,Raw_Suppliers!$A$2:$G$101,2,FALSE)</f>
        <v>Quantum Eco LLC</v>
      </c>
      <c r="L502" t="str">
        <f>VLOOKUP(B502,Raw_Suppliers!$A$2:$G$101,3,FALSE)</f>
        <v>Denmark</v>
      </c>
      <c r="M502" t="str">
        <f>VLOOKUP(B502,Raw_Suppliers!$A$2:$G$101,4,FALSE)</f>
        <v>East</v>
      </c>
      <c r="N502" t="str">
        <f>VLOOKUP(B502,Raw_Suppliers!$A$2:$G$101,6,FALSE)</f>
        <v>ISO 9001</v>
      </c>
      <c r="O502">
        <f>VLOOKUP(B502,Raw_Suppliers!$A$2:$G$101,7,FALSE)</f>
        <v>1</v>
      </c>
      <c r="P502" t="str">
        <f t="shared" si="43"/>
        <v>Yes</v>
      </c>
      <c r="Q502">
        <f t="shared" si="44"/>
        <v>0</v>
      </c>
      <c r="R502" t="str">
        <f t="shared" si="45"/>
        <v>Late</v>
      </c>
      <c r="S502">
        <f t="shared" si="46"/>
        <v>2024</v>
      </c>
      <c r="T502">
        <f t="shared" si="47"/>
        <v>1</v>
      </c>
    </row>
    <row r="503" spans="1:20" x14ac:dyDescent="0.25">
      <c r="A503" t="s">
        <v>797</v>
      </c>
      <c r="B503" t="s">
        <v>96</v>
      </c>
      <c r="C503" t="s">
        <v>385</v>
      </c>
      <c r="D503" s="1">
        <v>44422</v>
      </c>
      <c r="E503">
        <v>4</v>
      </c>
      <c r="F503">
        <v>18.675441137430798</v>
      </c>
      <c r="G503" s="1">
        <v>44442</v>
      </c>
      <c r="H503" s="1">
        <v>44444</v>
      </c>
      <c r="I503">
        <v>74.701764549723194</v>
      </c>
      <c r="J503">
        <f t="shared" si="42"/>
        <v>2</v>
      </c>
      <c r="K503" t="str">
        <f>VLOOKUP(B503,Raw_Suppliers!$A$2:$G$101,2,FALSE)</f>
        <v>Alpha Nova Ltd</v>
      </c>
      <c r="L503" t="str">
        <f>VLOOKUP(B503,Raw_Suppliers!$A$2:$G$101,3,FALSE)</f>
        <v>UK</v>
      </c>
      <c r="M503" t="str">
        <f>VLOOKUP(B503,Raw_Suppliers!$A$2:$G$101,4,FALSE)</f>
        <v>West</v>
      </c>
      <c r="N503" t="str">
        <f>VLOOKUP(B503,Raw_Suppliers!$A$2:$G$101,6,FALSE)</f>
        <v>ISO 14001</v>
      </c>
      <c r="O503">
        <f>VLOOKUP(B503,Raw_Suppliers!$A$2:$G$101,7,FALSE)</f>
        <v>0</v>
      </c>
      <c r="P503" t="str">
        <f t="shared" si="43"/>
        <v>No</v>
      </c>
      <c r="Q503">
        <f t="shared" si="44"/>
        <v>0</v>
      </c>
      <c r="R503" t="str">
        <f t="shared" si="45"/>
        <v>Late</v>
      </c>
      <c r="S503">
        <f t="shared" si="46"/>
        <v>2021</v>
      </c>
      <c r="T503">
        <f t="shared" si="47"/>
        <v>8</v>
      </c>
    </row>
    <row r="504" spans="1:20" x14ac:dyDescent="0.25">
      <c r="A504" t="s">
        <v>798</v>
      </c>
      <c r="B504" t="s">
        <v>301</v>
      </c>
      <c r="C504" t="s">
        <v>190</v>
      </c>
      <c r="D504" s="1">
        <v>45100</v>
      </c>
      <c r="E504">
        <v>11</v>
      </c>
      <c r="F504">
        <v>72.014843746686793</v>
      </c>
      <c r="G504" s="1">
        <v>45122</v>
      </c>
      <c r="H504" s="1">
        <v>45121</v>
      </c>
      <c r="I504">
        <v>792.16328121355502</v>
      </c>
      <c r="J504">
        <f t="shared" si="42"/>
        <v>-1</v>
      </c>
      <c r="K504" t="str">
        <f>VLOOKUP(B504,Raw_Suppliers!$A$2:$G$101,2,FALSE)</f>
        <v>Beta Eco Inc</v>
      </c>
      <c r="L504" t="str">
        <f>VLOOKUP(B504,Raw_Suppliers!$A$2:$G$101,3,FALSE)</f>
        <v>Denmark</v>
      </c>
      <c r="M504" t="str">
        <f>VLOOKUP(B504,Raw_Suppliers!$A$2:$G$101,4,FALSE)</f>
        <v>South</v>
      </c>
      <c r="N504" t="str">
        <f>VLOOKUP(B504,Raw_Suppliers!$A$2:$G$101,6,FALSE)</f>
        <v>ISO 14001</v>
      </c>
      <c r="O504">
        <f>VLOOKUP(B504,Raw_Suppliers!$A$2:$G$101,7,FALSE)</f>
        <v>1</v>
      </c>
      <c r="P504" t="str">
        <f t="shared" si="43"/>
        <v>Yes</v>
      </c>
      <c r="Q504">
        <f t="shared" si="44"/>
        <v>1</v>
      </c>
      <c r="R504" t="str">
        <f t="shared" si="45"/>
        <v>On Time</v>
      </c>
      <c r="S504">
        <f t="shared" si="46"/>
        <v>2023</v>
      </c>
      <c r="T504">
        <f t="shared" si="47"/>
        <v>6</v>
      </c>
    </row>
    <row r="505" spans="1:20" x14ac:dyDescent="0.25">
      <c r="A505" t="s">
        <v>799</v>
      </c>
      <c r="B505" t="s">
        <v>179</v>
      </c>
      <c r="C505" t="s">
        <v>222</v>
      </c>
      <c r="D505" s="1">
        <v>45350</v>
      </c>
      <c r="E505">
        <v>16</v>
      </c>
      <c r="F505">
        <v>18.5969604796143</v>
      </c>
      <c r="G505" s="1">
        <v>45370</v>
      </c>
      <c r="H505" s="1">
        <v>45375</v>
      </c>
      <c r="I505">
        <v>297.55136767382999</v>
      </c>
      <c r="J505">
        <f t="shared" si="42"/>
        <v>5</v>
      </c>
      <c r="K505" t="str">
        <f>VLOOKUP(B505,Raw_Suppliers!$A$2:$G$101,2,FALSE)</f>
        <v>Nova Gamma Ltd</v>
      </c>
      <c r="L505" t="str">
        <f>VLOOKUP(B505,Raw_Suppliers!$A$2:$G$101,3,FALSE)</f>
        <v>Denmark</v>
      </c>
      <c r="M505" t="str">
        <f>VLOOKUP(B505,Raw_Suppliers!$A$2:$G$101,4,FALSE)</f>
        <v>East</v>
      </c>
      <c r="N505" t="str">
        <f>VLOOKUP(B505,Raw_Suppliers!$A$2:$G$101,6,FALSE)</f>
        <v>ISO 9001</v>
      </c>
      <c r="O505">
        <f>VLOOKUP(B505,Raw_Suppliers!$A$2:$G$101,7,FALSE)</f>
        <v>0</v>
      </c>
      <c r="P505" t="str">
        <f t="shared" si="43"/>
        <v>No</v>
      </c>
      <c r="Q505">
        <f t="shared" si="44"/>
        <v>0</v>
      </c>
      <c r="R505" t="str">
        <f t="shared" si="45"/>
        <v>Late</v>
      </c>
      <c r="S505">
        <f t="shared" si="46"/>
        <v>2024</v>
      </c>
      <c r="T505">
        <f t="shared" si="47"/>
        <v>2</v>
      </c>
    </row>
    <row r="506" spans="1:20" x14ac:dyDescent="0.25">
      <c r="A506" t="s">
        <v>800</v>
      </c>
      <c r="B506" t="s">
        <v>34</v>
      </c>
      <c r="C506" t="s">
        <v>413</v>
      </c>
      <c r="D506" s="1">
        <v>45100</v>
      </c>
      <c r="E506">
        <v>8</v>
      </c>
      <c r="F506">
        <v>56.784179482850803</v>
      </c>
      <c r="G506" s="1">
        <v>45116</v>
      </c>
      <c r="H506" s="1">
        <v>45118</v>
      </c>
      <c r="I506">
        <v>454.27343586280602</v>
      </c>
      <c r="J506">
        <f t="shared" si="42"/>
        <v>2</v>
      </c>
      <c r="K506" t="str">
        <f>VLOOKUP(B506,Raw_Suppliers!$A$2:$G$101,2,FALSE)</f>
        <v>Omega Alpha Corp</v>
      </c>
      <c r="L506" t="str">
        <f>VLOOKUP(B506,Raw_Suppliers!$A$2:$G$101,3,FALSE)</f>
        <v>UK</v>
      </c>
      <c r="M506" t="str">
        <f>VLOOKUP(B506,Raw_Suppliers!$A$2:$G$101,4,FALSE)</f>
        <v>West</v>
      </c>
      <c r="N506" t="str">
        <f>VLOOKUP(B506,Raw_Suppliers!$A$2:$G$101,6,FALSE)</f>
        <v>ISO 45001</v>
      </c>
      <c r="O506">
        <f>VLOOKUP(B506,Raw_Suppliers!$A$2:$G$101,7,FALSE)</f>
        <v>0</v>
      </c>
      <c r="P506" t="str">
        <f t="shared" si="43"/>
        <v>No</v>
      </c>
      <c r="Q506">
        <f t="shared" si="44"/>
        <v>0</v>
      </c>
      <c r="R506" t="str">
        <f t="shared" si="45"/>
        <v>Late</v>
      </c>
      <c r="S506">
        <f t="shared" si="46"/>
        <v>2023</v>
      </c>
      <c r="T506">
        <f t="shared" si="47"/>
        <v>6</v>
      </c>
    </row>
    <row r="507" spans="1:20" x14ac:dyDescent="0.25">
      <c r="A507" t="s">
        <v>801</v>
      </c>
      <c r="B507" t="s">
        <v>34</v>
      </c>
      <c r="C507" t="s">
        <v>727</v>
      </c>
      <c r="D507" s="1">
        <v>44424</v>
      </c>
      <c r="E507">
        <v>11</v>
      </c>
      <c r="F507">
        <v>26.3178017025398</v>
      </c>
      <c r="G507" s="1">
        <v>44435</v>
      </c>
      <c r="H507" s="1">
        <v>44438</v>
      </c>
      <c r="I507">
        <v>289.495818727938</v>
      </c>
      <c r="J507">
        <f t="shared" si="42"/>
        <v>3</v>
      </c>
      <c r="K507" t="str">
        <f>VLOOKUP(B507,Raw_Suppliers!$A$2:$G$101,2,FALSE)</f>
        <v>Omega Alpha Corp</v>
      </c>
      <c r="L507" t="str">
        <f>VLOOKUP(B507,Raw_Suppliers!$A$2:$G$101,3,FALSE)</f>
        <v>UK</v>
      </c>
      <c r="M507" t="str">
        <f>VLOOKUP(B507,Raw_Suppliers!$A$2:$G$101,4,FALSE)</f>
        <v>West</v>
      </c>
      <c r="N507" t="str">
        <f>VLOOKUP(B507,Raw_Suppliers!$A$2:$G$101,6,FALSE)</f>
        <v>ISO 45001</v>
      </c>
      <c r="O507">
        <f>VLOOKUP(B507,Raw_Suppliers!$A$2:$G$101,7,FALSE)</f>
        <v>0</v>
      </c>
      <c r="P507" t="str">
        <f t="shared" si="43"/>
        <v>No</v>
      </c>
      <c r="Q507">
        <f t="shared" si="44"/>
        <v>0</v>
      </c>
      <c r="R507" t="str">
        <f t="shared" si="45"/>
        <v>Late</v>
      </c>
      <c r="S507">
        <f t="shared" si="46"/>
        <v>2021</v>
      </c>
      <c r="T507">
        <f t="shared" si="47"/>
        <v>8</v>
      </c>
    </row>
    <row r="508" spans="1:20" x14ac:dyDescent="0.25">
      <c r="A508" t="s">
        <v>802</v>
      </c>
      <c r="B508" t="s">
        <v>109</v>
      </c>
      <c r="C508" t="s">
        <v>498</v>
      </c>
      <c r="D508" s="1">
        <v>44271</v>
      </c>
      <c r="E508">
        <v>11</v>
      </c>
      <c r="F508">
        <v>54.547841563101301</v>
      </c>
      <c r="G508" s="1">
        <v>44286</v>
      </c>
      <c r="H508" s="1">
        <v>44284</v>
      </c>
      <c r="I508">
        <v>600.02625719411503</v>
      </c>
      <c r="J508">
        <f t="shared" si="42"/>
        <v>-2</v>
      </c>
      <c r="K508" t="str">
        <f>VLOOKUP(B508,Raw_Suppliers!$A$2:$G$101,2,FALSE)</f>
        <v>Nano Fusion GmbH</v>
      </c>
      <c r="L508" t="str">
        <f>VLOOKUP(B508,Raw_Suppliers!$A$2:$G$101,3,FALSE)</f>
        <v>Denmark</v>
      </c>
      <c r="M508" t="str">
        <f>VLOOKUP(B508,Raw_Suppliers!$A$2:$G$101,4,FALSE)</f>
        <v>North</v>
      </c>
      <c r="N508" t="str">
        <f>VLOOKUP(B508,Raw_Suppliers!$A$2:$G$101,6,FALSE)</f>
        <v>ISO 9001</v>
      </c>
      <c r="O508">
        <f>VLOOKUP(B508,Raw_Suppliers!$A$2:$G$101,7,FALSE)</f>
        <v>0</v>
      </c>
      <c r="P508" t="str">
        <f t="shared" si="43"/>
        <v>No</v>
      </c>
      <c r="Q508">
        <f t="shared" si="44"/>
        <v>1</v>
      </c>
      <c r="R508" t="str">
        <f t="shared" si="45"/>
        <v>On Time</v>
      </c>
      <c r="S508">
        <f t="shared" si="46"/>
        <v>2021</v>
      </c>
      <c r="T508">
        <f t="shared" si="47"/>
        <v>3</v>
      </c>
    </row>
    <row r="509" spans="1:20" x14ac:dyDescent="0.25">
      <c r="A509" t="s">
        <v>803</v>
      </c>
      <c r="B509" t="s">
        <v>207</v>
      </c>
      <c r="C509" t="s">
        <v>571</v>
      </c>
      <c r="D509" s="1">
        <v>45374</v>
      </c>
      <c r="E509">
        <v>15</v>
      </c>
      <c r="F509">
        <v>54.883859994490301</v>
      </c>
      <c r="G509" s="1">
        <v>45390</v>
      </c>
      <c r="H509" s="1">
        <v>45394</v>
      </c>
      <c r="I509">
        <v>823.25789991735496</v>
      </c>
      <c r="J509">
        <f t="shared" si="42"/>
        <v>4</v>
      </c>
      <c r="K509" t="str">
        <f>VLOOKUP(B509,Raw_Suppliers!$A$2:$G$101,2,FALSE)</f>
        <v>Nova Alpha Ltd</v>
      </c>
      <c r="L509" t="str">
        <f>VLOOKUP(B509,Raw_Suppliers!$A$2:$G$101,3,FALSE)</f>
        <v>India</v>
      </c>
      <c r="M509" t="str">
        <f>VLOOKUP(B509,Raw_Suppliers!$A$2:$G$101,4,FALSE)</f>
        <v>East</v>
      </c>
      <c r="N509" t="str">
        <f>VLOOKUP(B509,Raw_Suppliers!$A$2:$G$101,6,FALSE)</f>
        <v>ISO 9001</v>
      </c>
      <c r="O509">
        <f>VLOOKUP(B509,Raw_Suppliers!$A$2:$G$101,7,FALSE)</f>
        <v>0</v>
      </c>
      <c r="P509" t="str">
        <f t="shared" si="43"/>
        <v>No</v>
      </c>
      <c r="Q509">
        <f t="shared" si="44"/>
        <v>0</v>
      </c>
      <c r="R509" t="str">
        <f t="shared" si="45"/>
        <v>Late</v>
      </c>
      <c r="S509">
        <f t="shared" si="46"/>
        <v>2024</v>
      </c>
      <c r="T509">
        <f t="shared" si="47"/>
        <v>3</v>
      </c>
    </row>
    <row r="510" spans="1:20" x14ac:dyDescent="0.25">
      <c r="A510" t="s">
        <v>804</v>
      </c>
      <c r="B510" t="s">
        <v>556</v>
      </c>
      <c r="C510" t="s">
        <v>144</v>
      </c>
      <c r="D510" s="1">
        <v>44656</v>
      </c>
      <c r="E510">
        <v>11</v>
      </c>
      <c r="F510">
        <v>16.1981356478165</v>
      </c>
      <c r="G510" s="1">
        <v>44670</v>
      </c>
      <c r="H510" s="1">
        <v>44668</v>
      </c>
      <c r="I510">
        <v>178.17949212598199</v>
      </c>
      <c r="J510">
        <f t="shared" si="42"/>
        <v>-2</v>
      </c>
      <c r="K510" t="str">
        <f>VLOOKUP(B510,Raw_Suppliers!$A$2:$G$101,2,FALSE)</f>
        <v>Ultra Delta Ltd</v>
      </c>
      <c r="L510" t="str">
        <f>VLOOKUP(B510,Raw_Suppliers!$A$2:$G$101,3,FALSE)</f>
        <v>China</v>
      </c>
      <c r="M510" t="str">
        <f>VLOOKUP(B510,Raw_Suppliers!$A$2:$G$101,4,FALSE)</f>
        <v>Central</v>
      </c>
      <c r="N510" t="str">
        <f>VLOOKUP(B510,Raw_Suppliers!$A$2:$G$101,6,FALSE)</f>
        <v>ISO 45001</v>
      </c>
      <c r="O510">
        <f>VLOOKUP(B510,Raw_Suppliers!$A$2:$G$101,7,FALSE)</f>
        <v>0</v>
      </c>
      <c r="P510" t="str">
        <f t="shared" si="43"/>
        <v>No</v>
      </c>
      <c r="Q510">
        <f t="shared" si="44"/>
        <v>1</v>
      </c>
      <c r="R510" t="str">
        <f t="shared" si="45"/>
        <v>On Time</v>
      </c>
      <c r="S510">
        <f t="shared" si="46"/>
        <v>2022</v>
      </c>
      <c r="T510">
        <f t="shared" si="47"/>
        <v>4</v>
      </c>
    </row>
    <row r="511" spans="1:20" x14ac:dyDescent="0.25">
      <c r="A511" t="s">
        <v>805</v>
      </c>
      <c r="B511" t="s">
        <v>207</v>
      </c>
      <c r="C511" t="s">
        <v>413</v>
      </c>
      <c r="D511" s="1">
        <v>44306</v>
      </c>
      <c r="E511">
        <v>7</v>
      </c>
      <c r="F511">
        <v>61.513404688826903</v>
      </c>
      <c r="G511" s="1">
        <v>44322</v>
      </c>
      <c r="H511" s="1">
        <v>44326</v>
      </c>
      <c r="I511">
        <v>430.593832821788</v>
      </c>
      <c r="J511">
        <f t="shared" si="42"/>
        <v>4</v>
      </c>
      <c r="K511" t="str">
        <f>VLOOKUP(B511,Raw_Suppliers!$A$2:$G$101,2,FALSE)</f>
        <v>Nova Alpha Ltd</v>
      </c>
      <c r="L511" t="str">
        <f>VLOOKUP(B511,Raw_Suppliers!$A$2:$G$101,3,FALSE)</f>
        <v>India</v>
      </c>
      <c r="M511" t="str">
        <f>VLOOKUP(B511,Raw_Suppliers!$A$2:$G$101,4,FALSE)</f>
        <v>East</v>
      </c>
      <c r="N511" t="str">
        <f>VLOOKUP(B511,Raw_Suppliers!$A$2:$G$101,6,FALSE)</f>
        <v>ISO 9001</v>
      </c>
      <c r="O511">
        <f>VLOOKUP(B511,Raw_Suppliers!$A$2:$G$101,7,FALSE)</f>
        <v>0</v>
      </c>
      <c r="P511" t="str">
        <f t="shared" si="43"/>
        <v>No</v>
      </c>
      <c r="Q511">
        <f t="shared" si="44"/>
        <v>0</v>
      </c>
      <c r="R511" t="str">
        <f t="shared" si="45"/>
        <v>Late</v>
      </c>
      <c r="S511">
        <f t="shared" si="46"/>
        <v>2021</v>
      </c>
      <c r="T511">
        <f t="shared" si="47"/>
        <v>4</v>
      </c>
    </row>
    <row r="512" spans="1:20" x14ac:dyDescent="0.25">
      <c r="A512" t="s">
        <v>806</v>
      </c>
      <c r="B512" t="s">
        <v>359</v>
      </c>
      <c r="C512" t="s">
        <v>383</v>
      </c>
      <c r="D512" s="1">
        <v>44212</v>
      </c>
      <c r="E512">
        <v>10</v>
      </c>
      <c r="F512">
        <v>20.815617306055199</v>
      </c>
      <c r="G512" s="1">
        <v>44225</v>
      </c>
      <c r="H512" s="1">
        <v>44223</v>
      </c>
      <c r="I512">
        <v>208.15617306055199</v>
      </c>
      <c r="J512">
        <f t="shared" si="42"/>
        <v>-2</v>
      </c>
      <c r="K512" t="str">
        <f>VLOOKUP(B512,Raw_Suppliers!$A$2:$G$101,2,FALSE)</f>
        <v>Alpha Alpha Corp</v>
      </c>
      <c r="L512" t="str">
        <f>VLOOKUP(B512,Raw_Suppliers!$A$2:$G$101,3,FALSE)</f>
        <v>India</v>
      </c>
      <c r="M512" t="str">
        <f>VLOOKUP(B512,Raw_Suppliers!$A$2:$G$101,4,FALSE)</f>
        <v>North</v>
      </c>
      <c r="N512" t="str">
        <f>VLOOKUP(B512,Raw_Suppliers!$A$2:$G$101,6,FALSE)</f>
        <v>ISO 9001</v>
      </c>
      <c r="O512">
        <f>VLOOKUP(B512,Raw_Suppliers!$A$2:$G$101,7,FALSE)</f>
        <v>1</v>
      </c>
      <c r="P512" t="str">
        <f t="shared" si="43"/>
        <v>Yes</v>
      </c>
      <c r="Q512">
        <f t="shared" si="44"/>
        <v>1</v>
      </c>
      <c r="R512" t="str">
        <f t="shared" si="45"/>
        <v>On Time</v>
      </c>
      <c r="S512">
        <f t="shared" si="46"/>
        <v>2021</v>
      </c>
      <c r="T512">
        <f t="shared" si="47"/>
        <v>1</v>
      </c>
    </row>
    <row r="513" spans="1:20" x14ac:dyDescent="0.25">
      <c r="A513" t="s">
        <v>807</v>
      </c>
      <c r="B513" t="s">
        <v>411</v>
      </c>
      <c r="C513" t="s">
        <v>141</v>
      </c>
      <c r="D513" s="1">
        <v>44829</v>
      </c>
      <c r="E513">
        <v>13</v>
      </c>
      <c r="F513">
        <v>26.000503856039099</v>
      </c>
      <c r="G513" s="1">
        <v>44843</v>
      </c>
      <c r="H513" s="1">
        <v>44847</v>
      </c>
      <c r="I513">
        <v>338.00655012850899</v>
      </c>
      <c r="J513">
        <f t="shared" si="42"/>
        <v>4</v>
      </c>
      <c r="K513" t="str">
        <f>VLOOKUP(B513,Raw_Suppliers!$A$2:$G$101,2,FALSE)</f>
        <v>Gamma Nova LLC</v>
      </c>
      <c r="L513" t="str">
        <f>VLOOKUP(B513,Raw_Suppliers!$A$2:$G$101,3,FALSE)</f>
        <v>Brazil</v>
      </c>
      <c r="M513" t="str">
        <f>VLOOKUP(B513,Raw_Suppliers!$A$2:$G$101,4,FALSE)</f>
        <v>North</v>
      </c>
      <c r="N513" t="str">
        <f>VLOOKUP(B513,Raw_Suppliers!$A$2:$G$101,6,FALSE)</f>
        <v>ISO 14001</v>
      </c>
      <c r="O513">
        <f>VLOOKUP(B513,Raw_Suppliers!$A$2:$G$101,7,FALSE)</f>
        <v>1</v>
      </c>
      <c r="P513" t="str">
        <f t="shared" si="43"/>
        <v>Yes</v>
      </c>
      <c r="Q513">
        <f t="shared" si="44"/>
        <v>0</v>
      </c>
      <c r="R513" t="str">
        <f t="shared" si="45"/>
        <v>Late</v>
      </c>
      <c r="S513">
        <f t="shared" si="46"/>
        <v>2022</v>
      </c>
      <c r="T513">
        <f t="shared" si="47"/>
        <v>9</v>
      </c>
    </row>
    <row r="514" spans="1:20" x14ac:dyDescent="0.25">
      <c r="A514" t="s">
        <v>808</v>
      </c>
      <c r="B514" t="s">
        <v>19</v>
      </c>
      <c r="C514" t="s">
        <v>703</v>
      </c>
      <c r="D514" s="1">
        <v>44268</v>
      </c>
      <c r="E514">
        <v>13</v>
      </c>
      <c r="F514">
        <v>39.443253178328398</v>
      </c>
      <c r="G514" s="1">
        <v>44288</v>
      </c>
      <c r="H514" s="1">
        <v>44288</v>
      </c>
      <c r="I514">
        <v>512.76229131826994</v>
      </c>
      <c r="J514">
        <f t="shared" si="42"/>
        <v>0</v>
      </c>
      <c r="K514" t="str">
        <f>VLOOKUP(B514,Raw_Suppliers!$A$2:$G$101,2,FALSE)</f>
        <v>Nova Beta Corp</v>
      </c>
      <c r="L514" t="str">
        <f>VLOOKUP(B514,Raw_Suppliers!$A$2:$G$101,3,FALSE)</f>
        <v>Brazil</v>
      </c>
      <c r="M514" t="str">
        <f>VLOOKUP(B514,Raw_Suppliers!$A$2:$G$101,4,FALSE)</f>
        <v>South</v>
      </c>
      <c r="N514" t="str">
        <f>VLOOKUP(B514,Raw_Suppliers!$A$2:$G$101,6,FALSE)</f>
        <v>ISO 14001</v>
      </c>
      <c r="O514">
        <f>VLOOKUP(B514,Raw_Suppliers!$A$2:$G$101,7,FALSE)</f>
        <v>1</v>
      </c>
      <c r="P514" t="str">
        <f t="shared" si="43"/>
        <v>Yes</v>
      </c>
      <c r="Q514">
        <f t="shared" si="44"/>
        <v>1</v>
      </c>
      <c r="R514" t="str">
        <f t="shared" si="45"/>
        <v>On Time</v>
      </c>
      <c r="S514">
        <f t="shared" si="46"/>
        <v>2021</v>
      </c>
      <c r="T514">
        <f t="shared" si="47"/>
        <v>3</v>
      </c>
    </row>
    <row r="515" spans="1:20" x14ac:dyDescent="0.25">
      <c r="A515" t="s">
        <v>809</v>
      </c>
      <c r="B515" t="s">
        <v>67</v>
      </c>
      <c r="C515" t="s">
        <v>62</v>
      </c>
      <c r="D515" s="1">
        <v>44981</v>
      </c>
      <c r="E515">
        <v>11</v>
      </c>
      <c r="F515">
        <v>32.1858212361131</v>
      </c>
      <c r="G515" s="1">
        <v>44995</v>
      </c>
      <c r="H515" s="1">
        <v>44992</v>
      </c>
      <c r="I515">
        <v>354.04403359724398</v>
      </c>
      <c r="J515">
        <f t="shared" ref="J515:J578" si="48">H515-G515</f>
        <v>-3</v>
      </c>
      <c r="K515" t="str">
        <f>VLOOKUP(B515,Raw_Suppliers!$A$2:$G$101,2,FALSE)</f>
        <v>Nova Eco LLC</v>
      </c>
      <c r="L515" t="str">
        <f>VLOOKUP(B515,Raw_Suppliers!$A$2:$G$101,3,FALSE)</f>
        <v>Germany</v>
      </c>
      <c r="M515" t="str">
        <f>VLOOKUP(B515,Raw_Suppliers!$A$2:$G$101,4,FALSE)</f>
        <v>Central</v>
      </c>
      <c r="N515" t="str">
        <f>VLOOKUP(B515,Raw_Suppliers!$A$2:$G$101,6,FALSE)</f>
        <v>ISO 9001</v>
      </c>
      <c r="O515">
        <f>VLOOKUP(B515,Raw_Suppliers!$A$2:$G$101,7,FALSE)</f>
        <v>1</v>
      </c>
      <c r="P515" t="str">
        <f t="shared" ref="P515:P578" si="49">IF(O515=1,"Yes","No")</f>
        <v>Yes</v>
      </c>
      <c r="Q515">
        <f t="shared" ref="Q515:Q578" si="50">IF(J515&lt;=0,1,0)</f>
        <v>1</v>
      </c>
      <c r="R515" t="str">
        <f t="shared" ref="R515:R578" si="51">IF(Q515=1,"On Time","Late")</f>
        <v>On Time</v>
      </c>
      <c r="S515">
        <f t="shared" ref="S515:S578" si="52">YEAR(D515)</f>
        <v>2023</v>
      </c>
      <c r="T515">
        <f t="shared" ref="T515:T578" si="53">MONTH(D515)</f>
        <v>2</v>
      </c>
    </row>
    <row r="516" spans="1:20" x14ac:dyDescent="0.25">
      <c r="A516" t="s">
        <v>810</v>
      </c>
      <c r="B516" t="s">
        <v>267</v>
      </c>
      <c r="C516" t="s">
        <v>59</v>
      </c>
      <c r="D516" s="1">
        <v>45372</v>
      </c>
      <c r="E516">
        <v>14</v>
      </c>
      <c r="F516">
        <v>49.896043804473301</v>
      </c>
      <c r="G516" s="1">
        <v>45384</v>
      </c>
      <c r="H516" s="1">
        <v>45387</v>
      </c>
      <c r="I516">
        <v>698.54461326262697</v>
      </c>
      <c r="J516">
        <f t="shared" si="48"/>
        <v>3</v>
      </c>
      <c r="K516" t="str">
        <f>VLOOKUP(B516,Raw_Suppliers!$A$2:$G$101,2,FALSE)</f>
        <v>Omega Nova Corp</v>
      </c>
      <c r="L516" t="str">
        <f>VLOOKUP(B516,Raw_Suppliers!$A$2:$G$101,3,FALSE)</f>
        <v>India</v>
      </c>
      <c r="M516" t="str">
        <f>VLOOKUP(B516,Raw_Suppliers!$A$2:$G$101,4,FALSE)</f>
        <v>West</v>
      </c>
      <c r="N516" t="str">
        <f>VLOOKUP(B516,Raw_Suppliers!$A$2:$G$101,6,FALSE)</f>
        <v>ISO 45001</v>
      </c>
      <c r="O516">
        <f>VLOOKUP(B516,Raw_Suppliers!$A$2:$G$101,7,FALSE)</f>
        <v>0</v>
      </c>
      <c r="P516" t="str">
        <f t="shared" si="49"/>
        <v>No</v>
      </c>
      <c r="Q516">
        <f t="shared" si="50"/>
        <v>0</v>
      </c>
      <c r="R516" t="str">
        <f t="shared" si="51"/>
        <v>Late</v>
      </c>
      <c r="S516">
        <f t="shared" si="52"/>
        <v>2024</v>
      </c>
      <c r="T516">
        <f t="shared" si="53"/>
        <v>3</v>
      </c>
    </row>
    <row r="517" spans="1:20" x14ac:dyDescent="0.25">
      <c r="A517" t="s">
        <v>811</v>
      </c>
      <c r="B517" t="s">
        <v>493</v>
      </c>
      <c r="C517" t="s">
        <v>50</v>
      </c>
      <c r="D517" s="1">
        <v>44309</v>
      </c>
      <c r="E517">
        <v>15</v>
      </c>
      <c r="F517">
        <v>55.458473919896903</v>
      </c>
      <c r="G517" s="1">
        <v>44327</v>
      </c>
      <c r="H517" s="1">
        <v>44330</v>
      </c>
      <c r="I517">
        <v>831.87710879845395</v>
      </c>
      <c r="J517">
        <f t="shared" si="48"/>
        <v>3</v>
      </c>
      <c r="K517" t="str">
        <f>VLOOKUP(B517,Raw_Suppliers!$A$2:$G$101,2,FALSE)</f>
        <v>Delta Vertex LLC</v>
      </c>
      <c r="L517" t="str">
        <f>VLOOKUP(B517,Raw_Suppliers!$A$2:$G$101,3,FALSE)</f>
        <v>China</v>
      </c>
      <c r="M517" t="str">
        <f>VLOOKUP(B517,Raw_Suppliers!$A$2:$G$101,4,FALSE)</f>
        <v>East</v>
      </c>
      <c r="N517" t="str">
        <f>VLOOKUP(B517,Raw_Suppliers!$A$2:$G$101,6,FALSE)</f>
        <v>None</v>
      </c>
      <c r="O517">
        <f>VLOOKUP(B517,Raw_Suppliers!$A$2:$G$101,7,FALSE)</f>
        <v>0</v>
      </c>
      <c r="P517" t="str">
        <f t="shared" si="49"/>
        <v>No</v>
      </c>
      <c r="Q517">
        <f t="shared" si="50"/>
        <v>0</v>
      </c>
      <c r="R517" t="str">
        <f t="shared" si="51"/>
        <v>Late</v>
      </c>
      <c r="S517">
        <f t="shared" si="52"/>
        <v>2021</v>
      </c>
      <c r="T517">
        <f t="shared" si="53"/>
        <v>4</v>
      </c>
    </row>
    <row r="518" spans="1:20" x14ac:dyDescent="0.25">
      <c r="A518" t="s">
        <v>812</v>
      </c>
      <c r="B518" t="s">
        <v>340</v>
      </c>
      <c r="C518" t="s">
        <v>274</v>
      </c>
      <c r="D518" s="1">
        <v>44245</v>
      </c>
      <c r="E518">
        <v>23</v>
      </c>
      <c r="F518">
        <v>69.956223480732405</v>
      </c>
      <c r="G518" s="1">
        <v>44268</v>
      </c>
      <c r="H518" s="1">
        <v>44273</v>
      </c>
      <c r="I518">
        <v>1608.99314005684</v>
      </c>
      <c r="J518">
        <f t="shared" si="48"/>
        <v>5</v>
      </c>
      <c r="K518" t="str">
        <f>VLOOKUP(B518,Raw_Suppliers!$A$2:$G$101,2,FALSE)</f>
        <v>Pioneer Ultra GmbH</v>
      </c>
      <c r="L518" t="str">
        <f>VLOOKUP(B518,Raw_Suppliers!$A$2:$G$101,3,FALSE)</f>
        <v>China</v>
      </c>
      <c r="M518" t="str">
        <f>VLOOKUP(B518,Raw_Suppliers!$A$2:$G$101,4,FALSE)</f>
        <v>Central</v>
      </c>
      <c r="N518" t="str">
        <f>VLOOKUP(B518,Raw_Suppliers!$A$2:$G$101,6,FALSE)</f>
        <v>ISO 9001</v>
      </c>
      <c r="O518">
        <f>VLOOKUP(B518,Raw_Suppliers!$A$2:$G$101,7,FALSE)</f>
        <v>0</v>
      </c>
      <c r="P518" t="str">
        <f t="shared" si="49"/>
        <v>No</v>
      </c>
      <c r="Q518">
        <f t="shared" si="50"/>
        <v>0</v>
      </c>
      <c r="R518" t="str">
        <f t="shared" si="51"/>
        <v>Late</v>
      </c>
      <c r="S518">
        <f t="shared" si="52"/>
        <v>2021</v>
      </c>
      <c r="T518">
        <f t="shared" si="53"/>
        <v>2</v>
      </c>
    </row>
    <row r="519" spans="1:20" x14ac:dyDescent="0.25">
      <c r="A519" t="s">
        <v>813</v>
      </c>
      <c r="B519" t="s">
        <v>82</v>
      </c>
      <c r="C519" t="s">
        <v>290</v>
      </c>
      <c r="D519" s="1">
        <v>44706</v>
      </c>
      <c r="E519">
        <v>16</v>
      </c>
      <c r="F519">
        <v>37.304560794334002</v>
      </c>
      <c r="G519" s="1">
        <v>44718</v>
      </c>
      <c r="H519" s="1">
        <v>44716</v>
      </c>
      <c r="I519">
        <v>596.87297270934403</v>
      </c>
      <c r="J519">
        <f t="shared" si="48"/>
        <v>-2</v>
      </c>
      <c r="K519" t="str">
        <f>VLOOKUP(B519,Raw_Suppliers!$A$2:$G$101,2,FALSE)</f>
        <v>Gamma Quantum LLC</v>
      </c>
      <c r="L519" t="str">
        <f>VLOOKUP(B519,Raw_Suppliers!$A$2:$G$101,3,FALSE)</f>
        <v>Canada</v>
      </c>
      <c r="M519" t="str">
        <f>VLOOKUP(B519,Raw_Suppliers!$A$2:$G$101,4,FALSE)</f>
        <v>Central</v>
      </c>
      <c r="N519" t="str">
        <f>VLOOKUP(B519,Raw_Suppliers!$A$2:$G$101,6,FALSE)</f>
        <v>None</v>
      </c>
      <c r="O519">
        <f>VLOOKUP(B519,Raw_Suppliers!$A$2:$G$101,7,FALSE)</f>
        <v>1</v>
      </c>
      <c r="P519" t="str">
        <f t="shared" si="49"/>
        <v>Yes</v>
      </c>
      <c r="Q519">
        <f t="shared" si="50"/>
        <v>1</v>
      </c>
      <c r="R519" t="str">
        <f t="shared" si="51"/>
        <v>On Time</v>
      </c>
      <c r="S519">
        <f t="shared" si="52"/>
        <v>2022</v>
      </c>
      <c r="T519">
        <f t="shared" si="53"/>
        <v>5</v>
      </c>
    </row>
    <row r="520" spans="1:20" x14ac:dyDescent="0.25">
      <c r="A520" t="s">
        <v>814</v>
      </c>
      <c r="B520" t="s">
        <v>61</v>
      </c>
      <c r="C520" t="s">
        <v>112</v>
      </c>
      <c r="D520" s="1">
        <v>44853</v>
      </c>
      <c r="E520">
        <v>6</v>
      </c>
      <c r="F520">
        <v>66.8929697015584</v>
      </c>
      <c r="G520" s="1">
        <v>44877</v>
      </c>
      <c r="H520" s="1">
        <v>44881</v>
      </c>
      <c r="I520">
        <v>401.35781820935</v>
      </c>
      <c r="J520">
        <f t="shared" si="48"/>
        <v>4</v>
      </c>
      <c r="K520" t="str">
        <f>VLOOKUP(B520,Raw_Suppliers!$A$2:$G$101,2,FALSE)</f>
        <v>Ultra Gamma LLC</v>
      </c>
      <c r="L520" t="str">
        <f>VLOOKUP(B520,Raw_Suppliers!$A$2:$G$101,3,FALSE)</f>
        <v>Canada</v>
      </c>
      <c r="M520" t="str">
        <f>VLOOKUP(B520,Raw_Suppliers!$A$2:$G$101,4,FALSE)</f>
        <v>North</v>
      </c>
      <c r="N520" t="str">
        <f>VLOOKUP(B520,Raw_Suppliers!$A$2:$G$101,6,FALSE)</f>
        <v>ISO 9001</v>
      </c>
      <c r="O520">
        <f>VLOOKUP(B520,Raw_Suppliers!$A$2:$G$101,7,FALSE)</f>
        <v>1</v>
      </c>
      <c r="P520" t="str">
        <f t="shared" si="49"/>
        <v>Yes</v>
      </c>
      <c r="Q520">
        <f t="shared" si="50"/>
        <v>0</v>
      </c>
      <c r="R520" t="str">
        <f t="shared" si="51"/>
        <v>Late</v>
      </c>
      <c r="S520">
        <f t="shared" si="52"/>
        <v>2022</v>
      </c>
      <c r="T520">
        <f t="shared" si="53"/>
        <v>10</v>
      </c>
    </row>
    <row r="521" spans="1:20" x14ac:dyDescent="0.25">
      <c r="A521" t="s">
        <v>815</v>
      </c>
      <c r="B521" t="s">
        <v>194</v>
      </c>
      <c r="C521" t="s">
        <v>268</v>
      </c>
      <c r="D521" s="1">
        <v>44978</v>
      </c>
      <c r="E521">
        <v>13</v>
      </c>
      <c r="F521">
        <v>14.788230554402499</v>
      </c>
      <c r="G521" s="1">
        <v>44996</v>
      </c>
      <c r="H521" s="1">
        <v>45000</v>
      </c>
      <c r="I521">
        <v>192.246997207232</v>
      </c>
      <c r="J521">
        <f t="shared" si="48"/>
        <v>4</v>
      </c>
      <c r="K521" t="str">
        <f>VLOOKUP(B521,Raw_Suppliers!$A$2:$G$101,2,FALSE)</f>
        <v>Eco Pioneer Corp</v>
      </c>
      <c r="L521" t="str">
        <f>VLOOKUP(B521,Raw_Suppliers!$A$2:$G$101,3,FALSE)</f>
        <v>China</v>
      </c>
      <c r="M521" t="str">
        <f>VLOOKUP(B521,Raw_Suppliers!$A$2:$G$101,4,FALSE)</f>
        <v>East</v>
      </c>
      <c r="N521" t="str">
        <f>VLOOKUP(B521,Raw_Suppliers!$A$2:$G$101,6,FALSE)</f>
        <v>ISO 14001</v>
      </c>
      <c r="O521">
        <f>VLOOKUP(B521,Raw_Suppliers!$A$2:$G$101,7,FALSE)</f>
        <v>1</v>
      </c>
      <c r="P521" t="str">
        <f t="shared" si="49"/>
        <v>Yes</v>
      </c>
      <c r="Q521">
        <f t="shared" si="50"/>
        <v>0</v>
      </c>
      <c r="R521" t="str">
        <f t="shared" si="51"/>
        <v>Late</v>
      </c>
      <c r="S521">
        <f t="shared" si="52"/>
        <v>2023</v>
      </c>
      <c r="T521">
        <f t="shared" si="53"/>
        <v>2</v>
      </c>
    </row>
    <row r="522" spans="1:20" x14ac:dyDescent="0.25">
      <c r="A522" t="s">
        <v>816</v>
      </c>
      <c r="B522" t="s">
        <v>40</v>
      </c>
      <c r="C522" t="s">
        <v>65</v>
      </c>
      <c r="D522" s="1">
        <v>44924</v>
      </c>
      <c r="E522">
        <v>12</v>
      </c>
      <c r="F522">
        <v>75.133151705296896</v>
      </c>
      <c r="G522" s="1">
        <v>44948</v>
      </c>
      <c r="H522" s="1">
        <v>44949</v>
      </c>
      <c r="I522">
        <v>901.59782046356304</v>
      </c>
      <c r="J522">
        <f t="shared" si="48"/>
        <v>1</v>
      </c>
      <c r="K522" t="str">
        <f>VLOOKUP(B522,Raw_Suppliers!$A$2:$G$101,2,FALSE)</f>
        <v>Ultra Apex Inc</v>
      </c>
      <c r="L522" t="str">
        <f>VLOOKUP(B522,Raw_Suppliers!$A$2:$G$101,3,FALSE)</f>
        <v>India</v>
      </c>
      <c r="M522" t="str">
        <f>VLOOKUP(B522,Raw_Suppliers!$A$2:$G$101,4,FALSE)</f>
        <v>West</v>
      </c>
      <c r="N522" t="str">
        <f>VLOOKUP(B522,Raw_Suppliers!$A$2:$G$101,6,FALSE)</f>
        <v>ISO 9001</v>
      </c>
      <c r="O522">
        <f>VLOOKUP(B522,Raw_Suppliers!$A$2:$G$101,7,FALSE)</f>
        <v>0</v>
      </c>
      <c r="P522" t="str">
        <f t="shared" si="49"/>
        <v>No</v>
      </c>
      <c r="Q522">
        <f t="shared" si="50"/>
        <v>0</v>
      </c>
      <c r="R522" t="str">
        <f t="shared" si="51"/>
        <v>Late</v>
      </c>
      <c r="S522">
        <f t="shared" si="52"/>
        <v>2022</v>
      </c>
      <c r="T522">
        <f t="shared" si="53"/>
        <v>12</v>
      </c>
    </row>
    <row r="523" spans="1:20" x14ac:dyDescent="0.25">
      <c r="A523" t="s">
        <v>817</v>
      </c>
      <c r="B523" t="s">
        <v>40</v>
      </c>
      <c r="C523" t="s">
        <v>818</v>
      </c>
      <c r="D523" s="1">
        <v>44780</v>
      </c>
      <c r="E523">
        <v>10</v>
      </c>
      <c r="F523">
        <v>27.057295990249699</v>
      </c>
      <c r="G523" s="1">
        <v>44799</v>
      </c>
      <c r="H523" s="1">
        <v>44801</v>
      </c>
      <c r="I523">
        <v>270.57295990249702</v>
      </c>
      <c r="J523">
        <f t="shared" si="48"/>
        <v>2</v>
      </c>
      <c r="K523" t="str">
        <f>VLOOKUP(B523,Raw_Suppliers!$A$2:$G$101,2,FALSE)</f>
        <v>Ultra Apex Inc</v>
      </c>
      <c r="L523" t="str">
        <f>VLOOKUP(B523,Raw_Suppliers!$A$2:$G$101,3,FALSE)</f>
        <v>India</v>
      </c>
      <c r="M523" t="str">
        <f>VLOOKUP(B523,Raw_Suppliers!$A$2:$G$101,4,FALSE)</f>
        <v>West</v>
      </c>
      <c r="N523" t="str">
        <f>VLOOKUP(B523,Raw_Suppliers!$A$2:$G$101,6,FALSE)</f>
        <v>ISO 9001</v>
      </c>
      <c r="O523">
        <f>VLOOKUP(B523,Raw_Suppliers!$A$2:$G$101,7,FALSE)</f>
        <v>0</v>
      </c>
      <c r="P523" t="str">
        <f t="shared" si="49"/>
        <v>No</v>
      </c>
      <c r="Q523">
        <f t="shared" si="50"/>
        <v>0</v>
      </c>
      <c r="R523" t="str">
        <f t="shared" si="51"/>
        <v>Late</v>
      </c>
      <c r="S523">
        <f t="shared" si="52"/>
        <v>2022</v>
      </c>
      <c r="T523">
        <f t="shared" si="53"/>
        <v>8</v>
      </c>
    </row>
    <row r="524" spans="1:20" x14ac:dyDescent="0.25">
      <c r="A524" t="s">
        <v>819</v>
      </c>
      <c r="B524" t="s">
        <v>295</v>
      </c>
      <c r="C524" t="s">
        <v>158</v>
      </c>
      <c r="D524" s="1">
        <v>44223</v>
      </c>
      <c r="E524">
        <v>8</v>
      </c>
      <c r="F524">
        <v>31.485837237087001</v>
      </c>
      <c r="G524" s="1">
        <v>44241</v>
      </c>
      <c r="H524" s="1">
        <v>44239</v>
      </c>
      <c r="I524">
        <v>251.88669789669601</v>
      </c>
      <c r="J524">
        <f t="shared" si="48"/>
        <v>-2</v>
      </c>
      <c r="K524" t="str">
        <f>VLOOKUP(B524,Raw_Suppliers!$A$2:$G$101,2,FALSE)</f>
        <v>Delta Quantum GmbH</v>
      </c>
      <c r="L524" t="str">
        <f>VLOOKUP(B524,Raw_Suppliers!$A$2:$G$101,3,FALSE)</f>
        <v>Brazil</v>
      </c>
      <c r="M524" t="str">
        <f>VLOOKUP(B524,Raw_Suppliers!$A$2:$G$101,4,FALSE)</f>
        <v>North</v>
      </c>
      <c r="N524" t="str">
        <f>VLOOKUP(B524,Raw_Suppliers!$A$2:$G$101,6,FALSE)</f>
        <v>ISO 9001</v>
      </c>
      <c r="O524">
        <f>VLOOKUP(B524,Raw_Suppliers!$A$2:$G$101,7,FALSE)</f>
        <v>1</v>
      </c>
      <c r="P524" t="str">
        <f t="shared" si="49"/>
        <v>Yes</v>
      </c>
      <c r="Q524">
        <f t="shared" si="50"/>
        <v>1</v>
      </c>
      <c r="R524" t="str">
        <f t="shared" si="51"/>
        <v>On Time</v>
      </c>
      <c r="S524">
        <f t="shared" si="52"/>
        <v>2021</v>
      </c>
      <c r="T524">
        <f t="shared" si="53"/>
        <v>1</v>
      </c>
    </row>
    <row r="525" spans="1:20" x14ac:dyDescent="0.25">
      <c r="A525" t="s">
        <v>820</v>
      </c>
      <c r="B525" t="s">
        <v>564</v>
      </c>
      <c r="C525" t="s">
        <v>228</v>
      </c>
      <c r="D525" s="1">
        <v>44785</v>
      </c>
      <c r="E525">
        <v>17</v>
      </c>
      <c r="F525">
        <v>44.674005029691401</v>
      </c>
      <c r="G525" s="1">
        <v>44805</v>
      </c>
      <c r="H525" s="1">
        <v>44809</v>
      </c>
      <c r="I525">
        <v>759.45808550475397</v>
      </c>
      <c r="J525">
        <f t="shared" si="48"/>
        <v>4</v>
      </c>
      <c r="K525" t="str">
        <f>VLOOKUP(B525,Raw_Suppliers!$A$2:$G$101,2,FALSE)</f>
        <v>Ultra Ultra GmbH</v>
      </c>
      <c r="L525" t="str">
        <f>VLOOKUP(B525,Raw_Suppliers!$A$2:$G$101,3,FALSE)</f>
        <v>India</v>
      </c>
      <c r="M525" t="str">
        <f>VLOOKUP(B525,Raw_Suppliers!$A$2:$G$101,4,FALSE)</f>
        <v>Central</v>
      </c>
      <c r="N525" t="str">
        <f>VLOOKUP(B525,Raw_Suppliers!$A$2:$G$101,6,FALSE)</f>
        <v>ISO 14001</v>
      </c>
      <c r="O525">
        <f>VLOOKUP(B525,Raw_Suppliers!$A$2:$G$101,7,FALSE)</f>
        <v>1</v>
      </c>
      <c r="P525" t="str">
        <f t="shared" si="49"/>
        <v>Yes</v>
      </c>
      <c r="Q525">
        <f t="shared" si="50"/>
        <v>0</v>
      </c>
      <c r="R525" t="str">
        <f t="shared" si="51"/>
        <v>Late</v>
      </c>
      <c r="S525">
        <f t="shared" si="52"/>
        <v>2022</v>
      </c>
      <c r="T525">
        <f t="shared" si="53"/>
        <v>8</v>
      </c>
    </row>
    <row r="526" spans="1:20" x14ac:dyDescent="0.25">
      <c r="A526" t="s">
        <v>821</v>
      </c>
      <c r="B526" t="s">
        <v>203</v>
      </c>
      <c r="C526" t="s">
        <v>341</v>
      </c>
      <c r="D526" s="1">
        <v>45111</v>
      </c>
      <c r="E526">
        <v>8</v>
      </c>
      <c r="F526">
        <v>11.555228551424999</v>
      </c>
      <c r="G526" s="1">
        <v>45121</v>
      </c>
      <c r="H526" s="1">
        <v>45120</v>
      </c>
      <c r="I526">
        <v>92.441828411400294</v>
      </c>
      <c r="J526">
        <f t="shared" si="48"/>
        <v>-1</v>
      </c>
      <c r="K526" t="str">
        <f>VLOOKUP(B526,Raw_Suppliers!$A$2:$G$101,2,FALSE)</f>
        <v>Nova Eco LLC</v>
      </c>
      <c r="L526" t="str">
        <f>VLOOKUP(B526,Raw_Suppliers!$A$2:$G$101,3,FALSE)</f>
        <v>Denmark</v>
      </c>
      <c r="M526" t="str">
        <f>VLOOKUP(B526,Raw_Suppliers!$A$2:$G$101,4,FALSE)</f>
        <v>South</v>
      </c>
      <c r="N526" t="str">
        <f>VLOOKUP(B526,Raw_Suppliers!$A$2:$G$101,6,FALSE)</f>
        <v>ISO 14001</v>
      </c>
      <c r="O526">
        <f>VLOOKUP(B526,Raw_Suppliers!$A$2:$G$101,7,FALSE)</f>
        <v>0</v>
      </c>
      <c r="P526" t="str">
        <f t="shared" si="49"/>
        <v>No</v>
      </c>
      <c r="Q526">
        <f t="shared" si="50"/>
        <v>1</v>
      </c>
      <c r="R526" t="str">
        <f t="shared" si="51"/>
        <v>On Time</v>
      </c>
      <c r="S526">
        <f t="shared" si="52"/>
        <v>2023</v>
      </c>
      <c r="T526">
        <f t="shared" si="53"/>
        <v>7</v>
      </c>
    </row>
    <row r="527" spans="1:20" x14ac:dyDescent="0.25">
      <c r="A527" t="s">
        <v>822</v>
      </c>
      <c r="B527" t="s">
        <v>157</v>
      </c>
      <c r="C527" t="s">
        <v>763</v>
      </c>
      <c r="D527" s="1">
        <v>45093</v>
      </c>
      <c r="E527">
        <v>14</v>
      </c>
      <c r="F527">
        <v>50.453160693111997</v>
      </c>
      <c r="G527" s="1">
        <v>45115</v>
      </c>
      <c r="H527" s="1">
        <v>45120</v>
      </c>
      <c r="I527">
        <v>706.34424970356804</v>
      </c>
      <c r="J527">
        <f t="shared" si="48"/>
        <v>5</v>
      </c>
      <c r="K527" t="str">
        <f>VLOOKUP(B527,Raw_Suppliers!$A$2:$G$101,2,FALSE)</f>
        <v>Pioneer Omega Ltd</v>
      </c>
      <c r="L527" t="str">
        <f>VLOOKUP(B527,Raw_Suppliers!$A$2:$G$101,3,FALSE)</f>
        <v>Brazil</v>
      </c>
      <c r="M527" t="str">
        <f>VLOOKUP(B527,Raw_Suppliers!$A$2:$G$101,4,FALSE)</f>
        <v>East</v>
      </c>
      <c r="N527" t="str">
        <f>VLOOKUP(B527,Raw_Suppliers!$A$2:$G$101,6,FALSE)</f>
        <v>None</v>
      </c>
      <c r="O527">
        <f>VLOOKUP(B527,Raw_Suppliers!$A$2:$G$101,7,FALSE)</f>
        <v>0</v>
      </c>
      <c r="P527" t="str">
        <f t="shared" si="49"/>
        <v>No</v>
      </c>
      <c r="Q527">
        <f t="shared" si="50"/>
        <v>0</v>
      </c>
      <c r="R527" t="str">
        <f t="shared" si="51"/>
        <v>Late</v>
      </c>
      <c r="S527">
        <f t="shared" si="52"/>
        <v>2023</v>
      </c>
      <c r="T527">
        <f t="shared" si="53"/>
        <v>6</v>
      </c>
    </row>
    <row r="528" spans="1:20" x14ac:dyDescent="0.25">
      <c r="A528" t="s">
        <v>823</v>
      </c>
      <c r="B528" t="s">
        <v>40</v>
      </c>
      <c r="C528" t="s">
        <v>208</v>
      </c>
      <c r="D528" s="1">
        <v>44230</v>
      </c>
      <c r="E528">
        <v>8</v>
      </c>
      <c r="F528">
        <v>14.2051917876807</v>
      </c>
      <c r="G528" s="1">
        <v>44248</v>
      </c>
      <c r="H528" s="1">
        <v>44252</v>
      </c>
      <c r="I528">
        <v>113.64153430144501</v>
      </c>
      <c r="J528">
        <f t="shared" si="48"/>
        <v>4</v>
      </c>
      <c r="K528" t="str">
        <f>VLOOKUP(B528,Raw_Suppliers!$A$2:$G$101,2,FALSE)</f>
        <v>Ultra Apex Inc</v>
      </c>
      <c r="L528" t="str">
        <f>VLOOKUP(B528,Raw_Suppliers!$A$2:$G$101,3,FALSE)</f>
        <v>India</v>
      </c>
      <c r="M528" t="str">
        <f>VLOOKUP(B528,Raw_Suppliers!$A$2:$G$101,4,FALSE)</f>
        <v>West</v>
      </c>
      <c r="N528" t="str">
        <f>VLOOKUP(B528,Raw_Suppliers!$A$2:$G$101,6,FALSE)</f>
        <v>ISO 9001</v>
      </c>
      <c r="O528">
        <f>VLOOKUP(B528,Raw_Suppliers!$A$2:$G$101,7,FALSE)</f>
        <v>0</v>
      </c>
      <c r="P528" t="str">
        <f t="shared" si="49"/>
        <v>No</v>
      </c>
      <c r="Q528">
        <f t="shared" si="50"/>
        <v>0</v>
      </c>
      <c r="R528" t="str">
        <f t="shared" si="51"/>
        <v>Late</v>
      </c>
      <c r="S528">
        <f t="shared" si="52"/>
        <v>2021</v>
      </c>
      <c r="T528">
        <f t="shared" si="53"/>
        <v>2</v>
      </c>
    </row>
    <row r="529" spans="1:20" x14ac:dyDescent="0.25">
      <c r="A529" t="s">
        <v>824</v>
      </c>
      <c r="B529" t="s">
        <v>267</v>
      </c>
      <c r="C529" t="s">
        <v>434</v>
      </c>
      <c r="D529" s="1">
        <v>44437</v>
      </c>
      <c r="E529">
        <v>7</v>
      </c>
      <c r="F529">
        <v>40.490000562049602</v>
      </c>
      <c r="G529" s="1">
        <v>44449</v>
      </c>
      <c r="H529" s="1">
        <v>44448</v>
      </c>
      <c r="I529">
        <v>283.43000393434698</v>
      </c>
      <c r="J529">
        <f t="shared" si="48"/>
        <v>-1</v>
      </c>
      <c r="K529" t="str">
        <f>VLOOKUP(B529,Raw_Suppliers!$A$2:$G$101,2,FALSE)</f>
        <v>Omega Nova Corp</v>
      </c>
      <c r="L529" t="str">
        <f>VLOOKUP(B529,Raw_Suppliers!$A$2:$G$101,3,FALSE)</f>
        <v>India</v>
      </c>
      <c r="M529" t="str">
        <f>VLOOKUP(B529,Raw_Suppliers!$A$2:$G$101,4,FALSE)</f>
        <v>West</v>
      </c>
      <c r="N529" t="str">
        <f>VLOOKUP(B529,Raw_Suppliers!$A$2:$G$101,6,FALSE)</f>
        <v>ISO 45001</v>
      </c>
      <c r="O529">
        <f>VLOOKUP(B529,Raw_Suppliers!$A$2:$G$101,7,FALSE)</f>
        <v>0</v>
      </c>
      <c r="P529" t="str">
        <f t="shared" si="49"/>
        <v>No</v>
      </c>
      <c r="Q529">
        <f t="shared" si="50"/>
        <v>1</v>
      </c>
      <c r="R529" t="str">
        <f t="shared" si="51"/>
        <v>On Time</v>
      </c>
      <c r="S529">
        <f t="shared" si="52"/>
        <v>2021</v>
      </c>
      <c r="T529">
        <f t="shared" si="53"/>
        <v>8</v>
      </c>
    </row>
    <row r="530" spans="1:20" x14ac:dyDescent="0.25">
      <c r="A530" t="s">
        <v>825</v>
      </c>
      <c r="B530" t="s">
        <v>394</v>
      </c>
      <c r="C530" t="s">
        <v>826</v>
      </c>
      <c r="D530" s="1">
        <v>44482</v>
      </c>
      <c r="E530">
        <v>8</v>
      </c>
      <c r="F530">
        <v>47.209808521034901</v>
      </c>
      <c r="G530" s="1">
        <v>44504</v>
      </c>
      <c r="H530" s="1">
        <v>44507</v>
      </c>
      <c r="I530">
        <v>377.67846816827898</v>
      </c>
      <c r="J530">
        <f t="shared" si="48"/>
        <v>3</v>
      </c>
      <c r="K530" t="str">
        <f>VLOOKUP(B530,Raw_Suppliers!$A$2:$G$101,2,FALSE)</f>
        <v>Ultra Prime Inc</v>
      </c>
      <c r="L530" t="str">
        <f>VLOOKUP(B530,Raw_Suppliers!$A$2:$G$101,3,FALSE)</f>
        <v>Brazil</v>
      </c>
      <c r="M530" t="str">
        <f>VLOOKUP(B530,Raw_Suppliers!$A$2:$G$101,4,FALSE)</f>
        <v>West</v>
      </c>
      <c r="N530" t="str">
        <f>VLOOKUP(B530,Raw_Suppliers!$A$2:$G$101,6,FALSE)</f>
        <v>ISO 9001</v>
      </c>
      <c r="O530">
        <f>VLOOKUP(B530,Raw_Suppliers!$A$2:$G$101,7,FALSE)</f>
        <v>1</v>
      </c>
      <c r="P530" t="str">
        <f t="shared" si="49"/>
        <v>Yes</v>
      </c>
      <c r="Q530">
        <f t="shared" si="50"/>
        <v>0</v>
      </c>
      <c r="R530" t="str">
        <f t="shared" si="51"/>
        <v>Late</v>
      </c>
      <c r="S530">
        <f t="shared" si="52"/>
        <v>2021</v>
      </c>
      <c r="T530">
        <f t="shared" si="53"/>
        <v>10</v>
      </c>
    </row>
    <row r="531" spans="1:20" x14ac:dyDescent="0.25">
      <c r="A531" t="s">
        <v>827</v>
      </c>
      <c r="B531" t="s">
        <v>28</v>
      </c>
      <c r="C531" t="s">
        <v>629</v>
      </c>
      <c r="D531" s="1">
        <v>44723</v>
      </c>
      <c r="E531">
        <v>10</v>
      </c>
      <c r="F531">
        <v>46.9254505529453</v>
      </c>
      <c r="G531" s="1">
        <v>44739</v>
      </c>
      <c r="H531" s="1">
        <v>44737</v>
      </c>
      <c r="I531">
        <v>469.25450552945301</v>
      </c>
      <c r="J531">
        <f t="shared" si="48"/>
        <v>-2</v>
      </c>
      <c r="K531" t="str">
        <f>VLOOKUP(B531,Raw_Suppliers!$A$2:$G$101,2,FALSE)</f>
        <v>Fusion Vertex Inc</v>
      </c>
      <c r="L531" t="str">
        <f>VLOOKUP(B531,Raw_Suppliers!$A$2:$G$101,3,FALSE)</f>
        <v>Denmark</v>
      </c>
      <c r="M531" t="str">
        <f>VLOOKUP(B531,Raw_Suppliers!$A$2:$G$101,4,FALSE)</f>
        <v>Central</v>
      </c>
      <c r="N531" t="str">
        <f>VLOOKUP(B531,Raw_Suppliers!$A$2:$G$101,6,FALSE)</f>
        <v>ISO 45001</v>
      </c>
      <c r="O531">
        <f>VLOOKUP(B531,Raw_Suppliers!$A$2:$G$101,7,FALSE)</f>
        <v>0</v>
      </c>
      <c r="P531" t="str">
        <f t="shared" si="49"/>
        <v>No</v>
      </c>
      <c r="Q531">
        <f t="shared" si="50"/>
        <v>1</v>
      </c>
      <c r="R531" t="str">
        <f t="shared" si="51"/>
        <v>On Time</v>
      </c>
      <c r="S531">
        <f t="shared" si="52"/>
        <v>2022</v>
      </c>
      <c r="T531">
        <f t="shared" si="53"/>
        <v>6</v>
      </c>
    </row>
    <row r="532" spans="1:20" x14ac:dyDescent="0.25">
      <c r="A532" t="s">
        <v>828</v>
      </c>
      <c r="B532" t="s">
        <v>28</v>
      </c>
      <c r="C532" t="s">
        <v>233</v>
      </c>
      <c r="D532" s="1">
        <v>44530</v>
      </c>
      <c r="E532">
        <v>11</v>
      </c>
      <c r="F532">
        <v>49.9536832380956</v>
      </c>
      <c r="G532" s="1">
        <v>44547</v>
      </c>
      <c r="H532" s="1">
        <v>44552</v>
      </c>
      <c r="I532">
        <v>549.49051561905196</v>
      </c>
      <c r="J532">
        <f t="shared" si="48"/>
        <v>5</v>
      </c>
      <c r="K532" t="str">
        <f>VLOOKUP(B532,Raw_Suppliers!$A$2:$G$101,2,FALSE)</f>
        <v>Fusion Vertex Inc</v>
      </c>
      <c r="L532" t="str">
        <f>VLOOKUP(B532,Raw_Suppliers!$A$2:$G$101,3,FALSE)</f>
        <v>Denmark</v>
      </c>
      <c r="M532" t="str">
        <f>VLOOKUP(B532,Raw_Suppliers!$A$2:$G$101,4,FALSE)</f>
        <v>Central</v>
      </c>
      <c r="N532" t="str">
        <f>VLOOKUP(B532,Raw_Suppliers!$A$2:$G$101,6,FALSE)</f>
        <v>ISO 45001</v>
      </c>
      <c r="O532">
        <f>VLOOKUP(B532,Raw_Suppliers!$A$2:$G$101,7,FALSE)</f>
        <v>0</v>
      </c>
      <c r="P532" t="str">
        <f t="shared" si="49"/>
        <v>No</v>
      </c>
      <c r="Q532">
        <f t="shared" si="50"/>
        <v>0</v>
      </c>
      <c r="R532" t="str">
        <f t="shared" si="51"/>
        <v>Late</v>
      </c>
      <c r="S532">
        <f t="shared" si="52"/>
        <v>2021</v>
      </c>
      <c r="T532">
        <f t="shared" si="53"/>
        <v>11</v>
      </c>
    </row>
    <row r="533" spans="1:20" x14ac:dyDescent="0.25">
      <c r="A533" t="s">
        <v>829</v>
      </c>
      <c r="B533" t="s">
        <v>475</v>
      </c>
      <c r="C533" t="s">
        <v>748</v>
      </c>
      <c r="D533" s="1">
        <v>44666</v>
      </c>
      <c r="E533">
        <v>5</v>
      </c>
      <c r="F533">
        <v>76.509659140845201</v>
      </c>
      <c r="G533" s="1">
        <v>44677</v>
      </c>
      <c r="H533" s="1">
        <v>44674</v>
      </c>
      <c r="I533">
        <v>382.54829570422601</v>
      </c>
      <c r="J533">
        <f t="shared" si="48"/>
        <v>-3</v>
      </c>
      <c r="K533" t="str">
        <f>VLOOKUP(B533,Raw_Suppliers!$A$2:$G$101,2,FALSE)</f>
        <v>Ultra Delta LLC</v>
      </c>
      <c r="L533" t="str">
        <f>VLOOKUP(B533,Raw_Suppliers!$A$2:$G$101,3,FALSE)</f>
        <v>UK</v>
      </c>
      <c r="M533" t="str">
        <f>VLOOKUP(B533,Raw_Suppliers!$A$2:$G$101,4,FALSE)</f>
        <v>North</v>
      </c>
      <c r="N533" t="str">
        <f>VLOOKUP(B533,Raw_Suppliers!$A$2:$G$101,6,FALSE)</f>
        <v>None</v>
      </c>
      <c r="O533">
        <f>VLOOKUP(B533,Raw_Suppliers!$A$2:$G$101,7,FALSE)</f>
        <v>1</v>
      </c>
      <c r="P533" t="str">
        <f t="shared" si="49"/>
        <v>Yes</v>
      </c>
      <c r="Q533">
        <f t="shared" si="50"/>
        <v>1</v>
      </c>
      <c r="R533" t="str">
        <f t="shared" si="51"/>
        <v>On Time</v>
      </c>
      <c r="S533">
        <f t="shared" si="52"/>
        <v>2022</v>
      </c>
      <c r="T533">
        <f t="shared" si="53"/>
        <v>4</v>
      </c>
    </row>
    <row r="534" spans="1:20" x14ac:dyDescent="0.25">
      <c r="A534" t="s">
        <v>830</v>
      </c>
      <c r="B534" t="s">
        <v>64</v>
      </c>
      <c r="C534" t="s">
        <v>270</v>
      </c>
      <c r="D534" s="1">
        <v>44230</v>
      </c>
      <c r="E534">
        <v>10</v>
      </c>
      <c r="F534">
        <v>48.710446335786699</v>
      </c>
      <c r="G534" s="1">
        <v>44250</v>
      </c>
      <c r="H534" s="1">
        <v>44248</v>
      </c>
      <c r="I534">
        <v>487.104463357866</v>
      </c>
      <c r="J534">
        <f t="shared" si="48"/>
        <v>-2</v>
      </c>
      <c r="K534" t="str">
        <f>VLOOKUP(B534,Raw_Suppliers!$A$2:$G$101,2,FALSE)</f>
        <v>Apex Quantum Inc</v>
      </c>
      <c r="L534" t="str">
        <f>VLOOKUP(B534,Raw_Suppliers!$A$2:$G$101,3,FALSE)</f>
        <v>India</v>
      </c>
      <c r="M534" t="str">
        <f>VLOOKUP(B534,Raw_Suppliers!$A$2:$G$101,4,FALSE)</f>
        <v>North</v>
      </c>
      <c r="N534" t="str">
        <f>VLOOKUP(B534,Raw_Suppliers!$A$2:$G$101,6,FALSE)</f>
        <v>ISO 45001</v>
      </c>
      <c r="O534">
        <f>VLOOKUP(B534,Raw_Suppliers!$A$2:$G$101,7,FALSE)</f>
        <v>1</v>
      </c>
      <c r="P534" t="str">
        <f t="shared" si="49"/>
        <v>Yes</v>
      </c>
      <c r="Q534">
        <f t="shared" si="50"/>
        <v>1</v>
      </c>
      <c r="R534" t="str">
        <f t="shared" si="51"/>
        <v>On Time</v>
      </c>
      <c r="S534">
        <f t="shared" si="52"/>
        <v>2021</v>
      </c>
      <c r="T534">
        <f t="shared" si="53"/>
        <v>2</v>
      </c>
    </row>
    <row r="535" spans="1:20" x14ac:dyDescent="0.25">
      <c r="A535" t="s">
        <v>831</v>
      </c>
      <c r="B535" t="s">
        <v>91</v>
      </c>
      <c r="C535" t="s">
        <v>613</v>
      </c>
      <c r="D535" s="1">
        <v>45183</v>
      </c>
      <c r="E535">
        <v>10</v>
      </c>
      <c r="F535">
        <v>54.956665736723998</v>
      </c>
      <c r="G535" s="1">
        <v>45196</v>
      </c>
      <c r="H535" s="1">
        <v>45195</v>
      </c>
      <c r="I535">
        <v>549.56665736724005</v>
      </c>
      <c r="J535">
        <f t="shared" si="48"/>
        <v>-1</v>
      </c>
      <c r="K535" t="str">
        <f>VLOOKUP(B535,Raw_Suppliers!$A$2:$G$101,2,FALSE)</f>
        <v>Apex Prime Ltd</v>
      </c>
      <c r="L535" t="str">
        <f>VLOOKUP(B535,Raw_Suppliers!$A$2:$G$101,3,FALSE)</f>
        <v>India</v>
      </c>
      <c r="M535" t="str">
        <f>VLOOKUP(B535,Raw_Suppliers!$A$2:$G$101,4,FALSE)</f>
        <v>South</v>
      </c>
      <c r="N535" t="str">
        <f>VLOOKUP(B535,Raw_Suppliers!$A$2:$G$101,6,FALSE)</f>
        <v>ISO 9001</v>
      </c>
      <c r="O535">
        <f>VLOOKUP(B535,Raw_Suppliers!$A$2:$G$101,7,FALSE)</f>
        <v>0</v>
      </c>
      <c r="P535" t="str">
        <f t="shared" si="49"/>
        <v>No</v>
      </c>
      <c r="Q535">
        <f t="shared" si="50"/>
        <v>1</v>
      </c>
      <c r="R535" t="str">
        <f t="shared" si="51"/>
        <v>On Time</v>
      </c>
      <c r="S535">
        <f t="shared" si="52"/>
        <v>2023</v>
      </c>
      <c r="T535">
        <f t="shared" si="53"/>
        <v>9</v>
      </c>
    </row>
    <row r="536" spans="1:20" x14ac:dyDescent="0.25">
      <c r="A536" t="s">
        <v>832</v>
      </c>
      <c r="B536" t="s">
        <v>340</v>
      </c>
      <c r="C536" t="s">
        <v>270</v>
      </c>
      <c r="D536" s="1">
        <v>45276</v>
      </c>
      <c r="E536">
        <v>15</v>
      </c>
      <c r="F536">
        <v>70.965692243761595</v>
      </c>
      <c r="G536" s="1">
        <v>45293</v>
      </c>
      <c r="H536" s="1">
        <v>45293</v>
      </c>
      <c r="I536">
        <v>1064.48538365642</v>
      </c>
      <c r="J536">
        <f t="shared" si="48"/>
        <v>0</v>
      </c>
      <c r="K536" t="str">
        <f>VLOOKUP(B536,Raw_Suppliers!$A$2:$G$101,2,FALSE)</f>
        <v>Pioneer Ultra GmbH</v>
      </c>
      <c r="L536" t="str">
        <f>VLOOKUP(B536,Raw_Suppliers!$A$2:$G$101,3,FALSE)</f>
        <v>China</v>
      </c>
      <c r="M536" t="str">
        <f>VLOOKUP(B536,Raw_Suppliers!$A$2:$G$101,4,FALSE)</f>
        <v>Central</v>
      </c>
      <c r="N536" t="str">
        <f>VLOOKUP(B536,Raw_Suppliers!$A$2:$G$101,6,FALSE)</f>
        <v>ISO 9001</v>
      </c>
      <c r="O536">
        <f>VLOOKUP(B536,Raw_Suppliers!$A$2:$G$101,7,FALSE)</f>
        <v>0</v>
      </c>
      <c r="P536" t="str">
        <f t="shared" si="49"/>
        <v>No</v>
      </c>
      <c r="Q536">
        <f t="shared" si="50"/>
        <v>1</v>
      </c>
      <c r="R536" t="str">
        <f t="shared" si="51"/>
        <v>On Time</v>
      </c>
      <c r="S536">
        <f t="shared" si="52"/>
        <v>2023</v>
      </c>
      <c r="T536">
        <f t="shared" si="53"/>
        <v>12</v>
      </c>
    </row>
    <row r="537" spans="1:20" x14ac:dyDescent="0.25">
      <c r="A537" t="s">
        <v>833</v>
      </c>
      <c r="B537" t="s">
        <v>19</v>
      </c>
      <c r="C537" t="s">
        <v>259</v>
      </c>
      <c r="D537" s="1">
        <v>45055</v>
      </c>
      <c r="E537">
        <v>10</v>
      </c>
      <c r="F537">
        <v>23.849074283696499</v>
      </c>
      <c r="G537" s="1">
        <v>45067</v>
      </c>
      <c r="H537" s="1">
        <v>45073</v>
      </c>
      <c r="I537">
        <v>238.49074283696501</v>
      </c>
      <c r="J537">
        <f t="shared" si="48"/>
        <v>6</v>
      </c>
      <c r="K537" t="str">
        <f>VLOOKUP(B537,Raw_Suppliers!$A$2:$G$101,2,FALSE)</f>
        <v>Nova Beta Corp</v>
      </c>
      <c r="L537" t="str">
        <f>VLOOKUP(B537,Raw_Suppliers!$A$2:$G$101,3,FALSE)</f>
        <v>Brazil</v>
      </c>
      <c r="M537" t="str">
        <f>VLOOKUP(B537,Raw_Suppliers!$A$2:$G$101,4,FALSE)</f>
        <v>South</v>
      </c>
      <c r="N537" t="str">
        <f>VLOOKUP(B537,Raw_Suppliers!$A$2:$G$101,6,FALSE)</f>
        <v>ISO 14001</v>
      </c>
      <c r="O537">
        <f>VLOOKUP(B537,Raw_Suppliers!$A$2:$G$101,7,FALSE)</f>
        <v>1</v>
      </c>
      <c r="P537" t="str">
        <f t="shared" si="49"/>
        <v>Yes</v>
      </c>
      <c r="Q537">
        <f t="shared" si="50"/>
        <v>0</v>
      </c>
      <c r="R537" t="str">
        <f t="shared" si="51"/>
        <v>Late</v>
      </c>
      <c r="S537">
        <f t="shared" si="52"/>
        <v>2023</v>
      </c>
      <c r="T537">
        <f t="shared" si="53"/>
        <v>5</v>
      </c>
    </row>
    <row r="538" spans="1:20" x14ac:dyDescent="0.25">
      <c r="A538" t="s">
        <v>834</v>
      </c>
      <c r="B538" t="s">
        <v>19</v>
      </c>
      <c r="C538" t="s">
        <v>23</v>
      </c>
      <c r="D538" s="1">
        <v>44597</v>
      </c>
      <c r="E538">
        <v>8</v>
      </c>
      <c r="F538">
        <v>79.956484674323505</v>
      </c>
      <c r="G538" s="1">
        <v>44607</v>
      </c>
      <c r="H538" s="1">
        <v>44604</v>
      </c>
      <c r="I538">
        <v>639.65187739458804</v>
      </c>
      <c r="J538">
        <f t="shared" si="48"/>
        <v>-3</v>
      </c>
      <c r="K538" t="str">
        <f>VLOOKUP(B538,Raw_Suppliers!$A$2:$G$101,2,FALSE)</f>
        <v>Nova Beta Corp</v>
      </c>
      <c r="L538" t="str">
        <f>VLOOKUP(B538,Raw_Suppliers!$A$2:$G$101,3,FALSE)</f>
        <v>Brazil</v>
      </c>
      <c r="M538" t="str">
        <f>VLOOKUP(B538,Raw_Suppliers!$A$2:$G$101,4,FALSE)</f>
        <v>South</v>
      </c>
      <c r="N538" t="str">
        <f>VLOOKUP(B538,Raw_Suppliers!$A$2:$G$101,6,FALSE)</f>
        <v>ISO 14001</v>
      </c>
      <c r="O538">
        <f>VLOOKUP(B538,Raw_Suppliers!$A$2:$G$101,7,FALSE)</f>
        <v>1</v>
      </c>
      <c r="P538" t="str">
        <f t="shared" si="49"/>
        <v>Yes</v>
      </c>
      <c r="Q538">
        <f t="shared" si="50"/>
        <v>1</v>
      </c>
      <c r="R538" t="str">
        <f t="shared" si="51"/>
        <v>On Time</v>
      </c>
      <c r="S538">
        <f t="shared" si="52"/>
        <v>2022</v>
      </c>
      <c r="T538">
        <f t="shared" si="53"/>
        <v>2</v>
      </c>
    </row>
    <row r="539" spans="1:20" x14ac:dyDescent="0.25">
      <c r="A539" t="s">
        <v>835</v>
      </c>
      <c r="B539" t="s">
        <v>411</v>
      </c>
      <c r="C539" t="s">
        <v>80</v>
      </c>
      <c r="D539" s="1">
        <v>45048</v>
      </c>
      <c r="E539">
        <v>12</v>
      </c>
      <c r="F539">
        <v>12.3823661034943</v>
      </c>
      <c r="G539" s="1">
        <v>45063</v>
      </c>
      <c r="H539" s="1">
        <v>45066</v>
      </c>
      <c r="I539">
        <v>148.58839324193099</v>
      </c>
      <c r="J539">
        <f t="shared" si="48"/>
        <v>3</v>
      </c>
      <c r="K539" t="str">
        <f>VLOOKUP(B539,Raw_Suppliers!$A$2:$G$101,2,FALSE)</f>
        <v>Gamma Nova LLC</v>
      </c>
      <c r="L539" t="str">
        <f>VLOOKUP(B539,Raw_Suppliers!$A$2:$G$101,3,FALSE)</f>
        <v>Brazil</v>
      </c>
      <c r="M539" t="str">
        <f>VLOOKUP(B539,Raw_Suppliers!$A$2:$G$101,4,FALSE)</f>
        <v>North</v>
      </c>
      <c r="N539" t="str">
        <f>VLOOKUP(B539,Raw_Suppliers!$A$2:$G$101,6,FALSE)</f>
        <v>ISO 14001</v>
      </c>
      <c r="O539">
        <f>VLOOKUP(B539,Raw_Suppliers!$A$2:$G$101,7,FALSE)</f>
        <v>1</v>
      </c>
      <c r="P539" t="str">
        <f t="shared" si="49"/>
        <v>Yes</v>
      </c>
      <c r="Q539">
        <f t="shared" si="50"/>
        <v>0</v>
      </c>
      <c r="R539" t="str">
        <f t="shared" si="51"/>
        <v>Late</v>
      </c>
      <c r="S539">
        <f t="shared" si="52"/>
        <v>2023</v>
      </c>
      <c r="T539">
        <f t="shared" si="53"/>
        <v>5</v>
      </c>
    </row>
    <row r="540" spans="1:20" x14ac:dyDescent="0.25">
      <c r="A540" t="s">
        <v>836</v>
      </c>
      <c r="B540" t="s">
        <v>169</v>
      </c>
      <c r="C540" t="s">
        <v>363</v>
      </c>
      <c r="D540" s="1">
        <v>44527</v>
      </c>
      <c r="E540">
        <v>8</v>
      </c>
      <c r="F540">
        <v>30.9909705318444</v>
      </c>
      <c r="G540" s="1">
        <v>44542</v>
      </c>
      <c r="H540" s="1">
        <v>44540</v>
      </c>
      <c r="I540">
        <v>247.927764254755</v>
      </c>
      <c r="J540">
        <f t="shared" si="48"/>
        <v>-2</v>
      </c>
      <c r="K540" t="str">
        <f>VLOOKUP(B540,Raw_Suppliers!$A$2:$G$101,2,FALSE)</f>
        <v>Vertex Beta LLC</v>
      </c>
      <c r="L540" t="str">
        <f>VLOOKUP(B540,Raw_Suppliers!$A$2:$G$101,3,FALSE)</f>
        <v>China</v>
      </c>
      <c r="M540" t="str">
        <f>VLOOKUP(B540,Raw_Suppliers!$A$2:$G$101,4,FALSE)</f>
        <v>South</v>
      </c>
      <c r="N540" t="str">
        <f>VLOOKUP(B540,Raw_Suppliers!$A$2:$G$101,6,FALSE)</f>
        <v>ISO 14001</v>
      </c>
      <c r="O540">
        <f>VLOOKUP(B540,Raw_Suppliers!$A$2:$G$101,7,FALSE)</f>
        <v>0</v>
      </c>
      <c r="P540" t="str">
        <f t="shared" si="49"/>
        <v>No</v>
      </c>
      <c r="Q540">
        <f t="shared" si="50"/>
        <v>1</v>
      </c>
      <c r="R540" t="str">
        <f t="shared" si="51"/>
        <v>On Time</v>
      </c>
      <c r="S540">
        <f t="shared" si="52"/>
        <v>2021</v>
      </c>
      <c r="T540">
        <f t="shared" si="53"/>
        <v>11</v>
      </c>
    </row>
    <row r="541" spans="1:20" x14ac:dyDescent="0.25">
      <c r="A541" t="s">
        <v>837</v>
      </c>
      <c r="B541" t="s">
        <v>61</v>
      </c>
      <c r="C541" t="s">
        <v>302</v>
      </c>
      <c r="D541" s="1">
        <v>44377</v>
      </c>
      <c r="E541">
        <v>6</v>
      </c>
      <c r="F541">
        <v>16.771079136670799</v>
      </c>
      <c r="G541" s="1">
        <v>44388</v>
      </c>
      <c r="H541" s="1">
        <v>44387</v>
      </c>
      <c r="I541">
        <v>100.626474820025</v>
      </c>
      <c r="J541">
        <f t="shared" si="48"/>
        <v>-1</v>
      </c>
      <c r="K541" t="str">
        <f>VLOOKUP(B541,Raw_Suppliers!$A$2:$G$101,2,FALSE)</f>
        <v>Ultra Gamma LLC</v>
      </c>
      <c r="L541" t="str">
        <f>VLOOKUP(B541,Raw_Suppliers!$A$2:$G$101,3,FALSE)</f>
        <v>Canada</v>
      </c>
      <c r="M541" t="str">
        <f>VLOOKUP(B541,Raw_Suppliers!$A$2:$G$101,4,FALSE)</f>
        <v>North</v>
      </c>
      <c r="N541" t="str">
        <f>VLOOKUP(B541,Raw_Suppliers!$A$2:$G$101,6,FALSE)</f>
        <v>ISO 9001</v>
      </c>
      <c r="O541">
        <f>VLOOKUP(B541,Raw_Suppliers!$A$2:$G$101,7,FALSE)</f>
        <v>1</v>
      </c>
      <c r="P541" t="str">
        <f t="shared" si="49"/>
        <v>Yes</v>
      </c>
      <c r="Q541">
        <f t="shared" si="50"/>
        <v>1</v>
      </c>
      <c r="R541" t="str">
        <f t="shared" si="51"/>
        <v>On Time</v>
      </c>
      <c r="S541">
        <f t="shared" si="52"/>
        <v>2021</v>
      </c>
      <c r="T541">
        <f t="shared" si="53"/>
        <v>6</v>
      </c>
    </row>
    <row r="542" spans="1:20" x14ac:dyDescent="0.25">
      <c r="A542" t="s">
        <v>838</v>
      </c>
      <c r="B542" t="s">
        <v>25</v>
      </c>
      <c r="C542" t="s">
        <v>759</v>
      </c>
      <c r="D542" s="1">
        <v>44395</v>
      </c>
      <c r="E542">
        <v>11</v>
      </c>
      <c r="F542">
        <v>57.959275349880798</v>
      </c>
      <c r="G542" s="1">
        <v>44409</v>
      </c>
      <c r="H542" s="1">
        <v>44409</v>
      </c>
      <c r="I542">
        <v>637.55202884868902</v>
      </c>
      <c r="J542">
        <f t="shared" si="48"/>
        <v>0</v>
      </c>
      <c r="K542" t="str">
        <f>VLOOKUP(B542,Raw_Suppliers!$A$2:$G$101,2,FALSE)</f>
        <v>Quantum Fusion Corp</v>
      </c>
      <c r="L542" t="str">
        <f>VLOOKUP(B542,Raw_Suppliers!$A$2:$G$101,3,FALSE)</f>
        <v>UK</v>
      </c>
      <c r="M542" t="str">
        <f>VLOOKUP(B542,Raw_Suppliers!$A$2:$G$101,4,FALSE)</f>
        <v>North</v>
      </c>
      <c r="N542" t="str">
        <f>VLOOKUP(B542,Raw_Suppliers!$A$2:$G$101,6,FALSE)</f>
        <v>ISO 9001</v>
      </c>
      <c r="O542">
        <f>VLOOKUP(B542,Raw_Suppliers!$A$2:$G$101,7,FALSE)</f>
        <v>0</v>
      </c>
      <c r="P542" t="str">
        <f t="shared" si="49"/>
        <v>No</v>
      </c>
      <c r="Q542">
        <f t="shared" si="50"/>
        <v>1</v>
      </c>
      <c r="R542" t="str">
        <f t="shared" si="51"/>
        <v>On Time</v>
      </c>
      <c r="S542">
        <f t="shared" si="52"/>
        <v>2021</v>
      </c>
      <c r="T542">
        <f t="shared" si="53"/>
        <v>7</v>
      </c>
    </row>
    <row r="543" spans="1:20" x14ac:dyDescent="0.25">
      <c r="A543" t="s">
        <v>839</v>
      </c>
      <c r="B543" t="s">
        <v>61</v>
      </c>
      <c r="C543" t="s">
        <v>470</v>
      </c>
      <c r="D543" s="1">
        <v>45335</v>
      </c>
      <c r="E543">
        <v>8</v>
      </c>
      <c r="F543">
        <v>74.689363018940199</v>
      </c>
      <c r="G543" s="1">
        <v>45350</v>
      </c>
      <c r="H543" s="1">
        <v>45349</v>
      </c>
      <c r="I543">
        <v>597.51490415152102</v>
      </c>
      <c r="J543">
        <f t="shared" si="48"/>
        <v>-1</v>
      </c>
      <c r="K543" t="str">
        <f>VLOOKUP(B543,Raw_Suppliers!$A$2:$G$101,2,FALSE)</f>
        <v>Ultra Gamma LLC</v>
      </c>
      <c r="L543" t="str">
        <f>VLOOKUP(B543,Raw_Suppliers!$A$2:$G$101,3,FALSE)</f>
        <v>Canada</v>
      </c>
      <c r="M543" t="str">
        <f>VLOOKUP(B543,Raw_Suppliers!$A$2:$G$101,4,FALSE)</f>
        <v>North</v>
      </c>
      <c r="N543" t="str">
        <f>VLOOKUP(B543,Raw_Suppliers!$A$2:$G$101,6,FALSE)</f>
        <v>ISO 9001</v>
      </c>
      <c r="O543">
        <f>VLOOKUP(B543,Raw_Suppliers!$A$2:$G$101,7,FALSE)</f>
        <v>1</v>
      </c>
      <c r="P543" t="str">
        <f t="shared" si="49"/>
        <v>Yes</v>
      </c>
      <c r="Q543">
        <f t="shared" si="50"/>
        <v>1</v>
      </c>
      <c r="R543" t="str">
        <f t="shared" si="51"/>
        <v>On Time</v>
      </c>
      <c r="S543">
        <f t="shared" si="52"/>
        <v>2024</v>
      </c>
      <c r="T543">
        <f t="shared" si="53"/>
        <v>2</v>
      </c>
    </row>
    <row r="544" spans="1:20" x14ac:dyDescent="0.25">
      <c r="A544" t="s">
        <v>840</v>
      </c>
      <c r="B544" t="s">
        <v>55</v>
      </c>
      <c r="C544" t="s">
        <v>11</v>
      </c>
      <c r="D544" s="1">
        <v>44493</v>
      </c>
      <c r="E544">
        <v>14</v>
      </c>
      <c r="F544">
        <v>22.318775494970101</v>
      </c>
      <c r="G544" s="1">
        <v>44513</v>
      </c>
      <c r="H544" s="1">
        <v>44513</v>
      </c>
      <c r="I544">
        <v>312.46285692958202</v>
      </c>
      <c r="J544">
        <f t="shared" si="48"/>
        <v>0</v>
      </c>
      <c r="K544" t="str">
        <f>VLOOKUP(B544,Raw_Suppliers!$A$2:$G$101,2,FALSE)</f>
        <v>Prime Vertex Inc</v>
      </c>
      <c r="L544" t="str">
        <f>VLOOKUP(B544,Raw_Suppliers!$A$2:$G$101,3,FALSE)</f>
        <v>Germany</v>
      </c>
      <c r="M544" t="str">
        <f>VLOOKUP(B544,Raw_Suppliers!$A$2:$G$101,4,FALSE)</f>
        <v>South</v>
      </c>
      <c r="N544" t="str">
        <f>VLOOKUP(B544,Raw_Suppliers!$A$2:$G$101,6,FALSE)</f>
        <v>ISO 14001</v>
      </c>
      <c r="O544">
        <f>VLOOKUP(B544,Raw_Suppliers!$A$2:$G$101,7,FALSE)</f>
        <v>0</v>
      </c>
      <c r="P544" t="str">
        <f t="shared" si="49"/>
        <v>No</v>
      </c>
      <c r="Q544">
        <f t="shared" si="50"/>
        <v>1</v>
      </c>
      <c r="R544" t="str">
        <f t="shared" si="51"/>
        <v>On Time</v>
      </c>
      <c r="S544">
        <f t="shared" si="52"/>
        <v>2021</v>
      </c>
      <c r="T544">
        <f t="shared" si="53"/>
        <v>10</v>
      </c>
    </row>
    <row r="545" spans="1:20" x14ac:dyDescent="0.25">
      <c r="A545" t="s">
        <v>841</v>
      </c>
      <c r="B545" t="s">
        <v>261</v>
      </c>
      <c r="C545" t="s">
        <v>220</v>
      </c>
      <c r="D545" s="1">
        <v>45028</v>
      </c>
      <c r="E545">
        <v>8</v>
      </c>
      <c r="F545">
        <v>25.554403465401499</v>
      </c>
      <c r="G545" s="1">
        <v>45052</v>
      </c>
      <c r="H545" s="1">
        <v>45050</v>
      </c>
      <c r="I545">
        <v>204.43522772321199</v>
      </c>
      <c r="J545">
        <f t="shared" si="48"/>
        <v>-2</v>
      </c>
      <c r="K545" t="str">
        <f>VLOOKUP(B545,Raw_Suppliers!$A$2:$G$101,2,FALSE)</f>
        <v>Delta Fusion Corp</v>
      </c>
      <c r="L545" t="str">
        <f>VLOOKUP(B545,Raw_Suppliers!$A$2:$G$101,3,FALSE)</f>
        <v>Denmark</v>
      </c>
      <c r="M545" t="str">
        <f>VLOOKUP(B545,Raw_Suppliers!$A$2:$G$101,4,FALSE)</f>
        <v>West</v>
      </c>
      <c r="N545" t="str">
        <f>VLOOKUP(B545,Raw_Suppliers!$A$2:$G$101,6,FALSE)</f>
        <v>ISO 45001</v>
      </c>
      <c r="O545">
        <f>VLOOKUP(B545,Raw_Suppliers!$A$2:$G$101,7,FALSE)</f>
        <v>0</v>
      </c>
      <c r="P545" t="str">
        <f t="shared" si="49"/>
        <v>No</v>
      </c>
      <c r="Q545">
        <f t="shared" si="50"/>
        <v>1</v>
      </c>
      <c r="R545" t="str">
        <f t="shared" si="51"/>
        <v>On Time</v>
      </c>
      <c r="S545">
        <f t="shared" si="52"/>
        <v>2023</v>
      </c>
      <c r="T545">
        <f t="shared" si="53"/>
        <v>4</v>
      </c>
    </row>
    <row r="546" spans="1:20" x14ac:dyDescent="0.25">
      <c r="A546" t="s">
        <v>842</v>
      </c>
      <c r="B546" t="s">
        <v>359</v>
      </c>
      <c r="C546" t="s">
        <v>83</v>
      </c>
      <c r="D546" s="1">
        <v>44469</v>
      </c>
      <c r="E546">
        <v>5</v>
      </c>
      <c r="F546">
        <v>11.9593869189803</v>
      </c>
      <c r="G546" s="1">
        <v>44488</v>
      </c>
      <c r="H546" s="1">
        <v>44488</v>
      </c>
      <c r="I546">
        <v>59.7969345949017</v>
      </c>
      <c r="J546">
        <f t="shared" si="48"/>
        <v>0</v>
      </c>
      <c r="K546" t="str">
        <f>VLOOKUP(B546,Raw_Suppliers!$A$2:$G$101,2,FALSE)</f>
        <v>Alpha Alpha Corp</v>
      </c>
      <c r="L546" t="str">
        <f>VLOOKUP(B546,Raw_Suppliers!$A$2:$G$101,3,FALSE)</f>
        <v>India</v>
      </c>
      <c r="M546" t="str">
        <f>VLOOKUP(B546,Raw_Suppliers!$A$2:$G$101,4,FALSE)</f>
        <v>North</v>
      </c>
      <c r="N546" t="str">
        <f>VLOOKUP(B546,Raw_Suppliers!$A$2:$G$101,6,FALSE)</f>
        <v>ISO 9001</v>
      </c>
      <c r="O546">
        <f>VLOOKUP(B546,Raw_Suppliers!$A$2:$G$101,7,FALSE)</f>
        <v>1</v>
      </c>
      <c r="P546" t="str">
        <f t="shared" si="49"/>
        <v>Yes</v>
      </c>
      <c r="Q546">
        <f t="shared" si="50"/>
        <v>1</v>
      </c>
      <c r="R546" t="str">
        <f t="shared" si="51"/>
        <v>On Time</v>
      </c>
      <c r="S546">
        <f t="shared" si="52"/>
        <v>2021</v>
      </c>
      <c r="T546">
        <f t="shared" si="53"/>
        <v>9</v>
      </c>
    </row>
    <row r="547" spans="1:20" x14ac:dyDescent="0.25">
      <c r="A547" t="s">
        <v>843</v>
      </c>
      <c r="B547" t="s">
        <v>564</v>
      </c>
      <c r="C547" t="s">
        <v>83</v>
      </c>
      <c r="D547" s="1">
        <v>44331</v>
      </c>
      <c r="E547">
        <v>12</v>
      </c>
      <c r="F547">
        <v>30.991689008411701</v>
      </c>
      <c r="G547" s="1">
        <v>44345</v>
      </c>
      <c r="H547" s="1">
        <v>44351</v>
      </c>
      <c r="I547">
        <v>371.90026810094002</v>
      </c>
      <c r="J547">
        <f t="shared" si="48"/>
        <v>6</v>
      </c>
      <c r="K547" t="str">
        <f>VLOOKUP(B547,Raw_Suppliers!$A$2:$G$101,2,FALSE)</f>
        <v>Ultra Ultra GmbH</v>
      </c>
      <c r="L547" t="str">
        <f>VLOOKUP(B547,Raw_Suppliers!$A$2:$G$101,3,FALSE)</f>
        <v>India</v>
      </c>
      <c r="M547" t="str">
        <f>VLOOKUP(B547,Raw_Suppliers!$A$2:$G$101,4,FALSE)</f>
        <v>Central</v>
      </c>
      <c r="N547" t="str">
        <f>VLOOKUP(B547,Raw_Suppliers!$A$2:$G$101,6,FALSE)</f>
        <v>ISO 14001</v>
      </c>
      <c r="O547">
        <f>VLOOKUP(B547,Raw_Suppliers!$A$2:$G$101,7,FALSE)</f>
        <v>1</v>
      </c>
      <c r="P547" t="str">
        <f t="shared" si="49"/>
        <v>Yes</v>
      </c>
      <c r="Q547">
        <f t="shared" si="50"/>
        <v>0</v>
      </c>
      <c r="R547" t="str">
        <f t="shared" si="51"/>
        <v>Late</v>
      </c>
      <c r="S547">
        <f t="shared" si="52"/>
        <v>2021</v>
      </c>
      <c r="T547">
        <f t="shared" si="53"/>
        <v>5</v>
      </c>
    </row>
    <row r="548" spans="1:20" x14ac:dyDescent="0.25">
      <c r="A548" t="s">
        <v>844</v>
      </c>
      <c r="B548" t="s">
        <v>194</v>
      </c>
      <c r="C548" t="s">
        <v>453</v>
      </c>
      <c r="D548" s="1">
        <v>44326</v>
      </c>
      <c r="E548">
        <v>11</v>
      </c>
      <c r="F548">
        <v>17.740907162855802</v>
      </c>
      <c r="G548" s="1">
        <v>44338</v>
      </c>
      <c r="H548" s="1">
        <v>44342</v>
      </c>
      <c r="I548">
        <v>195.14997879141399</v>
      </c>
      <c r="J548">
        <f t="shared" si="48"/>
        <v>4</v>
      </c>
      <c r="K548" t="str">
        <f>VLOOKUP(B548,Raw_Suppliers!$A$2:$G$101,2,FALSE)</f>
        <v>Eco Pioneer Corp</v>
      </c>
      <c r="L548" t="str">
        <f>VLOOKUP(B548,Raw_Suppliers!$A$2:$G$101,3,FALSE)</f>
        <v>China</v>
      </c>
      <c r="M548" t="str">
        <f>VLOOKUP(B548,Raw_Suppliers!$A$2:$G$101,4,FALSE)</f>
        <v>East</v>
      </c>
      <c r="N548" t="str">
        <f>VLOOKUP(B548,Raw_Suppliers!$A$2:$G$101,6,FALSE)</f>
        <v>ISO 14001</v>
      </c>
      <c r="O548">
        <f>VLOOKUP(B548,Raw_Suppliers!$A$2:$G$101,7,FALSE)</f>
        <v>1</v>
      </c>
      <c r="P548" t="str">
        <f t="shared" si="49"/>
        <v>Yes</v>
      </c>
      <c r="Q548">
        <f t="shared" si="50"/>
        <v>0</v>
      </c>
      <c r="R548" t="str">
        <f t="shared" si="51"/>
        <v>Late</v>
      </c>
      <c r="S548">
        <f t="shared" si="52"/>
        <v>2021</v>
      </c>
      <c r="T548">
        <f t="shared" si="53"/>
        <v>5</v>
      </c>
    </row>
    <row r="549" spans="1:20" x14ac:dyDescent="0.25">
      <c r="A549" t="s">
        <v>845</v>
      </c>
      <c r="B549" t="s">
        <v>10</v>
      </c>
      <c r="C549" t="s">
        <v>363</v>
      </c>
      <c r="D549" s="1">
        <v>45065</v>
      </c>
      <c r="E549">
        <v>19</v>
      </c>
      <c r="F549">
        <v>27.868535870263798</v>
      </c>
      <c r="G549" s="1">
        <v>45086</v>
      </c>
      <c r="H549" s="1">
        <v>45084</v>
      </c>
      <c r="I549">
        <v>529.50218153501305</v>
      </c>
      <c r="J549">
        <f t="shared" si="48"/>
        <v>-2</v>
      </c>
      <c r="K549" t="str">
        <f>VLOOKUP(B549,Raw_Suppliers!$A$2:$G$101,2,FALSE)</f>
        <v>Vertex Beta GmbH</v>
      </c>
      <c r="L549" t="str">
        <f>VLOOKUP(B549,Raw_Suppliers!$A$2:$G$101,3,FALSE)</f>
        <v>India</v>
      </c>
      <c r="M549" t="str">
        <f>VLOOKUP(B549,Raw_Suppliers!$A$2:$G$101,4,FALSE)</f>
        <v>North</v>
      </c>
      <c r="N549" t="str">
        <f>VLOOKUP(B549,Raw_Suppliers!$A$2:$G$101,6,FALSE)</f>
        <v>ISO 14001</v>
      </c>
      <c r="O549">
        <f>VLOOKUP(B549,Raw_Suppliers!$A$2:$G$101,7,FALSE)</f>
        <v>0</v>
      </c>
      <c r="P549" t="str">
        <f t="shared" si="49"/>
        <v>No</v>
      </c>
      <c r="Q549">
        <f t="shared" si="50"/>
        <v>1</v>
      </c>
      <c r="R549" t="str">
        <f t="shared" si="51"/>
        <v>On Time</v>
      </c>
      <c r="S549">
        <f t="shared" si="52"/>
        <v>2023</v>
      </c>
      <c r="T549">
        <f t="shared" si="53"/>
        <v>5</v>
      </c>
    </row>
    <row r="550" spans="1:20" x14ac:dyDescent="0.25">
      <c r="A550" t="s">
        <v>846</v>
      </c>
      <c r="B550" t="s">
        <v>76</v>
      </c>
      <c r="C550" t="s">
        <v>402</v>
      </c>
      <c r="D550" s="1">
        <v>45038</v>
      </c>
      <c r="E550">
        <v>6</v>
      </c>
      <c r="F550">
        <v>50.712710492731198</v>
      </c>
      <c r="G550" s="1">
        <v>45060</v>
      </c>
      <c r="H550" s="1">
        <v>45059</v>
      </c>
      <c r="I550">
        <v>304.27626295638697</v>
      </c>
      <c r="J550">
        <f t="shared" si="48"/>
        <v>-1</v>
      </c>
      <c r="K550" t="str">
        <f>VLOOKUP(B550,Raw_Suppliers!$A$2:$G$101,2,FALSE)</f>
        <v>Alpha Beta Ltd</v>
      </c>
      <c r="L550" t="str">
        <f>VLOOKUP(B550,Raw_Suppliers!$A$2:$G$101,3,FALSE)</f>
        <v>UK</v>
      </c>
      <c r="M550" t="str">
        <f>VLOOKUP(B550,Raw_Suppliers!$A$2:$G$101,4,FALSE)</f>
        <v>South</v>
      </c>
      <c r="N550" t="str">
        <f>VLOOKUP(B550,Raw_Suppliers!$A$2:$G$101,6,FALSE)</f>
        <v>None</v>
      </c>
      <c r="O550">
        <f>VLOOKUP(B550,Raw_Suppliers!$A$2:$G$101,7,FALSE)</f>
        <v>1</v>
      </c>
      <c r="P550" t="str">
        <f t="shared" si="49"/>
        <v>Yes</v>
      </c>
      <c r="Q550">
        <f t="shared" si="50"/>
        <v>1</v>
      </c>
      <c r="R550" t="str">
        <f t="shared" si="51"/>
        <v>On Time</v>
      </c>
      <c r="S550">
        <f t="shared" si="52"/>
        <v>2023</v>
      </c>
      <c r="T550">
        <f t="shared" si="53"/>
        <v>4</v>
      </c>
    </row>
    <row r="551" spans="1:20" x14ac:dyDescent="0.25">
      <c r="A551" t="s">
        <v>847</v>
      </c>
      <c r="B551" t="s">
        <v>256</v>
      </c>
      <c r="C551" t="s">
        <v>152</v>
      </c>
      <c r="D551" s="1">
        <v>44215</v>
      </c>
      <c r="E551">
        <v>13</v>
      </c>
      <c r="F551">
        <v>32.976419447767299</v>
      </c>
      <c r="G551" s="1">
        <v>44226</v>
      </c>
      <c r="H551" s="1">
        <v>44226</v>
      </c>
      <c r="I551">
        <v>428.69345282097601</v>
      </c>
      <c r="J551">
        <f t="shared" si="48"/>
        <v>0</v>
      </c>
      <c r="K551" t="str">
        <f>VLOOKUP(B551,Raw_Suppliers!$A$2:$G$101,2,FALSE)</f>
        <v>Apex Eco Ltd</v>
      </c>
      <c r="L551" t="str">
        <f>VLOOKUP(B551,Raw_Suppliers!$A$2:$G$101,3,FALSE)</f>
        <v>USA</v>
      </c>
      <c r="M551" t="str">
        <f>VLOOKUP(B551,Raw_Suppliers!$A$2:$G$101,4,FALSE)</f>
        <v>North</v>
      </c>
      <c r="N551" t="str">
        <f>VLOOKUP(B551,Raw_Suppliers!$A$2:$G$101,6,FALSE)</f>
        <v>ISO 45001</v>
      </c>
      <c r="O551">
        <f>VLOOKUP(B551,Raw_Suppliers!$A$2:$G$101,7,FALSE)</f>
        <v>0</v>
      </c>
      <c r="P551" t="str">
        <f t="shared" si="49"/>
        <v>No</v>
      </c>
      <c r="Q551">
        <f t="shared" si="50"/>
        <v>1</v>
      </c>
      <c r="R551" t="str">
        <f t="shared" si="51"/>
        <v>On Time</v>
      </c>
      <c r="S551">
        <f t="shared" si="52"/>
        <v>2021</v>
      </c>
      <c r="T551">
        <f t="shared" si="53"/>
        <v>1</v>
      </c>
    </row>
    <row r="552" spans="1:20" x14ac:dyDescent="0.25">
      <c r="A552" t="s">
        <v>848</v>
      </c>
      <c r="B552" t="s">
        <v>82</v>
      </c>
      <c r="C552" t="s">
        <v>341</v>
      </c>
      <c r="D552" s="1">
        <v>44596</v>
      </c>
      <c r="E552">
        <v>11</v>
      </c>
      <c r="F552">
        <v>10.057012495192399</v>
      </c>
      <c r="G552" s="1">
        <v>44616</v>
      </c>
      <c r="H552" s="1">
        <v>44617</v>
      </c>
      <c r="I552">
        <v>110.627137447116</v>
      </c>
      <c r="J552">
        <f t="shared" si="48"/>
        <v>1</v>
      </c>
      <c r="K552" t="str">
        <f>VLOOKUP(B552,Raw_Suppliers!$A$2:$G$101,2,FALSE)</f>
        <v>Gamma Quantum LLC</v>
      </c>
      <c r="L552" t="str">
        <f>VLOOKUP(B552,Raw_Suppliers!$A$2:$G$101,3,FALSE)</f>
        <v>Canada</v>
      </c>
      <c r="M552" t="str">
        <f>VLOOKUP(B552,Raw_Suppliers!$A$2:$G$101,4,FALSE)</f>
        <v>Central</v>
      </c>
      <c r="N552" t="str">
        <f>VLOOKUP(B552,Raw_Suppliers!$A$2:$G$101,6,FALSE)</f>
        <v>None</v>
      </c>
      <c r="O552">
        <f>VLOOKUP(B552,Raw_Suppliers!$A$2:$G$101,7,FALSE)</f>
        <v>1</v>
      </c>
      <c r="P552" t="str">
        <f t="shared" si="49"/>
        <v>Yes</v>
      </c>
      <c r="Q552">
        <f t="shared" si="50"/>
        <v>0</v>
      </c>
      <c r="R552" t="str">
        <f t="shared" si="51"/>
        <v>Late</v>
      </c>
      <c r="S552">
        <f t="shared" si="52"/>
        <v>2022</v>
      </c>
      <c r="T552">
        <f t="shared" si="53"/>
        <v>2</v>
      </c>
    </row>
    <row r="553" spans="1:20" x14ac:dyDescent="0.25">
      <c r="A553" t="s">
        <v>849</v>
      </c>
      <c r="B553" t="s">
        <v>169</v>
      </c>
      <c r="C553" t="s">
        <v>20</v>
      </c>
      <c r="D553" s="1">
        <v>44502</v>
      </c>
      <c r="E553">
        <v>4</v>
      </c>
      <c r="F553">
        <v>16.633463059489699</v>
      </c>
      <c r="G553" s="1">
        <v>44519</v>
      </c>
      <c r="H553" s="1">
        <v>44517</v>
      </c>
      <c r="I553">
        <v>66.533852237958996</v>
      </c>
      <c r="J553">
        <f t="shared" si="48"/>
        <v>-2</v>
      </c>
      <c r="K553" t="str">
        <f>VLOOKUP(B553,Raw_Suppliers!$A$2:$G$101,2,FALSE)</f>
        <v>Vertex Beta LLC</v>
      </c>
      <c r="L553" t="str">
        <f>VLOOKUP(B553,Raw_Suppliers!$A$2:$G$101,3,FALSE)</f>
        <v>China</v>
      </c>
      <c r="M553" t="str">
        <f>VLOOKUP(B553,Raw_Suppliers!$A$2:$G$101,4,FALSE)</f>
        <v>South</v>
      </c>
      <c r="N553" t="str">
        <f>VLOOKUP(B553,Raw_Suppliers!$A$2:$G$101,6,FALSE)</f>
        <v>ISO 14001</v>
      </c>
      <c r="O553">
        <f>VLOOKUP(B553,Raw_Suppliers!$A$2:$G$101,7,FALSE)</f>
        <v>0</v>
      </c>
      <c r="P553" t="str">
        <f t="shared" si="49"/>
        <v>No</v>
      </c>
      <c r="Q553">
        <f t="shared" si="50"/>
        <v>1</v>
      </c>
      <c r="R553" t="str">
        <f t="shared" si="51"/>
        <v>On Time</v>
      </c>
      <c r="S553">
        <f t="shared" si="52"/>
        <v>2021</v>
      </c>
      <c r="T553">
        <f t="shared" si="53"/>
        <v>11</v>
      </c>
    </row>
    <row r="554" spans="1:20" x14ac:dyDescent="0.25">
      <c r="A554" t="s">
        <v>850</v>
      </c>
      <c r="B554" t="s">
        <v>37</v>
      </c>
      <c r="C554" t="s">
        <v>428</v>
      </c>
      <c r="D554" s="1">
        <v>45098</v>
      </c>
      <c r="E554">
        <v>6</v>
      </c>
      <c r="F554">
        <v>39.521925721653901</v>
      </c>
      <c r="G554" s="1">
        <v>45112</v>
      </c>
      <c r="H554" s="1">
        <v>45110</v>
      </c>
      <c r="I554">
        <v>237.13155432992301</v>
      </c>
      <c r="J554">
        <f t="shared" si="48"/>
        <v>-2</v>
      </c>
      <c r="K554" t="str">
        <f>VLOOKUP(B554,Raw_Suppliers!$A$2:$G$101,2,FALSE)</f>
        <v>Apex Apex Ltd</v>
      </c>
      <c r="L554" t="str">
        <f>VLOOKUP(B554,Raw_Suppliers!$A$2:$G$101,3,FALSE)</f>
        <v>Canada</v>
      </c>
      <c r="M554" t="str">
        <f>VLOOKUP(B554,Raw_Suppliers!$A$2:$G$101,4,FALSE)</f>
        <v>East</v>
      </c>
      <c r="N554" t="str">
        <f>VLOOKUP(B554,Raw_Suppliers!$A$2:$G$101,6,FALSE)</f>
        <v>ISO 9001</v>
      </c>
      <c r="O554">
        <f>VLOOKUP(B554,Raw_Suppliers!$A$2:$G$101,7,FALSE)</f>
        <v>1</v>
      </c>
      <c r="P554" t="str">
        <f t="shared" si="49"/>
        <v>Yes</v>
      </c>
      <c r="Q554">
        <f t="shared" si="50"/>
        <v>1</v>
      </c>
      <c r="R554" t="str">
        <f t="shared" si="51"/>
        <v>On Time</v>
      </c>
      <c r="S554">
        <f t="shared" si="52"/>
        <v>2023</v>
      </c>
      <c r="T554">
        <f t="shared" si="53"/>
        <v>6</v>
      </c>
    </row>
    <row r="555" spans="1:20" x14ac:dyDescent="0.25">
      <c r="A555" t="s">
        <v>851</v>
      </c>
      <c r="B555" t="s">
        <v>76</v>
      </c>
      <c r="C555" t="s">
        <v>201</v>
      </c>
      <c r="D555" s="1">
        <v>44753</v>
      </c>
      <c r="E555">
        <v>8</v>
      </c>
      <c r="F555">
        <v>51.798144478342202</v>
      </c>
      <c r="G555" s="1">
        <v>44767</v>
      </c>
      <c r="H555" s="1">
        <v>44768</v>
      </c>
      <c r="I555">
        <v>414.38515582673801</v>
      </c>
      <c r="J555">
        <f t="shared" si="48"/>
        <v>1</v>
      </c>
      <c r="K555" t="str">
        <f>VLOOKUP(B555,Raw_Suppliers!$A$2:$G$101,2,FALSE)</f>
        <v>Alpha Beta Ltd</v>
      </c>
      <c r="L555" t="str">
        <f>VLOOKUP(B555,Raw_Suppliers!$A$2:$G$101,3,FALSE)</f>
        <v>UK</v>
      </c>
      <c r="M555" t="str">
        <f>VLOOKUP(B555,Raw_Suppliers!$A$2:$G$101,4,FALSE)</f>
        <v>South</v>
      </c>
      <c r="N555" t="str">
        <f>VLOOKUP(B555,Raw_Suppliers!$A$2:$G$101,6,FALSE)</f>
        <v>None</v>
      </c>
      <c r="O555">
        <f>VLOOKUP(B555,Raw_Suppliers!$A$2:$G$101,7,FALSE)</f>
        <v>1</v>
      </c>
      <c r="P555" t="str">
        <f t="shared" si="49"/>
        <v>Yes</v>
      </c>
      <c r="Q555">
        <f t="shared" si="50"/>
        <v>0</v>
      </c>
      <c r="R555" t="str">
        <f t="shared" si="51"/>
        <v>Late</v>
      </c>
      <c r="S555">
        <f t="shared" si="52"/>
        <v>2022</v>
      </c>
      <c r="T555">
        <f t="shared" si="53"/>
        <v>7</v>
      </c>
    </row>
    <row r="556" spans="1:20" x14ac:dyDescent="0.25">
      <c r="A556" t="s">
        <v>852</v>
      </c>
      <c r="B556" t="s">
        <v>324</v>
      </c>
      <c r="C556" t="s">
        <v>279</v>
      </c>
      <c r="D556" s="1">
        <v>45229</v>
      </c>
      <c r="E556">
        <v>8</v>
      </c>
      <c r="F556">
        <v>12.1121960862999</v>
      </c>
      <c r="G556" s="1">
        <v>45243</v>
      </c>
      <c r="H556" s="1">
        <v>45249</v>
      </c>
      <c r="I556">
        <v>96.897568690399595</v>
      </c>
      <c r="J556">
        <f t="shared" si="48"/>
        <v>6</v>
      </c>
      <c r="K556" t="str">
        <f>VLOOKUP(B556,Raw_Suppliers!$A$2:$G$101,2,FALSE)</f>
        <v>Gamma Nano Corp</v>
      </c>
      <c r="L556" t="str">
        <f>VLOOKUP(B556,Raw_Suppliers!$A$2:$G$101,3,FALSE)</f>
        <v>Germany</v>
      </c>
      <c r="M556" t="str">
        <f>VLOOKUP(B556,Raw_Suppliers!$A$2:$G$101,4,FALSE)</f>
        <v>West</v>
      </c>
      <c r="N556" t="str">
        <f>VLOOKUP(B556,Raw_Suppliers!$A$2:$G$101,6,FALSE)</f>
        <v>ISO 9001</v>
      </c>
      <c r="O556">
        <f>VLOOKUP(B556,Raw_Suppliers!$A$2:$G$101,7,FALSE)</f>
        <v>0</v>
      </c>
      <c r="P556" t="str">
        <f t="shared" si="49"/>
        <v>No</v>
      </c>
      <c r="Q556">
        <f t="shared" si="50"/>
        <v>0</v>
      </c>
      <c r="R556" t="str">
        <f t="shared" si="51"/>
        <v>Late</v>
      </c>
      <c r="S556">
        <f t="shared" si="52"/>
        <v>2023</v>
      </c>
      <c r="T556">
        <f t="shared" si="53"/>
        <v>10</v>
      </c>
    </row>
    <row r="557" spans="1:20" x14ac:dyDescent="0.25">
      <c r="A557" t="s">
        <v>853</v>
      </c>
      <c r="B557" t="s">
        <v>43</v>
      </c>
      <c r="C557" t="s">
        <v>336</v>
      </c>
      <c r="D557" s="1">
        <v>44559</v>
      </c>
      <c r="E557">
        <v>10</v>
      </c>
      <c r="F557">
        <v>59.882204769670302</v>
      </c>
      <c r="G557" s="1">
        <v>44577</v>
      </c>
      <c r="H557" s="1">
        <v>44577</v>
      </c>
      <c r="I557">
        <v>598.82204769670398</v>
      </c>
      <c r="J557">
        <f t="shared" si="48"/>
        <v>0</v>
      </c>
      <c r="K557" t="str">
        <f>VLOOKUP(B557,Raw_Suppliers!$A$2:$G$101,2,FALSE)</f>
        <v>Alpha Ultra Corp</v>
      </c>
      <c r="L557" t="str">
        <f>VLOOKUP(B557,Raw_Suppliers!$A$2:$G$101,3,FALSE)</f>
        <v>USA</v>
      </c>
      <c r="M557" t="str">
        <f>VLOOKUP(B557,Raw_Suppliers!$A$2:$G$101,4,FALSE)</f>
        <v>Central</v>
      </c>
      <c r="N557" t="str">
        <f>VLOOKUP(B557,Raw_Suppliers!$A$2:$G$101,6,FALSE)</f>
        <v>ISO 9001</v>
      </c>
      <c r="O557">
        <f>VLOOKUP(B557,Raw_Suppliers!$A$2:$G$101,7,FALSE)</f>
        <v>1</v>
      </c>
      <c r="P557" t="str">
        <f t="shared" si="49"/>
        <v>Yes</v>
      </c>
      <c r="Q557">
        <f t="shared" si="50"/>
        <v>1</v>
      </c>
      <c r="R557" t="str">
        <f t="shared" si="51"/>
        <v>On Time</v>
      </c>
      <c r="S557">
        <f t="shared" si="52"/>
        <v>2021</v>
      </c>
      <c r="T557">
        <f t="shared" si="53"/>
        <v>12</v>
      </c>
    </row>
    <row r="558" spans="1:20" x14ac:dyDescent="0.25">
      <c r="A558" t="s">
        <v>854</v>
      </c>
      <c r="B558" t="s">
        <v>295</v>
      </c>
      <c r="C558" t="s">
        <v>32</v>
      </c>
      <c r="D558" s="1">
        <v>44599</v>
      </c>
      <c r="E558">
        <v>11</v>
      </c>
      <c r="F558">
        <v>30.577884722266099</v>
      </c>
      <c r="G558" s="1">
        <v>44609</v>
      </c>
      <c r="H558" s="1">
        <v>44609</v>
      </c>
      <c r="I558">
        <v>336.35673194492699</v>
      </c>
      <c r="J558">
        <f t="shared" si="48"/>
        <v>0</v>
      </c>
      <c r="K558" t="str">
        <f>VLOOKUP(B558,Raw_Suppliers!$A$2:$G$101,2,FALSE)</f>
        <v>Delta Quantum GmbH</v>
      </c>
      <c r="L558" t="str">
        <f>VLOOKUP(B558,Raw_Suppliers!$A$2:$G$101,3,FALSE)</f>
        <v>Brazil</v>
      </c>
      <c r="M558" t="str">
        <f>VLOOKUP(B558,Raw_Suppliers!$A$2:$G$101,4,FALSE)</f>
        <v>North</v>
      </c>
      <c r="N558" t="str">
        <f>VLOOKUP(B558,Raw_Suppliers!$A$2:$G$101,6,FALSE)</f>
        <v>ISO 9001</v>
      </c>
      <c r="O558">
        <f>VLOOKUP(B558,Raw_Suppliers!$A$2:$G$101,7,FALSE)</f>
        <v>1</v>
      </c>
      <c r="P558" t="str">
        <f t="shared" si="49"/>
        <v>Yes</v>
      </c>
      <c r="Q558">
        <f t="shared" si="50"/>
        <v>1</v>
      </c>
      <c r="R558" t="str">
        <f t="shared" si="51"/>
        <v>On Time</v>
      </c>
      <c r="S558">
        <f t="shared" si="52"/>
        <v>2022</v>
      </c>
      <c r="T558">
        <f t="shared" si="53"/>
        <v>2</v>
      </c>
    </row>
    <row r="559" spans="1:20" x14ac:dyDescent="0.25">
      <c r="A559" t="s">
        <v>855</v>
      </c>
      <c r="B559" t="s">
        <v>250</v>
      </c>
      <c r="C559" t="s">
        <v>581</v>
      </c>
      <c r="D559" s="1">
        <v>44514</v>
      </c>
      <c r="E559">
        <v>8</v>
      </c>
      <c r="F559">
        <v>27.112482216577899</v>
      </c>
      <c r="G559" s="1">
        <v>44538</v>
      </c>
      <c r="H559" s="1">
        <v>44538</v>
      </c>
      <c r="I559">
        <v>216.89985773262299</v>
      </c>
      <c r="J559">
        <f t="shared" si="48"/>
        <v>0</v>
      </c>
      <c r="K559" t="str">
        <f>VLOOKUP(B559,Raw_Suppliers!$A$2:$G$101,2,FALSE)</f>
        <v>Fusion Fusion Inc</v>
      </c>
      <c r="L559" t="str">
        <f>VLOOKUP(B559,Raw_Suppliers!$A$2:$G$101,3,FALSE)</f>
        <v>India</v>
      </c>
      <c r="M559" t="str">
        <f>VLOOKUP(B559,Raw_Suppliers!$A$2:$G$101,4,FALSE)</f>
        <v>South</v>
      </c>
      <c r="N559" t="str">
        <f>VLOOKUP(B559,Raw_Suppliers!$A$2:$G$101,6,FALSE)</f>
        <v>ISO 9001</v>
      </c>
      <c r="O559">
        <f>VLOOKUP(B559,Raw_Suppliers!$A$2:$G$101,7,FALSE)</f>
        <v>0</v>
      </c>
      <c r="P559" t="str">
        <f t="shared" si="49"/>
        <v>No</v>
      </c>
      <c r="Q559">
        <f t="shared" si="50"/>
        <v>1</v>
      </c>
      <c r="R559" t="str">
        <f t="shared" si="51"/>
        <v>On Time</v>
      </c>
      <c r="S559">
        <f t="shared" si="52"/>
        <v>2021</v>
      </c>
      <c r="T559">
        <f t="shared" si="53"/>
        <v>11</v>
      </c>
    </row>
    <row r="560" spans="1:20" x14ac:dyDescent="0.25">
      <c r="A560" t="s">
        <v>856</v>
      </c>
      <c r="B560" t="s">
        <v>482</v>
      </c>
      <c r="C560" t="s">
        <v>792</v>
      </c>
      <c r="D560" s="1">
        <v>44226</v>
      </c>
      <c r="E560">
        <v>13</v>
      </c>
      <c r="F560">
        <v>44.785595352356502</v>
      </c>
      <c r="G560" s="1">
        <v>44247</v>
      </c>
      <c r="H560" s="1">
        <v>44249</v>
      </c>
      <c r="I560">
        <v>582.212739580635</v>
      </c>
      <c r="J560">
        <f t="shared" si="48"/>
        <v>2</v>
      </c>
      <c r="K560" t="str">
        <f>VLOOKUP(B560,Raw_Suppliers!$A$2:$G$101,2,FALSE)</f>
        <v>Eco Prime Corp</v>
      </c>
      <c r="L560" t="str">
        <f>VLOOKUP(B560,Raw_Suppliers!$A$2:$G$101,3,FALSE)</f>
        <v>China</v>
      </c>
      <c r="M560" t="str">
        <f>VLOOKUP(B560,Raw_Suppliers!$A$2:$G$101,4,FALSE)</f>
        <v>East</v>
      </c>
      <c r="N560" t="str">
        <f>VLOOKUP(B560,Raw_Suppliers!$A$2:$G$101,6,FALSE)</f>
        <v>ISO 45001</v>
      </c>
      <c r="O560">
        <f>VLOOKUP(B560,Raw_Suppliers!$A$2:$G$101,7,FALSE)</f>
        <v>1</v>
      </c>
      <c r="P560" t="str">
        <f t="shared" si="49"/>
        <v>Yes</v>
      </c>
      <c r="Q560">
        <f t="shared" si="50"/>
        <v>0</v>
      </c>
      <c r="R560" t="str">
        <f t="shared" si="51"/>
        <v>Late</v>
      </c>
      <c r="S560">
        <f t="shared" si="52"/>
        <v>2021</v>
      </c>
      <c r="T560">
        <f t="shared" si="53"/>
        <v>1</v>
      </c>
    </row>
    <row r="561" spans="1:20" x14ac:dyDescent="0.25">
      <c r="A561" t="s">
        <v>857</v>
      </c>
      <c r="B561" t="s">
        <v>314</v>
      </c>
      <c r="C561" t="s">
        <v>128</v>
      </c>
      <c r="D561" s="1">
        <v>44656</v>
      </c>
      <c r="E561">
        <v>19</v>
      </c>
      <c r="F561">
        <v>9.5084978042195001</v>
      </c>
      <c r="G561" s="1">
        <v>44678</v>
      </c>
      <c r="H561" s="1">
        <v>44678</v>
      </c>
      <c r="I561">
        <v>180.66145828017</v>
      </c>
      <c r="J561">
        <f t="shared" si="48"/>
        <v>0</v>
      </c>
      <c r="K561" t="str">
        <f>VLOOKUP(B561,Raw_Suppliers!$A$2:$G$101,2,FALSE)</f>
        <v>Gamma Nova Ltd</v>
      </c>
      <c r="L561" t="str">
        <f>VLOOKUP(B561,Raw_Suppliers!$A$2:$G$101,3,FALSE)</f>
        <v>USA</v>
      </c>
      <c r="M561" t="str">
        <f>VLOOKUP(B561,Raw_Suppliers!$A$2:$G$101,4,FALSE)</f>
        <v>North</v>
      </c>
      <c r="N561" t="str">
        <f>VLOOKUP(B561,Raw_Suppliers!$A$2:$G$101,6,FALSE)</f>
        <v>ISO 45001</v>
      </c>
      <c r="O561">
        <f>VLOOKUP(B561,Raw_Suppliers!$A$2:$G$101,7,FALSE)</f>
        <v>0</v>
      </c>
      <c r="P561" t="str">
        <f t="shared" si="49"/>
        <v>No</v>
      </c>
      <c r="Q561">
        <f t="shared" si="50"/>
        <v>1</v>
      </c>
      <c r="R561" t="str">
        <f t="shared" si="51"/>
        <v>On Time</v>
      </c>
      <c r="S561">
        <f t="shared" si="52"/>
        <v>2022</v>
      </c>
      <c r="T561">
        <f t="shared" si="53"/>
        <v>4</v>
      </c>
    </row>
    <row r="562" spans="1:20" x14ac:dyDescent="0.25">
      <c r="A562" t="s">
        <v>858</v>
      </c>
      <c r="B562" t="s">
        <v>46</v>
      </c>
      <c r="C562" t="s">
        <v>434</v>
      </c>
      <c r="D562" s="1">
        <v>44920</v>
      </c>
      <c r="E562">
        <v>10</v>
      </c>
      <c r="F562">
        <v>47.869275157980198</v>
      </c>
      <c r="G562" s="1">
        <v>44932</v>
      </c>
      <c r="H562" s="1">
        <v>44929</v>
      </c>
      <c r="I562">
        <v>478.69275157980201</v>
      </c>
      <c r="J562">
        <f t="shared" si="48"/>
        <v>-3</v>
      </c>
      <c r="K562" t="str">
        <f>VLOOKUP(B562,Raw_Suppliers!$A$2:$G$101,2,FALSE)</f>
        <v>Prime Prime Inc</v>
      </c>
      <c r="L562" t="str">
        <f>VLOOKUP(B562,Raw_Suppliers!$A$2:$G$101,3,FALSE)</f>
        <v>UK</v>
      </c>
      <c r="M562" t="str">
        <f>VLOOKUP(B562,Raw_Suppliers!$A$2:$G$101,4,FALSE)</f>
        <v>South</v>
      </c>
      <c r="N562" t="str">
        <f>VLOOKUP(B562,Raw_Suppliers!$A$2:$G$101,6,FALSE)</f>
        <v>None</v>
      </c>
      <c r="O562">
        <f>VLOOKUP(B562,Raw_Suppliers!$A$2:$G$101,7,FALSE)</f>
        <v>1</v>
      </c>
      <c r="P562" t="str">
        <f t="shared" si="49"/>
        <v>Yes</v>
      </c>
      <c r="Q562">
        <f t="shared" si="50"/>
        <v>1</v>
      </c>
      <c r="R562" t="str">
        <f t="shared" si="51"/>
        <v>On Time</v>
      </c>
      <c r="S562">
        <f t="shared" si="52"/>
        <v>2022</v>
      </c>
      <c r="T562">
        <f t="shared" si="53"/>
        <v>12</v>
      </c>
    </row>
    <row r="563" spans="1:20" x14ac:dyDescent="0.25">
      <c r="A563" t="s">
        <v>859</v>
      </c>
      <c r="B563" t="s">
        <v>13</v>
      </c>
      <c r="C563" t="s">
        <v>361</v>
      </c>
      <c r="D563" s="1">
        <v>44239</v>
      </c>
      <c r="E563">
        <v>9</v>
      </c>
      <c r="F563">
        <v>29.829906984975</v>
      </c>
      <c r="G563" s="1">
        <v>44259</v>
      </c>
      <c r="H563" s="1">
        <v>44259</v>
      </c>
      <c r="I563">
        <v>268.469162864775</v>
      </c>
      <c r="J563">
        <f t="shared" si="48"/>
        <v>0</v>
      </c>
      <c r="K563" t="str">
        <f>VLOOKUP(B563,Raw_Suppliers!$A$2:$G$101,2,FALSE)</f>
        <v>Beta Delta LLC</v>
      </c>
      <c r="L563" t="str">
        <f>VLOOKUP(B563,Raw_Suppliers!$A$2:$G$101,3,FALSE)</f>
        <v>Germany</v>
      </c>
      <c r="M563" t="str">
        <f>VLOOKUP(B563,Raw_Suppliers!$A$2:$G$101,4,FALSE)</f>
        <v>Central</v>
      </c>
      <c r="N563" t="str">
        <f>VLOOKUP(B563,Raw_Suppliers!$A$2:$G$101,6,FALSE)</f>
        <v>ISO 9001</v>
      </c>
      <c r="O563">
        <f>VLOOKUP(B563,Raw_Suppliers!$A$2:$G$101,7,FALSE)</f>
        <v>1</v>
      </c>
      <c r="P563" t="str">
        <f t="shared" si="49"/>
        <v>Yes</v>
      </c>
      <c r="Q563">
        <f t="shared" si="50"/>
        <v>1</v>
      </c>
      <c r="R563" t="str">
        <f t="shared" si="51"/>
        <v>On Time</v>
      </c>
      <c r="S563">
        <f t="shared" si="52"/>
        <v>2021</v>
      </c>
      <c r="T563">
        <f t="shared" si="53"/>
        <v>2</v>
      </c>
    </row>
    <row r="564" spans="1:20" x14ac:dyDescent="0.25">
      <c r="A564" t="s">
        <v>860</v>
      </c>
      <c r="B564" t="s">
        <v>127</v>
      </c>
      <c r="C564" t="s">
        <v>217</v>
      </c>
      <c r="D564" s="1">
        <v>44386</v>
      </c>
      <c r="E564">
        <v>14</v>
      </c>
      <c r="F564">
        <v>55.189000412151501</v>
      </c>
      <c r="G564" s="1">
        <v>44403</v>
      </c>
      <c r="H564" s="1">
        <v>44409</v>
      </c>
      <c r="I564">
        <v>772.64600577012095</v>
      </c>
      <c r="J564">
        <f t="shared" si="48"/>
        <v>6</v>
      </c>
      <c r="K564" t="str">
        <f>VLOOKUP(B564,Raw_Suppliers!$A$2:$G$101,2,FALSE)</f>
        <v>Eco Gamma LLC</v>
      </c>
      <c r="L564" t="str">
        <f>VLOOKUP(B564,Raw_Suppliers!$A$2:$G$101,3,FALSE)</f>
        <v>Canada</v>
      </c>
      <c r="M564" t="str">
        <f>VLOOKUP(B564,Raw_Suppliers!$A$2:$G$101,4,FALSE)</f>
        <v>West</v>
      </c>
      <c r="N564" t="str">
        <f>VLOOKUP(B564,Raw_Suppliers!$A$2:$G$101,6,FALSE)</f>
        <v>ISO 9001</v>
      </c>
      <c r="O564">
        <f>VLOOKUP(B564,Raw_Suppliers!$A$2:$G$101,7,FALSE)</f>
        <v>1</v>
      </c>
      <c r="P564" t="str">
        <f t="shared" si="49"/>
        <v>Yes</v>
      </c>
      <c r="Q564">
        <f t="shared" si="50"/>
        <v>0</v>
      </c>
      <c r="R564" t="str">
        <f t="shared" si="51"/>
        <v>Late</v>
      </c>
      <c r="S564">
        <f t="shared" si="52"/>
        <v>2021</v>
      </c>
      <c r="T564">
        <f t="shared" si="53"/>
        <v>7</v>
      </c>
    </row>
    <row r="565" spans="1:20" x14ac:dyDescent="0.25">
      <c r="A565" t="s">
        <v>861</v>
      </c>
      <c r="B565" t="s">
        <v>34</v>
      </c>
      <c r="C565" t="s">
        <v>41</v>
      </c>
      <c r="D565" s="1">
        <v>44855</v>
      </c>
      <c r="E565">
        <v>8</v>
      </c>
      <c r="F565">
        <v>16.9338477456368</v>
      </c>
      <c r="G565" s="1">
        <v>44868</v>
      </c>
      <c r="H565" s="1">
        <v>44870</v>
      </c>
      <c r="I565">
        <v>135.47078196509401</v>
      </c>
      <c r="J565">
        <f t="shared" si="48"/>
        <v>2</v>
      </c>
      <c r="K565" t="str">
        <f>VLOOKUP(B565,Raw_Suppliers!$A$2:$G$101,2,FALSE)</f>
        <v>Omega Alpha Corp</v>
      </c>
      <c r="L565" t="str">
        <f>VLOOKUP(B565,Raw_Suppliers!$A$2:$G$101,3,FALSE)</f>
        <v>UK</v>
      </c>
      <c r="M565" t="str">
        <f>VLOOKUP(B565,Raw_Suppliers!$A$2:$G$101,4,FALSE)</f>
        <v>West</v>
      </c>
      <c r="N565" t="str">
        <f>VLOOKUP(B565,Raw_Suppliers!$A$2:$G$101,6,FALSE)</f>
        <v>ISO 45001</v>
      </c>
      <c r="O565">
        <f>VLOOKUP(B565,Raw_Suppliers!$A$2:$G$101,7,FALSE)</f>
        <v>0</v>
      </c>
      <c r="P565" t="str">
        <f t="shared" si="49"/>
        <v>No</v>
      </c>
      <c r="Q565">
        <f t="shared" si="50"/>
        <v>0</v>
      </c>
      <c r="R565" t="str">
        <f t="shared" si="51"/>
        <v>Late</v>
      </c>
      <c r="S565">
        <f t="shared" si="52"/>
        <v>2022</v>
      </c>
      <c r="T565">
        <f t="shared" si="53"/>
        <v>10</v>
      </c>
    </row>
    <row r="566" spans="1:20" x14ac:dyDescent="0.25">
      <c r="A566" t="s">
        <v>862</v>
      </c>
      <c r="B566" t="s">
        <v>326</v>
      </c>
      <c r="C566" t="s">
        <v>35</v>
      </c>
      <c r="D566" s="1">
        <v>45108</v>
      </c>
      <c r="E566">
        <v>13</v>
      </c>
      <c r="F566">
        <v>45.502324026506002</v>
      </c>
      <c r="G566" s="1">
        <v>45118</v>
      </c>
      <c r="H566" s="1">
        <v>45115</v>
      </c>
      <c r="I566">
        <v>591.53021234457799</v>
      </c>
      <c r="J566">
        <f t="shared" si="48"/>
        <v>-3</v>
      </c>
      <c r="K566" t="str">
        <f>VLOOKUP(B566,Raw_Suppliers!$A$2:$G$101,2,FALSE)</f>
        <v>Ultra Fusion Corp</v>
      </c>
      <c r="L566" t="str">
        <f>VLOOKUP(B566,Raw_Suppliers!$A$2:$G$101,3,FALSE)</f>
        <v>Canada</v>
      </c>
      <c r="M566" t="str">
        <f>VLOOKUP(B566,Raw_Suppliers!$A$2:$G$101,4,FALSE)</f>
        <v>South</v>
      </c>
      <c r="N566" t="str">
        <f>VLOOKUP(B566,Raw_Suppliers!$A$2:$G$101,6,FALSE)</f>
        <v>None</v>
      </c>
      <c r="O566">
        <f>VLOOKUP(B566,Raw_Suppliers!$A$2:$G$101,7,FALSE)</f>
        <v>1</v>
      </c>
      <c r="P566" t="str">
        <f t="shared" si="49"/>
        <v>Yes</v>
      </c>
      <c r="Q566">
        <f t="shared" si="50"/>
        <v>1</v>
      </c>
      <c r="R566" t="str">
        <f t="shared" si="51"/>
        <v>On Time</v>
      </c>
      <c r="S566">
        <f t="shared" si="52"/>
        <v>2023</v>
      </c>
      <c r="T566">
        <f t="shared" si="53"/>
        <v>7</v>
      </c>
    </row>
    <row r="567" spans="1:20" x14ac:dyDescent="0.25">
      <c r="A567" t="s">
        <v>863</v>
      </c>
      <c r="B567" t="s">
        <v>382</v>
      </c>
      <c r="C567" t="s">
        <v>629</v>
      </c>
      <c r="D567" s="1">
        <v>44212</v>
      </c>
      <c r="E567">
        <v>10</v>
      </c>
      <c r="F567">
        <v>27.684592653332601</v>
      </c>
      <c r="G567" s="1">
        <v>44235</v>
      </c>
      <c r="H567" s="1">
        <v>44232</v>
      </c>
      <c r="I567">
        <v>276.84592653332601</v>
      </c>
      <c r="J567">
        <f t="shared" si="48"/>
        <v>-3</v>
      </c>
      <c r="K567" t="str">
        <f>VLOOKUP(B567,Raw_Suppliers!$A$2:$G$101,2,FALSE)</f>
        <v>Omega Gamma Ltd</v>
      </c>
      <c r="L567" t="str">
        <f>VLOOKUP(B567,Raw_Suppliers!$A$2:$G$101,3,FALSE)</f>
        <v>USA</v>
      </c>
      <c r="M567" t="str">
        <f>VLOOKUP(B567,Raw_Suppliers!$A$2:$G$101,4,FALSE)</f>
        <v>Central</v>
      </c>
      <c r="N567" t="str">
        <f>VLOOKUP(B567,Raw_Suppliers!$A$2:$G$101,6,FALSE)</f>
        <v>None</v>
      </c>
      <c r="O567">
        <f>VLOOKUP(B567,Raw_Suppliers!$A$2:$G$101,7,FALSE)</f>
        <v>0</v>
      </c>
      <c r="P567" t="str">
        <f t="shared" si="49"/>
        <v>No</v>
      </c>
      <c r="Q567">
        <f t="shared" si="50"/>
        <v>1</v>
      </c>
      <c r="R567" t="str">
        <f t="shared" si="51"/>
        <v>On Time</v>
      </c>
      <c r="S567">
        <f t="shared" si="52"/>
        <v>2021</v>
      </c>
      <c r="T567">
        <f t="shared" si="53"/>
        <v>1</v>
      </c>
    </row>
    <row r="568" spans="1:20" x14ac:dyDescent="0.25">
      <c r="A568" t="s">
        <v>864</v>
      </c>
      <c r="B568" t="s">
        <v>442</v>
      </c>
      <c r="C568" t="s">
        <v>53</v>
      </c>
      <c r="D568" s="1">
        <v>44299</v>
      </c>
      <c r="E568">
        <v>15</v>
      </c>
      <c r="F568">
        <v>77.612308245394502</v>
      </c>
      <c r="G568" s="1">
        <v>44314</v>
      </c>
      <c r="H568" s="1">
        <v>44312</v>
      </c>
      <c r="I568">
        <v>1164.1846236809099</v>
      </c>
      <c r="J568">
        <f t="shared" si="48"/>
        <v>-2</v>
      </c>
      <c r="K568" t="str">
        <f>VLOOKUP(B568,Raw_Suppliers!$A$2:$G$101,2,FALSE)</f>
        <v>Vertex Delta LLC</v>
      </c>
      <c r="L568" t="str">
        <f>VLOOKUP(B568,Raw_Suppliers!$A$2:$G$101,3,FALSE)</f>
        <v>Canada</v>
      </c>
      <c r="M568" t="str">
        <f>VLOOKUP(B568,Raw_Suppliers!$A$2:$G$101,4,FALSE)</f>
        <v>East</v>
      </c>
      <c r="N568" t="str">
        <f>VLOOKUP(B568,Raw_Suppliers!$A$2:$G$101,6,FALSE)</f>
        <v>ISO 14001</v>
      </c>
      <c r="O568">
        <f>VLOOKUP(B568,Raw_Suppliers!$A$2:$G$101,7,FALSE)</f>
        <v>1</v>
      </c>
      <c r="P568" t="str">
        <f t="shared" si="49"/>
        <v>Yes</v>
      </c>
      <c r="Q568">
        <f t="shared" si="50"/>
        <v>1</v>
      </c>
      <c r="R568" t="str">
        <f t="shared" si="51"/>
        <v>On Time</v>
      </c>
      <c r="S568">
        <f t="shared" si="52"/>
        <v>2021</v>
      </c>
      <c r="T568">
        <f t="shared" si="53"/>
        <v>4</v>
      </c>
    </row>
    <row r="569" spans="1:20" x14ac:dyDescent="0.25">
      <c r="A569" t="s">
        <v>865</v>
      </c>
      <c r="B569" t="s">
        <v>127</v>
      </c>
      <c r="C569" t="s">
        <v>257</v>
      </c>
      <c r="D569" s="1">
        <v>44315</v>
      </c>
      <c r="E569">
        <v>16</v>
      </c>
      <c r="F569">
        <v>33.034861637563999</v>
      </c>
      <c r="G569" s="1">
        <v>44338</v>
      </c>
      <c r="H569" s="1">
        <v>44337</v>
      </c>
      <c r="I569">
        <v>528.55778620102399</v>
      </c>
      <c r="J569">
        <f t="shared" si="48"/>
        <v>-1</v>
      </c>
      <c r="K569" t="str">
        <f>VLOOKUP(B569,Raw_Suppliers!$A$2:$G$101,2,FALSE)</f>
        <v>Eco Gamma LLC</v>
      </c>
      <c r="L569" t="str">
        <f>VLOOKUP(B569,Raw_Suppliers!$A$2:$G$101,3,FALSE)</f>
        <v>Canada</v>
      </c>
      <c r="M569" t="str">
        <f>VLOOKUP(B569,Raw_Suppliers!$A$2:$G$101,4,FALSE)</f>
        <v>West</v>
      </c>
      <c r="N569" t="str">
        <f>VLOOKUP(B569,Raw_Suppliers!$A$2:$G$101,6,FALSE)</f>
        <v>ISO 9001</v>
      </c>
      <c r="O569">
        <f>VLOOKUP(B569,Raw_Suppliers!$A$2:$G$101,7,FALSE)</f>
        <v>1</v>
      </c>
      <c r="P569" t="str">
        <f t="shared" si="49"/>
        <v>Yes</v>
      </c>
      <c r="Q569">
        <f t="shared" si="50"/>
        <v>1</v>
      </c>
      <c r="R569" t="str">
        <f t="shared" si="51"/>
        <v>On Time</v>
      </c>
      <c r="S569">
        <f t="shared" si="52"/>
        <v>2021</v>
      </c>
      <c r="T569">
        <f t="shared" si="53"/>
        <v>4</v>
      </c>
    </row>
    <row r="570" spans="1:20" x14ac:dyDescent="0.25">
      <c r="A570" t="s">
        <v>866</v>
      </c>
      <c r="B570" t="s">
        <v>301</v>
      </c>
      <c r="C570" t="s">
        <v>165</v>
      </c>
      <c r="D570" s="1">
        <v>44908</v>
      </c>
      <c r="E570">
        <v>8</v>
      </c>
      <c r="F570">
        <v>66.597404322223795</v>
      </c>
      <c r="G570" s="1">
        <v>44932</v>
      </c>
      <c r="H570" s="1">
        <v>44931</v>
      </c>
      <c r="I570">
        <v>532.77923457779002</v>
      </c>
      <c r="J570">
        <f t="shared" si="48"/>
        <v>-1</v>
      </c>
      <c r="K570" t="str">
        <f>VLOOKUP(B570,Raw_Suppliers!$A$2:$G$101,2,FALSE)</f>
        <v>Beta Eco Inc</v>
      </c>
      <c r="L570" t="str">
        <f>VLOOKUP(B570,Raw_Suppliers!$A$2:$G$101,3,FALSE)</f>
        <v>Denmark</v>
      </c>
      <c r="M570" t="str">
        <f>VLOOKUP(B570,Raw_Suppliers!$A$2:$G$101,4,FALSE)</f>
        <v>South</v>
      </c>
      <c r="N570" t="str">
        <f>VLOOKUP(B570,Raw_Suppliers!$A$2:$G$101,6,FALSE)</f>
        <v>ISO 14001</v>
      </c>
      <c r="O570">
        <f>VLOOKUP(B570,Raw_Suppliers!$A$2:$G$101,7,FALSE)</f>
        <v>1</v>
      </c>
      <c r="P570" t="str">
        <f t="shared" si="49"/>
        <v>Yes</v>
      </c>
      <c r="Q570">
        <f t="shared" si="50"/>
        <v>1</v>
      </c>
      <c r="R570" t="str">
        <f t="shared" si="51"/>
        <v>On Time</v>
      </c>
      <c r="S570">
        <f t="shared" si="52"/>
        <v>2022</v>
      </c>
      <c r="T570">
        <f t="shared" si="53"/>
        <v>12</v>
      </c>
    </row>
    <row r="571" spans="1:20" x14ac:dyDescent="0.25">
      <c r="A571" t="s">
        <v>867</v>
      </c>
      <c r="B571" t="s">
        <v>256</v>
      </c>
      <c r="C571" t="s">
        <v>138</v>
      </c>
      <c r="D571" s="1">
        <v>45270</v>
      </c>
      <c r="E571">
        <v>12</v>
      </c>
      <c r="F571">
        <v>10.186341348098701</v>
      </c>
      <c r="G571" s="1">
        <v>45280</v>
      </c>
      <c r="H571" s="1">
        <v>45285</v>
      </c>
      <c r="I571">
        <v>122.236096177184</v>
      </c>
      <c r="J571">
        <f t="shared" si="48"/>
        <v>5</v>
      </c>
      <c r="K571" t="str">
        <f>VLOOKUP(B571,Raw_Suppliers!$A$2:$G$101,2,FALSE)</f>
        <v>Apex Eco Ltd</v>
      </c>
      <c r="L571" t="str">
        <f>VLOOKUP(B571,Raw_Suppliers!$A$2:$G$101,3,FALSE)</f>
        <v>USA</v>
      </c>
      <c r="M571" t="str">
        <f>VLOOKUP(B571,Raw_Suppliers!$A$2:$G$101,4,FALSE)</f>
        <v>North</v>
      </c>
      <c r="N571" t="str">
        <f>VLOOKUP(B571,Raw_Suppliers!$A$2:$G$101,6,FALSE)</f>
        <v>ISO 45001</v>
      </c>
      <c r="O571">
        <f>VLOOKUP(B571,Raw_Suppliers!$A$2:$G$101,7,FALSE)</f>
        <v>0</v>
      </c>
      <c r="P571" t="str">
        <f t="shared" si="49"/>
        <v>No</v>
      </c>
      <c r="Q571">
        <f t="shared" si="50"/>
        <v>0</v>
      </c>
      <c r="R571" t="str">
        <f t="shared" si="51"/>
        <v>Late</v>
      </c>
      <c r="S571">
        <f t="shared" si="52"/>
        <v>2023</v>
      </c>
      <c r="T571">
        <f t="shared" si="53"/>
        <v>12</v>
      </c>
    </row>
    <row r="572" spans="1:20" x14ac:dyDescent="0.25">
      <c r="A572" t="s">
        <v>868</v>
      </c>
      <c r="B572" t="s">
        <v>256</v>
      </c>
      <c r="C572" t="s">
        <v>396</v>
      </c>
      <c r="D572" s="1">
        <v>44241</v>
      </c>
      <c r="E572">
        <v>7</v>
      </c>
      <c r="F572">
        <v>9.0687558119335101</v>
      </c>
      <c r="G572" s="1">
        <v>44259</v>
      </c>
      <c r="H572" s="1">
        <v>44263</v>
      </c>
      <c r="I572">
        <v>63.481290683534503</v>
      </c>
      <c r="J572">
        <f t="shared" si="48"/>
        <v>4</v>
      </c>
      <c r="K572" t="str">
        <f>VLOOKUP(B572,Raw_Suppliers!$A$2:$G$101,2,FALSE)</f>
        <v>Apex Eco Ltd</v>
      </c>
      <c r="L572" t="str">
        <f>VLOOKUP(B572,Raw_Suppliers!$A$2:$G$101,3,FALSE)</f>
        <v>USA</v>
      </c>
      <c r="M572" t="str">
        <f>VLOOKUP(B572,Raw_Suppliers!$A$2:$G$101,4,FALSE)</f>
        <v>North</v>
      </c>
      <c r="N572" t="str">
        <f>VLOOKUP(B572,Raw_Suppliers!$A$2:$G$101,6,FALSE)</f>
        <v>ISO 45001</v>
      </c>
      <c r="O572">
        <f>VLOOKUP(B572,Raw_Suppliers!$A$2:$G$101,7,FALSE)</f>
        <v>0</v>
      </c>
      <c r="P572" t="str">
        <f t="shared" si="49"/>
        <v>No</v>
      </c>
      <c r="Q572">
        <f t="shared" si="50"/>
        <v>0</v>
      </c>
      <c r="R572" t="str">
        <f t="shared" si="51"/>
        <v>Late</v>
      </c>
      <c r="S572">
        <f t="shared" si="52"/>
        <v>2021</v>
      </c>
      <c r="T572">
        <f t="shared" si="53"/>
        <v>2</v>
      </c>
    </row>
    <row r="573" spans="1:20" x14ac:dyDescent="0.25">
      <c r="A573" t="s">
        <v>869</v>
      </c>
      <c r="B573" t="s">
        <v>314</v>
      </c>
      <c r="C573" t="s">
        <v>212</v>
      </c>
      <c r="D573" s="1">
        <v>45009</v>
      </c>
      <c r="E573">
        <v>16</v>
      </c>
      <c r="F573">
        <v>64.006494395555194</v>
      </c>
      <c r="G573" s="1">
        <v>45024</v>
      </c>
      <c r="H573" s="1">
        <v>45025</v>
      </c>
      <c r="I573">
        <v>1024.1039103288799</v>
      </c>
      <c r="J573">
        <f t="shared" si="48"/>
        <v>1</v>
      </c>
      <c r="K573" t="str">
        <f>VLOOKUP(B573,Raw_Suppliers!$A$2:$G$101,2,FALSE)</f>
        <v>Gamma Nova Ltd</v>
      </c>
      <c r="L573" t="str">
        <f>VLOOKUP(B573,Raw_Suppliers!$A$2:$G$101,3,FALSE)</f>
        <v>USA</v>
      </c>
      <c r="M573" t="str">
        <f>VLOOKUP(B573,Raw_Suppliers!$A$2:$G$101,4,FALSE)</f>
        <v>North</v>
      </c>
      <c r="N573" t="str">
        <f>VLOOKUP(B573,Raw_Suppliers!$A$2:$G$101,6,FALSE)</f>
        <v>ISO 45001</v>
      </c>
      <c r="O573">
        <f>VLOOKUP(B573,Raw_Suppliers!$A$2:$G$101,7,FALSE)</f>
        <v>0</v>
      </c>
      <c r="P573" t="str">
        <f t="shared" si="49"/>
        <v>No</v>
      </c>
      <c r="Q573">
        <f t="shared" si="50"/>
        <v>0</v>
      </c>
      <c r="R573" t="str">
        <f t="shared" si="51"/>
        <v>Late</v>
      </c>
      <c r="S573">
        <f t="shared" si="52"/>
        <v>2023</v>
      </c>
      <c r="T573">
        <f t="shared" si="53"/>
        <v>3</v>
      </c>
    </row>
    <row r="574" spans="1:20" x14ac:dyDescent="0.25">
      <c r="A574" t="s">
        <v>870</v>
      </c>
      <c r="B574" t="s">
        <v>99</v>
      </c>
      <c r="C574" t="s">
        <v>356</v>
      </c>
      <c r="D574" s="1">
        <v>45192</v>
      </c>
      <c r="E574">
        <v>12</v>
      </c>
      <c r="F574">
        <v>76.866063156785501</v>
      </c>
      <c r="G574" s="1">
        <v>45213</v>
      </c>
      <c r="H574" s="1">
        <v>45217</v>
      </c>
      <c r="I574">
        <v>922.39275788142595</v>
      </c>
      <c r="J574">
        <f t="shared" si="48"/>
        <v>4</v>
      </c>
      <c r="K574" t="str">
        <f>VLOOKUP(B574,Raw_Suppliers!$A$2:$G$101,2,FALSE)</f>
        <v>Gamma Nova LLC</v>
      </c>
      <c r="L574" t="str">
        <f>VLOOKUP(B574,Raw_Suppliers!$A$2:$G$101,3,FALSE)</f>
        <v>USA</v>
      </c>
      <c r="M574" t="str">
        <f>VLOOKUP(B574,Raw_Suppliers!$A$2:$G$101,4,FALSE)</f>
        <v>North</v>
      </c>
      <c r="N574" t="str">
        <f>VLOOKUP(B574,Raw_Suppliers!$A$2:$G$101,6,FALSE)</f>
        <v>ISO 9001</v>
      </c>
      <c r="O574">
        <f>VLOOKUP(B574,Raw_Suppliers!$A$2:$G$101,7,FALSE)</f>
        <v>0</v>
      </c>
      <c r="P574" t="str">
        <f t="shared" si="49"/>
        <v>No</v>
      </c>
      <c r="Q574">
        <f t="shared" si="50"/>
        <v>0</v>
      </c>
      <c r="R574" t="str">
        <f t="shared" si="51"/>
        <v>Late</v>
      </c>
      <c r="S574">
        <f t="shared" si="52"/>
        <v>2023</v>
      </c>
      <c r="T574">
        <f t="shared" si="53"/>
        <v>9</v>
      </c>
    </row>
    <row r="575" spans="1:20" x14ac:dyDescent="0.25">
      <c r="A575" t="s">
        <v>871</v>
      </c>
      <c r="B575" t="s">
        <v>96</v>
      </c>
      <c r="C575" t="s">
        <v>210</v>
      </c>
      <c r="D575" s="1">
        <v>45179</v>
      </c>
      <c r="E575">
        <v>11</v>
      </c>
      <c r="F575">
        <v>33.344575294958901</v>
      </c>
      <c r="G575" s="1">
        <v>45200</v>
      </c>
      <c r="H575" s="1">
        <v>45203</v>
      </c>
      <c r="I575">
        <v>366.79032824454799</v>
      </c>
      <c r="J575">
        <f t="shared" si="48"/>
        <v>3</v>
      </c>
      <c r="K575" t="str">
        <f>VLOOKUP(B575,Raw_Suppliers!$A$2:$G$101,2,FALSE)</f>
        <v>Alpha Nova Ltd</v>
      </c>
      <c r="L575" t="str">
        <f>VLOOKUP(B575,Raw_Suppliers!$A$2:$G$101,3,FALSE)</f>
        <v>UK</v>
      </c>
      <c r="M575" t="str">
        <f>VLOOKUP(B575,Raw_Suppliers!$A$2:$G$101,4,FALSE)</f>
        <v>West</v>
      </c>
      <c r="N575" t="str">
        <f>VLOOKUP(B575,Raw_Suppliers!$A$2:$G$101,6,FALSE)</f>
        <v>ISO 14001</v>
      </c>
      <c r="O575">
        <f>VLOOKUP(B575,Raw_Suppliers!$A$2:$G$101,7,FALSE)</f>
        <v>0</v>
      </c>
      <c r="P575" t="str">
        <f t="shared" si="49"/>
        <v>No</v>
      </c>
      <c r="Q575">
        <f t="shared" si="50"/>
        <v>0</v>
      </c>
      <c r="R575" t="str">
        <f t="shared" si="51"/>
        <v>Late</v>
      </c>
      <c r="S575">
        <f t="shared" si="52"/>
        <v>2023</v>
      </c>
      <c r="T575">
        <f t="shared" si="53"/>
        <v>9</v>
      </c>
    </row>
    <row r="576" spans="1:20" x14ac:dyDescent="0.25">
      <c r="A576" t="s">
        <v>872</v>
      </c>
      <c r="B576" t="s">
        <v>154</v>
      </c>
      <c r="C576" t="s">
        <v>262</v>
      </c>
      <c r="D576" s="1">
        <v>45199</v>
      </c>
      <c r="E576">
        <v>13</v>
      </c>
      <c r="F576">
        <v>74.103666154328394</v>
      </c>
      <c r="G576" s="1">
        <v>45216</v>
      </c>
      <c r="H576" s="1">
        <v>45222</v>
      </c>
      <c r="I576">
        <v>963.34766000626905</v>
      </c>
      <c r="J576">
        <f t="shared" si="48"/>
        <v>6</v>
      </c>
      <c r="K576" t="str">
        <f>VLOOKUP(B576,Raw_Suppliers!$A$2:$G$101,2,FALSE)</f>
        <v>Apex Ultra Ltd</v>
      </c>
      <c r="L576" t="str">
        <f>VLOOKUP(B576,Raw_Suppliers!$A$2:$G$101,3,FALSE)</f>
        <v>Canada</v>
      </c>
      <c r="M576" t="str">
        <f>VLOOKUP(B576,Raw_Suppliers!$A$2:$G$101,4,FALSE)</f>
        <v>West</v>
      </c>
      <c r="N576" t="str">
        <f>VLOOKUP(B576,Raw_Suppliers!$A$2:$G$101,6,FALSE)</f>
        <v>None</v>
      </c>
      <c r="O576">
        <f>VLOOKUP(B576,Raw_Suppliers!$A$2:$G$101,7,FALSE)</f>
        <v>1</v>
      </c>
      <c r="P576" t="str">
        <f t="shared" si="49"/>
        <v>Yes</v>
      </c>
      <c r="Q576">
        <f t="shared" si="50"/>
        <v>0</v>
      </c>
      <c r="R576" t="str">
        <f t="shared" si="51"/>
        <v>Late</v>
      </c>
      <c r="S576">
        <f t="shared" si="52"/>
        <v>2023</v>
      </c>
      <c r="T576">
        <f t="shared" si="53"/>
        <v>9</v>
      </c>
    </row>
    <row r="577" spans="1:20" x14ac:dyDescent="0.25">
      <c r="A577" t="s">
        <v>873</v>
      </c>
      <c r="B577" t="s">
        <v>61</v>
      </c>
      <c r="C577" t="s">
        <v>251</v>
      </c>
      <c r="D577" s="1">
        <v>44632</v>
      </c>
      <c r="E577">
        <v>8</v>
      </c>
      <c r="F577">
        <v>21.432313406955199</v>
      </c>
      <c r="G577" s="1">
        <v>44649</v>
      </c>
      <c r="H577" s="1">
        <v>44651</v>
      </c>
      <c r="I577">
        <v>171.45850725564199</v>
      </c>
      <c r="J577">
        <f t="shared" si="48"/>
        <v>2</v>
      </c>
      <c r="K577" t="str">
        <f>VLOOKUP(B577,Raw_Suppliers!$A$2:$G$101,2,FALSE)</f>
        <v>Ultra Gamma LLC</v>
      </c>
      <c r="L577" t="str">
        <f>VLOOKUP(B577,Raw_Suppliers!$A$2:$G$101,3,FALSE)</f>
        <v>Canada</v>
      </c>
      <c r="M577" t="str">
        <f>VLOOKUP(B577,Raw_Suppliers!$A$2:$G$101,4,FALSE)</f>
        <v>North</v>
      </c>
      <c r="N577" t="str">
        <f>VLOOKUP(B577,Raw_Suppliers!$A$2:$G$101,6,FALSE)</f>
        <v>ISO 9001</v>
      </c>
      <c r="O577">
        <f>VLOOKUP(B577,Raw_Suppliers!$A$2:$G$101,7,FALSE)</f>
        <v>1</v>
      </c>
      <c r="P577" t="str">
        <f t="shared" si="49"/>
        <v>Yes</v>
      </c>
      <c r="Q577">
        <f t="shared" si="50"/>
        <v>0</v>
      </c>
      <c r="R577" t="str">
        <f t="shared" si="51"/>
        <v>Late</v>
      </c>
      <c r="S577">
        <f t="shared" si="52"/>
        <v>2022</v>
      </c>
      <c r="T577">
        <f t="shared" si="53"/>
        <v>3</v>
      </c>
    </row>
    <row r="578" spans="1:20" x14ac:dyDescent="0.25">
      <c r="A578" t="s">
        <v>874</v>
      </c>
      <c r="B578" t="s">
        <v>267</v>
      </c>
      <c r="C578" t="s">
        <v>344</v>
      </c>
      <c r="D578" s="1">
        <v>44492</v>
      </c>
      <c r="E578">
        <v>15</v>
      </c>
      <c r="F578">
        <v>76.950438303983404</v>
      </c>
      <c r="G578" s="1">
        <v>44504</v>
      </c>
      <c r="H578" s="1">
        <v>44510</v>
      </c>
      <c r="I578">
        <v>1154.2565745597501</v>
      </c>
      <c r="J578">
        <f t="shared" si="48"/>
        <v>6</v>
      </c>
      <c r="K578" t="str">
        <f>VLOOKUP(B578,Raw_Suppliers!$A$2:$G$101,2,FALSE)</f>
        <v>Omega Nova Corp</v>
      </c>
      <c r="L578" t="str">
        <f>VLOOKUP(B578,Raw_Suppliers!$A$2:$G$101,3,FALSE)</f>
        <v>India</v>
      </c>
      <c r="M578" t="str">
        <f>VLOOKUP(B578,Raw_Suppliers!$A$2:$G$101,4,FALSE)</f>
        <v>West</v>
      </c>
      <c r="N578" t="str">
        <f>VLOOKUP(B578,Raw_Suppliers!$A$2:$G$101,6,FALSE)</f>
        <v>ISO 45001</v>
      </c>
      <c r="O578">
        <f>VLOOKUP(B578,Raw_Suppliers!$A$2:$G$101,7,FALSE)</f>
        <v>0</v>
      </c>
      <c r="P578" t="str">
        <f t="shared" si="49"/>
        <v>No</v>
      </c>
      <c r="Q578">
        <f t="shared" si="50"/>
        <v>0</v>
      </c>
      <c r="R578" t="str">
        <f t="shared" si="51"/>
        <v>Late</v>
      </c>
      <c r="S578">
        <f t="shared" si="52"/>
        <v>2021</v>
      </c>
      <c r="T578">
        <f t="shared" si="53"/>
        <v>10</v>
      </c>
    </row>
    <row r="579" spans="1:20" x14ac:dyDescent="0.25">
      <c r="A579" t="s">
        <v>875</v>
      </c>
      <c r="B579" t="s">
        <v>157</v>
      </c>
      <c r="C579" t="s">
        <v>446</v>
      </c>
      <c r="D579" s="1">
        <v>44751</v>
      </c>
      <c r="E579">
        <v>12</v>
      </c>
      <c r="F579">
        <v>55.252846683942103</v>
      </c>
      <c r="G579" s="1">
        <v>44763</v>
      </c>
      <c r="H579" s="1">
        <v>44769</v>
      </c>
      <c r="I579">
        <v>663.03416020730594</v>
      </c>
      <c r="J579">
        <f t="shared" ref="J579:J642" si="54">H579-G579</f>
        <v>6</v>
      </c>
      <c r="K579" t="str">
        <f>VLOOKUP(B579,Raw_Suppliers!$A$2:$G$101,2,FALSE)</f>
        <v>Pioneer Omega Ltd</v>
      </c>
      <c r="L579" t="str">
        <f>VLOOKUP(B579,Raw_Suppliers!$A$2:$G$101,3,FALSE)</f>
        <v>Brazil</v>
      </c>
      <c r="M579" t="str">
        <f>VLOOKUP(B579,Raw_Suppliers!$A$2:$G$101,4,FALSE)</f>
        <v>East</v>
      </c>
      <c r="N579" t="str">
        <f>VLOOKUP(B579,Raw_Suppliers!$A$2:$G$101,6,FALSE)</f>
        <v>None</v>
      </c>
      <c r="O579">
        <f>VLOOKUP(B579,Raw_Suppliers!$A$2:$G$101,7,FALSE)</f>
        <v>0</v>
      </c>
      <c r="P579" t="str">
        <f t="shared" ref="P579:P642" si="55">IF(O579=1,"Yes","No")</f>
        <v>No</v>
      </c>
      <c r="Q579">
        <f t="shared" ref="Q579:Q642" si="56">IF(J579&lt;=0,1,0)</f>
        <v>0</v>
      </c>
      <c r="R579" t="str">
        <f t="shared" ref="R579:R642" si="57">IF(Q579=1,"On Time","Late")</f>
        <v>Late</v>
      </c>
      <c r="S579">
        <f t="shared" ref="S579:S642" si="58">YEAR(D579)</f>
        <v>2022</v>
      </c>
      <c r="T579">
        <f t="shared" ref="T579:T642" si="59">MONTH(D579)</f>
        <v>7</v>
      </c>
    </row>
    <row r="580" spans="1:20" x14ac:dyDescent="0.25">
      <c r="A580" t="s">
        <v>876</v>
      </c>
      <c r="B580" t="s">
        <v>247</v>
      </c>
      <c r="C580" t="s">
        <v>581</v>
      </c>
      <c r="D580" s="1">
        <v>44561</v>
      </c>
      <c r="E580">
        <v>11</v>
      </c>
      <c r="F580">
        <v>72.897932431633294</v>
      </c>
      <c r="G580" s="1">
        <v>44585</v>
      </c>
      <c r="H580" s="1">
        <v>44587</v>
      </c>
      <c r="I580">
        <v>801.87725674796695</v>
      </c>
      <c r="J580">
        <f t="shared" si="54"/>
        <v>2</v>
      </c>
      <c r="K580" t="str">
        <f>VLOOKUP(B580,Raw_Suppliers!$A$2:$G$101,2,FALSE)</f>
        <v>Ultra Apex LLC</v>
      </c>
      <c r="L580" t="str">
        <f>VLOOKUP(B580,Raw_Suppliers!$A$2:$G$101,3,FALSE)</f>
        <v>Germany</v>
      </c>
      <c r="M580" t="str">
        <f>VLOOKUP(B580,Raw_Suppliers!$A$2:$G$101,4,FALSE)</f>
        <v>West</v>
      </c>
      <c r="N580" t="str">
        <f>VLOOKUP(B580,Raw_Suppliers!$A$2:$G$101,6,FALSE)</f>
        <v>ISO 9001</v>
      </c>
      <c r="O580">
        <f>VLOOKUP(B580,Raw_Suppliers!$A$2:$G$101,7,FALSE)</f>
        <v>0</v>
      </c>
      <c r="P580" t="str">
        <f t="shared" si="55"/>
        <v>No</v>
      </c>
      <c r="Q580">
        <f t="shared" si="56"/>
        <v>0</v>
      </c>
      <c r="R580" t="str">
        <f t="shared" si="57"/>
        <v>Late</v>
      </c>
      <c r="S580">
        <f t="shared" si="58"/>
        <v>2021</v>
      </c>
      <c r="T580">
        <f t="shared" si="59"/>
        <v>12</v>
      </c>
    </row>
    <row r="581" spans="1:20" x14ac:dyDescent="0.25">
      <c r="A581" t="s">
        <v>877</v>
      </c>
      <c r="B581" t="s">
        <v>124</v>
      </c>
      <c r="C581" t="s">
        <v>77</v>
      </c>
      <c r="D581" s="1">
        <v>45087</v>
      </c>
      <c r="E581">
        <v>15</v>
      </c>
      <c r="F581">
        <v>68.248321922616796</v>
      </c>
      <c r="G581" s="1">
        <v>45107</v>
      </c>
      <c r="H581" s="1">
        <v>45107</v>
      </c>
      <c r="I581">
        <v>1023.72482883925</v>
      </c>
      <c r="J581">
        <f t="shared" si="54"/>
        <v>0</v>
      </c>
      <c r="K581" t="str">
        <f>VLOOKUP(B581,Raw_Suppliers!$A$2:$G$101,2,FALSE)</f>
        <v>Vertex Delta Inc</v>
      </c>
      <c r="L581" t="str">
        <f>VLOOKUP(B581,Raw_Suppliers!$A$2:$G$101,3,FALSE)</f>
        <v>Germany</v>
      </c>
      <c r="M581" t="str">
        <f>VLOOKUP(B581,Raw_Suppliers!$A$2:$G$101,4,FALSE)</f>
        <v>South</v>
      </c>
      <c r="N581" t="str">
        <f>VLOOKUP(B581,Raw_Suppliers!$A$2:$G$101,6,FALSE)</f>
        <v>ISO 9001</v>
      </c>
      <c r="O581">
        <f>VLOOKUP(B581,Raw_Suppliers!$A$2:$G$101,7,FALSE)</f>
        <v>0</v>
      </c>
      <c r="P581" t="str">
        <f t="shared" si="55"/>
        <v>No</v>
      </c>
      <c r="Q581">
        <f t="shared" si="56"/>
        <v>1</v>
      </c>
      <c r="R581" t="str">
        <f t="shared" si="57"/>
        <v>On Time</v>
      </c>
      <c r="S581">
        <f t="shared" si="58"/>
        <v>2023</v>
      </c>
      <c r="T581">
        <f t="shared" si="59"/>
        <v>6</v>
      </c>
    </row>
    <row r="582" spans="1:20" x14ac:dyDescent="0.25">
      <c r="A582" t="s">
        <v>878</v>
      </c>
      <c r="B582" t="s">
        <v>253</v>
      </c>
      <c r="C582" t="s">
        <v>336</v>
      </c>
      <c r="D582" s="1">
        <v>44987</v>
      </c>
      <c r="E582">
        <v>10</v>
      </c>
      <c r="F582">
        <v>12.426858633641</v>
      </c>
      <c r="G582" s="1">
        <v>45007</v>
      </c>
      <c r="H582" s="1">
        <v>45005</v>
      </c>
      <c r="I582">
        <v>124.26858633641</v>
      </c>
      <c r="J582">
        <f t="shared" si="54"/>
        <v>-2</v>
      </c>
      <c r="K582" t="str">
        <f>VLOOKUP(B582,Raw_Suppliers!$A$2:$G$101,2,FALSE)</f>
        <v>Vertex Apex Ltd</v>
      </c>
      <c r="L582" t="str">
        <f>VLOOKUP(B582,Raw_Suppliers!$A$2:$G$101,3,FALSE)</f>
        <v>Brazil</v>
      </c>
      <c r="M582" t="str">
        <f>VLOOKUP(B582,Raw_Suppliers!$A$2:$G$101,4,FALSE)</f>
        <v>South</v>
      </c>
      <c r="N582" t="str">
        <f>VLOOKUP(B582,Raw_Suppliers!$A$2:$G$101,6,FALSE)</f>
        <v>None</v>
      </c>
      <c r="O582">
        <f>VLOOKUP(B582,Raw_Suppliers!$A$2:$G$101,7,FALSE)</f>
        <v>1</v>
      </c>
      <c r="P582" t="str">
        <f t="shared" si="55"/>
        <v>Yes</v>
      </c>
      <c r="Q582">
        <f t="shared" si="56"/>
        <v>1</v>
      </c>
      <c r="R582" t="str">
        <f t="shared" si="57"/>
        <v>On Time</v>
      </c>
      <c r="S582">
        <f t="shared" si="58"/>
        <v>2023</v>
      </c>
      <c r="T582">
        <f t="shared" si="59"/>
        <v>3</v>
      </c>
    </row>
    <row r="583" spans="1:20" x14ac:dyDescent="0.25">
      <c r="A583" t="s">
        <v>879</v>
      </c>
      <c r="B583" t="s">
        <v>91</v>
      </c>
      <c r="C583" t="s">
        <v>691</v>
      </c>
      <c r="D583" s="1">
        <v>44460</v>
      </c>
      <c r="E583">
        <v>11</v>
      </c>
      <c r="F583">
        <v>13.029709030700401</v>
      </c>
      <c r="G583" s="1">
        <v>44479</v>
      </c>
      <c r="H583" s="1">
        <v>44477</v>
      </c>
      <c r="I583">
        <v>143.32679933770399</v>
      </c>
      <c r="J583">
        <f t="shared" si="54"/>
        <v>-2</v>
      </c>
      <c r="K583" t="str">
        <f>VLOOKUP(B583,Raw_Suppliers!$A$2:$G$101,2,FALSE)</f>
        <v>Apex Prime Ltd</v>
      </c>
      <c r="L583" t="str">
        <f>VLOOKUP(B583,Raw_Suppliers!$A$2:$G$101,3,FALSE)</f>
        <v>India</v>
      </c>
      <c r="M583" t="str">
        <f>VLOOKUP(B583,Raw_Suppliers!$A$2:$G$101,4,FALSE)</f>
        <v>South</v>
      </c>
      <c r="N583" t="str">
        <f>VLOOKUP(B583,Raw_Suppliers!$A$2:$G$101,6,FALSE)</f>
        <v>ISO 9001</v>
      </c>
      <c r="O583">
        <f>VLOOKUP(B583,Raw_Suppliers!$A$2:$G$101,7,FALSE)</f>
        <v>0</v>
      </c>
      <c r="P583" t="str">
        <f t="shared" si="55"/>
        <v>No</v>
      </c>
      <c r="Q583">
        <f t="shared" si="56"/>
        <v>1</v>
      </c>
      <c r="R583" t="str">
        <f t="shared" si="57"/>
        <v>On Time</v>
      </c>
      <c r="S583">
        <f t="shared" si="58"/>
        <v>2021</v>
      </c>
      <c r="T583">
        <f t="shared" si="59"/>
        <v>9</v>
      </c>
    </row>
    <row r="584" spans="1:20" x14ac:dyDescent="0.25">
      <c r="A584" t="s">
        <v>880</v>
      </c>
      <c r="B584" t="s">
        <v>242</v>
      </c>
      <c r="C584" t="s">
        <v>881</v>
      </c>
      <c r="D584" s="1">
        <v>44643</v>
      </c>
      <c r="E584">
        <v>11</v>
      </c>
      <c r="F584">
        <v>36.818308194581597</v>
      </c>
      <c r="G584" s="1">
        <v>44667</v>
      </c>
      <c r="H584" s="1">
        <v>44671</v>
      </c>
      <c r="I584">
        <v>405.00139014039701</v>
      </c>
      <c r="J584">
        <f t="shared" si="54"/>
        <v>4</v>
      </c>
      <c r="K584" t="str">
        <f>VLOOKUP(B584,Raw_Suppliers!$A$2:$G$101,2,FALSE)</f>
        <v>Omega Nova GmbH</v>
      </c>
      <c r="L584" t="str">
        <f>VLOOKUP(B584,Raw_Suppliers!$A$2:$G$101,3,FALSE)</f>
        <v>Denmark</v>
      </c>
      <c r="M584" t="str">
        <f>VLOOKUP(B584,Raw_Suppliers!$A$2:$G$101,4,FALSE)</f>
        <v>East</v>
      </c>
      <c r="N584" t="str">
        <f>VLOOKUP(B584,Raw_Suppliers!$A$2:$G$101,6,FALSE)</f>
        <v>ISO 45001</v>
      </c>
      <c r="O584">
        <f>VLOOKUP(B584,Raw_Suppliers!$A$2:$G$101,7,FALSE)</f>
        <v>0</v>
      </c>
      <c r="P584" t="str">
        <f t="shared" si="55"/>
        <v>No</v>
      </c>
      <c r="Q584">
        <f t="shared" si="56"/>
        <v>0</v>
      </c>
      <c r="R584" t="str">
        <f t="shared" si="57"/>
        <v>Late</v>
      </c>
      <c r="S584">
        <f t="shared" si="58"/>
        <v>2022</v>
      </c>
      <c r="T584">
        <f t="shared" si="59"/>
        <v>3</v>
      </c>
    </row>
    <row r="585" spans="1:20" x14ac:dyDescent="0.25">
      <c r="A585" t="s">
        <v>882</v>
      </c>
      <c r="B585" t="s">
        <v>79</v>
      </c>
      <c r="C585" t="s">
        <v>370</v>
      </c>
      <c r="D585" s="1">
        <v>44743</v>
      </c>
      <c r="E585">
        <v>11</v>
      </c>
      <c r="F585">
        <v>7.8558742183302899</v>
      </c>
      <c r="G585" s="1">
        <v>44758</v>
      </c>
      <c r="H585" s="1">
        <v>44761</v>
      </c>
      <c r="I585">
        <v>86.414616401633197</v>
      </c>
      <c r="J585">
        <f t="shared" si="54"/>
        <v>3</v>
      </c>
      <c r="K585" t="str">
        <f>VLOOKUP(B585,Raw_Suppliers!$A$2:$G$101,2,FALSE)</f>
        <v>Vertex Fusion Inc</v>
      </c>
      <c r="L585" t="str">
        <f>VLOOKUP(B585,Raw_Suppliers!$A$2:$G$101,3,FALSE)</f>
        <v>India</v>
      </c>
      <c r="M585" t="str">
        <f>VLOOKUP(B585,Raw_Suppliers!$A$2:$G$101,4,FALSE)</f>
        <v>Central</v>
      </c>
      <c r="N585" t="str">
        <f>VLOOKUP(B585,Raw_Suppliers!$A$2:$G$101,6,FALSE)</f>
        <v>ISO 9001</v>
      </c>
      <c r="O585">
        <f>VLOOKUP(B585,Raw_Suppliers!$A$2:$G$101,7,FALSE)</f>
        <v>0</v>
      </c>
      <c r="P585" t="str">
        <f t="shared" si="55"/>
        <v>No</v>
      </c>
      <c r="Q585">
        <f t="shared" si="56"/>
        <v>0</v>
      </c>
      <c r="R585" t="str">
        <f t="shared" si="57"/>
        <v>Late</v>
      </c>
      <c r="S585">
        <f t="shared" si="58"/>
        <v>2022</v>
      </c>
      <c r="T585">
        <f t="shared" si="59"/>
        <v>7</v>
      </c>
    </row>
    <row r="586" spans="1:20" x14ac:dyDescent="0.25">
      <c r="A586" t="s">
        <v>883</v>
      </c>
      <c r="B586" t="s">
        <v>31</v>
      </c>
      <c r="C586" t="s">
        <v>302</v>
      </c>
      <c r="D586" s="1">
        <v>44275</v>
      </c>
      <c r="E586">
        <v>12</v>
      </c>
      <c r="F586">
        <v>37.755997190417702</v>
      </c>
      <c r="G586" s="1">
        <v>44291</v>
      </c>
      <c r="H586" s="1">
        <v>44294</v>
      </c>
      <c r="I586">
        <v>453.07196628501299</v>
      </c>
      <c r="J586">
        <f t="shared" si="54"/>
        <v>3</v>
      </c>
      <c r="K586" t="str">
        <f>VLOOKUP(B586,Raw_Suppliers!$A$2:$G$101,2,FALSE)</f>
        <v>Nova Nano GmbH</v>
      </c>
      <c r="L586" t="str">
        <f>VLOOKUP(B586,Raw_Suppliers!$A$2:$G$101,3,FALSE)</f>
        <v>Denmark</v>
      </c>
      <c r="M586" t="str">
        <f>VLOOKUP(B586,Raw_Suppliers!$A$2:$G$101,4,FALSE)</f>
        <v>South</v>
      </c>
      <c r="N586" t="str">
        <f>VLOOKUP(B586,Raw_Suppliers!$A$2:$G$101,6,FALSE)</f>
        <v>ISO 14001</v>
      </c>
      <c r="O586">
        <f>VLOOKUP(B586,Raw_Suppliers!$A$2:$G$101,7,FALSE)</f>
        <v>1</v>
      </c>
      <c r="P586" t="str">
        <f t="shared" si="55"/>
        <v>Yes</v>
      </c>
      <c r="Q586">
        <f t="shared" si="56"/>
        <v>0</v>
      </c>
      <c r="R586" t="str">
        <f t="shared" si="57"/>
        <v>Late</v>
      </c>
      <c r="S586">
        <f t="shared" si="58"/>
        <v>2021</v>
      </c>
      <c r="T586">
        <f t="shared" si="59"/>
        <v>3</v>
      </c>
    </row>
    <row r="587" spans="1:20" x14ac:dyDescent="0.25">
      <c r="A587" t="s">
        <v>884</v>
      </c>
      <c r="B587" t="s">
        <v>109</v>
      </c>
      <c r="C587" t="s">
        <v>312</v>
      </c>
      <c r="D587" s="1">
        <v>45347</v>
      </c>
      <c r="E587">
        <v>12</v>
      </c>
      <c r="F587">
        <v>31.1159658719465</v>
      </c>
      <c r="G587" s="1">
        <v>45369</v>
      </c>
      <c r="H587" s="1">
        <v>45368</v>
      </c>
      <c r="I587">
        <v>373.391590463358</v>
      </c>
      <c r="J587">
        <f t="shared" si="54"/>
        <v>-1</v>
      </c>
      <c r="K587" t="str">
        <f>VLOOKUP(B587,Raw_Suppliers!$A$2:$G$101,2,FALSE)</f>
        <v>Nano Fusion GmbH</v>
      </c>
      <c r="L587" t="str">
        <f>VLOOKUP(B587,Raw_Suppliers!$A$2:$G$101,3,FALSE)</f>
        <v>Denmark</v>
      </c>
      <c r="M587" t="str">
        <f>VLOOKUP(B587,Raw_Suppliers!$A$2:$G$101,4,FALSE)</f>
        <v>North</v>
      </c>
      <c r="N587" t="str">
        <f>VLOOKUP(B587,Raw_Suppliers!$A$2:$G$101,6,FALSE)</f>
        <v>ISO 9001</v>
      </c>
      <c r="O587">
        <f>VLOOKUP(B587,Raw_Suppliers!$A$2:$G$101,7,FALSE)</f>
        <v>0</v>
      </c>
      <c r="P587" t="str">
        <f t="shared" si="55"/>
        <v>No</v>
      </c>
      <c r="Q587">
        <f t="shared" si="56"/>
        <v>1</v>
      </c>
      <c r="R587" t="str">
        <f t="shared" si="57"/>
        <v>On Time</v>
      </c>
      <c r="S587">
        <f t="shared" si="58"/>
        <v>2024</v>
      </c>
      <c r="T587">
        <f t="shared" si="59"/>
        <v>2</v>
      </c>
    </row>
    <row r="588" spans="1:20" x14ac:dyDescent="0.25">
      <c r="A588" t="s">
        <v>885</v>
      </c>
      <c r="B588" t="s">
        <v>154</v>
      </c>
      <c r="C588" t="s">
        <v>190</v>
      </c>
      <c r="D588" s="1">
        <v>44576</v>
      </c>
      <c r="E588">
        <v>8</v>
      </c>
      <c r="F588">
        <v>13.863059640127901</v>
      </c>
      <c r="G588" s="1">
        <v>44594</v>
      </c>
      <c r="H588" s="1">
        <v>44591</v>
      </c>
      <c r="I588">
        <v>110.90447712102301</v>
      </c>
      <c r="J588">
        <f t="shared" si="54"/>
        <v>-3</v>
      </c>
      <c r="K588" t="str">
        <f>VLOOKUP(B588,Raw_Suppliers!$A$2:$G$101,2,FALSE)</f>
        <v>Apex Ultra Ltd</v>
      </c>
      <c r="L588" t="str">
        <f>VLOOKUP(B588,Raw_Suppliers!$A$2:$G$101,3,FALSE)</f>
        <v>Canada</v>
      </c>
      <c r="M588" t="str">
        <f>VLOOKUP(B588,Raw_Suppliers!$A$2:$G$101,4,FALSE)</f>
        <v>West</v>
      </c>
      <c r="N588" t="str">
        <f>VLOOKUP(B588,Raw_Suppliers!$A$2:$G$101,6,FALSE)</f>
        <v>None</v>
      </c>
      <c r="O588">
        <f>VLOOKUP(B588,Raw_Suppliers!$A$2:$G$101,7,FALSE)</f>
        <v>1</v>
      </c>
      <c r="P588" t="str">
        <f t="shared" si="55"/>
        <v>Yes</v>
      </c>
      <c r="Q588">
        <f t="shared" si="56"/>
        <v>1</v>
      </c>
      <c r="R588" t="str">
        <f t="shared" si="57"/>
        <v>On Time</v>
      </c>
      <c r="S588">
        <f t="shared" si="58"/>
        <v>2022</v>
      </c>
      <c r="T588">
        <f t="shared" si="59"/>
        <v>1</v>
      </c>
    </row>
    <row r="589" spans="1:20" x14ac:dyDescent="0.25">
      <c r="A589" t="s">
        <v>886</v>
      </c>
      <c r="B589" t="s">
        <v>194</v>
      </c>
      <c r="C589" t="s">
        <v>184</v>
      </c>
      <c r="D589" s="1">
        <v>45234</v>
      </c>
      <c r="E589">
        <v>12</v>
      </c>
      <c r="F589">
        <v>66.712904690513994</v>
      </c>
      <c r="G589" s="1">
        <v>45245</v>
      </c>
      <c r="H589" s="1">
        <v>45246</v>
      </c>
      <c r="I589">
        <v>800.55485628616702</v>
      </c>
      <c r="J589">
        <f t="shared" si="54"/>
        <v>1</v>
      </c>
      <c r="K589" t="str">
        <f>VLOOKUP(B589,Raw_Suppliers!$A$2:$G$101,2,FALSE)</f>
        <v>Eco Pioneer Corp</v>
      </c>
      <c r="L589" t="str">
        <f>VLOOKUP(B589,Raw_Suppliers!$A$2:$G$101,3,FALSE)</f>
        <v>China</v>
      </c>
      <c r="M589" t="str">
        <f>VLOOKUP(B589,Raw_Suppliers!$A$2:$G$101,4,FALSE)</f>
        <v>East</v>
      </c>
      <c r="N589" t="str">
        <f>VLOOKUP(B589,Raw_Suppliers!$A$2:$G$101,6,FALSE)</f>
        <v>ISO 14001</v>
      </c>
      <c r="O589">
        <f>VLOOKUP(B589,Raw_Suppliers!$A$2:$G$101,7,FALSE)</f>
        <v>1</v>
      </c>
      <c r="P589" t="str">
        <f t="shared" si="55"/>
        <v>Yes</v>
      </c>
      <c r="Q589">
        <f t="shared" si="56"/>
        <v>0</v>
      </c>
      <c r="R589" t="str">
        <f t="shared" si="57"/>
        <v>Late</v>
      </c>
      <c r="S589">
        <f t="shared" si="58"/>
        <v>2023</v>
      </c>
      <c r="T589">
        <f t="shared" si="59"/>
        <v>11</v>
      </c>
    </row>
    <row r="590" spans="1:20" x14ac:dyDescent="0.25">
      <c r="A590" t="s">
        <v>887</v>
      </c>
      <c r="B590" t="s">
        <v>121</v>
      </c>
      <c r="C590" t="s">
        <v>184</v>
      </c>
      <c r="D590" s="1">
        <v>45274</v>
      </c>
      <c r="E590">
        <v>18</v>
      </c>
      <c r="F590">
        <v>60.269750339739197</v>
      </c>
      <c r="G590" s="1">
        <v>45298</v>
      </c>
      <c r="H590" s="1">
        <v>45304</v>
      </c>
      <c r="I590">
        <v>1084.8555061152999</v>
      </c>
      <c r="J590">
        <f t="shared" si="54"/>
        <v>6</v>
      </c>
      <c r="K590" t="str">
        <f>VLOOKUP(B590,Raw_Suppliers!$A$2:$G$101,2,FALSE)</f>
        <v>Vertex Vertex Inc</v>
      </c>
      <c r="L590" t="str">
        <f>VLOOKUP(B590,Raw_Suppliers!$A$2:$G$101,3,FALSE)</f>
        <v>USA</v>
      </c>
      <c r="M590" t="str">
        <f>VLOOKUP(B590,Raw_Suppliers!$A$2:$G$101,4,FALSE)</f>
        <v>West</v>
      </c>
      <c r="N590" t="str">
        <f>VLOOKUP(B590,Raw_Suppliers!$A$2:$G$101,6,FALSE)</f>
        <v>None</v>
      </c>
      <c r="O590">
        <f>VLOOKUP(B590,Raw_Suppliers!$A$2:$G$101,7,FALSE)</f>
        <v>0</v>
      </c>
      <c r="P590" t="str">
        <f t="shared" si="55"/>
        <v>No</v>
      </c>
      <c r="Q590">
        <f t="shared" si="56"/>
        <v>0</v>
      </c>
      <c r="R590" t="str">
        <f t="shared" si="57"/>
        <v>Late</v>
      </c>
      <c r="S590">
        <f t="shared" si="58"/>
        <v>2023</v>
      </c>
      <c r="T590">
        <f t="shared" si="59"/>
        <v>12</v>
      </c>
    </row>
    <row r="591" spans="1:20" x14ac:dyDescent="0.25">
      <c r="A591" t="s">
        <v>888</v>
      </c>
      <c r="B591" t="s">
        <v>186</v>
      </c>
      <c r="C591" t="s">
        <v>795</v>
      </c>
      <c r="D591" s="1">
        <v>45315</v>
      </c>
      <c r="E591">
        <v>9</v>
      </c>
      <c r="F591">
        <v>55.838172931035999</v>
      </c>
      <c r="G591" s="1">
        <v>45335</v>
      </c>
      <c r="H591" s="1">
        <v>45340</v>
      </c>
      <c r="I591">
        <v>502.543556379324</v>
      </c>
      <c r="J591">
        <f t="shared" si="54"/>
        <v>5</v>
      </c>
      <c r="K591" t="str">
        <f>VLOOKUP(B591,Raw_Suppliers!$A$2:$G$101,2,FALSE)</f>
        <v>Omega Vertex Inc</v>
      </c>
      <c r="L591" t="str">
        <f>VLOOKUP(B591,Raw_Suppliers!$A$2:$G$101,3,FALSE)</f>
        <v>China</v>
      </c>
      <c r="M591" t="str">
        <f>VLOOKUP(B591,Raw_Suppliers!$A$2:$G$101,4,FALSE)</f>
        <v>West</v>
      </c>
      <c r="N591" t="str">
        <f>VLOOKUP(B591,Raw_Suppliers!$A$2:$G$101,6,FALSE)</f>
        <v>ISO 14001</v>
      </c>
      <c r="O591">
        <f>VLOOKUP(B591,Raw_Suppliers!$A$2:$G$101,7,FALSE)</f>
        <v>1</v>
      </c>
      <c r="P591" t="str">
        <f t="shared" si="55"/>
        <v>Yes</v>
      </c>
      <c r="Q591">
        <f t="shared" si="56"/>
        <v>0</v>
      </c>
      <c r="R591" t="str">
        <f t="shared" si="57"/>
        <v>Late</v>
      </c>
      <c r="S591">
        <f t="shared" si="58"/>
        <v>2024</v>
      </c>
      <c r="T591">
        <f t="shared" si="59"/>
        <v>1</v>
      </c>
    </row>
    <row r="592" spans="1:20" x14ac:dyDescent="0.25">
      <c r="A592" t="s">
        <v>889</v>
      </c>
      <c r="B592" t="s">
        <v>472</v>
      </c>
      <c r="C592" t="s">
        <v>462</v>
      </c>
      <c r="D592" s="1">
        <v>44762</v>
      </c>
      <c r="E592">
        <v>13</v>
      </c>
      <c r="F592">
        <v>27.682277550725999</v>
      </c>
      <c r="G592" s="1">
        <v>44774</v>
      </c>
      <c r="H592" s="1">
        <v>44780</v>
      </c>
      <c r="I592">
        <v>359.86960815943797</v>
      </c>
      <c r="J592">
        <f t="shared" si="54"/>
        <v>6</v>
      </c>
      <c r="K592" t="str">
        <f>VLOOKUP(B592,Raw_Suppliers!$A$2:$G$101,2,FALSE)</f>
        <v>Pioneer Alpha Corp</v>
      </c>
      <c r="L592" t="str">
        <f>VLOOKUP(B592,Raw_Suppliers!$A$2:$G$101,3,FALSE)</f>
        <v>Canada</v>
      </c>
      <c r="M592" t="str">
        <f>VLOOKUP(B592,Raw_Suppliers!$A$2:$G$101,4,FALSE)</f>
        <v>North</v>
      </c>
      <c r="N592" t="str">
        <f>VLOOKUP(B592,Raw_Suppliers!$A$2:$G$101,6,FALSE)</f>
        <v>None</v>
      </c>
      <c r="O592">
        <f>VLOOKUP(B592,Raw_Suppliers!$A$2:$G$101,7,FALSE)</f>
        <v>1</v>
      </c>
      <c r="P592" t="str">
        <f t="shared" si="55"/>
        <v>Yes</v>
      </c>
      <c r="Q592">
        <f t="shared" si="56"/>
        <v>0</v>
      </c>
      <c r="R592" t="str">
        <f t="shared" si="57"/>
        <v>Late</v>
      </c>
      <c r="S592">
        <f t="shared" si="58"/>
        <v>2022</v>
      </c>
      <c r="T592">
        <f t="shared" si="59"/>
        <v>7</v>
      </c>
    </row>
    <row r="593" spans="1:20" x14ac:dyDescent="0.25">
      <c r="A593" t="s">
        <v>890</v>
      </c>
      <c r="B593" t="s">
        <v>179</v>
      </c>
      <c r="C593" t="s">
        <v>281</v>
      </c>
      <c r="D593" s="1">
        <v>44622</v>
      </c>
      <c r="E593">
        <v>9</v>
      </c>
      <c r="F593">
        <v>52.088794943255998</v>
      </c>
      <c r="G593" s="1">
        <v>44635</v>
      </c>
      <c r="H593" s="1">
        <v>44641</v>
      </c>
      <c r="I593">
        <v>468.79915448930399</v>
      </c>
      <c r="J593">
        <f t="shared" si="54"/>
        <v>6</v>
      </c>
      <c r="K593" t="str">
        <f>VLOOKUP(B593,Raw_Suppliers!$A$2:$G$101,2,FALSE)</f>
        <v>Nova Gamma Ltd</v>
      </c>
      <c r="L593" t="str">
        <f>VLOOKUP(B593,Raw_Suppliers!$A$2:$G$101,3,FALSE)</f>
        <v>Denmark</v>
      </c>
      <c r="M593" t="str">
        <f>VLOOKUP(B593,Raw_Suppliers!$A$2:$G$101,4,FALSE)</f>
        <v>East</v>
      </c>
      <c r="N593" t="str">
        <f>VLOOKUP(B593,Raw_Suppliers!$A$2:$G$101,6,FALSE)</f>
        <v>ISO 9001</v>
      </c>
      <c r="O593">
        <f>VLOOKUP(B593,Raw_Suppliers!$A$2:$G$101,7,FALSE)</f>
        <v>0</v>
      </c>
      <c r="P593" t="str">
        <f t="shared" si="55"/>
        <v>No</v>
      </c>
      <c r="Q593">
        <f t="shared" si="56"/>
        <v>0</v>
      </c>
      <c r="R593" t="str">
        <f t="shared" si="57"/>
        <v>Late</v>
      </c>
      <c r="S593">
        <f t="shared" si="58"/>
        <v>2022</v>
      </c>
      <c r="T593">
        <f t="shared" si="59"/>
        <v>3</v>
      </c>
    </row>
    <row r="594" spans="1:20" x14ac:dyDescent="0.25">
      <c r="A594" t="s">
        <v>891</v>
      </c>
      <c r="B594" t="s">
        <v>169</v>
      </c>
      <c r="C594" t="s">
        <v>408</v>
      </c>
      <c r="D594" s="1">
        <v>44412</v>
      </c>
      <c r="E594">
        <v>11</v>
      </c>
      <c r="F594">
        <v>13.9910411486869</v>
      </c>
      <c r="G594" s="1">
        <v>44429</v>
      </c>
      <c r="H594" s="1">
        <v>44428</v>
      </c>
      <c r="I594">
        <v>153.90145263555601</v>
      </c>
      <c r="J594">
        <f t="shared" si="54"/>
        <v>-1</v>
      </c>
      <c r="K594" t="str">
        <f>VLOOKUP(B594,Raw_Suppliers!$A$2:$G$101,2,FALSE)</f>
        <v>Vertex Beta LLC</v>
      </c>
      <c r="L594" t="str">
        <f>VLOOKUP(B594,Raw_Suppliers!$A$2:$G$101,3,FALSE)</f>
        <v>China</v>
      </c>
      <c r="M594" t="str">
        <f>VLOOKUP(B594,Raw_Suppliers!$A$2:$G$101,4,FALSE)</f>
        <v>South</v>
      </c>
      <c r="N594" t="str">
        <f>VLOOKUP(B594,Raw_Suppliers!$A$2:$G$101,6,FALSE)</f>
        <v>ISO 14001</v>
      </c>
      <c r="O594">
        <f>VLOOKUP(B594,Raw_Suppliers!$A$2:$G$101,7,FALSE)</f>
        <v>0</v>
      </c>
      <c r="P594" t="str">
        <f t="shared" si="55"/>
        <v>No</v>
      </c>
      <c r="Q594">
        <f t="shared" si="56"/>
        <v>1</v>
      </c>
      <c r="R594" t="str">
        <f t="shared" si="57"/>
        <v>On Time</v>
      </c>
      <c r="S594">
        <f t="shared" si="58"/>
        <v>2021</v>
      </c>
      <c r="T594">
        <f t="shared" si="59"/>
        <v>8</v>
      </c>
    </row>
    <row r="595" spans="1:20" x14ac:dyDescent="0.25">
      <c r="A595" t="s">
        <v>892</v>
      </c>
      <c r="B595" t="s">
        <v>19</v>
      </c>
      <c r="C595" t="s">
        <v>341</v>
      </c>
      <c r="D595" s="1">
        <v>45084</v>
      </c>
      <c r="E595">
        <v>12</v>
      </c>
      <c r="F595">
        <v>68.125441736821799</v>
      </c>
      <c r="G595" s="1">
        <v>45097</v>
      </c>
      <c r="H595" s="1">
        <v>45094</v>
      </c>
      <c r="I595">
        <v>817.50530084186096</v>
      </c>
      <c r="J595">
        <f t="shared" si="54"/>
        <v>-3</v>
      </c>
      <c r="K595" t="str">
        <f>VLOOKUP(B595,Raw_Suppliers!$A$2:$G$101,2,FALSE)</f>
        <v>Nova Beta Corp</v>
      </c>
      <c r="L595" t="str">
        <f>VLOOKUP(B595,Raw_Suppliers!$A$2:$G$101,3,FALSE)</f>
        <v>Brazil</v>
      </c>
      <c r="M595" t="str">
        <f>VLOOKUP(B595,Raw_Suppliers!$A$2:$G$101,4,FALSE)</f>
        <v>South</v>
      </c>
      <c r="N595" t="str">
        <f>VLOOKUP(B595,Raw_Suppliers!$A$2:$G$101,6,FALSE)</f>
        <v>ISO 14001</v>
      </c>
      <c r="O595">
        <f>VLOOKUP(B595,Raw_Suppliers!$A$2:$G$101,7,FALSE)</f>
        <v>1</v>
      </c>
      <c r="P595" t="str">
        <f t="shared" si="55"/>
        <v>Yes</v>
      </c>
      <c r="Q595">
        <f t="shared" si="56"/>
        <v>1</v>
      </c>
      <c r="R595" t="str">
        <f t="shared" si="57"/>
        <v>On Time</v>
      </c>
      <c r="S595">
        <f t="shared" si="58"/>
        <v>2023</v>
      </c>
      <c r="T595">
        <f t="shared" si="59"/>
        <v>6</v>
      </c>
    </row>
    <row r="596" spans="1:20" x14ac:dyDescent="0.25">
      <c r="A596" t="s">
        <v>893</v>
      </c>
      <c r="B596" t="s">
        <v>22</v>
      </c>
      <c r="C596" t="s">
        <v>214</v>
      </c>
      <c r="D596" s="1">
        <v>45252</v>
      </c>
      <c r="E596">
        <v>18</v>
      </c>
      <c r="F596">
        <v>16.590298336726701</v>
      </c>
      <c r="G596" s="1">
        <v>45268</v>
      </c>
      <c r="H596" s="1">
        <v>45266</v>
      </c>
      <c r="I596">
        <v>298.62537006108101</v>
      </c>
      <c r="J596">
        <f t="shared" si="54"/>
        <v>-2</v>
      </c>
      <c r="K596" t="str">
        <f>VLOOKUP(B596,Raw_Suppliers!$A$2:$G$101,2,FALSE)</f>
        <v>Delta Gamma Corp</v>
      </c>
      <c r="L596" t="str">
        <f>VLOOKUP(B596,Raw_Suppliers!$A$2:$G$101,3,FALSE)</f>
        <v>Denmark</v>
      </c>
      <c r="M596" t="str">
        <f>VLOOKUP(B596,Raw_Suppliers!$A$2:$G$101,4,FALSE)</f>
        <v>West</v>
      </c>
      <c r="N596" t="str">
        <f>VLOOKUP(B596,Raw_Suppliers!$A$2:$G$101,6,FALSE)</f>
        <v>ISO 45001</v>
      </c>
      <c r="O596">
        <f>VLOOKUP(B596,Raw_Suppliers!$A$2:$G$101,7,FALSE)</f>
        <v>1</v>
      </c>
      <c r="P596" t="str">
        <f t="shared" si="55"/>
        <v>Yes</v>
      </c>
      <c r="Q596">
        <f t="shared" si="56"/>
        <v>1</v>
      </c>
      <c r="R596" t="str">
        <f t="shared" si="57"/>
        <v>On Time</v>
      </c>
      <c r="S596">
        <f t="shared" si="58"/>
        <v>2023</v>
      </c>
      <c r="T596">
        <f t="shared" si="59"/>
        <v>11</v>
      </c>
    </row>
    <row r="597" spans="1:20" x14ac:dyDescent="0.25">
      <c r="A597" t="s">
        <v>894</v>
      </c>
      <c r="B597" t="s">
        <v>13</v>
      </c>
      <c r="C597" t="s">
        <v>161</v>
      </c>
      <c r="D597" s="1">
        <v>44355</v>
      </c>
      <c r="E597">
        <v>14</v>
      </c>
      <c r="F597">
        <v>37.701849422149998</v>
      </c>
      <c r="G597" s="1">
        <v>44372</v>
      </c>
      <c r="H597" s="1">
        <v>44375</v>
      </c>
      <c r="I597">
        <v>527.82589191010004</v>
      </c>
      <c r="J597">
        <f t="shared" si="54"/>
        <v>3</v>
      </c>
      <c r="K597" t="str">
        <f>VLOOKUP(B597,Raw_Suppliers!$A$2:$G$101,2,FALSE)</f>
        <v>Beta Delta LLC</v>
      </c>
      <c r="L597" t="str">
        <f>VLOOKUP(B597,Raw_Suppliers!$A$2:$G$101,3,FALSE)</f>
        <v>Germany</v>
      </c>
      <c r="M597" t="str">
        <f>VLOOKUP(B597,Raw_Suppliers!$A$2:$G$101,4,FALSE)</f>
        <v>Central</v>
      </c>
      <c r="N597" t="str">
        <f>VLOOKUP(B597,Raw_Suppliers!$A$2:$G$101,6,FALSE)</f>
        <v>ISO 9001</v>
      </c>
      <c r="O597">
        <f>VLOOKUP(B597,Raw_Suppliers!$A$2:$G$101,7,FALSE)</f>
        <v>1</v>
      </c>
      <c r="P597" t="str">
        <f t="shared" si="55"/>
        <v>Yes</v>
      </c>
      <c r="Q597">
        <f t="shared" si="56"/>
        <v>0</v>
      </c>
      <c r="R597" t="str">
        <f t="shared" si="57"/>
        <v>Late</v>
      </c>
      <c r="S597">
        <f t="shared" si="58"/>
        <v>2021</v>
      </c>
      <c r="T597">
        <f t="shared" si="59"/>
        <v>6</v>
      </c>
    </row>
    <row r="598" spans="1:20" x14ac:dyDescent="0.25">
      <c r="A598" t="s">
        <v>895</v>
      </c>
      <c r="B598" t="s">
        <v>617</v>
      </c>
      <c r="C598" t="s">
        <v>434</v>
      </c>
      <c r="D598" s="1">
        <v>44974</v>
      </c>
      <c r="E598">
        <v>7</v>
      </c>
      <c r="F598">
        <v>18.617803210227699</v>
      </c>
      <c r="G598" s="1">
        <v>44986</v>
      </c>
      <c r="H598" s="1">
        <v>44986</v>
      </c>
      <c r="I598">
        <v>130.32462247159401</v>
      </c>
      <c r="J598">
        <f t="shared" si="54"/>
        <v>0</v>
      </c>
      <c r="K598" t="str">
        <f>VLOOKUP(B598,Raw_Suppliers!$A$2:$G$101,2,FALSE)</f>
        <v>Eco Vertex Ltd</v>
      </c>
      <c r="L598" t="str">
        <f>VLOOKUP(B598,Raw_Suppliers!$A$2:$G$101,3,FALSE)</f>
        <v>UK</v>
      </c>
      <c r="M598" t="str">
        <f>VLOOKUP(B598,Raw_Suppliers!$A$2:$G$101,4,FALSE)</f>
        <v>Central</v>
      </c>
      <c r="N598" t="str">
        <f>VLOOKUP(B598,Raw_Suppliers!$A$2:$G$101,6,FALSE)</f>
        <v>None</v>
      </c>
      <c r="O598">
        <f>VLOOKUP(B598,Raw_Suppliers!$A$2:$G$101,7,FALSE)</f>
        <v>0</v>
      </c>
      <c r="P598" t="str">
        <f t="shared" si="55"/>
        <v>No</v>
      </c>
      <c r="Q598">
        <f t="shared" si="56"/>
        <v>1</v>
      </c>
      <c r="R598" t="str">
        <f t="shared" si="57"/>
        <v>On Time</v>
      </c>
      <c r="S598">
        <f t="shared" si="58"/>
        <v>2023</v>
      </c>
      <c r="T598">
        <f t="shared" si="59"/>
        <v>2</v>
      </c>
    </row>
    <row r="599" spans="1:20" x14ac:dyDescent="0.25">
      <c r="A599" t="s">
        <v>896</v>
      </c>
      <c r="B599" t="s">
        <v>61</v>
      </c>
      <c r="C599" t="s">
        <v>94</v>
      </c>
      <c r="D599" s="1">
        <v>45202</v>
      </c>
      <c r="E599">
        <v>12</v>
      </c>
      <c r="F599">
        <v>68.034730014945794</v>
      </c>
      <c r="G599" s="1">
        <v>45221</v>
      </c>
      <c r="H599" s="1">
        <v>45221</v>
      </c>
      <c r="I599">
        <v>816.41676017934901</v>
      </c>
      <c r="J599">
        <f t="shared" si="54"/>
        <v>0</v>
      </c>
      <c r="K599" t="str">
        <f>VLOOKUP(B599,Raw_Suppliers!$A$2:$G$101,2,FALSE)</f>
        <v>Ultra Gamma LLC</v>
      </c>
      <c r="L599" t="str">
        <f>VLOOKUP(B599,Raw_Suppliers!$A$2:$G$101,3,FALSE)</f>
        <v>Canada</v>
      </c>
      <c r="M599" t="str">
        <f>VLOOKUP(B599,Raw_Suppliers!$A$2:$G$101,4,FALSE)</f>
        <v>North</v>
      </c>
      <c r="N599" t="str">
        <f>VLOOKUP(B599,Raw_Suppliers!$A$2:$G$101,6,FALSE)</f>
        <v>ISO 9001</v>
      </c>
      <c r="O599">
        <f>VLOOKUP(B599,Raw_Suppliers!$A$2:$G$101,7,FALSE)</f>
        <v>1</v>
      </c>
      <c r="P599" t="str">
        <f t="shared" si="55"/>
        <v>Yes</v>
      </c>
      <c r="Q599">
        <f t="shared" si="56"/>
        <v>1</v>
      </c>
      <c r="R599" t="str">
        <f t="shared" si="57"/>
        <v>On Time</v>
      </c>
      <c r="S599">
        <f t="shared" si="58"/>
        <v>2023</v>
      </c>
      <c r="T599">
        <f t="shared" si="59"/>
        <v>10</v>
      </c>
    </row>
    <row r="600" spans="1:20" x14ac:dyDescent="0.25">
      <c r="A600" t="s">
        <v>897</v>
      </c>
      <c r="B600" t="s">
        <v>46</v>
      </c>
      <c r="C600" t="s">
        <v>589</v>
      </c>
      <c r="D600" s="1">
        <v>45334</v>
      </c>
      <c r="E600">
        <v>6</v>
      </c>
      <c r="F600">
        <v>45.930931092778799</v>
      </c>
      <c r="G600" s="1">
        <v>45345</v>
      </c>
      <c r="H600" s="1">
        <v>45350</v>
      </c>
      <c r="I600">
        <v>275.58558655667298</v>
      </c>
      <c r="J600">
        <f t="shared" si="54"/>
        <v>5</v>
      </c>
      <c r="K600" t="str">
        <f>VLOOKUP(B600,Raw_Suppliers!$A$2:$G$101,2,FALSE)</f>
        <v>Prime Prime Inc</v>
      </c>
      <c r="L600" t="str">
        <f>VLOOKUP(B600,Raw_Suppliers!$A$2:$G$101,3,FALSE)</f>
        <v>UK</v>
      </c>
      <c r="M600" t="str">
        <f>VLOOKUP(B600,Raw_Suppliers!$A$2:$G$101,4,FALSE)</f>
        <v>South</v>
      </c>
      <c r="N600" t="str">
        <f>VLOOKUP(B600,Raw_Suppliers!$A$2:$G$101,6,FALSE)</f>
        <v>None</v>
      </c>
      <c r="O600">
        <f>VLOOKUP(B600,Raw_Suppliers!$A$2:$G$101,7,FALSE)</f>
        <v>1</v>
      </c>
      <c r="P600" t="str">
        <f t="shared" si="55"/>
        <v>Yes</v>
      </c>
      <c r="Q600">
        <f t="shared" si="56"/>
        <v>0</v>
      </c>
      <c r="R600" t="str">
        <f t="shared" si="57"/>
        <v>Late</v>
      </c>
      <c r="S600">
        <f t="shared" si="58"/>
        <v>2024</v>
      </c>
      <c r="T600">
        <f t="shared" si="59"/>
        <v>2</v>
      </c>
    </row>
    <row r="601" spans="1:20" x14ac:dyDescent="0.25">
      <c r="A601" t="s">
        <v>898</v>
      </c>
      <c r="B601" t="s">
        <v>267</v>
      </c>
      <c r="C601" t="s">
        <v>899</v>
      </c>
      <c r="D601" s="1">
        <v>44619</v>
      </c>
      <c r="E601">
        <v>8</v>
      </c>
      <c r="F601">
        <v>70.517949976877702</v>
      </c>
      <c r="G601" s="1">
        <v>44631</v>
      </c>
      <c r="H601" s="1">
        <v>44636</v>
      </c>
      <c r="I601">
        <v>564.14359981502105</v>
      </c>
      <c r="J601">
        <f t="shared" si="54"/>
        <v>5</v>
      </c>
      <c r="K601" t="str">
        <f>VLOOKUP(B601,Raw_Suppliers!$A$2:$G$101,2,FALSE)</f>
        <v>Omega Nova Corp</v>
      </c>
      <c r="L601" t="str">
        <f>VLOOKUP(B601,Raw_Suppliers!$A$2:$G$101,3,FALSE)</f>
        <v>India</v>
      </c>
      <c r="M601" t="str">
        <f>VLOOKUP(B601,Raw_Suppliers!$A$2:$G$101,4,FALSE)</f>
        <v>West</v>
      </c>
      <c r="N601" t="str">
        <f>VLOOKUP(B601,Raw_Suppliers!$A$2:$G$101,6,FALSE)</f>
        <v>ISO 45001</v>
      </c>
      <c r="O601">
        <f>VLOOKUP(B601,Raw_Suppliers!$A$2:$G$101,7,FALSE)</f>
        <v>0</v>
      </c>
      <c r="P601" t="str">
        <f t="shared" si="55"/>
        <v>No</v>
      </c>
      <c r="Q601">
        <f t="shared" si="56"/>
        <v>0</v>
      </c>
      <c r="R601" t="str">
        <f t="shared" si="57"/>
        <v>Late</v>
      </c>
      <c r="S601">
        <f t="shared" si="58"/>
        <v>2022</v>
      </c>
      <c r="T601">
        <f t="shared" si="59"/>
        <v>2</v>
      </c>
    </row>
    <row r="602" spans="1:20" x14ac:dyDescent="0.25">
      <c r="A602" t="s">
        <v>900</v>
      </c>
      <c r="B602" t="s">
        <v>40</v>
      </c>
      <c r="C602" t="s">
        <v>457</v>
      </c>
      <c r="D602" s="1">
        <v>45084</v>
      </c>
      <c r="E602">
        <v>11</v>
      </c>
      <c r="F602">
        <v>10.4243532815614</v>
      </c>
      <c r="G602" s="1">
        <v>45103</v>
      </c>
      <c r="H602" s="1">
        <v>45108</v>
      </c>
      <c r="I602">
        <v>114.667886097175</v>
      </c>
      <c r="J602">
        <f t="shared" si="54"/>
        <v>5</v>
      </c>
      <c r="K602" t="str">
        <f>VLOOKUP(B602,Raw_Suppliers!$A$2:$G$101,2,FALSE)</f>
        <v>Ultra Apex Inc</v>
      </c>
      <c r="L602" t="str">
        <f>VLOOKUP(B602,Raw_Suppliers!$A$2:$G$101,3,FALSE)</f>
        <v>India</v>
      </c>
      <c r="M602" t="str">
        <f>VLOOKUP(B602,Raw_Suppliers!$A$2:$G$101,4,FALSE)</f>
        <v>West</v>
      </c>
      <c r="N602" t="str">
        <f>VLOOKUP(B602,Raw_Suppliers!$A$2:$G$101,6,FALSE)</f>
        <v>ISO 9001</v>
      </c>
      <c r="O602">
        <f>VLOOKUP(B602,Raw_Suppliers!$A$2:$G$101,7,FALSE)</f>
        <v>0</v>
      </c>
      <c r="P602" t="str">
        <f t="shared" si="55"/>
        <v>No</v>
      </c>
      <c r="Q602">
        <f t="shared" si="56"/>
        <v>0</v>
      </c>
      <c r="R602" t="str">
        <f t="shared" si="57"/>
        <v>Late</v>
      </c>
      <c r="S602">
        <f t="shared" si="58"/>
        <v>2023</v>
      </c>
      <c r="T602">
        <f t="shared" si="59"/>
        <v>6</v>
      </c>
    </row>
    <row r="603" spans="1:20" x14ac:dyDescent="0.25">
      <c r="A603" t="s">
        <v>901</v>
      </c>
      <c r="B603" t="s">
        <v>472</v>
      </c>
      <c r="C603" t="s">
        <v>161</v>
      </c>
      <c r="D603" s="1">
        <v>44364</v>
      </c>
      <c r="E603">
        <v>14</v>
      </c>
      <c r="F603">
        <v>14.196997479849299</v>
      </c>
      <c r="G603" s="1">
        <v>44383</v>
      </c>
      <c r="H603" s="1">
        <v>44384</v>
      </c>
      <c r="I603">
        <v>198.75796471789101</v>
      </c>
      <c r="J603">
        <f t="shared" si="54"/>
        <v>1</v>
      </c>
      <c r="K603" t="str">
        <f>VLOOKUP(B603,Raw_Suppliers!$A$2:$G$101,2,FALSE)</f>
        <v>Pioneer Alpha Corp</v>
      </c>
      <c r="L603" t="str">
        <f>VLOOKUP(B603,Raw_Suppliers!$A$2:$G$101,3,FALSE)</f>
        <v>Canada</v>
      </c>
      <c r="M603" t="str">
        <f>VLOOKUP(B603,Raw_Suppliers!$A$2:$G$101,4,FALSE)</f>
        <v>North</v>
      </c>
      <c r="N603" t="str">
        <f>VLOOKUP(B603,Raw_Suppliers!$A$2:$G$101,6,FALSE)</f>
        <v>None</v>
      </c>
      <c r="O603">
        <f>VLOOKUP(B603,Raw_Suppliers!$A$2:$G$101,7,FALSE)</f>
        <v>1</v>
      </c>
      <c r="P603" t="str">
        <f t="shared" si="55"/>
        <v>Yes</v>
      </c>
      <c r="Q603">
        <f t="shared" si="56"/>
        <v>0</v>
      </c>
      <c r="R603" t="str">
        <f t="shared" si="57"/>
        <v>Late</v>
      </c>
      <c r="S603">
        <f t="shared" si="58"/>
        <v>2021</v>
      </c>
      <c r="T603">
        <f t="shared" si="59"/>
        <v>6</v>
      </c>
    </row>
    <row r="604" spans="1:20" x14ac:dyDescent="0.25">
      <c r="A604" t="s">
        <v>902</v>
      </c>
      <c r="B604" t="s">
        <v>451</v>
      </c>
      <c r="C604" t="s">
        <v>310</v>
      </c>
      <c r="D604" s="1">
        <v>44938</v>
      </c>
      <c r="E604">
        <v>9</v>
      </c>
      <c r="F604">
        <v>9.0133120549460592</v>
      </c>
      <c r="G604" s="1">
        <v>44961</v>
      </c>
      <c r="H604" s="1">
        <v>44958</v>
      </c>
      <c r="I604">
        <v>81.119808494514501</v>
      </c>
      <c r="J604">
        <f t="shared" si="54"/>
        <v>-3</v>
      </c>
      <c r="K604" t="str">
        <f>VLOOKUP(B604,Raw_Suppliers!$A$2:$G$101,2,FALSE)</f>
        <v>Beta Apex Corp</v>
      </c>
      <c r="L604" t="str">
        <f>VLOOKUP(B604,Raw_Suppliers!$A$2:$G$101,3,FALSE)</f>
        <v>India</v>
      </c>
      <c r="M604" t="str">
        <f>VLOOKUP(B604,Raw_Suppliers!$A$2:$G$101,4,FALSE)</f>
        <v>Central</v>
      </c>
      <c r="N604" t="str">
        <f>VLOOKUP(B604,Raw_Suppliers!$A$2:$G$101,6,FALSE)</f>
        <v>ISO 9001</v>
      </c>
      <c r="O604">
        <f>VLOOKUP(B604,Raw_Suppliers!$A$2:$G$101,7,FALSE)</f>
        <v>0</v>
      </c>
      <c r="P604" t="str">
        <f t="shared" si="55"/>
        <v>No</v>
      </c>
      <c r="Q604">
        <f t="shared" si="56"/>
        <v>1</v>
      </c>
      <c r="R604" t="str">
        <f t="shared" si="57"/>
        <v>On Time</v>
      </c>
      <c r="S604">
        <f t="shared" si="58"/>
        <v>2023</v>
      </c>
      <c r="T604">
        <f t="shared" si="59"/>
        <v>1</v>
      </c>
    </row>
    <row r="605" spans="1:20" x14ac:dyDescent="0.25">
      <c r="A605" t="s">
        <v>903</v>
      </c>
      <c r="B605" t="s">
        <v>160</v>
      </c>
      <c r="C605" t="s">
        <v>290</v>
      </c>
      <c r="D605" s="1">
        <v>44373</v>
      </c>
      <c r="E605">
        <v>12</v>
      </c>
      <c r="F605">
        <v>25.611510105026198</v>
      </c>
      <c r="G605" s="1">
        <v>44394</v>
      </c>
      <c r="H605" s="1">
        <v>44391</v>
      </c>
      <c r="I605">
        <v>307.33812126031398</v>
      </c>
      <c r="J605">
        <f t="shared" si="54"/>
        <v>-3</v>
      </c>
      <c r="K605" t="str">
        <f>VLOOKUP(B605,Raw_Suppliers!$A$2:$G$101,2,FALSE)</f>
        <v>Omega Beta Corp</v>
      </c>
      <c r="L605" t="str">
        <f>VLOOKUP(B605,Raw_Suppliers!$A$2:$G$101,3,FALSE)</f>
        <v>China</v>
      </c>
      <c r="M605" t="str">
        <f>VLOOKUP(B605,Raw_Suppliers!$A$2:$G$101,4,FALSE)</f>
        <v>East</v>
      </c>
      <c r="N605" t="str">
        <f>VLOOKUP(B605,Raw_Suppliers!$A$2:$G$101,6,FALSE)</f>
        <v>ISO 45001</v>
      </c>
      <c r="O605">
        <f>VLOOKUP(B605,Raw_Suppliers!$A$2:$G$101,7,FALSE)</f>
        <v>1</v>
      </c>
      <c r="P605" t="str">
        <f t="shared" si="55"/>
        <v>Yes</v>
      </c>
      <c r="Q605">
        <f t="shared" si="56"/>
        <v>1</v>
      </c>
      <c r="R605" t="str">
        <f t="shared" si="57"/>
        <v>On Time</v>
      </c>
      <c r="S605">
        <f t="shared" si="58"/>
        <v>2021</v>
      </c>
      <c r="T605">
        <f t="shared" si="59"/>
        <v>6</v>
      </c>
    </row>
    <row r="606" spans="1:20" x14ac:dyDescent="0.25">
      <c r="A606" t="s">
        <v>904</v>
      </c>
      <c r="B606" t="s">
        <v>96</v>
      </c>
      <c r="C606" t="s">
        <v>720</v>
      </c>
      <c r="D606" s="1">
        <v>44638</v>
      </c>
      <c r="E606">
        <v>12</v>
      </c>
      <c r="F606">
        <v>66.771948989550907</v>
      </c>
      <c r="G606" s="1">
        <v>44650</v>
      </c>
      <c r="H606" s="1">
        <v>44654</v>
      </c>
      <c r="I606">
        <v>801.263387874611</v>
      </c>
      <c r="J606">
        <f t="shared" si="54"/>
        <v>4</v>
      </c>
      <c r="K606" t="str">
        <f>VLOOKUP(B606,Raw_Suppliers!$A$2:$G$101,2,FALSE)</f>
        <v>Alpha Nova Ltd</v>
      </c>
      <c r="L606" t="str">
        <f>VLOOKUP(B606,Raw_Suppliers!$A$2:$G$101,3,FALSE)</f>
        <v>UK</v>
      </c>
      <c r="M606" t="str">
        <f>VLOOKUP(B606,Raw_Suppliers!$A$2:$G$101,4,FALSE)</f>
        <v>West</v>
      </c>
      <c r="N606" t="str">
        <f>VLOOKUP(B606,Raw_Suppliers!$A$2:$G$101,6,FALSE)</f>
        <v>ISO 14001</v>
      </c>
      <c r="O606">
        <f>VLOOKUP(B606,Raw_Suppliers!$A$2:$G$101,7,FALSE)</f>
        <v>0</v>
      </c>
      <c r="P606" t="str">
        <f t="shared" si="55"/>
        <v>No</v>
      </c>
      <c r="Q606">
        <f t="shared" si="56"/>
        <v>0</v>
      </c>
      <c r="R606" t="str">
        <f t="shared" si="57"/>
        <v>Late</v>
      </c>
      <c r="S606">
        <f t="shared" si="58"/>
        <v>2022</v>
      </c>
      <c r="T606">
        <f t="shared" si="59"/>
        <v>3</v>
      </c>
    </row>
    <row r="607" spans="1:20" x14ac:dyDescent="0.25">
      <c r="A607" t="s">
        <v>905</v>
      </c>
      <c r="B607" t="s">
        <v>25</v>
      </c>
      <c r="C607" t="s">
        <v>224</v>
      </c>
      <c r="D607" s="1">
        <v>44815</v>
      </c>
      <c r="E607">
        <v>12</v>
      </c>
      <c r="F607">
        <v>43.290321713994103</v>
      </c>
      <c r="G607" s="1">
        <v>44829</v>
      </c>
      <c r="H607" s="1">
        <v>44833</v>
      </c>
      <c r="I607">
        <v>519.48386056792901</v>
      </c>
      <c r="J607">
        <f t="shared" si="54"/>
        <v>4</v>
      </c>
      <c r="K607" t="str">
        <f>VLOOKUP(B607,Raw_Suppliers!$A$2:$G$101,2,FALSE)</f>
        <v>Quantum Fusion Corp</v>
      </c>
      <c r="L607" t="str">
        <f>VLOOKUP(B607,Raw_Suppliers!$A$2:$G$101,3,FALSE)</f>
        <v>UK</v>
      </c>
      <c r="M607" t="str">
        <f>VLOOKUP(B607,Raw_Suppliers!$A$2:$G$101,4,FALSE)</f>
        <v>North</v>
      </c>
      <c r="N607" t="str">
        <f>VLOOKUP(B607,Raw_Suppliers!$A$2:$G$101,6,FALSE)</f>
        <v>ISO 9001</v>
      </c>
      <c r="O607">
        <f>VLOOKUP(B607,Raw_Suppliers!$A$2:$G$101,7,FALSE)</f>
        <v>0</v>
      </c>
      <c r="P607" t="str">
        <f t="shared" si="55"/>
        <v>No</v>
      </c>
      <c r="Q607">
        <f t="shared" si="56"/>
        <v>0</v>
      </c>
      <c r="R607" t="str">
        <f t="shared" si="57"/>
        <v>Late</v>
      </c>
      <c r="S607">
        <f t="shared" si="58"/>
        <v>2022</v>
      </c>
      <c r="T607">
        <f t="shared" si="59"/>
        <v>9</v>
      </c>
    </row>
    <row r="608" spans="1:20" x14ac:dyDescent="0.25">
      <c r="A608" t="s">
        <v>906</v>
      </c>
      <c r="B608" t="s">
        <v>394</v>
      </c>
      <c r="C608" t="s">
        <v>356</v>
      </c>
      <c r="D608" s="1">
        <v>44502</v>
      </c>
      <c r="E608">
        <v>11</v>
      </c>
      <c r="F608">
        <v>12.781728718271101</v>
      </c>
      <c r="G608" s="1">
        <v>44514</v>
      </c>
      <c r="H608" s="1">
        <v>44518</v>
      </c>
      <c r="I608">
        <v>140.59901590098201</v>
      </c>
      <c r="J608">
        <f t="shared" si="54"/>
        <v>4</v>
      </c>
      <c r="K608" t="str">
        <f>VLOOKUP(B608,Raw_Suppliers!$A$2:$G$101,2,FALSE)</f>
        <v>Ultra Prime Inc</v>
      </c>
      <c r="L608" t="str">
        <f>VLOOKUP(B608,Raw_Suppliers!$A$2:$G$101,3,FALSE)</f>
        <v>Brazil</v>
      </c>
      <c r="M608" t="str">
        <f>VLOOKUP(B608,Raw_Suppliers!$A$2:$G$101,4,FALSE)</f>
        <v>West</v>
      </c>
      <c r="N608" t="str">
        <f>VLOOKUP(B608,Raw_Suppliers!$A$2:$G$101,6,FALSE)</f>
        <v>ISO 9001</v>
      </c>
      <c r="O608">
        <f>VLOOKUP(B608,Raw_Suppliers!$A$2:$G$101,7,FALSE)</f>
        <v>1</v>
      </c>
      <c r="P608" t="str">
        <f t="shared" si="55"/>
        <v>Yes</v>
      </c>
      <c r="Q608">
        <f t="shared" si="56"/>
        <v>0</v>
      </c>
      <c r="R608" t="str">
        <f t="shared" si="57"/>
        <v>Late</v>
      </c>
      <c r="S608">
        <f t="shared" si="58"/>
        <v>2021</v>
      </c>
      <c r="T608">
        <f t="shared" si="59"/>
        <v>11</v>
      </c>
    </row>
    <row r="609" spans="1:20" x14ac:dyDescent="0.25">
      <c r="A609" t="s">
        <v>907</v>
      </c>
      <c r="B609" t="s">
        <v>207</v>
      </c>
      <c r="C609" t="s">
        <v>257</v>
      </c>
      <c r="D609" s="1">
        <v>45238</v>
      </c>
      <c r="E609">
        <v>11</v>
      </c>
      <c r="F609">
        <v>78.343676043460405</v>
      </c>
      <c r="G609" s="1">
        <v>45251</v>
      </c>
      <c r="H609" s="1">
        <v>45252</v>
      </c>
      <c r="I609">
        <v>861.78043647806498</v>
      </c>
      <c r="J609">
        <f t="shared" si="54"/>
        <v>1</v>
      </c>
      <c r="K609" t="str">
        <f>VLOOKUP(B609,Raw_Suppliers!$A$2:$G$101,2,FALSE)</f>
        <v>Nova Alpha Ltd</v>
      </c>
      <c r="L609" t="str">
        <f>VLOOKUP(B609,Raw_Suppliers!$A$2:$G$101,3,FALSE)</f>
        <v>India</v>
      </c>
      <c r="M609" t="str">
        <f>VLOOKUP(B609,Raw_Suppliers!$A$2:$G$101,4,FALSE)</f>
        <v>East</v>
      </c>
      <c r="N609" t="str">
        <f>VLOOKUP(B609,Raw_Suppliers!$A$2:$G$101,6,FALSE)</f>
        <v>ISO 9001</v>
      </c>
      <c r="O609">
        <f>VLOOKUP(B609,Raw_Suppliers!$A$2:$G$101,7,FALSE)</f>
        <v>0</v>
      </c>
      <c r="P609" t="str">
        <f t="shared" si="55"/>
        <v>No</v>
      </c>
      <c r="Q609">
        <f t="shared" si="56"/>
        <v>0</v>
      </c>
      <c r="R609" t="str">
        <f t="shared" si="57"/>
        <v>Late</v>
      </c>
      <c r="S609">
        <f t="shared" si="58"/>
        <v>2023</v>
      </c>
      <c r="T609">
        <f t="shared" si="59"/>
        <v>11</v>
      </c>
    </row>
    <row r="610" spans="1:20" x14ac:dyDescent="0.25">
      <c r="A610" t="s">
        <v>908</v>
      </c>
      <c r="B610" t="s">
        <v>189</v>
      </c>
      <c r="C610" t="s">
        <v>279</v>
      </c>
      <c r="D610" s="1">
        <v>45370</v>
      </c>
      <c r="E610">
        <v>9</v>
      </c>
      <c r="F610">
        <v>18.9292862842583</v>
      </c>
      <c r="G610" s="1">
        <v>45392</v>
      </c>
      <c r="H610" s="1">
        <v>45392</v>
      </c>
      <c r="I610">
        <v>170.36357655832401</v>
      </c>
      <c r="J610">
        <f t="shared" si="54"/>
        <v>0</v>
      </c>
      <c r="K610" t="str">
        <f>VLOOKUP(B610,Raw_Suppliers!$A$2:$G$101,2,FALSE)</f>
        <v>Apex Pioneer Ltd</v>
      </c>
      <c r="L610" t="str">
        <f>VLOOKUP(B610,Raw_Suppliers!$A$2:$G$101,3,FALSE)</f>
        <v>Canada</v>
      </c>
      <c r="M610" t="str">
        <f>VLOOKUP(B610,Raw_Suppliers!$A$2:$G$101,4,FALSE)</f>
        <v>South</v>
      </c>
      <c r="N610" t="str">
        <f>VLOOKUP(B610,Raw_Suppliers!$A$2:$G$101,6,FALSE)</f>
        <v>ISO 14001</v>
      </c>
      <c r="O610">
        <f>VLOOKUP(B610,Raw_Suppliers!$A$2:$G$101,7,FALSE)</f>
        <v>1</v>
      </c>
      <c r="P610" t="str">
        <f t="shared" si="55"/>
        <v>Yes</v>
      </c>
      <c r="Q610">
        <f t="shared" si="56"/>
        <v>1</v>
      </c>
      <c r="R610" t="str">
        <f t="shared" si="57"/>
        <v>On Time</v>
      </c>
      <c r="S610">
        <f t="shared" si="58"/>
        <v>2024</v>
      </c>
      <c r="T610">
        <f t="shared" si="59"/>
        <v>3</v>
      </c>
    </row>
    <row r="611" spans="1:20" x14ac:dyDescent="0.25">
      <c r="A611" t="s">
        <v>909</v>
      </c>
      <c r="B611" t="s">
        <v>13</v>
      </c>
      <c r="C611" t="s">
        <v>759</v>
      </c>
      <c r="D611" s="1">
        <v>44981</v>
      </c>
      <c r="E611">
        <v>5</v>
      </c>
      <c r="F611">
        <v>21.397357027782601</v>
      </c>
      <c r="G611" s="1">
        <v>45000</v>
      </c>
      <c r="H611" s="1">
        <v>45003</v>
      </c>
      <c r="I611">
        <v>106.98678513891301</v>
      </c>
      <c r="J611">
        <f t="shared" si="54"/>
        <v>3</v>
      </c>
      <c r="K611" t="str">
        <f>VLOOKUP(B611,Raw_Suppliers!$A$2:$G$101,2,FALSE)</f>
        <v>Beta Delta LLC</v>
      </c>
      <c r="L611" t="str">
        <f>VLOOKUP(B611,Raw_Suppliers!$A$2:$G$101,3,FALSE)</f>
        <v>Germany</v>
      </c>
      <c r="M611" t="str">
        <f>VLOOKUP(B611,Raw_Suppliers!$A$2:$G$101,4,FALSE)</f>
        <v>Central</v>
      </c>
      <c r="N611" t="str">
        <f>VLOOKUP(B611,Raw_Suppliers!$A$2:$G$101,6,FALSE)</f>
        <v>ISO 9001</v>
      </c>
      <c r="O611">
        <f>VLOOKUP(B611,Raw_Suppliers!$A$2:$G$101,7,FALSE)</f>
        <v>1</v>
      </c>
      <c r="P611" t="str">
        <f t="shared" si="55"/>
        <v>Yes</v>
      </c>
      <c r="Q611">
        <f t="shared" si="56"/>
        <v>0</v>
      </c>
      <c r="R611" t="str">
        <f t="shared" si="57"/>
        <v>Late</v>
      </c>
      <c r="S611">
        <f t="shared" si="58"/>
        <v>2023</v>
      </c>
      <c r="T611">
        <f t="shared" si="59"/>
        <v>2</v>
      </c>
    </row>
    <row r="612" spans="1:20" x14ac:dyDescent="0.25">
      <c r="A612" t="s">
        <v>910</v>
      </c>
      <c r="B612" t="s">
        <v>67</v>
      </c>
      <c r="C612" t="s">
        <v>170</v>
      </c>
      <c r="D612" s="1">
        <v>45212</v>
      </c>
      <c r="E612">
        <v>7</v>
      </c>
      <c r="F612">
        <v>54.100345438448798</v>
      </c>
      <c r="G612" s="1">
        <v>45233</v>
      </c>
      <c r="H612" s="1">
        <v>45232</v>
      </c>
      <c r="I612">
        <v>378.702418069141</v>
      </c>
      <c r="J612">
        <f t="shared" si="54"/>
        <v>-1</v>
      </c>
      <c r="K612" t="str">
        <f>VLOOKUP(B612,Raw_Suppliers!$A$2:$G$101,2,FALSE)</f>
        <v>Nova Eco LLC</v>
      </c>
      <c r="L612" t="str">
        <f>VLOOKUP(B612,Raw_Suppliers!$A$2:$G$101,3,FALSE)</f>
        <v>Germany</v>
      </c>
      <c r="M612" t="str">
        <f>VLOOKUP(B612,Raw_Suppliers!$A$2:$G$101,4,FALSE)</f>
        <v>Central</v>
      </c>
      <c r="N612" t="str">
        <f>VLOOKUP(B612,Raw_Suppliers!$A$2:$G$101,6,FALSE)</f>
        <v>ISO 9001</v>
      </c>
      <c r="O612">
        <f>VLOOKUP(B612,Raw_Suppliers!$A$2:$G$101,7,FALSE)</f>
        <v>1</v>
      </c>
      <c r="P612" t="str">
        <f t="shared" si="55"/>
        <v>Yes</v>
      </c>
      <c r="Q612">
        <f t="shared" si="56"/>
        <v>1</v>
      </c>
      <c r="R612" t="str">
        <f t="shared" si="57"/>
        <v>On Time</v>
      </c>
      <c r="S612">
        <f t="shared" si="58"/>
        <v>2023</v>
      </c>
      <c r="T612">
        <f t="shared" si="59"/>
        <v>10</v>
      </c>
    </row>
    <row r="613" spans="1:20" x14ac:dyDescent="0.25">
      <c r="A613" t="s">
        <v>911</v>
      </c>
      <c r="B613" t="s">
        <v>326</v>
      </c>
      <c r="C613" t="s">
        <v>270</v>
      </c>
      <c r="D613" s="1">
        <v>45123</v>
      </c>
      <c r="E613">
        <v>9</v>
      </c>
      <c r="F613">
        <v>44.098139609661303</v>
      </c>
      <c r="G613" s="1">
        <v>45133</v>
      </c>
      <c r="H613" s="1">
        <v>45134</v>
      </c>
      <c r="I613">
        <v>396.88325648695098</v>
      </c>
      <c r="J613">
        <f t="shared" si="54"/>
        <v>1</v>
      </c>
      <c r="K613" t="str">
        <f>VLOOKUP(B613,Raw_Suppliers!$A$2:$G$101,2,FALSE)</f>
        <v>Ultra Fusion Corp</v>
      </c>
      <c r="L613" t="str">
        <f>VLOOKUP(B613,Raw_Suppliers!$A$2:$G$101,3,FALSE)</f>
        <v>Canada</v>
      </c>
      <c r="M613" t="str">
        <f>VLOOKUP(B613,Raw_Suppliers!$A$2:$G$101,4,FALSE)</f>
        <v>South</v>
      </c>
      <c r="N613" t="str">
        <f>VLOOKUP(B613,Raw_Suppliers!$A$2:$G$101,6,FALSE)</f>
        <v>None</v>
      </c>
      <c r="O613">
        <f>VLOOKUP(B613,Raw_Suppliers!$A$2:$G$101,7,FALSE)</f>
        <v>1</v>
      </c>
      <c r="P613" t="str">
        <f t="shared" si="55"/>
        <v>Yes</v>
      </c>
      <c r="Q613">
        <f t="shared" si="56"/>
        <v>0</v>
      </c>
      <c r="R613" t="str">
        <f t="shared" si="57"/>
        <v>Late</v>
      </c>
      <c r="S613">
        <f t="shared" si="58"/>
        <v>2023</v>
      </c>
      <c r="T613">
        <f t="shared" si="59"/>
        <v>7</v>
      </c>
    </row>
    <row r="614" spans="1:20" x14ac:dyDescent="0.25">
      <c r="A614" t="s">
        <v>912</v>
      </c>
      <c r="B614" t="s">
        <v>382</v>
      </c>
      <c r="C614" t="s">
        <v>210</v>
      </c>
      <c r="D614" s="1">
        <v>45108</v>
      </c>
      <c r="E614">
        <v>12</v>
      </c>
      <c r="F614">
        <v>5.13124452542172</v>
      </c>
      <c r="G614" s="1">
        <v>45118</v>
      </c>
      <c r="H614" s="1">
        <v>45120</v>
      </c>
      <c r="I614">
        <v>61.574934305060701</v>
      </c>
      <c r="J614">
        <f t="shared" si="54"/>
        <v>2</v>
      </c>
      <c r="K614" t="str">
        <f>VLOOKUP(B614,Raw_Suppliers!$A$2:$G$101,2,FALSE)</f>
        <v>Omega Gamma Ltd</v>
      </c>
      <c r="L614" t="str">
        <f>VLOOKUP(B614,Raw_Suppliers!$A$2:$G$101,3,FALSE)</f>
        <v>USA</v>
      </c>
      <c r="M614" t="str">
        <f>VLOOKUP(B614,Raw_Suppliers!$A$2:$G$101,4,FALSE)</f>
        <v>Central</v>
      </c>
      <c r="N614" t="str">
        <f>VLOOKUP(B614,Raw_Suppliers!$A$2:$G$101,6,FALSE)</f>
        <v>None</v>
      </c>
      <c r="O614">
        <f>VLOOKUP(B614,Raw_Suppliers!$A$2:$G$101,7,FALSE)</f>
        <v>0</v>
      </c>
      <c r="P614" t="str">
        <f t="shared" si="55"/>
        <v>No</v>
      </c>
      <c r="Q614">
        <f t="shared" si="56"/>
        <v>0</v>
      </c>
      <c r="R614" t="str">
        <f t="shared" si="57"/>
        <v>Late</v>
      </c>
      <c r="S614">
        <f t="shared" si="58"/>
        <v>2023</v>
      </c>
      <c r="T614">
        <f t="shared" si="59"/>
        <v>7</v>
      </c>
    </row>
    <row r="615" spans="1:20" x14ac:dyDescent="0.25">
      <c r="A615" t="s">
        <v>913</v>
      </c>
      <c r="B615" t="s">
        <v>564</v>
      </c>
      <c r="C615" t="s">
        <v>272</v>
      </c>
      <c r="D615" s="1">
        <v>45142</v>
      </c>
      <c r="E615">
        <v>8</v>
      </c>
      <c r="F615">
        <v>78.368268467943096</v>
      </c>
      <c r="G615" s="1">
        <v>45158</v>
      </c>
      <c r="H615" s="1">
        <v>45159</v>
      </c>
      <c r="I615">
        <v>626.946147743545</v>
      </c>
      <c r="J615">
        <f t="shared" si="54"/>
        <v>1</v>
      </c>
      <c r="K615" t="str">
        <f>VLOOKUP(B615,Raw_Suppliers!$A$2:$G$101,2,FALSE)</f>
        <v>Ultra Ultra GmbH</v>
      </c>
      <c r="L615" t="str">
        <f>VLOOKUP(B615,Raw_Suppliers!$A$2:$G$101,3,FALSE)</f>
        <v>India</v>
      </c>
      <c r="M615" t="str">
        <f>VLOOKUP(B615,Raw_Suppliers!$A$2:$G$101,4,FALSE)</f>
        <v>Central</v>
      </c>
      <c r="N615" t="str">
        <f>VLOOKUP(B615,Raw_Suppliers!$A$2:$G$101,6,FALSE)</f>
        <v>ISO 14001</v>
      </c>
      <c r="O615">
        <f>VLOOKUP(B615,Raw_Suppliers!$A$2:$G$101,7,FALSE)</f>
        <v>1</v>
      </c>
      <c r="P615" t="str">
        <f t="shared" si="55"/>
        <v>Yes</v>
      </c>
      <c r="Q615">
        <f t="shared" si="56"/>
        <v>0</v>
      </c>
      <c r="R615" t="str">
        <f t="shared" si="57"/>
        <v>Late</v>
      </c>
      <c r="S615">
        <f t="shared" si="58"/>
        <v>2023</v>
      </c>
      <c r="T615">
        <f t="shared" si="59"/>
        <v>8</v>
      </c>
    </row>
    <row r="616" spans="1:20" x14ac:dyDescent="0.25">
      <c r="A616" t="s">
        <v>914</v>
      </c>
      <c r="B616" t="s">
        <v>493</v>
      </c>
      <c r="C616" t="s">
        <v>915</v>
      </c>
      <c r="D616" s="1">
        <v>45212</v>
      </c>
      <c r="E616">
        <v>11</v>
      </c>
      <c r="F616">
        <v>9.4110025999075599</v>
      </c>
      <c r="G616" s="1">
        <v>45226</v>
      </c>
      <c r="H616" s="1">
        <v>45227</v>
      </c>
      <c r="I616">
        <v>103.52102859898299</v>
      </c>
      <c r="J616">
        <f t="shared" si="54"/>
        <v>1</v>
      </c>
      <c r="K616" t="str">
        <f>VLOOKUP(B616,Raw_Suppliers!$A$2:$G$101,2,FALSE)</f>
        <v>Delta Vertex LLC</v>
      </c>
      <c r="L616" t="str">
        <f>VLOOKUP(B616,Raw_Suppliers!$A$2:$G$101,3,FALSE)</f>
        <v>China</v>
      </c>
      <c r="M616" t="str">
        <f>VLOOKUP(B616,Raw_Suppliers!$A$2:$G$101,4,FALSE)</f>
        <v>East</v>
      </c>
      <c r="N616" t="str">
        <f>VLOOKUP(B616,Raw_Suppliers!$A$2:$G$101,6,FALSE)</f>
        <v>None</v>
      </c>
      <c r="O616">
        <f>VLOOKUP(B616,Raw_Suppliers!$A$2:$G$101,7,FALSE)</f>
        <v>0</v>
      </c>
      <c r="P616" t="str">
        <f t="shared" si="55"/>
        <v>No</v>
      </c>
      <c r="Q616">
        <f t="shared" si="56"/>
        <v>0</v>
      </c>
      <c r="R616" t="str">
        <f t="shared" si="57"/>
        <v>Late</v>
      </c>
      <c r="S616">
        <f t="shared" si="58"/>
        <v>2023</v>
      </c>
      <c r="T616">
        <f t="shared" si="59"/>
        <v>10</v>
      </c>
    </row>
    <row r="617" spans="1:20" x14ac:dyDescent="0.25">
      <c r="A617" t="s">
        <v>916</v>
      </c>
      <c r="B617" t="s">
        <v>314</v>
      </c>
      <c r="C617" t="s">
        <v>310</v>
      </c>
      <c r="D617" s="1">
        <v>44756</v>
      </c>
      <c r="E617">
        <v>10</v>
      </c>
      <c r="F617">
        <v>76.669042980393002</v>
      </c>
      <c r="G617" s="1">
        <v>44772</v>
      </c>
      <c r="H617" s="1">
        <v>44775</v>
      </c>
      <c r="I617">
        <v>766.69042980392999</v>
      </c>
      <c r="J617">
        <f t="shared" si="54"/>
        <v>3</v>
      </c>
      <c r="K617" t="str">
        <f>VLOOKUP(B617,Raw_Suppliers!$A$2:$G$101,2,FALSE)</f>
        <v>Gamma Nova Ltd</v>
      </c>
      <c r="L617" t="str">
        <f>VLOOKUP(B617,Raw_Suppliers!$A$2:$G$101,3,FALSE)</f>
        <v>USA</v>
      </c>
      <c r="M617" t="str">
        <f>VLOOKUP(B617,Raw_Suppliers!$A$2:$G$101,4,FALSE)</f>
        <v>North</v>
      </c>
      <c r="N617" t="str">
        <f>VLOOKUP(B617,Raw_Suppliers!$A$2:$G$101,6,FALSE)</f>
        <v>ISO 45001</v>
      </c>
      <c r="O617">
        <f>VLOOKUP(B617,Raw_Suppliers!$A$2:$G$101,7,FALSE)</f>
        <v>0</v>
      </c>
      <c r="P617" t="str">
        <f t="shared" si="55"/>
        <v>No</v>
      </c>
      <c r="Q617">
        <f t="shared" si="56"/>
        <v>0</v>
      </c>
      <c r="R617" t="str">
        <f t="shared" si="57"/>
        <v>Late</v>
      </c>
      <c r="S617">
        <f t="shared" si="58"/>
        <v>2022</v>
      </c>
      <c r="T617">
        <f t="shared" si="59"/>
        <v>7</v>
      </c>
    </row>
    <row r="618" spans="1:20" x14ac:dyDescent="0.25">
      <c r="A618" t="s">
        <v>917</v>
      </c>
      <c r="B618" t="s">
        <v>114</v>
      </c>
      <c r="C618" t="s">
        <v>47</v>
      </c>
      <c r="D618" s="1">
        <v>44439</v>
      </c>
      <c r="E618">
        <v>11</v>
      </c>
      <c r="F618">
        <v>26.826157292881899</v>
      </c>
      <c r="G618" s="1">
        <v>44458</v>
      </c>
      <c r="H618" s="1">
        <v>44459</v>
      </c>
      <c r="I618">
        <v>295.08773022170101</v>
      </c>
      <c r="J618">
        <f t="shared" si="54"/>
        <v>1</v>
      </c>
      <c r="K618" t="str">
        <f>VLOOKUP(B618,Raw_Suppliers!$A$2:$G$101,2,FALSE)</f>
        <v>Fusion Fusion LLC</v>
      </c>
      <c r="L618" t="str">
        <f>VLOOKUP(B618,Raw_Suppliers!$A$2:$G$101,3,FALSE)</f>
        <v>China</v>
      </c>
      <c r="M618" t="str">
        <f>VLOOKUP(B618,Raw_Suppliers!$A$2:$G$101,4,FALSE)</f>
        <v>North</v>
      </c>
      <c r="N618" t="str">
        <f>VLOOKUP(B618,Raw_Suppliers!$A$2:$G$101,6,FALSE)</f>
        <v>ISO 45001</v>
      </c>
      <c r="O618">
        <f>VLOOKUP(B618,Raw_Suppliers!$A$2:$G$101,7,FALSE)</f>
        <v>1</v>
      </c>
      <c r="P618" t="str">
        <f t="shared" si="55"/>
        <v>Yes</v>
      </c>
      <c r="Q618">
        <f t="shared" si="56"/>
        <v>0</v>
      </c>
      <c r="R618" t="str">
        <f t="shared" si="57"/>
        <v>Late</v>
      </c>
      <c r="S618">
        <f t="shared" si="58"/>
        <v>2021</v>
      </c>
      <c r="T618">
        <f t="shared" si="59"/>
        <v>8</v>
      </c>
    </row>
    <row r="619" spans="1:20" x14ac:dyDescent="0.25">
      <c r="A619" t="s">
        <v>918</v>
      </c>
      <c r="B619" t="s">
        <v>121</v>
      </c>
      <c r="C619" t="s">
        <v>177</v>
      </c>
      <c r="D619" s="1">
        <v>44228</v>
      </c>
      <c r="E619">
        <v>9</v>
      </c>
      <c r="F619">
        <v>52.652739462248</v>
      </c>
      <c r="G619" s="1">
        <v>44248</v>
      </c>
      <c r="H619" s="1">
        <v>44252</v>
      </c>
      <c r="I619">
        <v>473.87465516023201</v>
      </c>
      <c r="J619">
        <f t="shared" si="54"/>
        <v>4</v>
      </c>
      <c r="K619" t="str">
        <f>VLOOKUP(B619,Raw_Suppliers!$A$2:$G$101,2,FALSE)</f>
        <v>Vertex Vertex Inc</v>
      </c>
      <c r="L619" t="str">
        <f>VLOOKUP(B619,Raw_Suppliers!$A$2:$G$101,3,FALSE)</f>
        <v>USA</v>
      </c>
      <c r="M619" t="str">
        <f>VLOOKUP(B619,Raw_Suppliers!$A$2:$G$101,4,FALSE)</f>
        <v>West</v>
      </c>
      <c r="N619" t="str">
        <f>VLOOKUP(B619,Raw_Suppliers!$A$2:$G$101,6,FALSE)</f>
        <v>None</v>
      </c>
      <c r="O619">
        <f>VLOOKUP(B619,Raw_Suppliers!$A$2:$G$101,7,FALSE)</f>
        <v>0</v>
      </c>
      <c r="P619" t="str">
        <f t="shared" si="55"/>
        <v>No</v>
      </c>
      <c r="Q619">
        <f t="shared" si="56"/>
        <v>0</v>
      </c>
      <c r="R619" t="str">
        <f t="shared" si="57"/>
        <v>Late</v>
      </c>
      <c r="S619">
        <f t="shared" si="58"/>
        <v>2021</v>
      </c>
      <c r="T619">
        <f t="shared" si="59"/>
        <v>2</v>
      </c>
    </row>
    <row r="620" spans="1:20" x14ac:dyDescent="0.25">
      <c r="A620" t="s">
        <v>919</v>
      </c>
      <c r="B620" t="s">
        <v>157</v>
      </c>
      <c r="C620" t="s">
        <v>214</v>
      </c>
      <c r="D620" s="1">
        <v>44712</v>
      </c>
      <c r="E620">
        <v>11</v>
      </c>
      <c r="F620">
        <v>3.4939928257038702</v>
      </c>
      <c r="G620" s="1">
        <v>44731</v>
      </c>
      <c r="H620" s="1">
        <v>44733</v>
      </c>
      <c r="I620">
        <v>38.433921082742501</v>
      </c>
      <c r="J620">
        <f t="shared" si="54"/>
        <v>2</v>
      </c>
      <c r="K620" t="str">
        <f>VLOOKUP(B620,Raw_Suppliers!$A$2:$G$101,2,FALSE)</f>
        <v>Pioneer Omega Ltd</v>
      </c>
      <c r="L620" t="str">
        <f>VLOOKUP(B620,Raw_Suppliers!$A$2:$G$101,3,FALSE)</f>
        <v>Brazil</v>
      </c>
      <c r="M620" t="str">
        <f>VLOOKUP(B620,Raw_Suppliers!$A$2:$G$101,4,FALSE)</f>
        <v>East</v>
      </c>
      <c r="N620" t="str">
        <f>VLOOKUP(B620,Raw_Suppliers!$A$2:$G$101,6,FALSE)</f>
        <v>None</v>
      </c>
      <c r="O620">
        <f>VLOOKUP(B620,Raw_Suppliers!$A$2:$G$101,7,FALSE)</f>
        <v>0</v>
      </c>
      <c r="P620" t="str">
        <f t="shared" si="55"/>
        <v>No</v>
      </c>
      <c r="Q620">
        <f t="shared" si="56"/>
        <v>0</v>
      </c>
      <c r="R620" t="str">
        <f t="shared" si="57"/>
        <v>Late</v>
      </c>
      <c r="S620">
        <f t="shared" si="58"/>
        <v>2022</v>
      </c>
      <c r="T620">
        <f t="shared" si="59"/>
        <v>5</v>
      </c>
    </row>
    <row r="621" spans="1:20" x14ac:dyDescent="0.25">
      <c r="A621" t="s">
        <v>920</v>
      </c>
      <c r="B621" t="s">
        <v>52</v>
      </c>
      <c r="C621" t="s">
        <v>210</v>
      </c>
      <c r="D621" s="1">
        <v>44367</v>
      </c>
      <c r="E621">
        <v>14</v>
      </c>
      <c r="F621">
        <v>52.641836511714203</v>
      </c>
      <c r="G621" s="1">
        <v>44389</v>
      </c>
      <c r="H621" s="1">
        <v>44395</v>
      </c>
      <c r="I621">
        <v>736.98571116399899</v>
      </c>
      <c r="J621">
        <f t="shared" si="54"/>
        <v>6</v>
      </c>
      <c r="K621" t="str">
        <f>VLOOKUP(B621,Raw_Suppliers!$A$2:$G$101,2,FALSE)</f>
        <v>Beta Nano Corp</v>
      </c>
      <c r="L621" t="str">
        <f>VLOOKUP(B621,Raw_Suppliers!$A$2:$G$101,3,FALSE)</f>
        <v>UK</v>
      </c>
      <c r="M621" t="str">
        <f>VLOOKUP(B621,Raw_Suppliers!$A$2:$G$101,4,FALSE)</f>
        <v>Central</v>
      </c>
      <c r="N621" t="str">
        <f>VLOOKUP(B621,Raw_Suppliers!$A$2:$G$101,6,FALSE)</f>
        <v>ISO 45001</v>
      </c>
      <c r="O621">
        <f>VLOOKUP(B621,Raw_Suppliers!$A$2:$G$101,7,FALSE)</f>
        <v>0</v>
      </c>
      <c r="P621" t="str">
        <f t="shared" si="55"/>
        <v>No</v>
      </c>
      <c r="Q621">
        <f t="shared" si="56"/>
        <v>0</v>
      </c>
      <c r="R621" t="str">
        <f t="shared" si="57"/>
        <v>Late</v>
      </c>
      <c r="S621">
        <f t="shared" si="58"/>
        <v>2021</v>
      </c>
      <c r="T621">
        <f t="shared" si="59"/>
        <v>6</v>
      </c>
    </row>
    <row r="622" spans="1:20" x14ac:dyDescent="0.25">
      <c r="A622" t="s">
        <v>921</v>
      </c>
      <c r="B622" t="s">
        <v>485</v>
      </c>
      <c r="C622" t="s">
        <v>437</v>
      </c>
      <c r="D622" s="1">
        <v>45370</v>
      </c>
      <c r="E622">
        <v>13</v>
      </c>
      <c r="F622">
        <v>78.975853394742401</v>
      </c>
      <c r="G622" s="1">
        <v>45381</v>
      </c>
      <c r="H622" s="1">
        <v>45380</v>
      </c>
      <c r="I622">
        <v>1026.68609413165</v>
      </c>
      <c r="J622">
        <f t="shared" si="54"/>
        <v>-1</v>
      </c>
      <c r="K622" t="str">
        <f>VLOOKUP(B622,Raw_Suppliers!$A$2:$G$101,2,FALSE)</f>
        <v>Ultra Quantum Ltd</v>
      </c>
      <c r="L622" t="str">
        <f>VLOOKUP(B622,Raw_Suppliers!$A$2:$G$101,3,FALSE)</f>
        <v>Canada</v>
      </c>
      <c r="M622" t="str">
        <f>VLOOKUP(B622,Raw_Suppliers!$A$2:$G$101,4,FALSE)</f>
        <v>North</v>
      </c>
      <c r="N622" t="str">
        <f>VLOOKUP(B622,Raw_Suppliers!$A$2:$G$101,6,FALSE)</f>
        <v>ISO 14001</v>
      </c>
      <c r="O622">
        <f>VLOOKUP(B622,Raw_Suppliers!$A$2:$G$101,7,FALSE)</f>
        <v>0</v>
      </c>
      <c r="P622" t="str">
        <f t="shared" si="55"/>
        <v>No</v>
      </c>
      <c r="Q622">
        <f t="shared" si="56"/>
        <v>1</v>
      </c>
      <c r="R622" t="str">
        <f t="shared" si="57"/>
        <v>On Time</v>
      </c>
      <c r="S622">
        <f t="shared" si="58"/>
        <v>2024</v>
      </c>
      <c r="T622">
        <f t="shared" si="59"/>
        <v>3</v>
      </c>
    </row>
    <row r="623" spans="1:20" x14ac:dyDescent="0.25">
      <c r="A623" t="s">
        <v>922</v>
      </c>
      <c r="B623" t="s">
        <v>194</v>
      </c>
      <c r="C623" t="s">
        <v>283</v>
      </c>
      <c r="D623" s="1">
        <v>45350</v>
      </c>
      <c r="E623">
        <v>8</v>
      </c>
      <c r="F623">
        <v>76.676520099655903</v>
      </c>
      <c r="G623" s="1">
        <v>45374</v>
      </c>
      <c r="H623" s="1">
        <v>45377</v>
      </c>
      <c r="I623">
        <v>613.412160797247</v>
      </c>
      <c r="J623">
        <f t="shared" si="54"/>
        <v>3</v>
      </c>
      <c r="K623" t="str">
        <f>VLOOKUP(B623,Raw_Suppliers!$A$2:$G$101,2,FALSE)</f>
        <v>Eco Pioneer Corp</v>
      </c>
      <c r="L623" t="str">
        <f>VLOOKUP(B623,Raw_Suppliers!$A$2:$G$101,3,FALSE)</f>
        <v>China</v>
      </c>
      <c r="M623" t="str">
        <f>VLOOKUP(B623,Raw_Suppliers!$A$2:$G$101,4,FALSE)</f>
        <v>East</v>
      </c>
      <c r="N623" t="str">
        <f>VLOOKUP(B623,Raw_Suppliers!$A$2:$G$101,6,FALSE)</f>
        <v>ISO 14001</v>
      </c>
      <c r="O623">
        <f>VLOOKUP(B623,Raw_Suppliers!$A$2:$G$101,7,FALSE)</f>
        <v>1</v>
      </c>
      <c r="P623" t="str">
        <f t="shared" si="55"/>
        <v>Yes</v>
      </c>
      <c r="Q623">
        <f t="shared" si="56"/>
        <v>0</v>
      </c>
      <c r="R623" t="str">
        <f t="shared" si="57"/>
        <v>Late</v>
      </c>
      <c r="S623">
        <f t="shared" si="58"/>
        <v>2024</v>
      </c>
      <c r="T623">
        <f t="shared" si="59"/>
        <v>2</v>
      </c>
    </row>
    <row r="624" spans="1:20" x14ac:dyDescent="0.25">
      <c r="A624" t="s">
        <v>923</v>
      </c>
      <c r="B624" t="s">
        <v>299</v>
      </c>
      <c r="C624" t="s">
        <v>402</v>
      </c>
      <c r="D624" s="1">
        <v>45390</v>
      </c>
      <c r="E624">
        <v>11</v>
      </c>
      <c r="F624">
        <v>21.490030423802299</v>
      </c>
      <c r="G624" s="1">
        <v>45408</v>
      </c>
      <c r="H624" s="1">
        <v>45410</v>
      </c>
      <c r="I624">
        <v>236.39033466182499</v>
      </c>
      <c r="J624">
        <f t="shared" si="54"/>
        <v>2</v>
      </c>
      <c r="K624" t="str">
        <f>VLOOKUP(B624,Raw_Suppliers!$A$2:$G$101,2,FALSE)</f>
        <v>Nova Alpha Inc</v>
      </c>
      <c r="L624" t="str">
        <f>VLOOKUP(B624,Raw_Suppliers!$A$2:$G$101,3,FALSE)</f>
        <v>UK</v>
      </c>
      <c r="M624" t="str">
        <f>VLOOKUP(B624,Raw_Suppliers!$A$2:$G$101,4,FALSE)</f>
        <v>South</v>
      </c>
      <c r="N624" t="str">
        <f>VLOOKUP(B624,Raw_Suppliers!$A$2:$G$101,6,FALSE)</f>
        <v>None</v>
      </c>
      <c r="O624">
        <f>VLOOKUP(B624,Raw_Suppliers!$A$2:$G$101,7,FALSE)</f>
        <v>1</v>
      </c>
      <c r="P624" t="str">
        <f t="shared" si="55"/>
        <v>Yes</v>
      </c>
      <c r="Q624">
        <f t="shared" si="56"/>
        <v>0</v>
      </c>
      <c r="R624" t="str">
        <f t="shared" si="57"/>
        <v>Late</v>
      </c>
      <c r="S624">
        <f t="shared" si="58"/>
        <v>2024</v>
      </c>
      <c r="T624">
        <f t="shared" si="59"/>
        <v>4</v>
      </c>
    </row>
    <row r="625" spans="1:20" x14ac:dyDescent="0.25">
      <c r="A625" t="s">
        <v>924</v>
      </c>
      <c r="B625" t="s">
        <v>130</v>
      </c>
      <c r="C625" t="s">
        <v>107</v>
      </c>
      <c r="D625" s="1">
        <v>44305</v>
      </c>
      <c r="E625">
        <v>8</v>
      </c>
      <c r="F625">
        <v>23.831496713734701</v>
      </c>
      <c r="G625" s="1">
        <v>44315</v>
      </c>
      <c r="H625" s="1">
        <v>44316</v>
      </c>
      <c r="I625">
        <v>190.65197370987801</v>
      </c>
      <c r="J625">
        <f t="shared" si="54"/>
        <v>1</v>
      </c>
      <c r="K625" t="str">
        <f>VLOOKUP(B625,Raw_Suppliers!$A$2:$G$101,2,FALSE)</f>
        <v>Beta Gamma Corp</v>
      </c>
      <c r="L625" t="str">
        <f>VLOOKUP(B625,Raw_Suppliers!$A$2:$G$101,3,FALSE)</f>
        <v>USA</v>
      </c>
      <c r="M625" t="str">
        <f>VLOOKUP(B625,Raw_Suppliers!$A$2:$G$101,4,FALSE)</f>
        <v>West</v>
      </c>
      <c r="N625" t="str">
        <f>VLOOKUP(B625,Raw_Suppliers!$A$2:$G$101,6,FALSE)</f>
        <v>None</v>
      </c>
      <c r="O625">
        <f>VLOOKUP(B625,Raw_Suppliers!$A$2:$G$101,7,FALSE)</f>
        <v>0</v>
      </c>
      <c r="P625" t="str">
        <f t="shared" si="55"/>
        <v>No</v>
      </c>
      <c r="Q625">
        <f t="shared" si="56"/>
        <v>0</v>
      </c>
      <c r="R625" t="str">
        <f t="shared" si="57"/>
        <v>Late</v>
      </c>
      <c r="S625">
        <f t="shared" si="58"/>
        <v>2021</v>
      </c>
      <c r="T625">
        <f t="shared" si="59"/>
        <v>4</v>
      </c>
    </row>
    <row r="626" spans="1:20" x14ac:dyDescent="0.25">
      <c r="A626" t="s">
        <v>925</v>
      </c>
      <c r="B626" t="s">
        <v>119</v>
      </c>
      <c r="C626" t="s">
        <v>68</v>
      </c>
      <c r="D626" s="1">
        <v>44989</v>
      </c>
      <c r="E626">
        <v>12</v>
      </c>
      <c r="F626">
        <v>8.0761752917325502</v>
      </c>
      <c r="G626" s="1">
        <v>45008</v>
      </c>
      <c r="H626" s="1">
        <v>45008</v>
      </c>
      <c r="I626">
        <v>96.914103500790603</v>
      </c>
      <c r="J626">
        <f t="shared" si="54"/>
        <v>0</v>
      </c>
      <c r="K626" t="str">
        <f>VLOOKUP(B626,Raw_Suppliers!$A$2:$G$101,2,FALSE)</f>
        <v>Pioneer Apex Corp</v>
      </c>
      <c r="L626" t="str">
        <f>VLOOKUP(B626,Raw_Suppliers!$A$2:$G$101,3,FALSE)</f>
        <v>USA</v>
      </c>
      <c r="M626" t="str">
        <f>VLOOKUP(B626,Raw_Suppliers!$A$2:$G$101,4,FALSE)</f>
        <v>Central</v>
      </c>
      <c r="N626" t="str">
        <f>VLOOKUP(B626,Raw_Suppliers!$A$2:$G$101,6,FALSE)</f>
        <v>None</v>
      </c>
      <c r="O626">
        <f>VLOOKUP(B626,Raw_Suppliers!$A$2:$G$101,7,FALSE)</f>
        <v>0</v>
      </c>
      <c r="P626" t="str">
        <f t="shared" si="55"/>
        <v>No</v>
      </c>
      <c r="Q626">
        <f t="shared" si="56"/>
        <v>1</v>
      </c>
      <c r="R626" t="str">
        <f t="shared" si="57"/>
        <v>On Time</v>
      </c>
      <c r="S626">
        <f t="shared" si="58"/>
        <v>2023</v>
      </c>
      <c r="T626">
        <f t="shared" si="59"/>
        <v>3</v>
      </c>
    </row>
    <row r="627" spans="1:20" x14ac:dyDescent="0.25">
      <c r="A627" t="s">
        <v>926</v>
      </c>
      <c r="B627" t="s">
        <v>324</v>
      </c>
      <c r="C627" t="s">
        <v>281</v>
      </c>
      <c r="D627" s="1">
        <v>44365</v>
      </c>
      <c r="E627">
        <v>11</v>
      </c>
      <c r="F627">
        <v>62.105210859092502</v>
      </c>
      <c r="G627" s="1">
        <v>44383</v>
      </c>
      <c r="H627" s="1">
        <v>44381</v>
      </c>
      <c r="I627">
        <v>683.15731945001801</v>
      </c>
      <c r="J627">
        <f t="shared" si="54"/>
        <v>-2</v>
      </c>
      <c r="K627" t="str">
        <f>VLOOKUP(B627,Raw_Suppliers!$A$2:$G$101,2,FALSE)</f>
        <v>Gamma Nano Corp</v>
      </c>
      <c r="L627" t="str">
        <f>VLOOKUP(B627,Raw_Suppliers!$A$2:$G$101,3,FALSE)</f>
        <v>Germany</v>
      </c>
      <c r="M627" t="str">
        <f>VLOOKUP(B627,Raw_Suppliers!$A$2:$G$101,4,FALSE)</f>
        <v>West</v>
      </c>
      <c r="N627" t="str">
        <f>VLOOKUP(B627,Raw_Suppliers!$A$2:$G$101,6,FALSE)</f>
        <v>ISO 9001</v>
      </c>
      <c r="O627">
        <f>VLOOKUP(B627,Raw_Suppliers!$A$2:$G$101,7,FALSE)</f>
        <v>0</v>
      </c>
      <c r="P627" t="str">
        <f t="shared" si="55"/>
        <v>No</v>
      </c>
      <c r="Q627">
        <f t="shared" si="56"/>
        <v>1</v>
      </c>
      <c r="R627" t="str">
        <f t="shared" si="57"/>
        <v>On Time</v>
      </c>
      <c r="S627">
        <f t="shared" si="58"/>
        <v>2021</v>
      </c>
      <c r="T627">
        <f t="shared" si="59"/>
        <v>6</v>
      </c>
    </row>
    <row r="628" spans="1:20" x14ac:dyDescent="0.25">
      <c r="A628" t="s">
        <v>927</v>
      </c>
      <c r="B628" t="s">
        <v>43</v>
      </c>
      <c r="C628" t="s">
        <v>915</v>
      </c>
      <c r="D628" s="1">
        <v>45300</v>
      </c>
      <c r="E628">
        <v>10</v>
      </c>
      <c r="F628">
        <v>41.663547117221</v>
      </c>
      <c r="G628" s="1">
        <v>45317</v>
      </c>
      <c r="H628" s="1">
        <v>45317</v>
      </c>
      <c r="I628">
        <v>416.63547117220998</v>
      </c>
      <c r="J628">
        <f t="shared" si="54"/>
        <v>0</v>
      </c>
      <c r="K628" t="str">
        <f>VLOOKUP(B628,Raw_Suppliers!$A$2:$G$101,2,FALSE)</f>
        <v>Alpha Ultra Corp</v>
      </c>
      <c r="L628" t="str">
        <f>VLOOKUP(B628,Raw_Suppliers!$A$2:$G$101,3,FALSE)</f>
        <v>USA</v>
      </c>
      <c r="M628" t="str">
        <f>VLOOKUP(B628,Raw_Suppliers!$A$2:$G$101,4,FALSE)</f>
        <v>Central</v>
      </c>
      <c r="N628" t="str">
        <f>VLOOKUP(B628,Raw_Suppliers!$A$2:$G$101,6,FALSE)</f>
        <v>ISO 9001</v>
      </c>
      <c r="O628">
        <f>VLOOKUP(B628,Raw_Suppliers!$A$2:$G$101,7,FALSE)</f>
        <v>1</v>
      </c>
      <c r="P628" t="str">
        <f t="shared" si="55"/>
        <v>Yes</v>
      </c>
      <c r="Q628">
        <f t="shared" si="56"/>
        <v>1</v>
      </c>
      <c r="R628" t="str">
        <f t="shared" si="57"/>
        <v>On Time</v>
      </c>
      <c r="S628">
        <f t="shared" si="58"/>
        <v>2024</v>
      </c>
      <c r="T628">
        <f t="shared" si="59"/>
        <v>1</v>
      </c>
    </row>
    <row r="629" spans="1:20" x14ac:dyDescent="0.25">
      <c r="A629" t="s">
        <v>928</v>
      </c>
      <c r="B629" t="s">
        <v>394</v>
      </c>
      <c r="C629" t="s">
        <v>97</v>
      </c>
      <c r="D629" s="1">
        <v>44358</v>
      </c>
      <c r="E629">
        <v>16</v>
      </c>
      <c r="F629">
        <v>43.041852399869803</v>
      </c>
      <c r="G629" s="1">
        <v>44378</v>
      </c>
      <c r="H629" s="1">
        <v>44375</v>
      </c>
      <c r="I629">
        <v>688.66963839791595</v>
      </c>
      <c r="J629">
        <f t="shared" si="54"/>
        <v>-3</v>
      </c>
      <c r="K629" t="str">
        <f>VLOOKUP(B629,Raw_Suppliers!$A$2:$G$101,2,FALSE)</f>
        <v>Ultra Prime Inc</v>
      </c>
      <c r="L629" t="str">
        <f>VLOOKUP(B629,Raw_Suppliers!$A$2:$G$101,3,FALSE)</f>
        <v>Brazil</v>
      </c>
      <c r="M629" t="str">
        <f>VLOOKUP(B629,Raw_Suppliers!$A$2:$G$101,4,FALSE)</f>
        <v>West</v>
      </c>
      <c r="N629" t="str">
        <f>VLOOKUP(B629,Raw_Suppliers!$A$2:$G$101,6,FALSE)</f>
        <v>ISO 9001</v>
      </c>
      <c r="O629">
        <f>VLOOKUP(B629,Raw_Suppliers!$A$2:$G$101,7,FALSE)</f>
        <v>1</v>
      </c>
      <c r="P629" t="str">
        <f t="shared" si="55"/>
        <v>Yes</v>
      </c>
      <c r="Q629">
        <f t="shared" si="56"/>
        <v>1</v>
      </c>
      <c r="R629" t="str">
        <f t="shared" si="57"/>
        <v>On Time</v>
      </c>
      <c r="S629">
        <f t="shared" si="58"/>
        <v>2021</v>
      </c>
      <c r="T629">
        <f t="shared" si="59"/>
        <v>6</v>
      </c>
    </row>
    <row r="630" spans="1:20" x14ac:dyDescent="0.25">
      <c r="A630" t="s">
        <v>929</v>
      </c>
      <c r="B630" t="s">
        <v>114</v>
      </c>
      <c r="C630" t="s">
        <v>312</v>
      </c>
      <c r="D630" s="1">
        <v>44340</v>
      </c>
      <c r="E630">
        <v>16</v>
      </c>
      <c r="F630">
        <v>28.626855043828701</v>
      </c>
      <c r="G630" s="1">
        <v>44363</v>
      </c>
      <c r="H630" s="1">
        <v>44364</v>
      </c>
      <c r="I630">
        <v>458.029680701259</v>
      </c>
      <c r="J630">
        <f t="shared" si="54"/>
        <v>1</v>
      </c>
      <c r="K630" t="str">
        <f>VLOOKUP(B630,Raw_Suppliers!$A$2:$G$101,2,FALSE)</f>
        <v>Fusion Fusion LLC</v>
      </c>
      <c r="L630" t="str">
        <f>VLOOKUP(B630,Raw_Suppliers!$A$2:$G$101,3,FALSE)</f>
        <v>China</v>
      </c>
      <c r="M630" t="str">
        <f>VLOOKUP(B630,Raw_Suppliers!$A$2:$G$101,4,FALSE)</f>
        <v>North</v>
      </c>
      <c r="N630" t="str">
        <f>VLOOKUP(B630,Raw_Suppliers!$A$2:$G$101,6,FALSE)</f>
        <v>ISO 45001</v>
      </c>
      <c r="O630">
        <f>VLOOKUP(B630,Raw_Suppliers!$A$2:$G$101,7,FALSE)</f>
        <v>1</v>
      </c>
      <c r="P630" t="str">
        <f t="shared" si="55"/>
        <v>Yes</v>
      </c>
      <c r="Q630">
        <f t="shared" si="56"/>
        <v>0</v>
      </c>
      <c r="R630" t="str">
        <f t="shared" si="57"/>
        <v>Late</v>
      </c>
      <c r="S630">
        <f t="shared" si="58"/>
        <v>2021</v>
      </c>
      <c r="T630">
        <f t="shared" si="59"/>
        <v>5</v>
      </c>
    </row>
    <row r="631" spans="1:20" x14ac:dyDescent="0.25">
      <c r="A631" t="s">
        <v>930</v>
      </c>
      <c r="B631" t="s">
        <v>247</v>
      </c>
      <c r="C631" t="s">
        <v>613</v>
      </c>
      <c r="D631" s="1">
        <v>44647</v>
      </c>
      <c r="E631">
        <v>10</v>
      </c>
      <c r="F631">
        <v>57.085016689539898</v>
      </c>
      <c r="G631" s="1">
        <v>44669</v>
      </c>
      <c r="H631" s="1">
        <v>44672</v>
      </c>
      <c r="I631">
        <v>570.85016689539896</v>
      </c>
      <c r="J631">
        <f t="shared" si="54"/>
        <v>3</v>
      </c>
      <c r="K631" t="str">
        <f>VLOOKUP(B631,Raw_Suppliers!$A$2:$G$101,2,FALSE)</f>
        <v>Ultra Apex LLC</v>
      </c>
      <c r="L631" t="str">
        <f>VLOOKUP(B631,Raw_Suppliers!$A$2:$G$101,3,FALSE)</f>
        <v>Germany</v>
      </c>
      <c r="M631" t="str">
        <f>VLOOKUP(B631,Raw_Suppliers!$A$2:$G$101,4,FALSE)</f>
        <v>West</v>
      </c>
      <c r="N631" t="str">
        <f>VLOOKUP(B631,Raw_Suppliers!$A$2:$G$101,6,FALSE)</f>
        <v>ISO 9001</v>
      </c>
      <c r="O631">
        <f>VLOOKUP(B631,Raw_Suppliers!$A$2:$G$101,7,FALSE)</f>
        <v>0</v>
      </c>
      <c r="P631" t="str">
        <f t="shared" si="55"/>
        <v>No</v>
      </c>
      <c r="Q631">
        <f t="shared" si="56"/>
        <v>0</v>
      </c>
      <c r="R631" t="str">
        <f t="shared" si="57"/>
        <v>Late</v>
      </c>
      <c r="S631">
        <f t="shared" si="58"/>
        <v>2022</v>
      </c>
      <c r="T631">
        <f t="shared" si="59"/>
        <v>3</v>
      </c>
    </row>
    <row r="632" spans="1:20" x14ac:dyDescent="0.25">
      <c r="A632" t="s">
        <v>931</v>
      </c>
      <c r="B632" t="s">
        <v>143</v>
      </c>
      <c r="C632" t="s">
        <v>356</v>
      </c>
      <c r="D632" s="1">
        <v>44669</v>
      </c>
      <c r="E632">
        <v>11</v>
      </c>
      <c r="F632">
        <v>23.876158539248099</v>
      </c>
      <c r="G632" s="1">
        <v>44679</v>
      </c>
      <c r="H632" s="1">
        <v>44683</v>
      </c>
      <c r="I632">
        <v>262.63774393172901</v>
      </c>
      <c r="J632">
        <f t="shared" si="54"/>
        <v>4</v>
      </c>
      <c r="K632" t="str">
        <f>VLOOKUP(B632,Raw_Suppliers!$A$2:$G$101,2,FALSE)</f>
        <v>Prime Gamma Inc</v>
      </c>
      <c r="L632" t="str">
        <f>VLOOKUP(B632,Raw_Suppliers!$A$2:$G$101,3,FALSE)</f>
        <v>China</v>
      </c>
      <c r="M632" t="str">
        <f>VLOOKUP(B632,Raw_Suppliers!$A$2:$G$101,4,FALSE)</f>
        <v>East</v>
      </c>
      <c r="N632" t="str">
        <f>VLOOKUP(B632,Raw_Suppliers!$A$2:$G$101,6,FALSE)</f>
        <v>ISO 14001</v>
      </c>
      <c r="O632">
        <f>VLOOKUP(B632,Raw_Suppliers!$A$2:$G$101,7,FALSE)</f>
        <v>0</v>
      </c>
      <c r="P632" t="str">
        <f t="shared" si="55"/>
        <v>No</v>
      </c>
      <c r="Q632">
        <f t="shared" si="56"/>
        <v>0</v>
      </c>
      <c r="R632" t="str">
        <f t="shared" si="57"/>
        <v>Late</v>
      </c>
      <c r="S632">
        <f t="shared" si="58"/>
        <v>2022</v>
      </c>
      <c r="T632">
        <f t="shared" si="59"/>
        <v>4</v>
      </c>
    </row>
    <row r="633" spans="1:20" x14ac:dyDescent="0.25">
      <c r="A633" t="s">
        <v>932</v>
      </c>
      <c r="B633" t="s">
        <v>369</v>
      </c>
      <c r="C633" t="s">
        <v>437</v>
      </c>
      <c r="D633" s="1">
        <v>45357</v>
      </c>
      <c r="E633">
        <v>7</v>
      </c>
      <c r="F633">
        <v>10.0427797676367</v>
      </c>
      <c r="G633" s="1">
        <v>45373</v>
      </c>
      <c r="H633" s="1">
        <v>45376</v>
      </c>
      <c r="I633">
        <v>70.299458373457099</v>
      </c>
      <c r="J633">
        <f t="shared" si="54"/>
        <v>3</v>
      </c>
      <c r="K633" t="str">
        <f>VLOOKUP(B633,Raw_Suppliers!$A$2:$G$101,2,FALSE)</f>
        <v>Beta Fusion GmbH</v>
      </c>
      <c r="L633" t="str">
        <f>VLOOKUP(B633,Raw_Suppliers!$A$2:$G$101,3,FALSE)</f>
        <v>China</v>
      </c>
      <c r="M633" t="str">
        <f>VLOOKUP(B633,Raw_Suppliers!$A$2:$G$101,4,FALSE)</f>
        <v>South</v>
      </c>
      <c r="N633" t="str">
        <f>VLOOKUP(B633,Raw_Suppliers!$A$2:$G$101,6,FALSE)</f>
        <v>ISO 9001</v>
      </c>
      <c r="O633">
        <f>VLOOKUP(B633,Raw_Suppliers!$A$2:$G$101,7,FALSE)</f>
        <v>0</v>
      </c>
      <c r="P633" t="str">
        <f t="shared" si="55"/>
        <v>No</v>
      </c>
      <c r="Q633">
        <f t="shared" si="56"/>
        <v>0</v>
      </c>
      <c r="R633" t="str">
        <f t="shared" si="57"/>
        <v>Late</v>
      </c>
      <c r="S633">
        <f t="shared" si="58"/>
        <v>2024</v>
      </c>
      <c r="T633">
        <f t="shared" si="59"/>
        <v>3</v>
      </c>
    </row>
    <row r="634" spans="1:20" x14ac:dyDescent="0.25">
      <c r="A634" t="s">
        <v>933</v>
      </c>
      <c r="B634" t="s">
        <v>539</v>
      </c>
      <c r="C634" t="s">
        <v>418</v>
      </c>
      <c r="D634" s="1">
        <v>44602</v>
      </c>
      <c r="E634">
        <v>8</v>
      </c>
      <c r="F634">
        <v>69.430328558470094</v>
      </c>
      <c r="G634" s="1">
        <v>44620</v>
      </c>
      <c r="H634" s="1">
        <v>44626</v>
      </c>
      <c r="I634">
        <v>555.44262846775996</v>
      </c>
      <c r="J634">
        <f t="shared" si="54"/>
        <v>6</v>
      </c>
      <c r="K634" t="str">
        <f>VLOOKUP(B634,Raw_Suppliers!$A$2:$G$101,2,FALSE)</f>
        <v>Eco Eco Ltd</v>
      </c>
      <c r="L634" t="str">
        <f>VLOOKUP(B634,Raw_Suppliers!$A$2:$G$101,3,FALSE)</f>
        <v>USA</v>
      </c>
      <c r="M634" t="str">
        <f>VLOOKUP(B634,Raw_Suppliers!$A$2:$G$101,4,FALSE)</f>
        <v>South</v>
      </c>
      <c r="N634" t="str">
        <f>VLOOKUP(B634,Raw_Suppliers!$A$2:$G$101,6,FALSE)</f>
        <v>ISO 45001</v>
      </c>
      <c r="O634">
        <f>VLOOKUP(B634,Raw_Suppliers!$A$2:$G$101,7,FALSE)</f>
        <v>1</v>
      </c>
      <c r="P634" t="str">
        <f t="shared" si="55"/>
        <v>Yes</v>
      </c>
      <c r="Q634">
        <f t="shared" si="56"/>
        <v>0</v>
      </c>
      <c r="R634" t="str">
        <f t="shared" si="57"/>
        <v>Late</v>
      </c>
      <c r="S634">
        <f t="shared" si="58"/>
        <v>2022</v>
      </c>
      <c r="T634">
        <f t="shared" si="59"/>
        <v>2</v>
      </c>
    </row>
    <row r="635" spans="1:20" x14ac:dyDescent="0.25">
      <c r="A635" t="s">
        <v>934</v>
      </c>
      <c r="B635" t="s">
        <v>324</v>
      </c>
      <c r="C635" t="s">
        <v>152</v>
      </c>
      <c r="D635" s="1">
        <v>45355</v>
      </c>
      <c r="E635">
        <v>13</v>
      </c>
      <c r="F635">
        <v>53.609390064827799</v>
      </c>
      <c r="G635" s="1">
        <v>45373</v>
      </c>
      <c r="H635" s="1">
        <v>45378</v>
      </c>
      <c r="I635">
        <v>696.92207084276095</v>
      </c>
      <c r="J635">
        <f t="shared" si="54"/>
        <v>5</v>
      </c>
      <c r="K635" t="str">
        <f>VLOOKUP(B635,Raw_Suppliers!$A$2:$G$101,2,FALSE)</f>
        <v>Gamma Nano Corp</v>
      </c>
      <c r="L635" t="str">
        <f>VLOOKUP(B635,Raw_Suppliers!$A$2:$G$101,3,FALSE)</f>
        <v>Germany</v>
      </c>
      <c r="M635" t="str">
        <f>VLOOKUP(B635,Raw_Suppliers!$A$2:$G$101,4,FALSE)</f>
        <v>West</v>
      </c>
      <c r="N635" t="str">
        <f>VLOOKUP(B635,Raw_Suppliers!$A$2:$G$101,6,FALSE)</f>
        <v>ISO 9001</v>
      </c>
      <c r="O635">
        <f>VLOOKUP(B635,Raw_Suppliers!$A$2:$G$101,7,FALSE)</f>
        <v>0</v>
      </c>
      <c r="P635" t="str">
        <f t="shared" si="55"/>
        <v>No</v>
      </c>
      <c r="Q635">
        <f t="shared" si="56"/>
        <v>0</v>
      </c>
      <c r="R635" t="str">
        <f t="shared" si="57"/>
        <v>Late</v>
      </c>
      <c r="S635">
        <f t="shared" si="58"/>
        <v>2024</v>
      </c>
      <c r="T635">
        <f t="shared" si="59"/>
        <v>3</v>
      </c>
    </row>
    <row r="636" spans="1:20" x14ac:dyDescent="0.25">
      <c r="A636" t="s">
        <v>935</v>
      </c>
      <c r="B636" t="s">
        <v>67</v>
      </c>
      <c r="C636" t="s">
        <v>356</v>
      </c>
      <c r="D636" s="1">
        <v>44882</v>
      </c>
      <c r="E636">
        <v>11</v>
      </c>
      <c r="F636">
        <v>32.848178888499703</v>
      </c>
      <c r="G636" s="1">
        <v>44905</v>
      </c>
      <c r="H636" s="1">
        <v>44907</v>
      </c>
      <c r="I636">
        <v>361.32996777349598</v>
      </c>
      <c r="J636">
        <f t="shared" si="54"/>
        <v>2</v>
      </c>
      <c r="K636" t="str">
        <f>VLOOKUP(B636,Raw_Suppliers!$A$2:$G$101,2,FALSE)</f>
        <v>Nova Eco LLC</v>
      </c>
      <c r="L636" t="str">
        <f>VLOOKUP(B636,Raw_Suppliers!$A$2:$G$101,3,FALSE)</f>
        <v>Germany</v>
      </c>
      <c r="M636" t="str">
        <f>VLOOKUP(B636,Raw_Suppliers!$A$2:$G$101,4,FALSE)</f>
        <v>Central</v>
      </c>
      <c r="N636" t="str">
        <f>VLOOKUP(B636,Raw_Suppliers!$A$2:$G$101,6,FALSE)</f>
        <v>ISO 9001</v>
      </c>
      <c r="O636">
        <f>VLOOKUP(B636,Raw_Suppliers!$A$2:$G$101,7,FALSE)</f>
        <v>1</v>
      </c>
      <c r="P636" t="str">
        <f t="shared" si="55"/>
        <v>Yes</v>
      </c>
      <c r="Q636">
        <f t="shared" si="56"/>
        <v>0</v>
      </c>
      <c r="R636" t="str">
        <f t="shared" si="57"/>
        <v>Late</v>
      </c>
      <c r="S636">
        <f t="shared" si="58"/>
        <v>2022</v>
      </c>
      <c r="T636">
        <f t="shared" si="59"/>
        <v>11</v>
      </c>
    </row>
    <row r="637" spans="1:20" x14ac:dyDescent="0.25">
      <c r="A637" t="s">
        <v>936</v>
      </c>
      <c r="B637" t="s">
        <v>96</v>
      </c>
      <c r="C637" t="s">
        <v>795</v>
      </c>
      <c r="D637" s="1">
        <v>45122</v>
      </c>
      <c r="E637">
        <v>7</v>
      </c>
      <c r="F637">
        <v>57.980531610390003</v>
      </c>
      <c r="G637" s="1">
        <v>45139</v>
      </c>
      <c r="H637" s="1">
        <v>45142</v>
      </c>
      <c r="I637">
        <v>405.86372127273</v>
      </c>
      <c r="J637">
        <f t="shared" si="54"/>
        <v>3</v>
      </c>
      <c r="K637" t="str">
        <f>VLOOKUP(B637,Raw_Suppliers!$A$2:$G$101,2,FALSE)</f>
        <v>Alpha Nova Ltd</v>
      </c>
      <c r="L637" t="str">
        <f>VLOOKUP(B637,Raw_Suppliers!$A$2:$G$101,3,FALSE)</f>
        <v>UK</v>
      </c>
      <c r="M637" t="str">
        <f>VLOOKUP(B637,Raw_Suppliers!$A$2:$G$101,4,FALSE)</f>
        <v>West</v>
      </c>
      <c r="N637" t="str">
        <f>VLOOKUP(B637,Raw_Suppliers!$A$2:$G$101,6,FALSE)</f>
        <v>ISO 14001</v>
      </c>
      <c r="O637">
        <f>VLOOKUP(B637,Raw_Suppliers!$A$2:$G$101,7,FALSE)</f>
        <v>0</v>
      </c>
      <c r="P637" t="str">
        <f t="shared" si="55"/>
        <v>No</v>
      </c>
      <c r="Q637">
        <f t="shared" si="56"/>
        <v>0</v>
      </c>
      <c r="R637" t="str">
        <f t="shared" si="57"/>
        <v>Late</v>
      </c>
      <c r="S637">
        <f t="shared" si="58"/>
        <v>2023</v>
      </c>
      <c r="T637">
        <f t="shared" si="59"/>
        <v>7</v>
      </c>
    </row>
    <row r="638" spans="1:20" x14ac:dyDescent="0.25">
      <c r="A638" t="s">
        <v>937</v>
      </c>
      <c r="B638" t="s">
        <v>176</v>
      </c>
      <c r="C638" t="s">
        <v>370</v>
      </c>
      <c r="D638" s="1">
        <v>44214</v>
      </c>
      <c r="E638">
        <v>6</v>
      </c>
      <c r="F638">
        <v>63.810143819086697</v>
      </c>
      <c r="G638" s="1">
        <v>44225</v>
      </c>
      <c r="H638" s="1">
        <v>44224</v>
      </c>
      <c r="I638">
        <v>382.86086291452</v>
      </c>
      <c r="J638">
        <f t="shared" si="54"/>
        <v>-1</v>
      </c>
      <c r="K638" t="str">
        <f>VLOOKUP(B638,Raw_Suppliers!$A$2:$G$101,2,FALSE)</f>
        <v>Nano Ultra Corp</v>
      </c>
      <c r="L638" t="str">
        <f>VLOOKUP(B638,Raw_Suppliers!$A$2:$G$101,3,FALSE)</f>
        <v>Canada</v>
      </c>
      <c r="M638" t="str">
        <f>VLOOKUP(B638,Raw_Suppliers!$A$2:$G$101,4,FALSE)</f>
        <v>Central</v>
      </c>
      <c r="N638" t="str">
        <f>VLOOKUP(B638,Raw_Suppliers!$A$2:$G$101,6,FALSE)</f>
        <v>ISO 9001</v>
      </c>
      <c r="O638">
        <f>VLOOKUP(B638,Raw_Suppliers!$A$2:$G$101,7,FALSE)</f>
        <v>0</v>
      </c>
      <c r="P638" t="str">
        <f t="shared" si="55"/>
        <v>No</v>
      </c>
      <c r="Q638">
        <f t="shared" si="56"/>
        <v>1</v>
      </c>
      <c r="R638" t="str">
        <f t="shared" si="57"/>
        <v>On Time</v>
      </c>
      <c r="S638">
        <f t="shared" si="58"/>
        <v>2021</v>
      </c>
      <c r="T638">
        <f t="shared" si="59"/>
        <v>1</v>
      </c>
    </row>
    <row r="639" spans="1:20" x14ac:dyDescent="0.25">
      <c r="A639" t="s">
        <v>938</v>
      </c>
      <c r="B639" t="s">
        <v>43</v>
      </c>
      <c r="C639" t="s">
        <v>571</v>
      </c>
      <c r="D639" s="1">
        <v>44729</v>
      </c>
      <c r="E639">
        <v>5</v>
      </c>
      <c r="F639">
        <v>56.840723950559301</v>
      </c>
      <c r="G639" s="1">
        <v>44744</v>
      </c>
      <c r="H639" s="1">
        <v>44750</v>
      </c>
      <c r="I639">
        <v>284.20361975279599</v>
      </c>
      <c r="J639">
        <f t="shared" si="54"/>
        <v>6</v>
      </c>
      <c r="K639" t="str">
        <f>VLOOKUP(B639,Raw_Suppliers!$A$2:$G$101,2,FALSE)</f>
        <v>Alpha Ultra Corp</v>
      </c>
      <c r="L639" t="str">
        <f>VLOOKUP(B639,Raw_Suppliers!$A$2:$G$101,3,FALSE)</f>
        <v>USA</v>
      </c>
      <c r="M639" t="str">
        <f>VLOOKUP(B639,Raw_Suppliers!$A$2:$G$101,4,FALSE)</f>
        <v>Central</v>
      </c>
      <c r="N639" t="str">
        <f>VLOOKUP(B639,Raw_Suppliers!$A$2:$G$101,6,FALSE)</f>
        <v>ISO 9001</v>
      </c>
      <c r="O639">
        <f>VLOOKUP(B639,Raw_Suppliers!$A$2:$G$101,7,FALSE)</f>
        <v>1</v>
      </c>
      <c r="P639" t="str">
        <f t="shared" si="55"/>
        <v>Yes</v>
      </c>
      <c r="Q639">
        <f t="shared" si="56"/>
        <v>0</v>
      </c>
      <c r="R639" t="str">
        <f t="shared" si="57"/>
        <v>Late</v>
      </c>
      <c r="S639">
        <f t="shared" si="58"/>
        <v>2022</v>
      </c>
      <c r="T639">
        <f t="shared" si="59"/>
        <v>6</v>
      </c>
    </row>
    <row r="640" spans="1:20" x14ac:dyDescent="0.25">
      <c r="A640" t="s">
        <v>939</v>
      </c>
      <c r="B640" t="s">
        <v>340</v>
      </c>
      <c r="C640" t="s">
        <v>691</v>
      </c>
      <c r="D640" s="1">
        <v>45119</v>
      </c>
      <c r="E640">
        <v>13</v>
      </c>
      <c r="F640">
        <v>60.069912302026196</v>
      </c>
      <c r="G640" s="1">
        <v>45132</v>
      </c>
      <c r="H640" s="1">
        <v>45136</v>
      </c>
      <c r="I640">
        <v>780.90885992634105</v>
      </c>
      <c r="J640">
        <f t="shared" si="54"/>
        <v>4</v>
      </c>
      <c r="K640" t="str">
        <f>VLOOKUP(B640,Raw_Suppliers!$A$2:$G$101,2,FALSE)</f>
        <v>Pioneer Ultra GmbH</v>
      </c>
      <c r="L640" t="str">
        <f>VLOOKUP(B640,Raw_Suppliers!$A$2:$G$101,3,FALSE)</f>
        <v>China</v>
      </c>
      <c r="M640" t="str">
        <f>VLOOKUP(B640,Raw_Suppliers!$A$2:$G$101,4,FALSE)</f>
        <v>Central</v>
      </c>
      <c r="N640" t="str">
        <f>VLOOKUP(B640,Raw_Suppliers!$A$2:$G$101,6,FALSE)</f>
        <v>ISO 9001</v>
      </c>
      <c r="O640">
        <f>VLOOKUP(B640,Raw_Suppliers!$A$2:$G$101,7,FALSE)</f>
        <v>0</v>
      </c>
      <c r="P640" t="str">
        <f t="shared" si="55"/>
        <v>No</v>
      </c>
      <c r="Q640">
        <f t="shared" si="56"/>
        <v>0</v>
      </c>
      <c r="R640" t="str">
        <f t="shared" si="57"/>
        <v>Late</v>
      </c>
      <c r="S640">
        <f t="shared" si="58"/>
        <v>2023</v>
      </c>
      <c r="T640">
        <f t="shared" si="59"/>
        <v>7</v>
      </c>
    </row>
    <row r="641" spans="1:20" x14ac:dyDescent="0.25">
      <c r="A641" t="s">
        <v>940</v>
      </c>
      <c r="B641" t="s">
        <v>564</v>
      </c>
      <c r="C641" t="s">
        <v>703</v>
      </c>
      <c r="D641" s="1">
        <v>44982</v>
      </c>
      <c r="E641">
        <v>10</v>
      </c>
      <c r="F641">
        <v>71.565113910148597</v>
      </c>
      <c r="G641" s="1">
        <v>44997</v>
      </c>
      <c r="H641" s="1">
        <v>45003</v>
      </c>
      <c r="I641">
        <v>715.65113910148602</v>
      </c>
      <c r="J641">
        <f t="shared" si="54"/>
        <v>6</v>
      </c>
      <c r="K641" t="str">
        <f>VLOOKUP(B641,Raw_Suppliers!$A$2:$G$101,2,FALSE)</f>
        <v>Ultra Ultra GmbH</v>
      </c>
      <c r="L641" t="str">
        <f>VLOOKUP(B641,Raw_Suppliers!$A$2:$G$101,3,FALSE)</f>
        <v>India</v>
      </c>
      <c r="M641" t="str">
        <f>VLOOKUP(B641,Raw_Suppliers!$A$2:$G$101,4,FALSE)</f>
        <v>Central</v>
      </c>
      <c r="N641" t="str">
        <f>VLOOKUP(B641,Raw_Suppliers!$A$2:$G$101,6,FALSE)</f>
        <v>ISO 14001</v>
      </c>
      <c r="O641">
        <f>VLOOKUP(B641,Raw_Suppliers!$A$2:$G$101,7,FALSE)</f>
        <v>1</v>
      </c>
      <c r="P641" t="str">
        <f t="shared" si="55"/>
        <v>Yes</v>
      </c>
      <c r="Q641">
        <f t="shared" si="56"/>
        <v>0</v>
      </c>
      <c r="R641" t="str">
        <f t="shared" si="57"/>
        <v>Late</v>
      </c>
      <c r="S641">
        <f t="shared" si="58"/>
        <v>2023</v>
      </c>
      <c r="T641">
        <f t="shared" si="59"/>
        <v>2</v>
      </c>
    </row>
    <row r="642" spans="1:20" x14ac:dyDescent="0.25">
      <c r="A642" t="s">
        <v>941</v>
      </c>
      <c r="B642" t="s">
        <v>96</v>
      </c>
      <c r="C642" t="s">
        <v>581</v>
      </c>
      <c r="D642" s="1">
        <v>44966</v>
      </c>
      <c r="E642">
        <v>15</v>
      </c>
      <c r="F642">
        <v>57.476374674558002</v>
      </c>
      <c r="G642" s="1">
        <v>44990</v>
      </c>
      <c r="H642" s="1">
        <v>44987</v>
      </c>
      <c r="I642">
        <v>862.14562011836995</v>
      </c>
      <c r="J642">
        <f t="shared" si="54"/>
        <v>-3</v>
      </c>
      <c r="K642" t="str">
        <f>VLOOKUP(B642,Raw_Suppliers!$A$2:$G$101,2,FALSE)</f>
        <v>Alpha Nova Ltd</v>
      </c>
      <c r="L642" t="str">
        <f>VLOOKUP(B642,Raw_Suppliers!$A$2:$G$101,3,FALSE)</f>
        <v>UK</v>
      </c>
      <c r="M642" t="str">
        <f>VLOOKUP(B642,Raw_Suppliers!$A$2:$G$101,4,FALSE)</f>
        <v>West</v>
      </c>
      <c r="N642" t="str">
        <f>VLOOKUP(B642,Raw_Suppliers!$A$2:$G$101,6,FALSE)</f>
        <v>ISO 14001</v>
      </c>
      <c r="O642">
        <f>VLOOKUP(B642,Raw_Suppliers!$A$2:$G$101,7,FALSE)</f>
        <v>0</v>
      </c>
      <c r="P642" t="str">
        <f t="shared" si="55"/>
        <v>No</v>
      </c>
      <c r="Q642">
        <f t="shared" si="56"/>
        <v>1</v>
      </c>
      <c r="R642" t="str">
        <f t="shared" si="57"/>
        <v>On Time</v>
      </c>
      <c r="S642">
        <f t="shared" si="58"/>
        <v>2023</v>
      </c>
      <c r="T642">
        <f t="shared" si="59"/>
        <v>2</v>
      </c>
    </row>
    <row r="643" spans="1:20" x14ac:dyDescent="0.25">
      <c r="A643" t="s">
        <v>942</v>
      </c>
      <c r="B643" t="s">
        <v>91</v>
      </c>
      <c r="C643" t="s">
        <v>17</v>
      </c>
      <c r="D643" s="1">
        <v>44509</v>
      </c>
      <c r="E643">
        <v>12</v>
      </c>
      <c r="F643">
        <v>45.7775549235865</v>
      </c>
      <c r="G643" s="1">
        <v>44519</v>
      </c>
      <c r="H643" s="1">
        <v>44520</v>
      </c>
      <c r="I643">
        <v>549.33065908303797</v>
      </c>
      <c r="J643">
        <f t="shared" ref="J643:J706" si="60">H643-G643</f>
        <v>1</v>
      </c>
      <c r="K643" t="str">
        <f>VLOOKUP(B643,Raw_Suppliers!$A$2:$G$101,2,FALSE)</f>
        <v>Apex Prime Ltd</v>
      </c>
      <c r="L643" t="str">
        <f>VLOOKUP(B643,Raw_Suppliers!$A$2:$G$101,3,FALSE)</f>
        <v>India</v>
      </c>
      <c r="M643" t="str">
        <f>VLOOKUP(B643,Raw_Suppliers!$A$2:$G$101,4,FALSE)</f>
        <v>South</v>
      </c>
      <c r="N643" t="str">
        <f>VLOOKUP(B643,Raw_Suppliers!$A$2:$G$101,6,FALSE)</f>
        <v>ISO 9001</v>
      </c>
      <c r="O643">
        <f>VLOOKUP(B643,Raw_Suppliers!$A$2:$G$101,7,FALSE)</f>
        <v>0</v>
      </c>
      <c r="P643" t="str">
        <f t="shared" ref="P643:P706" si="61">IF(O643=1,"Yes","No")</f>
        <v>No</v>
      </c>
      <c r="Q643">
        <f t="shared" ref="Q643:Q706" si="62">IF(J643&lt;=0,1,0)</f>
        <v>0</v>
      </c>
      <c r="R643" t="str">
        <f t="shared" ref="R643:R706" si="63">IF(Q643=1,"On Time","Late")</f>
        <v>Late</v>
      </c>
      <c r="S643">
        <f t="shared" ref="S643:S706" si="64">YEAR(D643)</f>
        <v>2021</v>
      </c>
      <c r="T643">
        <f t="shared" ref="T643:T706" si="65">MONTH(D643)</f>
        <v>11</v>
      </c>
    </row>
    <row r="644" spans="1:20" x14ac:dyDescent="0.25">
      <c r="A644" t="s">
        <v>943</v>
      </c>
      <c r="B644" t="s">
        <v>186</v>
      </c>
      <c r="C644" t="s">
        <v>233</v>
      </c>
      <c r="D644" s="1">
        <v>44595</v>
      </c>
      <c r="E644">
        <v>10</v>
      </c>
      <c r="F644">
        <v>24.787986948042601</v>
      </c>
      <c r="G644" s="1">
        <v>44611</v>
      </c>
      <c r="H644" s="1">
        <v>44617</v>
      </c>
      <c r="I644">
        <v>247.87986948042601</v>
      </c>
      <c r="J644">
        <f t="shared" si="60"/>
        <v>6</v>
      </c>
      <c r="K644" t="str">
        <f>VLOOKUP(B644,Raw_Suppliers!$A$2:$G$101,2,FALSE)</f>
        <v>Omega Vertex Inc</v>
      </c>
      <c r="L644" t="str">
        <f>VLOOKUP(B644,Raw_Suppliers!$A$2:$G$101,3,FALSE)</f>
        <v>China</v>
      </c>
      <c r="M644" t="str">
        <f>VLOOKUP(B644,Raw_Suppliers!$A$2:$G$101,4,FALSE)</f>
        <v>West</v>
      </c>
      <c r="N644" t="str">
        <f>VLOOKUP(B644,Raw_Suppliers!$A$2:$G$101,6,FALSE)</f>
        <v>ISO 14001</v>
      </c>
      <c r="O644">
        <f>VLOOKUP(B644,Raw_Suppliers!$A$2:$G$101,7,FALSE)</f>
        <v>1</v>
      </c>
      <c r="P644" t="str">
        <f t="shared" si="61"/>
        <v>Yes</v>
      </c>
      <c r="Q644">
        <f t="shared" si="62"/>
        <v>0</v>
      </c>
      <c r="R644" t="str">
        <f t="shared" si="63"/>
        <v>Late</v>
      </c>
      <c r="S644">
        <f t="shared" si="64"/>
        <v>2022</v>
      </c>
      <c r="T644">
        <f t="shared" si="65"/>
        <v>2</v>
      </c>
    </row>
    <row r="645" spans="1:20" x14ac:dyDescent="0.25">
      <c r="A645" t="s">
        <v>944</v>
      </c>
      <c r="B645" t="s">
        <v>109</v>
      </c>
      <c r="C645" t="s">
        <v>310</v>
      </c>
      <c r="D645" s="1">
        <v>44576</v>
      </c>
      <c r="E645">
        <v>6</v>
      </c>
      <c r="F645">
        <v>64.944238720595095</v>
      </c>
      <c r="G645" s="1">
        <v>44594</v>
      </c>
      <c r="H645" s="1">
        <v>44594</v>
      </c>
      <c r="I645">
        <v>389.66543232356997</v>
      </c>
      <c r="J645">
        <f t="shared" si="60"/>
        <v>0</v>
      </c>
      <c r="K645" t="str">
        <f>VLOOKUP(B645,Raw_Suppliers!$A$2:$G$101,2,FALSE)</f>
        <v>Nano Fusion GmbH</v>
      </c>
      <c r="L645" t="str">
        <f>VLOOKUP(B645,Raw_Suppliers!$A$2:$G$101,3,FALSE)</f>
        <v>Denmark</v>
      </c>
      <c r="M645" t="str">
        <f>VLOOKUP(B645,Raw_Suppliers!$A$2:$G$101,4,FALSE)</f>
        <v>North</v>
      </c>
      <c r="N645" t="str">
        <f>VLOOKUP(B645,Raw_Suppliers!$A$2:$G$101,6,FALSE)</f>
        <v>ISO 9001</v>
      </c>
      <c r="O645">
        <f>VLOOKUP(B645,Raw_Suppliers!$A$2:$G$101,7,FALSE)</f>
        <v>0</v>
      </c>
      <c r="P645" t="str">
        <f t="shared" si="61"/>
        <v>No</v>
      </c>
      <c r="Q645">
        <f t="shared" si="62"/>
        <v>1</v>
      </c>
      <c r="R645" t="str">
        <f t="shared" si="63"/>
        <v>On Time</v>
      </c>
      <c r="S645">
        <f t="shared" si="64"/>
        <v>2022</v>
      </c>
      <c r="T645">
        <f t="shared" si="65"/>
        <v>1</v>
      </c>
    </row>
    <row r="646" spans="1:20" x14ac:dyDescent="0.25">
      <c r="A646" t="s">
        <v>945</v>
      </c>
      <c r="B646" t="s">
        <v>179</v>
      </c>
      <c r="C646" t="s">
        <v>233</v>
      </c>
      <c r="D646" s="1">
        <v>44200</v>
      </c>
      <c r="E646">
        <v>10</v>
      </c>
      <c r="F646">
        <v>44.180562703579398</v>
      </c>
      <c r="G646" s="1">
        <v>44222</v>
      </c>
      <c r="H646" s="1">
        <v>44227</v>
      </c>
      <c r="I646">
        <v>441.80562703579398</v>
      </c>
      <c r="J646">
        <f t="shared" si="60"/>
        <v>5</v>
      </c>
      <c r="K646" t="str">
        <f>VLOOKUP(B646,Raw_Suppliers!$A$2:$G$101,2,FALSE)</f>
        <v>Nova Gamma Ltd</v>
      </c>
      <c r="L646" t="str">
        <f>VLOOKUP(B646,Raw_Suppliers!$A$2:$G$101,3,FALSE)</f>
        <v>Denmark</v>
      </c>
      <c r="M646" t="str">
        <f>VLOOKUP(B646,Raw_Suppliers!$A$2:$G$101,4,FALSE)</f>
        <v>East</v>
      </c>
      <c r="N646" t="str">
        <f>VLOOKUP(B646,Raw_Suppliers!$A$2:$G$101,6,FALSE)</f>
        <v>ISO 9001</v>
      </c>
      <c r="O646">
        <f>VLOOKUP(B646,Raw_Suppliers!$A$2:$G$101,7,FALSE)</f>
        <v>0</v>
      </c>
      <c r="P646" t="str">
        <f t="shared" si="61"/>
        <v>No</v>
      </c>
      <c r="Q646">
        <f t="shared" si="62"/>
        <v>0</v>
      </c>
      <c r="R646" t="str">
        <f t="shared" si="63"/>
        <v>Late</v>
      </c>
      <c r="S646">
        <f t="shared" si="64"/>
        <v>2021</v>
      </c>
      <c r="T646">
        <f t="shared" si="65"/>
        <v>1</v>
      </c>
    </row>
    <row r="647" spans="1:20" x14ac:dyDescent="0.25">
      <c r="A647" t="s">
        <v>946</v>
      </c>
      <c r="B647" t="s">
        <v>194</v>
      </c>
      <c r="C647" t="s">
        <v>190</v>
      </c>
      <c r="D647" s="1">
        <v>45107</v>
      </c>
      <c r="E647">
        <v>10</v>
      </c>
      <c r="F647">
        <v>75.245397952022401</v>
      </c>
      <c r="G647" s="1">
        <v>45119</v>
      </c>
      <c r="H647" s="1">
        <v>45124</v>
      </c>
      <c r="I647">
        <v>752.45397952022404</v>
      </c>
      <c r="J647">
        <f t="shared" si="60"/>
        <v>5</v>
      </c>
      <c r="K647" t="str">
        <f>VLOOKUP(B647,Raw_Suppliers!$A$2:$G$101,2,FALSE)</f>
        <v>Eco Pioneer Corp</v>
      </c>
      <c r="L647" t="str">
        <f>VLOOKUP(B647,Raw_Suppliers!$A$2:$G$101,3,FALSE)</f>
        <v>China</v>
      </c>
      <c r="M647" t="str">
        <f>VLOOKUP(B647,Raw_Suppliers!$A$2:$G$101,4,FALSE)</f>
        <v>East</v>
      </c>
      <c r="N647" t="str">
        <f>VLOOKUP(B647,Raw_Suppliers!$A$2:$G$101,6,FALSE)</f>
        <v>ISO 14001</v>
      </c>
      <c r="O647">
        <f>VLOOKUP(B647,Raw_Suppliers!$A$2:$G$101,7,FALSE)</f>
        <v>1</v>
      </c>
      <c r="P647" t="str">
        <f t="shared" si="61"/>
        <v>Yes</v>
      </c>
      <c r="Q647">
        <f t="shared" si="62"/>
        <v>0</v>
      </c>
      <c r="R647" t="str">
        <f t="shared" si="63"/>
        <v>Late</v>
      </c>
      <c r="S647">
        <f t="shared" si="64"/>
        <v>2023</v>
      </c>
      <c r="T647">
        <f t="shared" si="65"/>
        <v>6</v>
      </c>
    </row>
    <row r="648" spans="1:20" x14ac:dyDescent="0.25">
      <c r="A648" t="s">
        <v>947</v>
      </c>
      <c r="B648" t="s">
        <v>176</v>
      </c>
      <c r="C648" t="s">
        <v>177</v>
      </c>
      <c r="D648" s="1">
        <v>45297</v>
      </c>
      <c r="E648">
        <v>10</v>
      </c>
      <c r="F648">
        <v>69.125607262840603</v>
      </c>
      <c r="G648" s="1">
        <v>45312</v>
      </c>
      <c r="H648" s="1">
        <v>45313</v>
      </c>
      <c r="I648">
        <v>691.25607262840595</v>
      </c>
      <c r="J648">
        <f t="shared" si="60"/>
        <v>1</v>
      </c>
      <c r="K648" t="str">
        <f>VLOOKUP(B648,Raw_Suppliers!$A$2:$G$101,2,FALSE)</f>
        <v>Nano Ultra Corp</v>
      </c>
      <c r="L648" t="str">
        <f>VLOOKUP(B648,Raw_Suppliers!$A$2:$G$101,3,FALSE)</f>
        <v>Canada</v>
      </c>
      <c r="M648" t="str">
        <f>VLOOKUP(B648,Raw_Suppliers!$A$2:$G$101,4,FALSE)</f>
        <v>Central</v>
      </c>
      <c r="N648" t="str">
        <f>VLOOKUP(B648,Raw_Suppliers!$A$2:$G$101,6,FALSE)</f>
        <v>ISO 9001</v>
      </c>
      <c r="O648">
        <f>VLOOKUP(B648,Raw_Suppliers!$A$2:$G$101,7,FALSE)</f>
        <v>0</v>
      </c>
      <c r="P648" t="str">
        <f t="shared" si="61"/>
        <v>No</v>
      </c>
      <c r="Q648">
        <f t="shared" si="62"/>
        <v>0</v>
      </c>
      <c r="R648" t="str">
        <f t="shared" si="63"/>
        <v>Late</v>
      </c>
      <c r="S648">
        <f t="shared" si="64"/>
        <v>2024</v>
      </c>
      <c r="T648">
        <f t="shared" si="65"/>
        <v>1</v>
      </c>
    </row>
    <row r="649" spans="1:20" x14ac:dyDescent="0.25">
      <c r="A649" t="s">
        <v>948</v>
      </c>
      <c r="B649" t="s">
        <v>411</v>
      </c>
      <c r="C649" t="s">
        <v>212</v>
      </c>
      <c r="D649" s="1">
        <v>44779</v>
      </c>
      <c r="E649">
        <v>9</v>
      </c>
      <c r="F649">
        <v>23.727954382872799</v>
      </c>
      <c r="G649" s="1">
        <v>44791</v>
      </c>
      <c r="H649" s="1">
        <v>44793</v>
      </c>
      <c r="I649">
        <v>213.551589445855</v>
      </c>
      <c r="J649">
        <f t="shared" si="60"/>
        <v>2</v>
      </c>
      <c r="K649" t="str">
        <f>VLOOKUP(B649,Raw_Suppliers!$A$2:$G$101,2,FALSE)</f>
        <v>Gamma Nova LLC</v>
      </c>
      <c r="L649" t="str">
        <f>VLOOKUP(B649,Raw_Suppliers!$A$2:$G$101,3,FALSE)</f>
        <v>Brazil</v>
      </c>
      <c r="M649" t="str">
        <f>VLOOKUP(B649,Raw_Suppliers!$A$2:$G$101,4,FALSE)</f>
        <v>North</v>
      </c>
      <c r="N649" t="str">
        <f>VLOOKUP(B649,Raw_Suppliers!$A$2:$G$101,6,FALSE)</f>
        <v>ISO 14001</v>
      </c>
      <c r="O649">
        <f>VLOOKUP(B649,Raw_Suppliers!$A$2:$G$101,7,FALSE)</f>
        <v>1</v>
      </c>
      <c r="P649" t="str">
        <f t="shared" si="61"/>
        <v>Yes</v>
      </c>
      <c r="Q649">
        <f t="shared" si="62"/>
        <v>0</v>
      </c>
      <c r="R649" t="str">
        <f t="shared" si="63"/>
        <v>Late</v>
      </c>
      <c r="S649">
        <f t="shared" si="64"/>
        <v>2022</v>
      </c>
      <c r="T649">
        <f t="shared" si="65"/>
        <v>8</v>
      </c>
    </row>
    <row r="650" spans="1:20" x14ac:dyDescent="0.25">
      <c r="A650" t="s">
        <v>949</v>
      </c>
      <c r="B650" t="s">
        <v>13</v>
      </c>
      <c r="C650" t="s">
        <v>668</v>
      </c>
      <c r="D650" s="1">
        <v>44250</v>
      </c>
      <c r="E650">
        <v>15</v>
      </c>
      <c r="F650">
        <v>64.979938799469096</v>
      </c>
      <c r="G650" s="1">
        <v>44264</v>
      </c>
      <c r="H650" s="1">
        <v>44270</v>
      </c>
      <c r="I650">
        <v>974.69908199203701</v>
      </c>
      <c r="J650">
        <f t="shared" si="60"/>
        <v>6</v>
      </c>
      <c r="K650" t="str">
        <f>VLOOKUP(B650,Raw_Suppliers!$A$2:$G$101,2,FALSE)</f>
        <v>Beta Delta LLC</v>
      </c>
      <c r="L650" t="str">
        <f>VLOOKUP(B650,Raw_Suppliers!$A$2:$G$101,3,FALSE)</f>
        <v>Germany</v>
      </c>
      <c r="M650" t="str">
        <f>VLOOKUP(B650,Raw_Suppliers!$A$2:$G$101,4,FALSE)</f>
        <v>Central</v>
      </c>
      <c r="N650" t="str">
        <f>VLOOKUP(B650,Raw_Suppliers!$A$2:$G$101,6,FALSE)</f>
        <v>ISO 9001</v>
      </c>
      <c r="O650">
        <f>VLOOKUP(B650,Raw_Suppliers!$A$2:$G$101,7,FALSE)</f>
        <v>1</v>
      </c>
      <c r="P650" t="str">
        <f t="shared" si="61"/>
        <v>Yes</v>
      </c>
      <c r="Q650">
        <f t="shared" si="62"/>
        <v>0</v>
      </c>
      <c r="R650" t="str">
        <f t="shared" si="63"/>
        <v>Late</v>
      </c>
      <c r="S650">
        <f t="shared" si="64"/>
        <v>2021</v>
      </c>
      <c r="T650">
        <f t="shared" si="65"/>
        <v>2</v>
      </c>
    </row>
    <row r="651" spans="1:20" x14ac:dyDescent="0.25">
      <c r="A651" t="s">
        <v>950</v>
      </c>
      <c r="B651" t="s">
        <v>324</v>
      </c>
      <c r="C651" t="s">
        <v>818</v>
      </c>
      <c r="D651" s="1">
        <v>44247</v>
      </c>
      <c r="E651">
        <v>6</v>
      </c>
      <c r="F651">
        <v>45.233207855426301</v>
      </c>
      <c r="G651" s="1">
        <v>44261</v>
      </c>
      <c r="H651" s="1">
        <v>44261</v>
      </c>
      <c r="I651">
        <v>271.399247132558</v>
      </c>
      <c r="J651">
        <f t="shared" si="60"/>
        <v>0</v>
      </c>
      <c r="K651" t="str">
        <f>VLOOKUP(B651,Raw_Suppliers!$A$2:$G$101,2,FALSE)</f>
        <v>Gamma Nano Corp</v>
      </c>
      <c r="L651" t="str">
        <f>VLOOKUP(B651,Raw_Suppliers!$A$2:$G$101,3,FALSE)</f>
        <v>Germany</v>
      </c>
      <c r="M651" t="str">
        <f>VLOOKUP(B651,Raw_Suppliers!$A$2:$G$101,4,FALSE)</f>
        <v>West</v>
      </c>
      <c r="N651" t="str">
        <f>VLOOKUP(B651,Raw_Suppliers!$A$2:$G$101,6,FALSE)</f>
        <v>ISO 9001</v>
      </c>
      <c r="O651">
        <f>VLOOKUP(B651,Raw_Suppliers!$A$2:$G$101,7,FALSE)</f>
        <v>0</v>
      </c>
      <c r="P651" t="str">
        <f t="shared" si="61"/>
        <v>No</v>
      </c>
      <c r="Q651">
        <f t="shared" si="62"/>
        <v>1</v>
      </c>
      <c r="R651" t="str">
        <f t="shared" si="63"/>
        <v>On Time</v>
      </c>
      <c r="S651">
        <f t="shared" si="64"/>
        <v>2021</v>
      </c>
      <c r="T651">
        <f t="shared" si="65"/>
        <v>2</v>
      </c>
    </row>
    <row r="652" spans="1:20" x14ac:dyDescent="0.25">
      <c r="A652" t="s">
        <v>951</v>
      </c>
      <c r="B652" t="s">
        <v>253</v>
      </c>
      <c r="C652" t="s">
        <v>356</v>
      </c>
      <c r="D652" s="1">
        <v>44645</v>
      </c>
      <c r="E652">
        <v>9</v>
      </c>
      <c r="F652">
        <v>51.294493241617303</v>
      </c>
      <c r="G652" s="1">
        <v>44663</v>
      </c>
      <c r="H652" s="1">
        <v>44660</v>
      </c>
      <c r="I652">
        <v>461.650439174555</v>
      </c>
      <c r="J652">
        <f t="shared" si="60"/>
        <v>-3</v>
      </c>
      <c r="K652" t="str">
        <f>VLOOKUP(B652,Raw_Suppliers!$A$2:$G$101,2,FALSE)</f>
        <v>Vertex Apex Ltd</v>
      </c>
      <c r="L652" t="str">
        <f>VLOOKUP(B652,Raw_Suppliers!$A$2:$G$101,3,FALSE)</f>
        <v>Brazil</v>
      </c>
      <c r="M652" t="str">
        <f>VLOOKUP(B652,Raw_Suppliers!$A$2:$G$101,4,FALSE)</f>
        <v>South</v>
      </c>
      <c r="N652" t="str">
        <f>VLOOKUP(B652,Raw_Suppliers!$A$2:$G$101,6,FALSE)</f>
        <v>None</v>
      </c>
      <c r="O652">
        <f>VLOOKUP(B652,Raw_Suppliers!$A$2:$G$101,7,FALSE)</f>
        <v>1</v>
      </c>
      <c r="P652" t="str">
        <f t="shared" si="61"/>
        <v>Yes</v>
      </c>
      <c r="Q652">
        <f t="shared" si="62"/>
        <v>1</v>
      </c>
      <c r="R652" t="str">
        <f t="shared" si="63"/>
        <v>On Time</v>
      </c>
      <c r="S652">
        <f t="shared" si="64"/>
        <v>2022</v>
      </c>
      <c r="T652">
        <f t="shared" si="65"/>
        <v>3</v>
      </c>
    </row>
    <row r="653" spans="1:20" x14ac:dyDescent="0.25">
      <c r="A653" t="s">
        <v>952</v>
      </c>
      <c r="B653" t="s">
        <v>482</v>
      </c>
      <c r="C653" t="s">
        <v>117</v>
      </c>
      <c r="D653" s="1">
        <v>44971</v>
      </c>
      <c r="E653">
        <v>10</v>
      </c>
      <c r="F653">
        <v>19.994809969933002</v>
      </c>
      <c r="G653" s="1">
        <v>44994</v>
      </c>
      <c r="H653" s="1">
        <v>44998</v>
      </c>
      <c r="I653">
        <v>199.94809969932999</v>
      </c>
      <c r="J653">
        <f t="shared" si="60"/>
        <v>4</v>
      </c>
      <c r="K653" t="str">
        <f>VLOOKUP(B653,Raw_Suppliers!$A$2:$G$101,2,FALSE)</f>
        <v>Eco Prime Corp</v>
      </c>
      <c r="L653" t="str">
        <f>VLOOKUP(B653,Raw_Suppliers!$A$2:$G$101,3,FALSE)</f>
        <v>China</v>
      </c>
      <c r="M653" t="str">
        <f>VLOOKUP(B653,Raw_Suppliers!$A$2:$G$101,4,FALSE)</f>
        <v>East</v>
      </c>
      <c r="N653" t="str">
        <f>VLOOKUP(B653,Raw_Suppliers!$A$2:$G$101,6,FALSE)</f>
        <v>ISO 45001</v>
      </c>
      <c r="O653">
        <f>VLOOKUP(B653,Raw_Suppliers!$A$2:$G$101,7,FALSE)</f>
        <v>1</v>
      </c>
      <c r="P653" t="str">
        <f t="shared" si="61"/>
        <v>Yes</v>
      </c>
      <c r="Q653">
        <f t="shared" si="62"/>
        <v>0</v>
      </c>
      <c r="R653" t="str">
        <f t="shared" si="63"/>
        <v>Late</v>
      </c>
      <c r="S653">
        <f t="shared" si="64"/>
        <v>2023</v>
      </c>
      <c r="T653">
        <f t="shared" si="65"/>
        <v>2</v>
      </c>
    </row>
    <row r="654" spans="1:20" x14ac:dyDescent="0.25">
      <c r="A654" t="s">
        <v>953</v>
      </c>
      <c r="B654" t="s">
        <v>91</v>
      </c>
      <c r="C654" t="s">
        <v>317</v>
      </c>
      <c r="D654" s="1">
        <v>45372</v>
      </c>
      <c r="E654">
        <v>4</v>
      </c>
      <c r="F654">
        <v>35.390010959707901</v>
      </c>
      <c r="G654" s="1">
        <v>45395</v>
      </c>
      <c r="H654" s="1">
        <v>45393</v>
      </c>
      <c r="I654">
        <v>141.56004383883101</v>
      </c>
      <c r="J654">
        <f t="shared" si="60"/>
        <v>-2</v>
      </c>
      <c r="K654" t="str">
        <f>VLOOKUP(B654,Raw_Suppliers!$A$2:$G$101,2,FALSE)</f>
        <v>Apex Prime Ltd</v>
      </c>
      <c r="L654" t="str">
        <f>VLOOKUP(B654,Raw_Suppliers!$A$2:$G$101,3,FALSE)</f>
        <v>India</v>
      </c>
      <c r="M654" t="str">
        <f>VLOOKUP(B654,Raw_Suppliers!$A$2:$G$101,4,FALSE)</f>
        <v>South</v>
      </c>
      <c r="N654" t="str">
        <f>VLOOKUP(B654,Raw_Suppliers!$A$2:$G$101,6,FALSE)</f>
        <v>ISO 9001</v>
      </c>
      <c r="O654">
        <f>VLOOKUP(B654,Raw_Suppliers!$A$2:$G$101,7,FALSE)</f>
        <v>0</v>
      </c>
      <c r="P654" t="str">
        <f t="shared" si="61"/>
        <v>No</v>
      </c>
      <c r="Q654">
        <f t="shared" si="62"/>
        <v>1</v>
      </c>
      <c r="R654" t="str">
        <f t="shared" si="63"/>
        <v>On Time</v>
      </c>
      <c r="S654">
        <f t="shared" si="64"/>
        <v>2024</v>
      </c>
      <c r="T654">
        <f t="shared" si="65"/>
        <v>3</v>
      </c>
    </row>
    <row r="655" spans="1:20" x14ac:dyDescent="0.25">
      <c r="A655" t="s">
        <v>954</v>
      </c>
      <c r="B655" t="s">
        <v>186</v>
      </c>
      <c r="C655" t="s">
        <v>158</v>
      </c>
      <c r="D655" s="1">
        <v>44613</v>
      </c>
      <c r="E655">
        <v>14</v>
      </c>
      <c r="F655">
        <v>23.298906168713401</v>
      </c>
      <c r="G655" s="1">
        <v>44633</v>
      </c>
      <c r="H655" s="1">
        <v>44637</v>
      </c>
      <c r="I655">
        <v>326.18468636198799</v>
      </c>
      <c r="J655">
        <f t="shared" si="60"/>
        <v>4</v>
      </c>
      <c r="K655" t="str">
        <f>VLOOKUP(B655,Raw_Suppliers!$A$2:$G$101,2,FALSE)</f>
        <v>Omega Vertex Inc</v>
      </c>
      <c r="L655" t="str">
        <f>VLOOKUP(B655,Raw_Suppliers!$A$2:$G$101,3,FALSE)</f>
        <v>China</v>
      </c>
      <c r="M655" t="str">
        <f>VLOOKUP(B655,Raw_Suppliers!$A$2:$G$101,4,FALSE)</f>
        <v>West</v>
      </c>
      <c r="N655" t="str">
        <f>VLOOKUP(B655,Raw_Suppliers!$A$2:$G$101,6,FALSE)</f>
        <v>ISO 14001</v>
      </c>
      <c r="O655">
        <f>VLOOKUP(B655,Raw_Suppliers!$A$2:$G$101,7,FALSE)</f>
        <v>1</v>
      </c>
      <c r="P655" t="str">
        <f t="shared" si="61"/>
        <v>Yes</v>
      </c>
      <c r="Q655">
        <f t="shared" si="62"/>
        <v>0</v>
      </c>
      <c r="R655" t="str">
        <f t="shared" si="63"/>
        <v>Late</v>
      </c>
      <c r="S655">
        <f t="shared" si="64"/>
        <v>2022</v>
      </c>
      <c r="T655">
        <f t="shared" si="65"/>
        <v>2</v>
      </c>
    </row>
    <row r="656" spans="1:20" x14ac:dyDescent="0.25">
      <c r="A656" t="s">
        <v>955</v>
      </c>
      <c r="B656" t="s">
        <v>85</v>
      </c>
      <c r="C656" t="s">
        <v>131</v>
      </c>
      <c r="D656" s="1">
        <v>45318</v>
      </c>
      <c r="E656">
        <v>11</v>
      </c>
      <c r="F656">
        <v>3.5458572532155199</v>
      </c>
      <c r="G656" s="1">
        <v>45339</v>
      </c>
      <c r="H656" s="1">
        <v>45338</v>
      </c>
      <c r="I656">
        <v>39.004429785370696</v>
      </c>
      <c r="J656">
        <f t="shared" si="60"/>
        <v>-1</v>
      </c>
      <c r="K656" t="str">
        <f>VLOOKUP(B656,Raw_Suppliers!$A$2:$G$101,2,FALSE)</f>
        <v>Fusion Gamma LLC</v>
      </c>
      <c r="L656" t="str">
        <f>VLOOKUP(B656,Raw_Suppliers!$A$2:$G$101,3,FALSE)</f>
        <v>China</v>
      </c>
      <c r="M656" t="str">
        <f>VLOOKUP(B656,Raw_Suppliers!$A$2:$G$101,4,FALSE)</f>
        <v>East</v>
      </c>
      <c r="N656" t="str">
        <f>VLOOKUP(B656,Raw_Suppliers!$A$2:$G$101,6,FALSE)</f>
        <v>ISO 9001</v>
      </c>
      <c r="O656">
        <f>VLOOKUP(B656,Raw_Suppliers!$A$2:$G$101,7,FALSE)</f>
        <v>1</v>
      </c>
      <c r="P656" t="str">
        <f t="shared" si="61"/>
        <v>Yes</v>
      </c>
      <c r="Q656">
        <f t="shared" si="62"/>
        <v>1</v>
      </c>
      <c r="R656" t="str">
        <f t="shared" si="63"/>
        <v>On Time</v>
      </c>
      <c r="S656">
        <f t="shared" si="64"/>
        <v>2024</v>
      </c>
      <c r="T656">
        <f t="shared" si="65"/>
        <v>1</v>
      </c>
    </row>
    <row r="657" spans="1:20" x14ac:dyDescent="0.25">
      <c r="A657" t="s">
        <v>956</v>
      </c>
      <c r="B657" t="s">
        <v>493</v>
      </c>
      <c r="C657" t="s">
        <v>527</v>
      </c>
      <c r="D657" s="1">
        <v>45291</v>
      </c>
      <c r="E657">
        <v>13</v>
      </c>
      <c r="F657">
        <v>74.781659052556506</v>
      </c>
      <c r="G657" s="1">
        <v>45313</v>
      </c>
      <c r="H657" s="1">
        <v>45316</v>
      </c>
      <c r="I657">
        <v>972.16156768323503</v>
      </c>
      <c r="J657">
        <f t="shared" si="60"/>
        <v>3</v>
      </c>
      <c r="K657" t="str">
        <f>VLOOKUP(B657,Raw_Suppliers!$A$2:$G$101,2,FALSE)</f>
        <v>Delta Vertex LLC</v>
      </c>
      <c r="L657" t="str">
        <f>VLOOKUP(B657,Raw_Suppliers!$A$2:$G$101,3,FALSE)</f>
        <v>China</v>
      </c>
      <c r="M657" t="str">
        <f>VLOOKUP(B657,Raw_Suppliers!$A$2:$G$101,4,FALSE)</f>
        <v>East</v>
      </c>
      <c r="N657" t="str">
        <f>VLOOKUP(B657,Raw_Suppliers!$A$2:$G$101,6,FALSE)</f>
        <v>None</v>
      </c>
      <c r="O657">
        <f>VLOOKUP(B657,Raw_Suppliers!$A$2:$G$101,7,FALSE)</f>
        <v>0</v>
      </c>
      <c r="P657" t="str">
        <f t="shared" si="61"/>
        <v>No</v>
      </c>
      <c r="Q657">
        <f t="shared" si="62"/>
        <v>0</v>
      </c>
      <c r="R657" t="str">
        <f t="shared" si="63"/>
        <v>Late</v>
      </c>
      <c r="S657">
        <f t="shared" si="64"/>
        <v>2023</v>
      </c>
      <c r="T657">
        <f t="shared" si="65"/>
        <v>12</v>
      </c>
    </row>
    <row r="658" spans="1:20" x14ac:dyDescent="0.25">
      <c r="A658" t="s">
        <v>957</v>
      </c>
      <c r="B658" t="s">
        <v>399</v>
      </c>
      <c r="C658" t="s">
        <v>117</v>
      </c>
      <c r="D658" s="1">
        <v>45303</v>
      </c>
      <c r="E658">
        <v>12</v>
      </c>
      <c r="F658">
        <v>36.775118988209996</v>
      </c>
      <c r="G658" s="1">
        <v>45317</v>
      </c>
      <c r="H658" s="1">
        <v>45314</v>
      </c>
      <c r="I658">
        <v>441.30142785852001</v>
      </c>
      <c r="J658">
        <f t="shared" si="60"/>
        <v>-3</v>
      </c>
      <c r="K658" t="str">
        <f>VLOOKUP(B658,Raw_Suppliers!$A$2:$G$101,2,FALSE)</f>
        <v>Omega Nano Corp</v>
      </c>
      <c r="L658" t="str">
        <f>VLOOKUP(B658,Raw_Suppliers!$A$2:$G$101,3,FALSE)</f>
        <v>Brazil</v>
      </c>
      <c r="M658" t="str">
        <f>VLOOKUP(B658,Raw_Suppliers!$A$2:$G$101,4,FALSE)</f>
        <v>Central</v>
      </c>
      <c r="N658" t="str">
        <f>VLOOKUP(B658,Raw_Suppliers!$A$2:$G$101,6,FALSE)</f>
        <v>ISO 14001</v>
      </c>
      <c r="O658">
        <f>VLOOKUP(B658,Raw_Suppliers!$A$2:$G$101,7,FALSE)</f>
        <v>0</v>
      </c>
      <c r="P658" t="str">
        <f t="shared" si="61"/>
        <v>No</v>
      </c>
      <c r="Q658">
        <f t="shared" si="62"/>
        <v>1</v>
      </c>
      <c r="R658" t="str">
        <f t="shared" si="63"/>
        <v>On Time</v>
      </c>
      <c r="S658">
        <f t="shared" si="64"/>
        <v>2024</v>
      </c>
      <c r="T658">
        <f t="shared" si="65"/>
        <v>1</v>
      </c>
    </row>
    <row r="659" spans="1:20" x14ac:dyDescent="0.25">
      <c r="A659" t="s">
        <v>958</v>
      </c>
      <c r="B659" t="s">
        <v>324</v>
      </c>
      <c r="C659" t="s">
        <v>228</v>
      </c>
      <c r="D659" s="1">
        <v>44879</v>
      </c>
      <c r="E659">
        <v>10</v>
      </c>
      <c r="F659">
        <v>14.742036885854301</v>
      </c>
      <c r="G659" s="1">
        <v>44895</v>
      </c>
      <c r="H659" s="1">
        <v>44893</v>
      </c>
      <c r="I659">
        <v>147.42036885854299</v>
      </c>
      <c r="J659">
        <f t="shared" si="60"/>
        <v>-2</v>
      </c>
      <c r="K659" t="str">
        <f>VLOOKUP(B659,Raw_Suppliers!$A$2:$G$101,2,FALSE)</f>
        <v>Gamma Nano Corp</v>
      </c>
      <c r="L659" t="str">
        <f>VLOOKUP(B659,Raw_Suppliers!$A$2:$G$101,3,FALSE)</f>
        <v>Germany</v>
      </c>
      <c r="M659" t="str">
        <f>VLOOKUP(B659,Raw_Suppliers!$A$2:$G$101,4,FALSE)</f>
        <v>West</v>
      </c>
      <c r="N659" t="str">
        <f>VLOOKUP(B659,Raw_Suppliers!$A$2:$G$101,6,FALSE)</f>
        <v>ISO 9001</v>
      </c>
      <c r="O659">
        <f>VLOOKUP(B659,Raw_Suppliers!$A$2:$G$101,7,FALSE)</f>
        <v>0</v>
      </c>
      <c r="P659" t="str">
        <f t="shared" si="61"/>
        <v>No</v>
      </c>
      <c r="Q659">
        <f t="shared" si="62"/>
        <v>1</v>
      </c>
      <c r="R659" t="str">
        <f t="shared" si="63"/>
        <v>On Time</v>
      </c>
      <c r="S659">
        <f t="shared" si="64"/>
        <v>2022</v>
      </c>
      <c r="T659">
        <f t="shared" si="65"/>
        <v>11</v>
      </c>
    </row>
    <row r="660" spans="1:20" x14ac:dyDescent="0.25">
      <c r="A660" t="s">
        <v>959</v>
      </c>
      <c r="B660" t="s">
        <v>135</v>
      </c>
      <c r="C660" t="s">
        <v>257</v>
      </c>
      <c r="D660" s="1">
        <v>45385</v>
      </c>
      <c r="E660">
        <v>17</v>
      </c>
      <c r="F660">
        <v>32.236986960613301</v>
      </c>
      <c r="G660" s="1">
        <v>45409</v>
      </c>
      <c r="H660" s="1">
        <v>45406</v>
      </c>
      <c r="I660">
        <v>548.02877833042703</v>
      </c>
      <c r="J660">
        <f t="shared" si="60"/>
        <v>-3</v>
      </c>
      <c r="K660" t="str">
        <f>VLOOKUP(B660,Raw_Suppliers!$A$2:$G$101,2,FALSE)</f>
        <v>Alpha Prime Ltd</v>
      </c>
      <c r="L660" t="str">
        <f>VLOOKUP(B660,Raw_Suppliers!$A$2:$G$101,3,FALSE)</f>
        <v>UK</v>
      </c>
      <c r="M660" t="str">
        <f>VLOOKUP(B660,Raw_Suppliers!$A$2:$G$101,4,FALSE)</f>
        <v>East</v>
      </c>
      <c r="N660" t="str">
        <f>VLOOKUP(B660,Raw_Suppliers!$A$2:$G$101,6,FALSE)</f>
        <v>None</v>
      </c>
      <c r="O660">
        <f>VLOOKUP(B660,Raw_Suppliers!$A$2:$G$101,7,FALSE)</f>
        <v>1</v>
      </c>
      <c r="P660" t="str">
        <f t="shared" si="61"/>
        <v>Yes</v>
      </c>
      <c r="Q660">
        <f t="shared" si="62"/>
        <v>1</v>
      </c>
      <c r="R660" t="str">
        <f t="shared" si="63"/>
        <v>On Time</v>
      </c>
      <c r="S660">
        <f t="shared" si="64"/>
        <v>2024</v>
      </c>
      <c r="T660">
        <f t="shared" si="65"/>
        <v>4</v>
      </c>
    </row>
    <row r="661" spans="1:20" x14ac:dyDescent="0.25">
      <c r="A661" t="s">
        <v>960</v>
      </c>
      <c r="B661" t="s">
        <v>321</v>
      </c>
      <c r="C661" t="s">
        <v>473</v>
      </c>
      <c r="D661" s="1">
        <v>45036</v>
      </c>
      <c r="E661">
        <v>15</v>
      </c>
      <c r="F661">
        <v>40.218449791930603</v>
      </c>
      <c r="G661" s="1">
        <v>45053</v>
      </c>
      <c r="H661" s="1">
        <v>45058</v>
      </c>
      <c r="I661">
        <v>603.27674687895899</v>
      </c>
      <c r="J661">
        <f t="shared" si="60"/>
        <v>5</v>
      </c>
      <c r="K661" t="str">
        <f>VLOOKUP(B661,Raw_Suppliers!$A$2:$G$101,2,FALSE)</f>
        <v>Vertex Delta LLC</v>
      </c>
      <c r="L661" t="str">
        <f>VLOOKUP(B661,Raw_Suppliers!$A$2:$G$101,3,FALSE)</f>
        <v>India</v>
      </c>
      <c r="M661" t="str">
        <f>VLOOKUP(B661,Raw_Suppliers!$A$2:$G$101,4,FALSE)</f>
        <v>South</v>
      </c>
      <c r="N661" t="str">
        <f>VLOOKUP(B661,Raw_Suppliers!$A$2:$G$101,6,FALSE)</f>
        <v>ISO 45001</v>
      </c>
      <c r="O661">
        <f>VLOOKUP(B661,Raw_Suppliers!$A$2:$G$101,7,FALSE)</f>
        <v>0</v>
      </c>
      <c r="P661" t="str">
        <f t="shared" si="61"/>
        <v>No</v>
      </c>
      <c r="Q661">
        <f t="shared" si="62"/>
        <v>0</v>
      </c>
      <c r="R661" t="str">
        <f t="shared" si="63"/>
        <v>Late</v>
      </c>
      <c r="S661">
        <f t="shared" si="64"/>
        <v>2023</v>
      </c>
      <c r="T661">
        <f t="shared" si="65"/>
        <v>4</v>
      </c>
    </row>
    <row r="662" spans="1:20" x14ac:dyDescent="0.25">
      <c r="A662" t="s">
        <v>961</v>
      </c>
      <c r="B662" t="s">
        <v>130</v>
      </c>
      <c r="C662" t="s">
        <v>693</v>
      </c>
      <c r="D662" s="1">
        <v>44597</v>
      </c>
      <c r="E662">
        <v>12</v>
      </c>
      <c r="F662">
        <v>43.185315285176003</v>
      </c>
      <c r="G662" s="1">
        <v>44621</v>
      </c>
      <c r="H662" s="1">
        <v>44626</v>
      </c>
      <c r="I662">
        <v>518.22378342211198</v>
      </c>
      <c r="J662">
        <f t="shared" si="60"/>
        <v>5</v>
      </c>
      <c r="K662" t="str">
        <f>VLOOKUP(B662,Raw_Suppliers!$A$2:$G$101,2,FALSE)</f>
        <v>Beta Gamma Corp</v>
      </c>
      <c r="L662" t="str">
        <f>VLOOKUP(B662,Raw_Suppliers!$A$2:$G$101,3,FALSE)</f>
        <v>USA</v>
      </c>
      <c r="M662" t="str">
        <f>VLOOKUP(B662,Raw_Suppliers!$A$2:$G$101,4,FALSE)</f>
        <v>West</v>
      </c>
      <c r="N662" t="str">
        <f>VLOOKUP(B662,Raw_Suppliers!$A$2:$G$101,6,FALSE)</f>
        <v>None</v>
      </c>
      <c r="O662">
        <f>VLOOKUP(B662,Raw_Suppliers!$A$2:$G$101,7,FALSE)</f>
        <v>0</v>
      </c>
      <c r="P662" t="str">
        <f t="shared" si="61"/>
        <v>No</v>
      </c>
      <c r="Q662">
        <f t="shared" si="62"/>
        <v>0</v>
      </c>
      <c r="R662" t="str">
        <f t="shared" si="63"/>
        <v>Late</v>
      </c>
      <c r="S662">
        <f t="shared" si="64"/>
        <v>2022</v>
      </c>
      <c r="T662">
        <f t="shared" si="65"/>
        <v>2</v>
      </c>
    </row>
    <row r="663" spans="1:20" x14ac:dyDescent="0.25">
      <c r="A663" t="s">
        <v>962</v>
      </c>
      <c r="B663" t="s">
        <v>198</v>
      </c>
      <c r="C663" t="s">
        <v>589</v>
      </c>
      <c r="D663" s="1">
        <v>44252</v>
      </c>
      <c r="E663">
        <v>15</v>
      </c>
      <c r="F663">
        <v>18.653394606895599</v>
      </c>
      <c r="G663" s="1">
        <v>44267</v>
      </c>
      <c r="H663" s="1">
        <v>44268</v>
      </c>
      <c r="I663">
        <v>279.80091910343498</v>
      </c>
      <c r="J663">
        <f t="shared" si="60"/>
        <v>1</v>
      </c>
      <c r="K663" t="str">
        <f>VLOOKUP(B663,Raw_Suppliers!$A$2:$G$101,2,FALSE)</f>
        <v>Gamma Vertex Corp</v>
      </c>
      <c r="L663" t="str">
        <f>VLOOKUP(B663,Raw_Suppliers!$A$2:$G$101,3,FALSE)</f>
        <v>Denmark</v>
      </c>
      <c r="M663" t="str">
        <f>VLOOKUP(B663,Raw_Suppliers!$A$2:$G$101,4,FALSE)</f>
        <v>South</v>
      </c>
      <c r="N663" t="str">
        <f>VLOOKUP(B663,Raw_Suppliers!$A$2:$G$101,6,FALSE)</f>
        <v>None</v>
      </c>
      <c r="O663">
        <f>VLOOKUP(B663,Raw_Suppliers!$A$2:$G$101,7,FALSE)</f>
        <v>1</v>
      </c>
      <c r="P663" t="str">
        <f t="shared" si="61"/>
        <v>Yes</v>
      </c>
      <c r="Q663">
        <f t="shared" si="62"/>
        <v>0</v>
      </c>
      <c r="R663" t="str">
        <f t="shared" si="63"/>
        <v>Late</v>
      </c>
      <c r="S663">
        <f t="shared" si="64"/>
        <v>2021</v>
      </c>
      <c r="T663">
        <f t="shared" si="65"/>
        <v>2</v>
      </c>
    </row>
    <row r="664" spans="1:20" x14ac:dyDescent="0.25">
      <c r="A664" t="s">
        <v>963</v>
      </c>
      <c r="B664" t="s">
        <v>13</v>
      </c>
      <c r="C664" t="s">
        <v>214</v>
      </c>
      <c r="D664" s="1">
        <v>44775</v>
      </c>
      <c r="E664">
        <v>12</v>
      </c>
      <c r="F664">
        <v>47.769589858361201</v>
      </c>
      <c r="G664" s="1">
        <v>44788</v>
      </c>
      <c r="H664" s="1">
        <v>44786</v>
      </c>
      <c r="I664">
        <v>573.23507830033395</v>
      </c>
      <c r="J664">
        <f t="shared" si="60"/>
        <v>-2</v>
      </c>
      <c r="K664" t="str">
        <f>VLOOKUP(B664,Raw_Suppliers!$A$2:$G$101,2,FALSE)</f>
        <v>Beta Delta LLC</v>
      </c>
      <c r="L664" t="str">
        <f>VLOOKUP(B664,Raw_Suppliers!$A$2:$G$101,3,FALSE)</f>
        <v>Germany</v>
      </c>
      <c r="M664" t="str">
        <f>VLOOKUP(B664,Raw_Suppliers!$A$2:$G$101,4,FALSE)</f>
        <v>Central</v>
      </c>
      <c r="N664" t="str">
        <f>VLOOKUP(B664,Raw_Suppliers!$A$2:$G$101,6,FALSE)</f>
        <v>ISO 9001</v>
      </c>
      <c r="O664">
        <f>VLOOKUP(B664,Raw_Suppliers!$A$2:$G$101,7,FALSE)</f>
        <v>1</v>
      </c>
      <c r="P664" t="str">
        <f t="shared" si="61"/>
        <v>Yes</v>
      </c>
      <c r="Q664">
        <f t="shared" si="62"/>
        <v>1</v>
      </c>
      <c r="R664" t="str">
        <f t="shared" si="63"/>
        <v>On Time</v>
      </c>
      <c r="S664">
        <f t="shared" si="64"/>
        <v>2022</v>
      </c>
      <c r="T664">
        <f t="shared" si="65"/>
        <v>8</v>
      </c>
    </row>
    <row r="665" spans="1:20" x14ac:dyDescent="0.25">
      <c r="A665" t="s">
        <v>964</v>
      </c>
      <c r="B665" t="s">
        <v>121</v>
      </c>
      <c r="C665" t="s">
        <v>446</v>
      </c>
      <c r="D665" s="1">
        <v>44975</v>
      </c>
      <c r="E665">
        <v>11</v>
      </c>
      <c r="F665">
        <v>56.545573131423097</v>
      </c>
      <c r="G665" s="1">
        <v>44990</v>
      </c>
      <c r="H665" s="1">
        <v>44994</v>
      </c>
      <c r="I665">
        <v>622.001304445654</v>
      </c>
      <c r="J665">
        <f t="shared" si="60"/>
        <v>4</v>
      </c>
      <c r="K665" t="str">
        <f>VLOOKUP(B665,Raw_Suppliers!$A$2:$G$101,2,FALSE)</f>
        <v>Vertex Vertex Inc</v>
      </c>
      <c r="L665" t="str">
        <f>VLOOKUP(B665,Raw_Suppliers!$A$2:$G$101,3,FALSE)</f>
        <v>USA</v>
      </c>
      <c r="M665" t="str">
        <f>VLOOKUP(B665,Raw_Suppliers!$A$2:$G$101,4,FALSE)</f>
        <v>West</v>
      </c>
      <c r="N665" t="str">
        <f>VLOOKUP(B665,Raw_Suppliers!$A$2:$G$101,6,FALSE)</f>
        <v>None</v>
      </c>
      <c r="O665">
        <f>VLOOKUP(B665,Raw_Suppliers!$A$2:$G$101,7,FALSE)</f>
        <v>0</v>
      </c>
      <c r="P665" t="str">
        <f t="shared" si="61"/>
        <v>No</v>
      </c>
      <c r="Q665">
        <f t="shared" si="62"/>
        <v>0</v>
      </c>
      <c r="R665" t="str">
        <f t="shared" si="63"/>
        <v>Late</v>
      </c>
      <c r="S665">
        <f t="shared" si="64"/>
        <v>2023</v>
      </c>
      <c r="T665">
        <f t="shared" si="65"/>
        <v>2</v>
      </c>
    </row>
    <row r="666" spans="1:20" x14ac:dyDescent="0.25">
      <c r="A666" t="s">
        <v>965</v>
      </c>
      <c r="B666" t="s">
        <v>751</v>
      </c>
      <c r="C666" t="s">
        <v>192</v>
      </c>
      <c r="D666" s="1">
        <v>45283</v>
      </c>
      <c r="E666">
        <v>10</v>
      </c>
      <c r="F666">
        <v>45.883242691297198</v>
      </c>
      <c r="G666" s="1">
        <v>45293</v>
      </c>
      <c r="H666" s="1">
        <v>45290</v>
      </c>
      <c r="I666">
        <v>458.83242691297198</v>
      </c>
      <c r="J666">
        <f t="shared" si="60"/>
        <v>-3</v>
      </c>
      <c r="K666" t="str">
        <f>VLOOKUP(B666,Raw_Suppliers!$A$2:$G$101,2,FALSE)</f>
        <v>Nano Vertex LLC</v>
      </c>
      <c r="L666" t="str">
        <f>VLOOKUP(B666,Raw_Suppliers!$A$2:$G$101,3,FALSE)</f>
        <v>China</v>
      </c>
      <c r="M666" t="str">
        <f>VLOOKUP(B666,Raw_Suppliers!$A$2:$G$101,4,FALSE)</f>
        <v>North</v>
      </c>
      <c r="N666" t="str">
        <f>VLOOKUP(B666,Raw_Suppliers!$A$2:$G$101,6,FALSE)</f>
        <v>ISO 9001</v>
      </c>
      <c r="O666">
        <f>VLOOKUP(B666,Raw_Suppliers!$A$2:$G$101,7,FALSE)</f>
        <v>1</v>
      </c>
      <c r="P666" t="str">
        <f t="shared" si="61"/>
        <v>Yes</v>
      </c>
      <c r="Q666">
        <f t="shared" si="62"/>
        <v>1</v>
      </c>
      <c r="R666" t="str">
        <f t="shared" si="63"/>
        <v>On Time</v>
      </c>
      <c r="S666">
        <f t="shared" si="64"/>
        <v>2023</v>
      </c>
      <c r="T666">
        <f t="shared" si="65"/>
        <v>12</v>
      </c>
    </row>
    <row r="667" spans="1:20" x14ac:dyDescent="0.25">
      <c r="A667" t="s">
        <v>966</v>
      </c>
      <c r="B667" t="s">
        <v>359</v>
      </c>
      <c r="C667" t="s">
        <v>818</v>
      </c>
      <c r="D667" s="1">
        <v>44680</v>
      </c>
      <c r="E667">
        <v>6</v>
      </c>
      <c r="F667">
        <v>10.778791460244999</v>
      </c>
      <c r="G667" s="1">
        <v>44693</v>
      </c>
      <c r="H667" s="1">
        <v>44699</v>
      </c>
      <c r="I667">
        <v>64.672748761470203</v>
      </c>
      <c r="J667">
        <f t="shared" si="60"/>
        <v>6</v>
      </c>
      <c r="K667" t="str">
        <f>VLOOKUP(B667,Raw_Suppliers!$A$2:$G$101,2,FALSE)</f>
        <v>Alpha Alpha Corp</v>
      </c>
      <c r="L667" t="str">
        <f>VLOOKUP(B667,Raw_Suppliers!$A$2:$G$101,3,FALSE)</f>
        <v>India</v>
      </c>
      <c r="M667" t="str">
        <f>VLOOKUP(B667,Raw_Suppliers!$A$2:$G$101,4,FALSE)</f>
        <v>North</v>
      </c>
      <c r="N667" t="str">
        <f>VLOOKUP(B667,Raw_Suppliers!$A$2:$G$101,6,FALSE)</f>
        <v>ISO 9001</v>
      </c>
      <c r="O667">
        <f>VLOOKUP(B667,Raw_Suppliers!$A$2:$G$101,7,FALSE)</f>
        <v>1</v>
      </c>
      <c r="P667" t="str">
        <f t="shared" si="61"/>
        <v>Yes</v>
      </c>
      <c r="Q667">
        <f t="shared" si="62"/>
        <v>0</v>
      </c>
      <c r="R667" t="str">
        <f t="shared" si="63"/>
        <v>Late</v>
      </c>
      <c r="S667">
        <f t="shared" si="64"/>
        <v>2022</v>
      </c>
      <c r="T667">
        <f t="shared" si="65"/>
        <v>4</v>
      </c>
    </row>
    <row r="668" spans="1:20" x14ac:dyDescent="0.25">
      <c r="A668" t="s">
        <v>967</v>
      </c>
      <c r="B668" t="s">
        <v>52</v>
      </c>
      <c r="C668" t="s">
        <v>47</v>
      </c>
      <c r="D668" s="1">
        <v>45177</v>
      </c>
      <c r="E668">
        <v>11</v>
      </c>
      <c r="F668">
        <v>74.909394718544803</v>
      </c>
      <c r="G668" s="1">
        <v>45190</v>
      </c>
      <c r="H668" s="1">
        <v>45191</v>
      </c>
      <c r="I668">
        <v>824.00334190399303</v>
      </c>
      <c r="J668">
        <f t="shared" si="60"/>
        <v>1</v>
      </c>
      <c r="K668" t="str">
        <f>VLOOKUP(B668,Raw_Suppliers!$A$2:$G$101,2,FALSE)</f>
        <v>Beta Nano Corp</v>
      </c>
      <c r="L668" t="str">
        <f>VLOOKUP(B668,Raw_Suppliers!$A$2:$G$101,3,FALSE)</f>
        <v>UK</v>
      </c>
      <c r="M668" t="str">
        <f>VLOOKUP(B668,Raw_Suppliers!$A$2:$G$101,4,FALSE)</f>
        <v>Central</v>
      </c>
      <c r="N668" t="str">
        <f>VLOOKUP(B668,Raw_Suppliers!$A$2:$G$101,6,FALSE)</f>
        <v>ISO 45001</v>
      </c>
      <c r="O668">
        <f>VLOOKUP(B668,Raw_Suppliers!$A$2:$G$101,7,FALSE)</f>
        <v>0</v>
      </c>
      <c r="P668" t="str">
        <f t="shared" si="61"/>
        <v>No</v>
      </c>
      <c r="Q668">
        <f t="shared" si="62"/>
        <v>0</v>
      </c>
      <c r="R668" t="str">
        <f t="shared" si="63"/>
        <v>Late</v>
      </c>
      <c r="S668">
        <f t="shared" si="64"/>
        <v>2023</v>
      </c>
      <c r="T668">
        <f t="shared" si="65"/>
        <v>9</v>
      </c>
    </row>
    <row r="669" spans="1:20" x14ac:dyDescent="0.25">
      <c r="A669" t="s">
        <v>968</v>
      </c>
      <c r="B669" t="s">
        <v>198</v>
      </c>
      <c r="C669" t="s">
        <v>41</v>
      </c>
      <c r="D669" s="1">
        <v>44602</v>
      </c>
      <c r="E669">
        <v>5</v>
      </c>
      <c r="F669">
        <v>59.104152704681503</v>
      </c>
      <c r="G669" s="1">
        <v>44621</v>
      </c>
      <c r="H669" s="1">
        <v>44622</v>
      </c>
      <c r="I669">
        <v>295.52076352340703</v>
      </c>
      <c r="J669">
        <f t="shared" si="60"/>
        <v>1</v>
      </c>
      <c r="K669" t="str">
        <f>VLOOKUP(B669,Raw_Suppliers!$A$2:$G$101,2,FALSE)</f>
        <v>Gamma Vertex Corp</v>
      </c>
      <c r="L669" t="str">
        <f>VLOOKUP(B669,Raw_Suppliers!$A$2:$G$101,3,FALSE)</f>
        <v>Denmark</v>
      </c>
      <c r="M669" t="str">
        <f>VLOOKUP(B669,Raw_Suppliers!$A$2:$G$101,4,FALSE)</f>
        <v>South</v>
      </c>
      <c r="N669" t="str">
        <f>VLOOKUP(B669,Raw_Suppliers!$A$2:$G$101,6,FALSE)</f>
        <v>None</v>
      </c>
      <c r="O669">
        <f>VLOOKUP(B669,Raw_Suppliers!$A$2:$G$101,7,FALSE)</f>
        <v>1</v>
      </c>
      <c r="P669" t="str">
        <f t="shared" si="61"/>
        <v>Yes</v>
      </c>
      <c r="Q669">
        <f t="shared" si="62"/>
        <v>0</v>
      </c>
      <c r="R669" t="str">
        <f t="shared" si="63"/>
        <v>Late</v>
      </c>
      <c r="S669">
        <f t="shared" si="64"/>
        <v>2022</v>
      </c>
      <c r="T669">
        <f t="shared" si="65"/>
        <v>2</v>
      </c>
    </row>
    <row r="670" spans="1:20" x14ac:dyDescent="0.25">
      <c r="A670" t="s">
        <v>969</v>
      </c>
      <c r="B670" t="s">
        <v>198</v>
      </c>
      <c r="C670" t="s">
        <v>29</v>
      </c>
      <c r="D670" s="1">
        <v>44288</v>
      </c>
      <c r="E670">
        <v>9</v>
      </c>
      <c r="F670">
        <v>20.6253786760027</v>
      </c>
      <c r="G670" s="1">
        <v>44311</v>
      </c>
      <c r="H670" s="1">
        <v>44313</v>
      </c>
      <c r="I670">
        <v>185.62840808402399</v>
      </c>
      <c r="J670">
        <f t="shared" si="60"/>
        <v>2</v>
      </c>
      <c r="K670" t="str">
        <f>VLOOKUP(B670,Raw_Suppliers!$A$2:$G$101,2,FALSE)</f>
        <v>Gamma Vertex Corp</v>
      </c>
      <c r="L670" t="str">
        <f>VLOOKUP(B670,Raw_Suppliers!$A$2:$G$101,3,FALSE)</f>
        <v>Denmark</v>
      </c>
      <c r="M670" t="str">
        <f>VLOOKUP(B670,Raw_Suppliers!$A$2:$G$101,4,FALSE)</f>
        <v>South</v>
      </c>
      <c r="N670" t="str">
        <f>VLOOKUP(B670,Raw_Suppliers!$A$2:$G$101,6,FALSE)</f>
        <v>None</v>
      </c>
      <c r="O670">
        <f>VLOOKUP(B670,Raw_Suppliers!$A$2:$G$101,7,FALSE)</f>
        <v>1</v>
      </c>
      <c r="P670" t="str">
        <f t="shared" si="61"/>
        <v>Yes</v>
      </c>
      <c r="Q670">
        <f t="shared" si="62"/>
        <v>0</v>
      </c>
      <c r="R670" t="str">
        <f t="shared" si="63"/>
        <v>Late</v>
      </c>
      <c r="S670">
        <f t="shared" si="64"/>
        <v>2021</v>
      </c>
      <c r="T670">
        <f t="shared" si="65"/>
        <v>4</v>
      </c>
    </row>
    <row r="671" spans="1:20" x14ac:dyDescent="0.25">
      <c r="A671" t="s">
        <v>970</v>
      </c>
      <c r="B671" t="s">
        <v>203</v>
      </c>
      <c r="C671" t="s">
        <v>74</v>
      </c>
      <c r="D671" s="1">
        <v>44653</v>
      </c>
      <c r="E671">
        <v>13</v>
      </c>
      <c r="F671">
        <v>50.097233014505299</v>
      </c>
      <c r="G671" s="1">
        <v>44674</v>
      </c>
      <c r="H671" s="1">
        <v>44672</v>
      </c>
      <c r="I671">
        <v>651.264029188569</v>
      </c>
      <c r="J671">
        <f t="shared" si="60"/>
        <v>-2</v>
      </c>
      <c r="K671" t="str">
        <f>VLOOKUP(B671,Raw_Suppliers!$A$2:$G$101,2,FALSE)</f>
        <v>Nova Eco LLC</v>
      </c>
      <c r="L671" t="str">
        <f>VLOOKUP(B671,Raw_Suppliers!$A$2:$G$101,3,FALSE)</f>
        <v>Denmark</v>
      </c>
      <c r="M671" t="str">
        <f>VLOOKUP(B671,Raw_Suppliers!$A$2:$G$101,4,FALSE)</f>
        <v>South</v>
      </c>
      <c r="N671" t="str">
        <f>VLOOKUP(B671,Raw_Suppliers!$A$2:$G$101,6,FALSE)</f>
        <v>ISO 14001</v>
      </c>
      <c r="O671">
        <f>VLOOKUP(B671,Raw_Suppliers!$A$2:$G$101,7,FALSE)</f>
        <v>0</v>
      </c>
      <c r="P671" t="str">
        <f t="shared" si="61"/>
        <v>No</v>
      </c>
      <c r="Q671">
        <f t="shared" si="62"/>
        <v>1</v>
      </c>
      <c r="R671" t="str">
        <f t="shared" si="63"/>
        <v>On Time</v>
      </c>
      <c r="S671">
        <f t="shared" si="64"/>
        <v>2022</v>
      </c>
      <c r="T671">
        <f t="shared" si="65"/>
        <v>4</v>
      </c>
    </row>
    <row r="672" spans="1:20" x14ac:dyDescent="0.25">
      <c r="A672" t="s">
        <v>971</v>
      </c>
      <c r="B672" t="s">
        <v>160</v>
      </c>
      <c r="C672" t="s">
        <v>972</v>
      </c>
      <c r="D672" s="1">
        <v>44253</v>
      </c>
      <c r="E672">
        <v>15</v>
      </c>
      <c r="F672">
        <v>71.138030205759193</v>
      </c>
      <c r="G672" s="1">
        <v>44273</v>
      </c>
      <c r="H672" s="1">
        <v>44270</v>
      </c>
      <c r="I672">
        <v>1067.07045308638</v>
      </c>
      <c r="J672">
        <f t="shared" si="60"/>
        <v>-3</v>
      </c>
      <c r="K672" t="str">
        <f>VLOOKUP(B672,Raw_Suppliers!$A$2:$G$101,2,FALSE)</f>
        <v>Omega Beta Corp</v>
      </c>
      <c r="L672" t="str">
        <f>VLOOKUP(B672,Raw_Suppliers!$A$2:$G$101,3,FALSE)</f>
        <v>China</v>
      </c>
      <c r="M672" t="str">
        <f>VLOOKUP(B672,Raw_Suppliers!$A$2:$G$101,4,FALSE)</f>
        <v>East</v>
      </c>
      <c r="N672" t="str">
        <f>VLOOKUP(B672,Raw_Suppliers!$A$2:$G$101,6,FALSE)</f>
        <v>ISO 45001</v>
      </c>
      <c r="O672">
        <f>VLOOKUP(B672,Raw_Suppliers!$A$2:$G$101,7,FALSE)</f>
        <v>1</v>
      </c>
      <c r="P672" t="str">
        <f t="shared" si="61"/>
        <v>Yes</v>
      </c>
      <c r="Q672">
        <f t="shared" si="62"/>
        <v>1</v>
      </c>
      <c r="R672" t="str">
        <f t="shared" si="63"/>
        <v>On Time</v>
      </c>
      <c r="S672">
        <f t="shared" si="64"/>
        <v>2021</v>
      </c>
      <c r="T672">
        <f t="shared" si="65"/>
        <v>2</v>
      </c>
    </row>
    <row r="673" spans="1:20" x14ac:dyDescent="0.25">
      <c r="A673" t="s">
        <v>973</v>
      </c>
      <c r="B673" t="s">
        <v>472</v>
      </c>
      <c r="C673" t="s">
        <v>117</v>
      </c>
      <c r="D673" s="1">
        <v>45199</v>
      </c>
      <c r="E673">
        <v>13</v>
      </c>
      <c r="F673">
        <v>77.789928146591194</v>
      </c>
      <c r="G673" s="1">
        <v>45221</v>
      </c>
      <c r="H673" s="1">
        <v>45224</v>
      </c>
      <c r="I673">
        <v>1011.26906590568</v>
      </c>
      <c r="J673">
        <f t="shared" si="60"/>
        <v>3</v>
      </c>
      <c r="K673" t="str">
        <f>VLOOKUP(B673,Raw_Suppliers!$A$2:$G$101,2,FALSE)</f>
        <v>Pioneer Alpha Corp</v>
      </c>
      <c r="L673" t="str">
        <f>VLOOKUP(B673,Raw_Suppliers!$A$2:$G$101,3,FALSE)</f>
        <v>Canada</v>
      </c>
      <c r="M673" t="str">
        <f>VLOOKUP(B673,Raw_Suppliers!$A$2:$G$101,4,FALSE)</f>
        <v>North</v>
      </c>
      <c r="N673" t="str">
        <f>VLOOKUP(B673,Raw_Suppliers!$A$2:$G$101,6,FALSE)</f>
        <v>None</v>
      </c>
      <c r="O673">
        <f>VLOOKUP(B673,Raw_Suppliers!$A$2:$G$101,7,FALSE)</f>
        <v>1</v>
      </c>
      <c r="P673" t="str">
        <f t="shared" si="61"/>
        <v>Yes</v>
      </c>
      <c r="Q673">
        <f t="shared" si="62"/>
        <v>0</v>
      </c>
      <c r="R673" t="str">
        <f t="shared" si="63"/>
        <v>Late</v>
      </c>
      <c r="S673">
        <f t="shared" si="64"/>
        <v>2023</v>
      </c>
      <c r="T673">
        <f t="shared" si="65"/>
        <v>9</v>
      </c>
    </row>
    <row r="674" spans="1:20" x14ac:dyDescent="0.25">
      <c r="A674" t="s">
        <v>974</v>
      </c>
      <c r="B674" t="s">
        <v>119</v>
      </c>
      <c r="C674" t="s">
        <v>163</v>
      </c>
      <c r="D674" s="1">
        <v>44665</v>
      </c>
      <c r="E674">
        <v>6</v>
      </c>
      <c r="F674">
        <v>48.777375420572298</v>
      </c>
      <c r="G674" s="1">
        <v>44688</v>
      </c>
      <c r="H674" s="1">
        <v>44687</v>
      </c>
      <c r="I674">
        <v>292.66425252343299</v>
      </c>
      <c r="J674">
        <f t="shared" si="60"/>
        <v>-1</v>
      </c>
      <c r="K674" t="str">
        <f>VLOOKUP(B674,Raw_Suppliers!$A$2:$G$101,2,FALSE)</f>
        <v>Pioneer Apex Corp</v>
      </c>
      <c r="L674" t="str">
        <f>VLOOKUP(B674,Raw_Suppliers!$A$2:$G$101,3,FALSE)</f>
        <v>USA</v>
      </c>
      <c r="M674" t="str">
        <f>VLOOKUP(B674,Raw_Suppliers!$A$2:$G$101,4,FALSE)</f>
        <v>Central</v>
      </c>
      <c r="N674" t="str">
        <f>VLOOKUP(B674,Raw_Suppliers!$A$2:$G$101,6,FALSE)</f>
        <v>None</v>
      </c>
      <c r="O674">
        <f>VLOOKUP(B674,Raw_Suppliers!$A$2:$G$101,7,FALSE)</f>
        <v>0</v>
      </c>
      <c r="P674" t="str">
        <f t="shared" si="61"/>
        <v>No</v>
      </c>
      <c r="Q674">
        <f t="shared" si="62"/>
        <v>1</v>
      </c>
      <c r="R674" t="str">
        <f t="shared" si="63"/>
        <v>On Time</v>
      </c>
      <c r="S674">
        <f t="shared" si="64"/>
        <v>2022</v>
      </c>
      <c r="T674">
        <f t="shared" si="65"/>
        <v>4</v>
      </c>
    </row>
    <row r="675" spans="1:20" x14ac:dyDescent="0.25">
      <c r="A675" t="s">
        <v>975</v>
      </c>
      <c r="B675" t="s">
        <v>242</v>
      </c>
      <c r="C675" t="s">
        <v>477</v>
      </c>
      <c r="D675" s="1">
        <v>44404</v>
      </c>
      <c r="E675">
        <v>8</v>
      </c>
      <c r="F675">
        <v>62.199404997843097</v>
      </c>
      <c r="G675" s="1">
        <v>44418</v>
      </c>
      <c r="H675" s="1">
        <v>44419</v>
      </c>
      <c r="I675">
        <v>497.595239982745</v>
      </c>
      <c r="J675">
        <f t="shared" si="60"/>
        <v>1</v>
      </c>
      <c r="K675" t="str">
        <f>VLOOKUP(B675,Raw_Suppliers!$A$2:$G$101,2,FALSE)</f>
        <v>Omega Nova GmbH</v>
      </c>
      <c r="L675" t="str">
        <f>VLOOKUP(B675,Raw_Suppliers!$A$2:$G$101,3,FALSE)</f>
        <v>Denmark</v>
      </c>
      <c r="M675" t="str">
        <f>VLOOKUP(B675,Raw_Suppliers!$A$2:$G$101,4,FALSE)</f>
        <v>East</v>
      </c>
      <c r="N675" t="str">
        <f>VLOOKUP(B675,Raw_Suppliers!$A$2:$G$101,6,FALSE)</f>
        <v>ISO 45001</v>
      </c>
      <c r="O675">
        <f>VLOOKUP(B675,Raw_Suppliers!$A$2:$G$101,7,FALSE)</f>
        <v>0</v>
      </c>
      <c r="P675" t="str">
        <f t="shared" si="61"/>
        <v>No</v>
      </c>
      <c r="Q675">
        <f t="shared" si="62"/>
        <v>0</v>
      </c>
      <c r="R675" t="str">
        <f t="shared" si="63"/>
        <v>Late</v>
      </c>
      <c r="S675">
        <f t="shared" si="64"/>
        <v>2021</v>
      </c>
      <c r="T675">
        <f t="shared" si="65"/>
        <v>7</v>
      </c>
    </row>
    <row r="676" spans="1:20" x14ac:dyDescent="0.25">
      <c r="A676" t="s">
        <v>976</v>
      </c>
      <c r="B676" t="s">
        <v>295</v>
      </c>
      <c r="C676" t="s">
        <v>391</v>
      </c>
      <c r="D676" s="1">
        <v>45290</v>
      </c>
      <c r="E676">
        <v>9</v>
      </c>
      <c r="F676">
        <v>7.6484093959715302</v>
      </c>
      <c r="G676" s="1">
        <v>45314</v>
      </c>
      <c r="H676" s="1">
        <v>45320</v>
      </c>
      <c r="I676">
        <v>68.835684563743698</v>
      </c>
      <c r="J676">
        <f t="shared" si="60"/>
        <v>6</v>
      </c>
      <c r="K676" t="str">
        <f>VLOOKUP(B676,Raw_Suppliers!$A$2:$G$101,2,FALSE)</f>
        <v>Delta Quantum GmbH</v>
      </c>
      <c r="L676" t="str">
        <f>VLOOKUP(B676,Raw_Suppliers!$A$2:$G$101,3,FALSE)</f>
        <v>Brazil</v>
      </c>
      <c r="M676" t="str">
        <f>VLOOKUP(B676,Raw_Suppliers!$A$2:$G$101,4,FALSE)</f>
        <v>North</v>
      </c>
      <c r="N676" t="str">
        <f>VLOOKUP(B676,Raw_Suppliers!$A$2:$G$101,6,FALSE)</f>
        <v>ISO 9001</v>
      </c>
      <c r="O676">
        <f>VLOOKUP(B676,Raw_Suppliers!$A$2:$G$101,7,FALSE)</f>
        <v>1</v>
      </c>
      <c r="P676" t="str">
        <f t="shared" si="61"/>
        <v>Yes</v>
      </c>
      <c r="Q676">
        <f t="shared" si="62"/>
        <v>0</v>
      </c>
      <c r="R676" t="str">
        <f t="shared" si="63"/>
        <v>Late</v>
      </c>
      <c r="S676">
        <f t="shared" si="64"/>
        <v>2023</v>
      </c>
      <c r="T676">
        <f t="shared" si="65"/>
        <v>12</v>
      </c>
    </row>
    <row r="677" spans="1:20" x14ac:dyDescent="0.25">
      <c r="A677" t="s">
        <v>977</v>
      </c>
      <c r="B677" t="s">
        <v>411</v>
      </c>
      <c r="C677" t="s">
        <v>89</v>
      </c>
      <c r="D677" s="1">
        <v>44332</v>
      </c>
      <c r="E677">
        <v>8</v>
      </c>
      <c r="F677">
        <v>72.5329452179556</v>
      </c>
      <c r="G677" s="1">
        <v>44356</v>
      </c>
      <c r="H677" s="1">
        <v>44360</v>
      </c>
      <c r="I677">
        <v>580.26356174364503</v>
      </c>
      <c r="J677">
        <f t="shared" si="60"/>
        <v>4</v>
      </c>
      <c r="K677" t="str">
        <f>VLOOKUP(B677,Raw_Suppliers!$A$2:$G$101,2,FALSE)</f>
        <v>Gamma Nova LLC</v>
      </c>
      <c r="L677" t="str">
        <f>VLOOKUP(B677,Raw_Suppliers!$A$2:$G$101,3,FALSE)</f>
        <v>Brazil</v>
      </c>
      <c r="M677" t="str">
        <f>VLOOKUP(B677,Raw_Suppliers!$A$2:$G$101,4,FALSE)</f>
        <v>North</v>
      </c>
      <c r="N677" t="str">
        <f>VLOOKUP(B677,Raw_Suppliers!$A$2:$G$101,6,FALSE)</f>
        <v>ISO 14001</v>
      </c>
      <c r="O677">
        <f>VLOOKUP(B677,Raw_Suppliers!$A$2:$G$101,7,FALSE)</f>
        <v>1</v>
      </c>
      <c r="P677" t="str">
        <f t="shared" si="61"/>
        <v>Yes</v>
      </c>
      <c r="Q677">
        <f t="shared" si="62"/>
        <v>0</v>
      </c>
      <c r="R677" t="str">
        <f t="shared" si="63"/>
        <v>Late</v>
      </c>
      <c r="S677">
        <f t="shared" si="64"/>
        <v>2021</v>
      </c>
      <c r="T677">
        <f t="shared" si="65"/>
        <v>5</v>
      </c>
    </row>
    <row r="678" spans="1:20" x14ac:dyDescent="0.25">
      <c r="A678" t="s">
        <v>978</v>
      </c>
      <c r="B678" t="s">
        <v>399</v>
      </c>
      <c r="C678" t="s">
        <v>514</v>
      </c>
      <c r="D678" s="1">
        <v>44295</v>
      </c>
      <c r="E678">
        <v>8</v>
      </c>
      <c r="F678">
        <v>47.8503909296956</v>
      </c>
      <c r="G678" s="1">
        <v>44305</v>
      </c>
      <c r="H678" s="1">
        <v>44311</v>
      </c>
      <c r="I678">
        <v>382.803127437564</v>
      </c>
      <c r="J678">
        <f t="shared" si="60"/>
        <v>6</v>
      </c>
      <c r="K678" t="str">
        <f>VLOOKUP(B678,Raw_Suppliers!$A$2:$G$101,2,FALSE)</f>
        <v>Omega Nano Corp</v>
      </c>
      <c r="L678" t="str">
        <f>VLOOKUP(B678,Raw_Suppliers!$A$2:$G$101,3,FALSE)</f>
        <v>Brazil</v>
      </c>
      <c r="M678" t="str">
        <f>VLOOKUP(B678,Raw_Suppliers!$A$2:$G$101,4,FALSE)</f>
        <v>Central</v>
      </c>
      <c r="N678" t="str">
        <f>VLOOKUP(B678,Raw_Suppliers!$A$2:$G$101,6,FALSE)</f>
        <v>ISO 14001</v>
      </c>
      <c r="O678">
        <f>VLOOKUP(B678,Raw_Suppliers!$A$2:$G$101,7,FALSE)</f>
        <v>0</v>
      </c>
      <c r="P678" t="str">
        <f t="shared" si="61"/>
        <v>No</v>
      </c>
      <c r="Q678">
        <f t="shared" si="62"/>
        <v>0</v>
      </c>
      <c r="R678" t="str">
        <f t="shared" si="63"/>
        <v>Late</v>
      </c>
      <c r="S678">
        <f t="shared" si="64"/>
        <v>2021</v>
      </c>
      <c r="T678">
        <f t="shared" si="65"/>
        <v>4</v>
      </c>
    </row>
    <row r="679" spans="1:20" x14ac:dyDescent="0.25">
      <c r="A679" t="s">
        <v>979</v>
      </c>
      <c r="B679" t="s">
        <v>25</v>
      </c>
      <c r="C679" t="s">
        <v>38</v>
      </c>
      <c r="D679" s="1">
        <v>44695</v>
      </c>
      <c r="E679">
        <v>11</v>
      </c>
      <c r="F679">
        <v>13.4827008102743</v>
      </c>
      <c r="G679" s="1">
        <v>44705</v>
      </c>
      <c r="H679" s="1">
        <v>44708</v>
      </c>
      <c r="I679">
        <v>148.309708913018</v>
      </c>
      <c r="J679">
        <f t="shared" si="60"/>
        <v>3</v>
      </c>
      <c r="K679" t="str">
        <f>VLOOKUP(B679,Raw_Suppliers!$A$2:$G$101,2,FALSE)</f>
        <v>Quantum Fusion Corp</v>
      </c>
      <c r="L679" t="str">
        <f>VLOOKUP(B679,Raw_Suppliers!$A$2:$G$101,3,FALSE)</f>
        <v>UK</v>
      </c>
      <c r="M679" t="str">
        <f>VLOOKUP(B679,Raw_Suppliers!$A$2:$G$101,4,FALSE)</f>
        <v>North</v>
      </c>
      <c r="N679" t="str">
        <f>VLOOKUP(B679,Raw_Suppliers!$A$2:$G$101,6,FALSE)</f>
        <v>ISO 9001</v>
      </c>
      <c r="O679">
        <f>VLOOKUP(B679,Raw_Suppliers!$A$2:$G$101,7,FALSE)</f>
        <v>0</v>
      </c>
      <c r="P679" t="str">
        <f t="shared" si="61"/>
        <v>No</v>
      </c>
      <c r="Q679">
        <f t="shared" si="62"/>
        <v>0</v>
      </c>
      <c r="R679" t="str">
        <f t="shared" si="63"/>
        <v>Late</v>
      </c>
      <c r="S679">
        <f t="shared" si="64"/>
        <v>2022</v>
      </c>
      <c r="T679">
        <f t="shared" si="65"/>
        <v>5</v>
      </c>
    </row>
    <row r="680" spans="1:20" x14ac:dyDescent="0.25">
      <c r="A680" t="s">
        <v>980</v>
      </c>
      <c r="B680" t="s">
        <v>169</v>
      </c>
      <c r="C680" t="s">
        <v>400</v>
      </c>
      <c r="D680" s="1">
        <v>44254</v>
      </c>
      <c r="E680">
        <v>8</v>
      </c>
      <c r="F680">
        <v>22.040235665523099</v>
      </c>
      <c r="G680" s="1">
        <v>44276</v>
      </c>
      <c r="H680" s="1">
        <v>44273</v>
      </c>
      <c r="I680">
        <v>176.32188532418499</v>
      </c>
      <c r="J680">
        <f t="shared" si="60"/>
        <v>-3</v>
      </c>
      <c r="K680" t="str">
        <f>VLOOKUP(B680,Raw_Suppliers!$A$2:$G$101,2,FALSE)</f>
        <v>Vertex Beta LLC</v>
      </c>
      <c r="L680" t="str">
        <f>VLOOKUP(B680,Raw_Suppliers!$A$2:$G$101,3,FALSE)</f>
        <v>China</v>
      </c>
      <c r="M680" t="str">
        <f>VLOOKUP(B680,Raw_Suppliers!$A$2:$G$101,4,FALSE)</f>
        <v>South</v>
      </c>
      <c r="N680" t="str">
        <f>VLOOKUP(B680,Raw_Suppliers!$A$2:$G$101,6,FALSE)</f>
        <v>ISO 14001</v>
      </c>
      <c r="O680">
        <f>VLOOKUP(B680,Raw_Suppliers!$A$2:$G$101,7,FALSE)</f>
        <v>0</v>
      </c>
      <c r="P680" t="str">
        <f t="shared" si="61"/>
        <v>No</v>
      </c>
      <c r="Q680">
        <f t="shared" si="62"/>
        <v>1</v>
      </c>
      <c r="R680" t="str">
        <f t="shared" si="63"/>
        <v>On Time</v>
      </c>
      <c r="S680">
        <f t="shared" si="64"/>
        <v>2021</v>
      </c>
      <c r="T680">
        <f t="shared" si="65"/>
        <v>2</v>
      </c>
    </row>
    <row r="681" spans="1:20" x14ac:dyDescent="0.25">
      <c r="A681" t="s">
        <v>981</v>
      </c>
      <c r="B681" t="s">
        <v>427</v>
      </c>
      <c r="C681" t="s">
        <v>418</v>
      </c>
      <c r="D681" s="1">
        <v>44608</v>
      </c>
      <c r="E681">
        <v>12</v>
      </c>
      <c r="F681">
        <v>29.693968914047101</v>
      </c>
      <c r="G681" s="1">
        <v>44621</v>
      </c>
      <c r="H681" s="1">
        <v>44626</v>
      </c>
      <c r="I681">
        <v>356.32762696856503</v>
      </c>
      <c r="J681">
        <f t="shared" si="60"/>
        <v>5</v>
      </c>
      <c r="K681" t="str">
        <f>VLOOKUP(B681,Raw_Suppliers!$A$2:$G$101,2,FALSE)</f>
        <v>Nova Alpha Corp</v>
      </c>
      <c r="L681" t="str">
        <f>VLOOKUP(B681,Raw_Suppliers!$A$2:$G$101,3,FALSE)</f>
        <v>Denmark</v>
      </c>
      <c r="M681" t="str">
        <f>VLOOKUP(B681,Raw_Suppliers!$A$2:$G$101,4,FALSE)</f>
        <v>Central</v>
      </c>
      <c r="N681" t="str">
        <f>VLOOKUP(B681,Raw_Suppliers!$A$2:$G$101,6,FALSE)</f>
        <v>None</v>
      </c>
      <c r="O681">
        <f>VLOOKUP(B681,Raw_Suppliers!$A$2:$G$101,7,FALSE)</f>
        <v>0</v>
      </c>
      <c r="P681" t="str">
        <f t="shared" si="61"/>
        <v>No</v>
      </c>
      <c r="Q681">
        <f t="shared" si="62"/>
        <v>0</v>
      </c>
      <c r="R681" t="str">
        <f t="shared" si="63"/>
        <v>Late</v>
      </c>
      <c r="S681">
        <f t="shared" si="64"/>
        <v>2022</v>
      </c>
      <c r="T681">
        <f t="shared" si="65"/>
        <v>2</v>
      </c>
    </row>
    <row r="682" spans="1:20" x14ac:dyDescent="0.25">
      <c r="A682" t="s">
        <v>982</v>
      </c>
      <c r="B682" t="s">
        <v>82</v>
      </c>
      <c r="C682" t="s">
        <v>722</v>
      </c>
      <c r="D682" s="1">
        <v>44332</v>
      </c>
      <c r="E682">
        <v>11</v>
      </c>
      <c r="F682">
        <v>27.7728235860897</v>
      </c>
      <c r="G682" s="1">
        <v>44350</v>
      </c>
      <c r="H682" s="1">
        <v>44356</v>
      </c>
      <c r="I682">
        <v>305.50105944698703</v>
      </c>
      <c r="J682">
        <f t="shared" si="60"/>
        <v>6</v>
      </c>
      <c r="K682" t="str">
        <f>VLOOKUP(B682,Raw_Suppliers!$A$2:$G$101,2,FALSE)</f>
        <v>Gamma Quantum LLC</v>
      </c>
      <c r="L682" t="str">
        <f>VLOOKUP(B682,Raw_Suppliers!$A$2:$G$101,3,FALSE)</f>
        <v>Canada</v>
      </c>
      <c r="M682" t="str">
        <f>VLOOKUP(B682,Raw_Suppliers!$A$2:$G$101,4,FALSE)</f>
        <v>Central</v>
      </c>
      <c r="N682" t="str">
        <f>VLOOKUP(B682,Raw_Suppliers!$A$2:$G$101,6,FALSE)</f>
        <v>None</v>
      </c>
      <c r="O682">
        <f>VLOOKUP(B682,Raw_Suppliers!$A$2:$G$101,7,FALSE)</f>
        <v>1</v>
      </c>
      <c r="P682" t="str">
        <f t="shared" si="61"/>
        <v>Yes</v>
      </c>
      <c r="Q682">
        <f t="shared" si="62"/>
        <v>0</v>
      </c>
      <c r="R682" t="str">
        <f t="shared" si="63"/>
        <v>Late</v>
      </c>
      <c r="S682">
        <f t="shared" si="64"/>
        <v>2021</v>
      </c>
      <c r="T682">
        <f t="shared" si="65"/>
        <v>5</v>
      </c>
    </row>
    <row r="683" spans="1:20" x14ac:dyDescent="0.25">
      <c r="A683" t="s">
        <v>983</v>
      </c>
      <c r="B683" t="s">
        <v>194</v>
      </c>
      <c r="C683" t="s">
        <v>230</v>
      </c>
      <c r="D683" s="1">
        <v>44467</v>
      </c>
      <c r="E683">
        <v>11</v>
      </c>
      <c r="F683">
        <v>62.854618568833899</v>
      </c>
      <c r="G683" s="1">
        <v>44491</v>
      </c>
      <c r="H683" s="1">
        <v>44497</v>
      </c>
      <c r="I683">
        <v>691.40080425717304</v>
      </c>
      <c r="J683">
        <f t="shared" si="60"/>
        <v>6</v>
      </c>
      <c r="K683" t="str">
        <f>VLOOKUP(B683,Raw_Suppliers!$A$2:$G$101,2,FALSE)</f>
        <v>Eco Pioneer Corp</v>
      </c>
      <c r="L683" t="str">
        <f>VLOOKUP(B683,Raw_Suppliers!$A$2:$G$101,3,FALSE)</f>
        <v>China</v>
      </c>
      <c r="M683" t="str">
        <f>VLOOKUP(B683,Raw_Suppliers!$A$2:$G$101,4,FALSE)</f>
        <v>East</v>
      </c>
      <c r="N683" t="str">
        <f>VLOOKUP(B683,Raw_Suppliers!$A$2:$G$101,6,FALSE)</f>
        <v>ISO 14001</v>
      </c>
      <c r="O683">
        <f>VLOOKUP(B683,Raw_Suppliers!$A$2:$G$101,7,FALSE)</f>
        <v>1</v>
      </c>
      <c r="P683" t="str">
        <f t="shared" si="61"/>
        <v>Yes</v>
      </c>
      <c r="Q683">
        <f t="shared" si="62"/>
        <v>0</v>
      </c>
      <c r="R683" t="str">
        <f t="shared" si="63"/>
        <v>Late</v>
      </c>
      <c r="S683">
        <f t="shared" si="64"/>
        <v>2021</v>
      </c>
      <c r="T683">
        <f t="shared" si="65"/>
        <v>9</v>
      </c>
    </row>
    <row r="684" spans="1:20" x14ac:dyDescent="0.25">
      <c r="A684" t="s">
        <v>984</v>
      </c>
      <c r="B684" t="s">
        <v>52</v>
      </c>
      <c r="C684" t="s">
        <v>102</v>
      </c>
      <c r="D684" s="1">
        <v>44896</v>
      </c>
      <c r="E684">
        <v>11</v>
      </c>
      <c r="F684">
        <v>35.779826263020297</v>
      </c>
      <c r="G684" s="1">
        <v>44910</v>
      </c>
      <c r="H684" s="1">
        <v>44916</v>
      </c>
      <c r="I684">
        <v>393.57808889322399</v>
      </c>
      <c r="J684">
        <f t="shared" si="60"/>
        <v>6</v>
      </c>
      <c r="K684" t="str">
        <f>VLOOKUP(B684,Raw_Suppliers!$A$2:$G$101,2,FALSE)</f>
        <v>Beta Nano Corp</v>
      </c>
      <c r="L684" t="str">
        <f>VLOOKUP(B684,Raw_Suppliers!$A$2:$G$101,3,FALSE)</f>
        <v>UK</v>
      </c>
      <c r="M684" t="str">
        <f>VLOOKUP(B684,Raw_Suppliers!$A$2:$G$101,4,FALSE)</f>
        <v>Central</v>
      </c>
      <c r="N684" t="str">
        <f>VLOOKUP(B684,Raw_Suppliers!$A$2:$G$101,6,FALSE)</f>
        <v>ISO 45001</v>
      </c>
      <c r="O684">
        <f>VLOOKUP(B684,Raw_Suppliers!$A$2:$G$101,7,FALSE)</f>
        <v>0</v>
      </c>
      <c r="P684" t="str">
        <f t="shared" si="61"/>
        <v>No</v>
      </c>
      <c r="Q684">
        <f t="shared" si="62"/>
        <v>0</v>
      </c>
      <c r="R684" t="str">
        <f t="shared" si="63"/>
        <v>Late</v>
      </c>
      <c r="S684">
        <f t="shared" si="64"/>
        <v>2022</v>
      </c>
      <c r="T684">
        <f t="shared" si="65"/>
        <v>12</v>
      </c>
    </row>
    <row r="685" spans="1:20" x14ac:dyDescent="0.25">
      <c r="A685" t="s">
        <v>985</v>
      </c>
      <c r="B685" t="s">
        <v>99</v>
      </c>
      <c r="C685" t="s">
        <v>391</v>
      </c>
      <c r="D685" s="1">
        <v>44865</v>
      </c>
      <c r="E685">
        <v>12</v>
      </c>
      <c r="F685">
        <v>44.741437635801297</v>
      </c>
      <c r="G685" s="1">
        <v>44879</v>
      </c>
      <c r="H685" s="1">
        <v>44882</v>
      </c>
      <c r="I685">
        <v>536.89725162961497</v>
      </c>
      <c r="J685">
        <f t="shared" si="60"/>
        <v>3</v>
      </c>
      <c r="K685" t="str">
        <f>VLOOKUP(B685,Raw_Suppliers!$A$2:$G$101,2,FALSE)</f>
        <v>Gamma Nova LLC</v>
      </c>
      <c r="L685" t="str">
        <f>VLOOKUP(B685,Raw_Suppliers!$A$2:$G$101,3,FALSE)</f>
        <v>USA</v>
      </c>
      <c r="M685" t="str">
        <f>VLOOKUP(B685,Raw_Suppliers!$A$2:$G$101,4,FALSE)</f>
        <v>North</v>
      </c>
      <c r="N685" t="str">
        <f>VLOOKUP(B685,Raw_Suppliers!$A$2:$G$101,6,FALSE)</f>
        <v>ISO 9001</v>
      </c>
      <c r="O685">
        <f>VLOOKUP(B685,Raw_Suppliers!$A$2:$G$101,7,FALSE)</f>
        <v>0</v>
      </c>
      <c r="P685" t="str">
        <f t="shared" si="61"/>
        <v>No</v>
      </c>
      <c r="Q685">
        <f t="shared" si="62"/>
        <v>0</v>
      </c>
      <c r="R685" t="str">
        <f t="shared" si="63"/>
        <v>Late</v>
      </c>
      <c r="S685">
        <f t="shared" si="64"/>
        <v>2022</v>
      </c>
      <c r="T685">
        <f t="shared" si="65"/>
        <v>10</v>
      </c>
    </row>
    <row r="686" spans="1:20" x14ac:dyDescent="0.25">
      <c r="A686" t="s">
        <v>986</v>
      </c>
      <c r="B686" t="s">
        <v>114</v>
      </c>
      <c r="C686" t="s">
        <v>661</v>
      </c>
      <c r="D686" s="1">
        <v>45391</v>
      </c>
      <c r="E686">
        <v>9</v>
      </c>
      <c r="F686">
        <v>20.6381570823484</v>
      </c>
      <c r="G686" s="1">
        <v>45403</v>
      </c>
      <c r="H686" s="1">
        <v>45409</v>
      </c>
      <c r="I686">
        <v>185.74341374113601</v>
      </c>
      <c r="J686">
        <f t="shared" si="60"/>
        <v>6</v>
      </c>
      <c r="K686" t="str">
        <f>VLOOKUP(B686,Raw_Suppliers!$A$2:$G$101,2,FALSE)</f>
        <v>Fusion Fusion LLC</v>
      </c>
      <c r="L686" t="str">
        <f>VLOOKUP(B686,Raw_Suppliers!$A$2:$G$101,3,FALSE)</f>
        <v>China</v>
      </c>
      <c r="M686" t="str">
        <f>VLOOKUP(B686,Raw_Suppliers!$A$2:$G$101,4,FALSE)</f>
        <v>North</v>
      </c>
      <c r="N686" t="str">
        <f>VLOOKUP(B686,Raw_Suppliers!$A$2:$G$101,6,FALSE)</f>
        <v>ISO 45001</v>
      </c>
      <c r="O686">
        <f>VLOOKUP(B686,Raw_Suppliers!$A$2:$G$101,7,FALSE)</f>
        <v>1</v>
      </c>
      <c r="P686" t="str">
        <f t="shared" si="61"/>
        <v>Yes</v>
      </c>
      <c r="Q686">
        <f t="shared" si="62"/>
        <v>0</v>
      </c>
      <c r="R686" t="str">
        <f t="shared" si="63"/>
        <v>Late</v>
      </c>
      <c r="S686">
        <f t="shared" si="64"/>
        <v>2024</v>
      </c>
      <c r="T686">
        <f t="shared" si="65"/>
        <v>4</v>
      </c>
    </row>
    <row r="687" spans="1:20" x14ac:dyDescent="0.25">
      <c r="A687" t="s">
        <v>987</v>
      </c>
      <c r="B687" t="s">
        <v>369</v>
      </c>
      <c r="C687" t="s">
        <v>308</v>
      </c>
      <c r="D687" s="1">
        <v>45304</v>
      </c>
      <c r="E687">
        <v>10</v>
      </c>
      <c r="F687">
        <v>22.445654546326299</v>
      </c>
      <c r="G687" s="1">
        <v>45321</v>
      </c>
      <c r="H687" s="1">
        <v>45327</v>
      </c>
      <c r="I687">
        <v>224.45654546326301</v>
      </c>
      <c r="J687">
        <f t="shared" si="60"/>
        <v>6</v>
      </c>
      <c r="K687" t="str">
        <f>VLOOKUP(B687,Raw_Suppliers!$A$2:$G$101,2,FALSE)</f>
        <v>Beta Fusion GmbH</v>
      </c>
      <c r="L687" t="str">
        <f>VLOOKUP(B687,Raw_Suppliers!$A$2:$G$101,3,FALSE)</f>
        <v>China</v>
      </c>
      <c r="M687" t="str">
        <f>VLOOKUP(B687,Raw_Suppliers!$A$2:$G$101,4,FALSE)</f>
        <v>South</v>
      </c>
      <c r="N687" t="str">
        <f>VLOOKUP(B687,Raw_Suppliers!$A$2:$G$101,6,FALSE)</f>
        <v>ISO 9001</v>
      </c>
      <c r="O687">
        <f>VLOOKUP(B687,Raw_Suppliers!$A$2:$G$101,7,FALSE)</f>
        <v>0</v>
      </c>
      <c r="P687" t="str">
        <f t="shared" si="61"/>
        <v>No</v>
      </c>
      <c r="Q687">
        <f t="shared" si="62"/>
        <v>0</v>
      </c>
      <c r="R687" t="str">
        <f t="shared" si="63"/>
        <v>Late</v>
      </c>
      <c r="S687">
        <f t="shared" si="64"/>
        <v>2024</v>
      </c>
      <c r="T687">
        <f t="shared" si="65"/>
        <v>1</v>
      </c>
    </row>
    <row r="688" spans="1:20" x14ac:dyDescent="0.25">
      <c r="A688" t="s">
        <v>988</v>
      </c>
      <c r="B688" t="s">
        <v>350</v>
      </c>
      <c r="C688" t="s">
        <v>133</v>
      </c>
      <c r="D688" s="1">
        <v>44720</v>
      </c>
      <c r="E688">
        <v>11</v>
      </c>
      <c r="F688">
        <v>19.1710681452033</v>
      </c>
      <c r="G688" s="1">
        <v>44744</v>
      </c>
      <c r="H688" s="1">
        <v>44745</v>
      </c>
      <c r="I688">
        <v>210.88174959723699</v>
      </c>
      <c r="J688">
        <f t="shared" si="60"/>
        <v>1</v>
      </c>
      <c r="K688" t="str">
        <f>VLOOKUP(B688,Raw_Suppliers!$A$2:$G$101,2,FALSE)</f>
        <v>Prime Gamma GmbH</v>
      </c>
      <c r="L688" t="str">
        <f>VLOOKUP(B688,Raw_Suppliers!$A$2:$G$101,3,FALSE)</f>
        <v>Denmark</v>
      </c>
      <c r="M688" t="str">
        <f>VLOOKUP(B688,Raw_Suppliers!$A$2:$G$101,4,FALSE)</f>
        <v>West</v>
      </c>
      <c r="N688" t="str">
        <f>VLOOKUP(B688,Raw_Suppliers!$A$2:$G$101,6,FALSE)</f>
        <v>ISO 9001</v>
      </c>
      <c r="O688">
        <f>VLOOKUP(B688,Raw_Suppliers!$A$2:$G$101,7,FALSE)</f>
        <v>0</v>
      </c>
      <c r="P688" t="str">
        <f t="shared" si="61"/>
        <v>No</v>
      </c>
      <c r="Q688">
        <f t="shared" si="62"/>
        <v>0</v>
      </c>
      <c r="R688" t="str">
        <f t="shared" si="63"/>
        <v>Late</v>
      </c>
      <c r="S688">
        <f t="shared" si="64"/>
        <v>2022</v>
      </c>
      <c r="T688">
        <f t="shared" si="65"/>
        <v>6</v>
      </c>
    </row>
    <row r="689" spans="1:20" x14ac:dyDescent="0.25">
      <c r="A689" t="s">
        <v>989</v>
      </c>
      <c r="B689" t="s">
        <v>203</v>
      </c>
      <c r="C689" t="s">
        <v>990</v>
      </c>
      <c r="D689" s="1">
        <v>45202</v>
      </c>
      <c r="E689">
        <v>8</v>
      </c>
      <c r="F689">
        <v>31.595080613800299</v>
      </c>
      <c r="G689" s="1">
        <v>45221</v>
      </c>
      <c r="H689" s="1">
        <v>45220</v>
      </c>
      <c r="I689">
        <v>252.76064491040199</v>
      </c>
      <c r="J689">
        <f t="shared" si="60"/>
        <v>-1</v>
      </c>
      <c r="K689" t="str">
        <f>VLOOKUP(B689,Raw_Suppliers!$A$2:$G$101,2,FALSE)</f>
        <v>Nova Eco LLC</v>
      </c>
      <c r="L689" t="str">
        <f>VLOOKUP(B689,Raw_Suppliers!$A$2:$G$101,3,FALSE)</f>
        <v>Denmark</v>
      </c>
      <c r="M689" t="str">
        <f>VLOOKUP(B689,Raw_Suppliers!$A$2:$G$101,4,FALSE)</f>
        <v>South</v>
      </c>
      <c r="N689" t="str">
        <f>VLOOKUP(B689,Raw_Suppliers!$A$2:$G$101,6,FALSE)</f>
        <v>ISO 14001</v>
      </c>
      <c r="O689">
        <f>VLOOKUP(B689,Raw_Suppliers!$A$2:$G$101,7,FALSE)</f>
        <v>0</v>
      </c>
      <c r="P689" t="str">
        <f t="shared" si="61"/>
        <v>No</v>
      </c>
      <c r="Q689">
        <f t="shared" si="62"/>
        <v>1</v>
      </c>
      <c r="R689" t="str">
        <f t="shared" si="63"/>
        <v>On Time</v>
      </c>
      <c r="S689">
        <f t="shared" si="64"/>
        <v>2023</v>
      </c>
      <c r="T689">
        <f t="shared" si="65"/>
        <v>10</v>
      </c>
    </row>
    <row r="690" spans="1:20" x14ac:dyDescent="0.25">
      <c r="A690" t="s">
        <v>991</v>
      </c>
      <c r="B690" t="s">
        <v>121</v>
      </c>
      <c r="C690" t="s">
        <v>581</v>
      </c>
      <c r="D690" s="1">
        <v>45147</v>
      </c>
      <c r="E690">
        <v>9</v>
      </c>
      <c r="F690">
        <v>63.624308833011703</v>
      </c>
      <c r="G690" s="1">
        <v>45168</v>
      </c>
      <c r="H690" s="1">
        <v>45171</v>
      </c>
      <c r="I690">
        <v>572.61877949710504</v>
      </c>
      <c r="J690">
        <f t="shared" si="60"/>
        <v>3</v>
      </c>
      <c r="K690" t="str">
        <f>VLOOKUP(B690,Raw_Suppliers!$A$2:$G$101,2,FALSE)</f>
        <v>Vertex Vertex Inc</v>
      </c>
      <c r="L690" t="str">
        <f>VLOOKUP(B690,Raw_Suppliers!$A$2:$G$101,3,FALSE)</f>
        <v>USA</v>
      </c>
      <c r="M690" t="str">
        <f>VLOOKUP(B690,Raw_Suppliers!$A$2:$G$101,4,FALSE)</f>
        <v>West</v>
      </c>
      <c r="N690" t="str">
        <f>VLOOKUP(B690,Raw_Suppliers!$A$2:$G$101,6,FALSE)</f>
        <v>None</v>
      </c>
      <c r="O690">
        <f>VLOOKUP(B690,Raw_Suppliers!$A$2:$G$101,7,FALSE)</f>
        <v>0</v>
      </c>
      <c r="P690" t="str">
        <f t="shared" si="61"/>
        <v>No</v>
      </c>
      <c r="Q690">
        <f t="shared" si="62"/>
        <v>0</v>
      </c>
      <c r="R690" t="str">
        <f t="shared" si="63"/>
        <v>Late</v>
      </c>
      <c r="S690">
        <f t="shared" si="64"/>
        <v>2023</v>
      </c>
      <c r="T690">
        <f t="shared" si="65"/>
        <v>8</v>
      </c>
    </row>
    <row r="691" spans="1:20" x14ac:dyDescent="0.25">
      <c r="A691" t="s">
        <v>992</v>
      </c>
      <c r="B691" t="s">
        <v>578</v>
      </c>
      <c r="C691" t="s">
        <v>80</v>
      </c>
      <c r="D691" s="1">
        <v>45360</v>
      </c>
      <c r="E691">
        <v>11</v>
      </c>
      <c r="F691">
        <v>51.114958986810102</v>
      </c>
      <c r="G691" s="1">
        <v>45384</v>
      </c>
      <c r="H691" s="1">
        <v>45383</v>
      </c>
      <c r="I691">
        <v>562.26454885491103</v>
      </c>
      <c r="J691">
        <f t="shared" si="60"/>
        <v>-1</v>
      </c>
      <c r="K691" t="str">
        <f>VLOOKUP(B691,Raw_Suppliers!$A$2:$G$101,2,FALSE)</f>
        <v>Beta Eco Ltd</v>
      </c>
      <c r="L691" t="str">
        <f>VLOOKUP(B691,Raw_Suppliers!$A$2:$G$101,3,FALSE)</f>
        <v>Canada</v>
      </c>
      <c r="M691" t="str">
        <f>VLOOKUP(B691,Raw_Suppliers!$A$2:$G$101,4,FALSE)</f>
        <v>East</v>
      </c>
      <c r="N691" t="str">
        <f>VLOOKUP(B691,Raw_Suppliers!$A$2:$G$101,6,FALSE)</f>
        <v>None</v>
      </c>
      <c r="O691">
        <f>VLOOKUP(B691,Raw_Suppliers!$A$2:$G$101,7,FALSE)</f>
        <v>0</v>
      </c>
      <c r="P691" t="str">
        <f t="shared" si="61"/>
        <v>No</v>
      </c>
      <c r="Q691">
        <f t="shared" si="62"/>
        <v>1</v>
      </c>
      <c r="R691" t="str">
        <f t="shared" si="63"/>
        <v>On Time</v>
      </c>
      <c r="S691">
        <f t="shared" si="64"/>
        <v>2024</v>
      </c>
      <c r="T691">
        <f t="shared" si="65"/>
        <v>3</v>
      </c>
    </row>
    <row r="692" spans="1:20" x14ac:dyDescent="0.25">
      <c r="A692" t="s">
        <v>993</v>
      </c>
      <c r="B692" t="s">
        <v>40</v>
      </c>
      <c r="C692" t="s">
        <v>74</v>
      </c>
      <c r="D692" s="1">
        <v>45337</v>
      </c>
      <c r="E692">
        <v>12</v>
      </c>
      <c r="F692">
        <v>17.668394031706001</v>
      </c>
      <c r="G692" s="1">
        <v>45352</v>
      </c>
      <c r="H692" s="1">
        <v>45357</v>
      </c>
      <c r="I692">
        <v>212.02072838047201</v>
      </c>
      <c r="J692">
        <f t="shared" si="60"/>
        <v>5</v>
      </c>
      <c r="K692" t="str">
        <f>VLOOKUP(B692,Raw_Suppliers!$A$2:$G$101,2,FALSE)</f>
        <v>Ultra Apex Inc</v>
      </c>
      <c r="L692" t="str">
        <f>VLOOKUP(B692,Raw_Suppliers!$A$2:$G$101,3,FALSE)</f>
        <v>India</v>
      </c>
      <c r="M692" t="str">
        <f>VLOOKUP(B692,Raw_Suppliers!$A$2:$G$101,4,FALSE)</f>
        <v>West</v>
      </c>
      <c r="N692" t="str">
        <f>VLOOKUP(B692,Raw_Suppliers!$A$2:$G$101,6,FALSE)</f>
        <v>ISO 9001</v>
      </c>
      <c r="O692">
        <f>VLOOKUP(B692,Raw_Suppliers!$A$2:$G$101,7,FALSE)</f>
        <v>0</v>
      </c>
      <c r="P692" t="str">
        <f t="shared" si="61"/>
        <v>No</v>
      </c>
      <c r="Q692">
        <f t="shared" si="62"/>
        <v>0</v>
      </c>
      <c r="R692" t="str">
        <f t="shared" si="63"/>
        <v>Late</v>
      </c>
      <c r="S692">
        <f t="shared" si="64"/>
        <v>2024</v>
      </c>
      <c r="T692">
        <f t="shared" si="65"/>
        <v>2</v>
      </c>
    </row>
    <row r="693" spans="1:20" x14ac:dyDescent="0.25">
      <c r="A693" t="s">
        <v>994</v>
      </c>
      <c r="B693" t="s">
        <v>237</v>
      </c>
      <c r="C693" t="s">
        <v>125</v>
      </c>
      <c r="D693" s="1">
        <v>44648</v>
      </c>
      <c r="E693">
        <v>11</v>
      </c>
      <c r="F693">
        <v>71.874861080467994</v>
      </c>
      <c r="G693" s="1">
        <v>44667</v>
      </c>
      <c r="H693" s="1">
        <v>44664</v>
      </c>
      <c r="I693">
        <v>790.62347188514798</v>
      </c>
      <c r="J693">
        <f t="shared" si="60"/>
        <v>-3</v>
      </c>
      <c r="K693" t="str">
        <f>VLOOKUP(B693,Raw_Suppliers!$A$2:$G$101,2,FALSE)</f>
        <v>Eco Beta Inc</v>
      </c>
      <c r="L693" t="str">
        <f>VLOOKUP(B693,Raw_Suppliers!$A$2:$G$101,3,FALSE)</f>
        <v>Germany</v>
      </c>
      <c r="M693" t="str">
        <f>VLOOKUP(B693,Raw_Suppliers!$A$2:$G$101,4,FALSE)</f>
        <v>North</v>
      </c>
      <c r="N693" t="str">
        <f>VLOOKUP(B693,Raw_Suppliers!$A$2:$G$101,6,FALSE)</f>
        <v>ISO 14001</v>
      </c>
      <c r="O693">
        <f>VLOOKUP(B693,Raw_Suppliers!$A$2:$G$101,7,FALSE)</f>
        <v>0</v>
      </c>
      <c r="P693" t="str">
        <f t="shared" si="61"/>
        <v>No</v>
      </c>
      <c r="Q693">
        <f t="shared" si="62"/>
        <v>1</v>
      </c>
      <c r="R693" t="str">
        <f t="shared" si="63"/>
        <v>On Time</v>
      </c>
      <c r="S693">
        <f t="shared" si="64"/>
        <v>2022</v>
      </c>
      <c r="T693">
        <f t="shared" si="65"/>
        <v>3</v>
      </c>
    </row>
    <row r="694" spans="1:20" x14ac:dyDescent="0.25">
      <c r="A694" t="s">
        <v>995</v>
      </c>
      <c r="B694" t="s">
        <v>203</v>
      </c>
      <c r="C694" t="s">
        <v>344</v>
      </c>
      <c r="D694" s="1">
        <v>44310</v>
      </c>
      <c r="E694">
        <v>12</v>
      </c>
      <c r="F694">
        <v>55.693808085605298</v>
      </c>
      <c r="G694" s="1">
        <v>44323</v>
      </c>
      <c r="H694" s="1">
        <v>44323</v>
      </c>
      <c r="I694">
        <v>668.32569702726403</v>
      </c>
      <c r="J694">
        <f t="shared" si="60"/>
        <v>0</v>
      </c>
      <c r="K694" t="str">
        <f>VLOOKUP(B694,Raw_Suppliers!$A$2:$G$101,2,FALSE)</f>
        <v>Nova Eco LLC</v>
      </c>
      <c r="L694" t="str">
        <f>VLOOKUP(B694,Raw_Suppliers!$A$2:$G$101,3,FALSE)</f>
        <v>Denmark</v>
      </c>
      <c r="M694" t="str">
        <f>VLOOKUP(B694,Raw_Suppliers!$A$2:$G$101,4,FALSE)</f>
        <v>South</v>
      </c>
      <c r="N694" t="str">
        <f>VLOOKUP(B694,Raw_Suppliers!$A$2:$G$101,6,FALSE)</f>
        <v>ISO 14001</v>
      </c>
      <c r="O694">
        <f>VLOOKUP(B694,Raw_Suppliers!$A$2:$G$101,7,FALSE)</f>
        <v>0</v>
      </c>
      <c r="P694" t="str">
        <f t="shared" si="61"/>
        <v>No</v>
      </c>
      <c r="Q694">
        <f t="shared" si="62"/>
        <v>1</v>
      </c>
      <c r="R694" t="str">
        <f t="shared" si="63"/>
        <v>On Time</v>
      </c>
      <c r="S694">
        <f t="shared" si="64"/>
        <v>2021</v>
      </c>
      <c r="T694">
        <f t="shared" si="65"/>
        <v>4</v>
      </c>
    </row>
    <row r="695" spans="1:20" x14ac:dyDescent="0.25">
      <c r="A695" t="s">
        <v>996</v>
      </c>
      <c r="B695" t="s">
        <v>247</v>
      </c>
      <c r="C695" t="s">
        <v>68</v>
      </c>
      <c r="D695" s="1">
        <v>44370</v>
      </c>
      <c r="E695">
        <v>7</v>
      </c>
      <c r="F695">
        <v>78.018921746118494</v>
      </c>
      <c r="G695" s="1">
        <v>44393</v>
      </c>
      <c r="H695" s="1">
        <v>44394</v>
      </c>
      <c r="I695">
        <v>546.13245222282899</v>
      </c>
      <c r="J695">
        <f t="shared" si="60"/>
        <v>1</v>
      </c>
      <c r="K695" t="str">
        <f>VLOOKUP(B695,Raw_Suppliers!$A$2:$G$101,2,FALSE)</f>
        <v>Ultra Apex LLC</v>
      </c>
      <c r="L695" t="str">
        <f>VLOOKUP(B695,Raw_Suppliers!$A$2:$G$101,3,FALSE)</f>
        <v>Germany</v>
      </c>
      <c r="M695" t="str">
        <f>VLOOKUP(B695,Raw_Suppliers!$A$2:$G$101,4,FALSE)</f>
        <v>West</v>
      </c>
      <c r="N695" t="str">
        <f>VLOOKUP(B695,Raw_Suppliers!$A$2:$G$101,6,FALSE)</f>
        <v>ISO 9001</v>
      </c>
      <c r="O695">
        <f>VLOOKUP(B695,Raw_Suppliers!$A$2:$G$101,7,FALSE)</f>
        <v>0</v>
      </c>
      <c r="P695" t="str">
        <f t="shared" si="61"/>
        <v>No</v>
      </c>
      <c r="Q695">
        <f t="shared" si="62"/>
        <v>0</v>
      </c>
      <c r="R695" t="str">
        <f t="shared" si="63"/>
        <v>Late</v>
      </c>
      <c r="S695">
        <f t="shared" si="64"/>
        <v>2021</v>
      </c>
      <c r="T695">
        <f t="shared" si="65"/>
        <v>6</v>
      </c>
    </row>
    <row r="696" spans="1:20" x14ac:dyDescent="0.25">
      <c r="A696" t="s">
        <v>997</v>
      </c>
      <c r="B696" t="s">
        <v>67</v>
      </c>
      <c r="C696" t="s">
        <v>453</v>
      </c>
      <c r="D696" s="1">
        <v>44335</v>
      </c>
      <c r="E696">
        <v>9</v>
      </c>
      <c r="F696">
        <v>41.474784112719099</v>
      </c>
      <c r="G696" s="1">
        <v>44357</v>
      </c>
      <c r="H696" s="1">
        <v>44361</v>
      </c>
      <c r="I696">
        <v>373.27305701447199</v>
      </c>
      <c r="J696">
        <f t="shared" si="60"/>
        <v>4</v>
      </c>
      <c r="K696" t="str">
        <f>VLOOKUP(B696,Raw_Suppliers!$A$2:$G$101,2,FALSE)</f>
        <v>Nova Eco LLC</v>
      </c>
      <c r="L696" t="str">
        <f>VLOOKUP(B696,Raw_Suppliers!$A$2:$G$101,3,FALSE)</f>
        <v>Germany</v>
      </c>
      <c r="M696" t="str">
        <f>VLOOKUP(B696,Raw_Suppliers!$A$2:$G$101,4,FALSE)</f>
        <v>Central</v>
      </c>
      <c r="N696" t="str">
        <f>VLOOKUP(B696,Raw_Suppliers!$A$2:$G$101,6,FALSE)</f>
        <v>ISO 9001</v>
      </c>
      <c r="O696">
        <f>VLOOKUP(B696,Raw_Suppliers!$A$2:$G$101,7,FALSE)</f>
        <v>1</v>
      </c>
      <c r="P696" t="str">
        <f t="shared" si="61"/>
        <v>Yes</v>
      </c>
      <c r="Q696">
        <f t="shared" si="62"/>
        <v>0</v>
      </c>
      <c r="R696" t="str">
        <f t="shared" si="63"/>
        <v>Late</v>
      </c>
      <c r="S696">
        <f t="shared" si="64"/>
        <v>2021</v>
      </c>
      <c r="T696">
        <f t="shared" si="65"/>
        <v>5</v>
      </c>
    </row>
    <row r="697" spans="1:20" x14ac:dyDescent="0.25">
      <c r="A697" t="s">
        <v>998</v>
      </c>
      <c r="B697" t="s">
        <v>253</v>
      </c>
      <c r="C697" t="s">
        <v>562</v>
      </c>
      <c r="D697" s="1">
        <v>45255</v>
      </c>
      <c r="E697">
        <v>12</v>
      </c>
      <c r="F697">
        <v>64.491908462772301</v>
      </c>
      <c r="G697" s="1">
        <v>45272</v>
      </c>
      <c r="H697" s="1">
        <v>45276</v>
      </c>
      <c r="I697">
        <v>773.90290155326795</v>
      </c>
      <c r="J697">
        <f t="shared" si="60"/>
        <v>4</v>
      </c>
      <c r="K697" t="str">
        <f>VLOOKUP(B697,Raw_Suppliers!$A$2:$G$101,2,FALSE)</f>
        <v>Vertex Apex Ltd</v>
      </c>
      <c r="L697" t="str">
        <f>VLOOKUP(B697,Raw_Suppliers!$A$2:$G$101,3,FALSE)</f>
        <v>Brazil</v>
      </c>
      <c r="M697" t="str">
        <f>VLOOKUP(B697,Raw_Suppliers!$A$2:$G$101,4,FALSE)</f>
        <v>South</v>
      </c>
      <c r="N697" t="str">
        <f>VLOOKUP(B697,Raw_Suppliers!$A$2:$G$101,6,FALSE)</f>
        <v>None</v>
      </c>
      <c r="O697">
        <f>VLOOKUP(B697,Raw_Suppliers!$A$2:$G$101,7,FALSE)</f>
        <v>1</v>
      </c>
      <c r="P697" t="str">
        <f t="shared" si="61"/>
        <v>Yes</v>
      </c>
      <c r="Q697">
        <f t="shared" si="62"/>
        <v>0</v>
      </c>
      <c r="R697" t="str">
        <f t="shared" si="63"/>
        <v>Late</v>
      </c>
      <c r="S697">
        <f t="shared" si="64"/>
        <v>2023</v>
      </c>
      <c r="T697">
        <f t="shared" si="65"/>
        <v>11</v>
      </c>
    </row>
    <row r="698" spans="1:20" x14ac:dyDescent="0.25">
      <c r="A698" t="s">
        <v>999</v>
      </c>
      <c r="B698" t="s">
        <v>427</v>
      </c>
      <c r="C698" t="s">
        <v>363</v>
      </c>
      <c r="D698" s="1">
        <v>45289</v>
      </c>
      <c r="E698">
        <v>13</v>
      </c>
      <c r="F698">
        <v>68.515331633258398</v>
      </c>
      <c r="G698" s="1">
        <v>45311</v>
      </c>
      <c r="H698" s="1">
        <v>45308</v>
      </c>
      <c r="I698">
        <v>890.69931123235995</v>
      </c>
      <c r="J698">
        <f t="shared" si="60"/>
        <v>-3</v>
      </c>
      <c r="K698" t="str">
        <f>VLOOKUP(B698,Raw_Suppliers!$A$2:$G$101,2,FALSE)</f>
        <v>Nova Alpha Corp</v>
      </c>
      <c r="L698" t="str">
        <f>VLOOKUP(B698,Raw_Suppliers!$A$2:$G$101,3,FALSE)</f>
        <v>Denmark</v>
      </c>
      <c r="M698" t="str">
        <f>VLOOKUP(B698,Raw_Suppliers!$A$2:$G$101,4,FALSE)</f>
        <v>Central</v>
      </c>
      <c r="N698" t="str">
        <f>VLOOKUP(B698,Raw_Suppliers!$A$2:$G$101,6,FALSE)</f>
        <v>None</v>
      </c>
      <c r="O698">
        <f>VLOOKUP(B698,Raw_Suppliers!$A$2:$G$101,7,FALSE)</f>
        <v>0</v>
      </c>
      <c r="P698" t="str">
        <f t="shared" si="61"/>
        <v>No</v>
      </c>
      <c r="Q698">
        <f t="shared" si="62"/>
        <v>1</v>
      </c>
      <c r="R698" t="str">
        <f t="shared" si="63"/>
        <v>On Time</v>
      </c>
      <c r="S698">
        <f t="shared" si="64"/>
        <v>2023</v>
      </c>
      <c r="T698">
        <f t="shared" si="65"/>
        <v>12</v>
      </c>
    </row>
    <row r="699" spans="1:20" x14ac:dyDescent="0.25">
      <c r="A699" t="s">
        <v>1000</v>
      </c>
      <c r="B699" t="s">
        <v>160</v>
      </c>
      <c r="C699" t="s">
        <v>547</v>
      </c>
      <c r="D699" s="1">
        <v>45146</v>
      </c>
      <c r="E699">
        <v>7</v>
      </c>
      <c r="F699">
        <v>30.736880873671598</v>
      </c>
      <c r="G699" s="1">
        <v>45167</v>
      </c>
      <c r="H699" s="1">
        <v>45168</v>
      </c>
      <c r="I699">
        <v>215.15816611570099</v>
      </c>
      <c r="J699">
        <f t="shared" si="60"/>
        <v>1</v>
      </c>
      <c r="K699" t="str">
        <f>VLOOKUP(B699,Raw_Suppliers!$A$2:$G$101,2,FALSE)</f>
        <v>Omega Beta Corp</v>
      </c>
      <c r="L699" t="str">
        <f>VLOOKUP(B699,Raw_Suppliers!$A$2:$G$101,3,FALSE)</f>
        <v>China</v>
      </c>
      <c r="M699" t="str">
        <f>VLOOKUP(B699,Raw_Suppliers!$A$2:$G$101,4,FALSE)</f>
        <v>East</v>
      </c>
      <c r="N699" t="str">
        <f>VLOOKUP(B699,Raw_Suppliers!$A$2:$G$101,6,FALSE)</f>
        <v>ISO 45001</v>
      </c>
      <c r="O699">
        <f>VLOOKUP(B699,Raw_Suppliers!$A$2:$G$101,7,FALSE)</f>
        <v>1</v>
      </c>
      <c r="P699" t="str">
        <f t="shared" si="61"/>
        <v>Yes</v>
      </c>
      <c r="Q699">
        <f t="shared" si="62"/>
        <v>0</v>
      </c>
      <c r="R699" t="str">
        <f t="shared" si="63"/>
        <v>Late</v>
      </c>
      <c r="S699">
        <f t="shared" si="64"/>
        <v>2023</v>
      </c>
      <c r="T699">
        <f t="shared" si="65"/>
        <v>8</v>
      </c>
    </row>
    <row r="700" spans="1:20" x14ac:dyDescent="0.25">
      <c r="A700" t="s">
        <v>1001</v>
      </c>
      <c r="B700" t="s">
        <v>43</v>
      </c>
      <c r="C700" t="s">
        <v>107</v>
      </c>
      <c r="D700" s="1">
        <v>44523</v>
      </c>
      <c r="E700">
        <v>8</v>
      </c>
      <c r="F700">
        <v>26.933945571837501</v>
      </c>
      <c r="G700" s="1">
        <v>44542</v>
      </c>
      <c r="H700" s="1">
        <v>44542</v>
      </c>
      <c r="I700">
        <v>215.47156457470001</v>
      </c>
      <c r="J700">
        <f t="shared" si="60"/>
        <v>0</v>
      </c>
      <c r="K700" t="str">
        <f>VLOOKUP(B700,Raw_Suppliers!$A$2:$G$101,2,FALSE)</f>
        <v>Alpha Ultra Corp</v>
      </c>
      <c r="L700" t="str">
        <f>VLOOKUP(B700,Raw_Suppliers!$A$2:$G$101,3,FALSE)</f>
        <v>USA</v>
      </c>
      <c r="M700" t="str">
        <f>VLOOKUP(B700,Raw_Suppliers!$A$2:$G$101,4,FALSE)</f>
        <v>Central</v>
      </c>
      <c r="N700" t="str">
        <f>VLOOKUP(B700,Raw_Suppliers!$A$2:$G$101,6,FALSE)</f>
        <v>ISO 9001</v>
      </c>
      <c r="O700">
        <f>VLOOKUP(B700,Raw_Suppliers!$A$2:$G$101,7,FALSE)</f>
        <v>1</v>
      </c>
      <c r="P700" t="str">
        <f t="shared" si="61"/>
        <v>Yes</v>
      </c>
      <c r="Q700">
        <f t="shared" si="62"/>
        <v>1</v>
      </c>
      <c r="R700" t="str">
        <f t="shared" si="63"/>
        <v>On Time</v>
      </c>
      <c r="S700">
        <f t="shared" si="64"/>
        <v>2021</v>
      </c>
      <c r="T700">
        <f t="shared" si="65"/>
        <v>11</v>
      </c>
    </row>
    <row r="701" spans="1:20" x14ac:dyDescent="0.25">
      <c r="A701" t="s">
        <v>1002</v>
      </c>
      <c r="B701" t="s">
        <v>493</v>
      </c>
      <c r="C701" t="s">
        <v>310</v>
      </c>
      <c r="D701" s="1">
        <v>44856</v>
      </c>
      <c r="E701">
        <v>13</v>
      </c>
      <c r="F701">
        <v>59.475164980699702</v>
      </c>
      <c r="G701" s="1">
        <v>44875</v>
      </c>
      <c r="H701" s="1">
        <v>44880</v>
      </c>
      <c r="I701">
        <v>773.17714474909599</v>
      </c>
      <c r="J701">
        <f t="shared" si="60"/>
        <v>5</v>
      </c>
      <c r="K701" t="str">
        <f>VLOOKUP(B701,Raw_Suppliers!$A$2:$G$101,2,FALSE)</f>
        <v>Delta Vertex LLC</v>
      </c>
      <c r="L701" t="str">
        <f>VLOOKUP(B701,Raw_Suppliers!$A$2:$G$101,3,FALSE)</f>
        <v>China</v>
      </c>
      <c r="M701" t="str">
        <f>VLOOKUP(B701,Raw_Suppliers!$A$2:$G$101,4,FALSE)</f>
        <v>East</v>
      </c>
      <c r="N701" t="str">
        <f>VLOOKUP(B701,Raw_Suppliers!$A$2:$G$101,6,FALSE)</f>
        <v>None</v>
      </c>
      <c r="O701">
        <f>VLOOKUP(B701,Raw_Suppliers!$A$2:$G$101,7,FALSE)</f>
        <v>0</v>
      </c>
      <c r="P701" t="str">
        <f t="shared" si="61"/>
        <v>No</v>
      </c>
      <c r="Q701">
        <f t="shared" si="62"/>
        <v>0</v>
      </c>
      <c r="R701" t="str">
        <f t="shared" si="63"/>
        <v>Late</v>
      </c>
      <c r="S701">
        <f t="shared" si="64"/>
        <v>2022</v>
      </c>
      <c r="T701">
        <f t="shared" si="65"/>
        <v>10</v>
      </c>
    </row>
    <row r="702" spans="1:20" x14ac:dyDescent="0.25">
      <c r="A702" t="s">
        <v>1003</v>
      </c>
      <c r="B702" t="s">
        <v>140</v>
      </c>
      <c r="C702" t="s">
        <v>152</v>
      </c>
      <c r="D702" s="1">
        <v>44347</v>
      </c>
      <c r="E702">
        <v>17</v>
      </c>
      <c r="F702">
        <v>17.431436629510699</v>
      </c>
      <c r="G702" s="1">
        <v>44365</v>
      </c>
      <c r="H702" s="1">
        <v>44370</v>
      </c>
      <c r="I702">
        <v>296.334422701682</v>
      </c>
      <c r="J702">
        <f t="shared" si="60"/>
        <v>5</v>
      </c>
      <c r="K702" t="str">
        <f>VLOOKUP(B702,Raw_Suppliers!$A$2:$G$101,2,FALSE)</f>
        <v>Gamma Quantum Inc</v>
      </c>
      <c r="L702" t="str">
        <f>VLOOKUP(B702,Raw_Suppliers!$A$2:$G$101,3,FALSE)</f>
        <v>Germany</v>
      </c>
      <c r="M702" t="str">
        <f>VLOOKUP(B702,Raw_Suppliers!$A$2:$G$101,4,FALSE)</f>
        <v>North</v>
      </c>
      <c r="N702" t="str">
        <f>VLOOKUP(B702,Raw_Suppliers!$A$2:$G$101,6,FALSE)</f>
        <v>None</v>
      </c>
      <c r="O702">
        <f>VLOOKUP(B702,Raw_Suppliers!$A$2:$G$101,7,FALSE)</f>
        <v>1</v>
      </c>
      <c r="P702" t="str">
        <f t="shared" si="61"/>
        <v>Yes</v>
      </c>
      <c r="Q702">
        <f t="shared" si="62"/>
        <v>0</v>
      </c>
      <c r="R702" t="str">
        <f t="shared" si="63"/>
        <v>Late</v>
      </c>
      <c r="S702">
        <f t="shared" si="64"/>
        <v>2021</v>
      </c>
      <c r="T702">
        <f t="shared" si="65"/>
        <v>5</v>
      </c>
    </row>
    <row r="703" spans="1:20" x14ac:dyDescent="0.25">
      <c r="A703" t="s">
        <v>1004</v>
      </c>
      <c r="B703" t="s">
        <v>28</v>
      </c>
      <c r="C703" t="s">
        <v>272</v>
      </c>
      <c r="D703" s="1">
        <v>44822</v>
      </c>
      <c r="E703">
        <v>18</v>
      </c>
      <c r="F703">
        <v>17.772909242948099</v>
      </c>
      <c r="G703" s="1">
        <v>44845</v>
      </c>
      <c r="H703" s="1">
        <v>44844</v>
      </c>
      <c r="I703">
        <v>319.91236637306702</v>
      </c>
      <c r="J703">
        <f t="shared" si="60"/>
        <v>-1</v>
      </c>
      <c r="K703" t="str">
        <f>VLOOKUP(B703,Raw_Suppliers!$A$2:$G$101,2,FALSE)</f>
        <v>Fusion Vertex Inc</v>
      </c>
      <c r="L703" t="str">
        <f>VLOOKUP(B703,Raw_Suppliers!$A$2:$G$101,3,FALSE)</f>
        <v>Denmark</v>
      </c>
      <c r="M703" t="str">
        <f>VLOOKUP(B703,Raw_Suppliers!$A$2:$G$101,4,FALSE)</f>
        <v>Central</v>
      </c>
      <c r="N703" t="str">
        <f>VLOOKUP(B703,Raw_Suppliers!$A$2:$G$101,6,FALSE)</f>
        <v>ISO 45001</v>
      </c>
      <c r="O703">
        <f>VLOOKUP(B703,Raw_Suppliers!$A$2:$G$101,7,FALSE)</f>
        <v>0</v>
      </c>
      <c r="P703" t="str">
        <f t="shared" si="61"/>
        <v>No</v>
      </c>
      <c r="Q703">
        <f t="shared" si="62"/>
        <v>1</v>
      </c>
      <c r="R703" t="str">
        <f t="shared" si="63"/>
        <v>On Time</v>
      </c>
      <c r="S703">
        <f t="shared" si="64"/>
        <v>2022</v>
      </c>
      <c r="T703">
        <f t="shared" si="65"/>
        <v>9</v>
      </c>
    </row>
    <row r="704" spans="1:20" x14ac:dyDescent="0.25">
      <c r="A704" t="s">
        <v>1005</v>
      </c>
      <c r="B704" t="s">
        <v>157</v>
      </c>
      <c r="C704" t="s">
        <v>290</v>
      </c>
      <c r="D704" s="1">
        <v>44823</v>
      </c>
      <c r="E704">
        <v>13</v>
      </c>
      <c r="F704">
        <v>60.360526088517901</v>
      </c>
      <c r="G704" s="1">
        <v>44834</v>
      </c>
      <c r="H704" s="1">
        <v>44836</v>
      </c>
      <c r="I704">
        <v>784.68683915073302</v>
      </c>
      <c r="J704">
        <f t="shared" si="60"/>
        <v>2</v>
      </c>
      <c r="K704" t="str">
        <f>VLOOKUP(B704,Raw_Suppliers!$A$2:$G$101,2,FALSE)</f>
        <v>Pioneer Omega Ltd</v>
      </c>
      <c r="L704" t="str">
        <f>VLOOKUP(B704,Raw_Suppliers!$A$2:$G$101,3,FALSE)</f>
        <v>Brazil</v>
      </c>
      <c r="M704" t="str">
        <f>VLOOKUP(B704,Raw_Suppliers!$A$2:$G$101,4,FALSE)</f>
        <v>East</v>
      </c>
      <c r="N704" t="str">
        <f>VLOOKUP(B704,Raw_Suppliers!$A$2:$G$101,6,FALSE)</f>
        <v>None</v>
      </c>
      <c r="O704">
        <f>VLOOKUP(B704,Raw_Suppliers!$A$2:$G$101,7,FALSE)</f>
        <v>0</v>
      </c>
      <c r="P704" t="str">
        <f t="shared" si="61"/>
        <v>No</v>
      </c>
      <c r="Q704">
        <f t="shared" si="62"/>
        <v>0</v>
      </c>
      <c r="R704" t="str">
        <f t="shared" si="63"/>
        <v>Late</v>
      </c>
      <c r="S704">
        <f t="shared" si="64"/>
        <v>2022</v>
      </c>
      <c r="T704">
        <f t="shared" si="65"/>
        <v>9</v>
      </c>
    </row>
    <row r="705" spans="1:20" x14ac:dyDescent="0.25">
      <c r="A705" t="s">
        <v>1006</v>
      </c>
      <c r="B705" t="s">
        <v>13</v>
      </c>
      <c r="C705" t="s">
        <v>222</v>
      </c>
      <c r="D705" s="1">
        <v>45149</v>
      </c>
      <c r="E705">
        <v>7</v>
      </c>
      <c r="F705">
        <v>74.134114140601298</v>
      </c>
      <c r="G705" s="1">
        <v>45166</v>
      </c>
      <c r="H705" s="1">
        <v>45166</v>
      </c>
      <c r="I705">
        <v>518.93879898420903</v>
      </c>
      <c r="J705">
        <f t="shared" si="60"/>
        <v>0</v>
      </c>
      <c r="K705" t="str">
        <f>VLOOKUP(B705,Raw_Suppliers!$A$2:$G$101,2,FALSE)</f>
        <v>Beta Delta LLC</v>
      </c>
      <c r="L705" t="str">
        <f>VLOOKUP(B705,Raw_Suppliers!$A$2:$G$101,3,FALSE)</f>
        <v>Germany</v>
      </c>
      <c r="M705" t="str">
        <f>VLOOKUP(B705,Raw_Suppliers!$A$2:$G$101,4,FALSE)</f>
        <v>Central</v>
      </c>
      <c r="N705" t="str">
        <f>VLOOKUP(B705,Raw_Suppliers!$A$2:$G$101,6,FALSE)</f>
        <v>ISO 9001</v>
      </c>
      <c r="O705">
        <f>VLOOKUP(B705,Raw_Suppliers!$A$2:$G$101,7,FALSE)</f>
        <v>1</v>
      </c>
      <c r="P705" t="str">
        <f t="shared" si="61"/>
        <v>Yes</v>
      </c>
      <c r="Q705">
        <f t="shared" si="62"/>
        <v>1</v>
      </c>
      <c r="R705" t="str">
        <f t="shared" si="63"/>
        <v>On Time</v>
      </c>
      <c r="S705">
        <f t="shared" si="64"/>
        <v>2023</v>
      </c>
      <c r="T705">
        <f t="shared" si="65"/>
        <v>8</v>
      </c>
    </row>
    <row r="706" spans="1:20" x14ac:dyDescent="0.25">
      <c r="A706" t="s">
        <v>1007</v>
      </c>
      <c r="B706" t="s">
        <v>43</v>
      </c>
      <c r="C706" t="s">
        <v>146</v>
      </c>
      <c r="D706" s="1">
        <v>44698</v>
      </c>
      <c r="E706">
        <v>12</v>
      </c>
      <c r="F706">
        <v>49.269889183522402</v>
      </c>
      <c r="G706" s="1">
        <v>44717</v>
      </c>
      <c r="H706" s="1">
        <v>44718</v>
      </c>
      <c r="I706">
        <v>591.23867020226896</v>
      </c>
      <c r="J706">
        <f t="shared" si="60"/>
        <v>1</v>
      </c>
      <c r="K706" t="str">
        <f>VLOOKUP(B706,Raw_Suppliers!$A$2:$G$101,2,FALSE)</f>
        <v>Alpha Ultra Corp</v>
      </c>
      <c r="L706" t="str">
        <f>VLOOKUP(B706,Raw_Suppliers!$A$2:$G$101,3,FALSE)</f>
        <v>USA</v>
      </c>
      <c r="M706" t="str">
        <f>VLOOKUP(B706,Raw_Suppliers!$A$2:$G$101,4,FALSE)</f>
        <v>Central</v>
      </c>
      <c r="N706" t="str">
        <f>VLOOKUP(B706,Raw_Suppliers!$A$2:$G$101,6,FALSE)</f>
        <v>ISO 9001</v>
      </c>
      <c r="O706">
        <f>VLOOKUP(B706,Raw_Suppliers!$A$2:$G$101,7,FALSE)</f>
        <v>1</v>
      </c>
      <c r="P706" t="str">
        <f t="shared" si="61"/>
        <v>Yes</v>
      </c>
      <c r="Q706">
        <f t="shared" si="62"/>
        <v>0</v>
      </c>
      <c r="R706" t="str">
        <f t="shared" si="63"/>
        <v>Late</v>
      </c>
      <c r="S706">
        <f t="shared" si="64"/>
        <v>2022</v>
      </c>
      <c r="T706">
        <f t="shared" si="65"/>
        <v>5</v>
      </c>
    </row>
    <row r="707" spans="1:20" x14ac:dyDescent="0.25">
      <c r="A707" t="s">
        <v>1008</v>
      </c>
      <c r="B707" t="s">
        <v>350</v>
      </c>
      <c r="C707" t="s">
        <v>238</v>
      </c>
      <c r="D707" s="1">
        <v>44350</v>
      </c>
      <c r="E707">
        <v>14</v>
      </c>
      <c r="F707">
        <v>73.147076499188898</v>
      </c>
      <c r="G707" s="1">
        <v>44365</v>
      </c>
      <c r="H707" s="1">
        <v>44370</v>
      </c>
      <c r="I707">
        <v>1024.0590709886401</v>
      </c>
      <c r="J707">
        <f t="shared" ref="J707:J770" si="66">H707-G707</f>
        <v>5</v>
      </c>
      <c r="K707" t="str">
        <f>VLOOKUP(B707,Raw_Suppliers!$A$2:$G$101,2,FALSE)</f>
        <v>Prime Gamma GmbH</v>
      </c>
      <c r="L707" t="str">
        <f>VLOOKUP(B707,Raw_Suppliers!$A$2:$G$101,3,FALSE)</f>
        <v>Denmark</v>
      </c>
      <c r="M707" t="str">
        <f>VLOOKUP(B707,Raw_Suppliers!$A$2:$G$101,4,FALSE)</f>
        <v>West</v>
      </c>
      <c r="N707" t="str">
        <f>VLOOKUP(B707,Raw_Suppliers!$A$2:$G$101,6,FALSE)</f>
        <v>ISO 9001</v>
      </c>
      <c r="O707">
        <f>VLOOKUP(B707,Raw_Suppliers!$A$2:$G$101,7,FALSE)</f>
        <v>0</v>
      </c>
      <c r="P707" t="str">
        <f t="shared" ref="P707:P770" si="67">IF(O707=1,"Yes","No")</f>
        <v>No</v>
      </c>
      <c r="Q707">
        <f t="shared" ref="Q707:Q770" si="68">IF(J707&lt;=0,1,0)</f>
        <v>0</v>
      </c>
      <c r="R707" t="str">
        <f t="shared" ref="R707:R770" si="69">IF(Q707=1,"On Time","Late")</f>
        <v>Late</v>
      </c>
      <c r="S707">
        <f t="shared" ref="S707:S770" si="70">YEAR(D707)</f>
        <v>2021</v>
      </c>
      <c r="T707">
        <f t="shared" ref="T707:T770" si="71">MONTH(D707)</f>
        <v>6</v>
      </c>
    </row>
    <row r="708" spans="1:20" x14ac:dyDescent="0.25">
      <c r="A708" t="s">
        <v>1009</v>
      </c>
      <c r="B708" t="s">
        <v>340</v>
      </c>
      <c r="C708" t="s">
        <v>89</v>
      </c>
      <c r="D708" s="1">
        <v>44212</v>
      </c>
      <c r="E708">
        <v>11</v>
      </c>
      <c r="F708">
        <v>43.037964812132302</v>
      </c>
      <c r="G708" s="1">
        <v>44232</v>
      </c>
      <c r="H708" s="1">
        <v>44233</v>
      </c>
      <c r="I708">
        <v>473.41761293345502</v>
      </c>
      <c r="J708">
        <f t="shared" si="66"/>
        <v>1</v>
      </c>
      <c r="K708" t="str">
        <f>VLOOKUP(B708,Raw_Suppliers!$A$2:$G$101,2,FALSE)</f>
        <v>Pioneer Ultra GmbH</v>
      </c>
      <c r="L708" t="str">
        <f>VLOOKUP(B708,Raw_Suppliers!$A$2:$G$101,3,FALSE)</f>
        <v>China</v>
      </c>
      <c r="M708" t="str">
        <f>VLOOKUP(B708,Raw_Suppliers!$A$2:$G$101,4,FALSE)</f>
        <v>Central</v>
      </c>
      <c r="N708" t="str">
        <f>VLOOKUP(B708,Raw_Suppliers!$A$2:$G$101,6,FALSE)</f>
        <v>ISO 9001</v>
      </c>
      <c r="O708">
        <f>VLOOKUP(B708,Raw_Suppliers!$A$2:$G$101,7,FALSE)</f>
        <v>0</v>
      </c>
      <c r="P708" t="str">
        <f t="shared" si="67"/>
        <v>No</v>
      </c>
      <c r="Q708">
        <f t="shared" si="68"/>
        <v>0</v>
      </c>
      <c r="R708" t="str">
        <f t="shared" si="69"/>
        <v>Late</v>
      </c>
      <c r="S708">
        <f t="shared" si="70"/>
        <v>2021</v>
      </c>
      <c r="T708">
        <f t="shared" si="71"/>
        <v>1</v>
      </c>
    </row>
    <row r="709" spans="1:20" x14ac:dyDescent="0.25">
      <c r="A709" t="s">
        <v>1010</v>
      </c>
      <c r="B709" t="s">
        <v>19</v>
      </c>
      <c r="C709" t="s">
        <v>396</v>
      </c>
      <c r="D709" s="1">
        <v>45124</v>
      </c>
      <c r="E709">
        <v>5</v>
      </c>
      <c r="F709">
        <v>57.9220821285477</v>
      </c>
      <c r="G709" s="1">
        <v>45147</v>
      </c>
      <c r="H709" s="1">
        <v>45144</v>
      </c>
      <c r="I709">
        <v>289.61041064273797</v>
      </c>
      <c r="J709">
        <f t="shared" si="66"/>
        <v>-3</v>
      </c>
      <c r="K709" t="str">
        <f>VLOOKUP(B709,Raw_Suppliers!$A$2:$G$101,2,FALSE)</f>
        <v>Nova Beta Corp</v>
      </c>
      <c r="L709" t="str">
        <f>VLOOKUP(B709,Raw_Suppliers!$A$2:$G$101,3,FALSE)</f>
        <v>Brazil</v>
      </c>
      <c r="M709" t="str">
        <f>VLOOKUP(B709,Raw_Suppliers!$A$2:$G$101,4,FALSE)</f>
        <v>South</v>
      </c>
      <c r="N709" t="str">
        <f>VLOOKUP(B709,Raw_Suppliers!$A$2:$G$101,6,FALSE)</f>
        <v>ISO 14001</v>
      </c>
      <c r="O709">
        <f>VLOOKUP(B709,Raw_Suppliers!$A$2:$G$101,7,FALSE)</f>
        <v>1</v>
      </c>
      <c r="P709" t="str">
        <f t="shared" si="67"/>
        <v>Yes</v>
      </c>
      <c r="Q709">
        <f t="shared" si="68"/>
        <v>1</v>
      </c>
      <c r="R709" t="str">
        <f t="shared" si="69"/>
        <v>On Time</v>
      </c>
      <c r="S709">
        <f t="shared" si="70"/>
        <v>2023</v>
      </c>
      <c r="T709">
        <f t="shared" si="71"/>
        <v>7</v>
      </c>
    </row>
    <row r="710" spans="1:20" x14ac:dyDescent="0.25">
      <c r="A710" t="s">
        <v>1011</v>
      </c>
      <c r="B710" t="s">
        <v>169</v>
      </c>
      <c r="C710" t="s">
        <v>97</v>
      </c>
      <c r="D710" s="1">
        <v>44509</v>
      </c>
      <c r="E710">
        <v>10</v>
      </c>
      <c r="F710">
        <v>18.180515953544099</v>
      </c>
      <c r="G710" s="1">
        <v>44519</v>
      </c>
      <c r="H710" s="1">
        <v>44522</v>
      </c>
      <c r="I710">
        <v>181.80515953544099</v>
      </c>
      <c r="J710">
        <f t="shared" si="66"/>
        <v>3</v>
      </c>
      <c r="K710" t="str">
        <f>VLOOKUP(B710,Raw_Suppliers!$A$2:$G$101,2,FALSE)</f>
        <v>Vertex Beta LLC</v>
      </c>
      <c r="L710" t="str">
        <f>VLOOKUP(B710,Raw_Suppliers!$A$2:$G$101,3,FALSE)</f>
        <v>China</v>
      </c>
      <c r="M710" t="str">
        <f>VLOOKUP(B710,Raw_Suppliers!$A$2:$G$101,4,FALSE)</f>
        <v>South</v>
      </c>
      <c r="N710" t="str">
        <f>VLOOKUP(B710,Raw_Suppliers!$A$2:$G$101,6,FALSE)</f>
        <v>ISO 14001</v>
      </c>
      <c r="O710">
        <f>VLOOKUP(B710,Raw_Suppliers!$A$2:$G$101,7,FALSE)</f>
        <v>0</v>
      </c>
      <c r="P710" t="str">
        <f t="shared" si="67"/>
        <v>No</v>
      </c>
      <c r="Q710">
        <f t="shared" si="68"/>
        <v>0</v>
      </c>
      <c r="R710" t="str">
        <f t="shared" si="69"/>
        <v>Late</v>
      </c>
      <c r="S710">
        <f t="shared" si="70"/>
        <v>2021</v>
      </c>
      <c r="T710">
        <f t="shared" si="71"/>
        <v>11</v>
      </c>
    </row>
    <row r="711" spans="1:20" x14ac:dyDescent="0.25">
      <c r="A711" t="s">
        <v>1012</v>
      </c>
      <c r="B711" t="s">
        <v>176</v>
      </c>
      <c r="C711" t="s">
        <v>290</v>
      </c>
      <c r="D711" s="1">
        <v>45163</v>
      </c>
      <c r="E711">
        <v>10</v>
      </c>
      <c r="F711">
        <v>33.287375245548603</v>
      </c>
      <c r="G711" s="1">
        <v>45175</v>
      </c>
      <c r="H711" s="1">
        <v>45180</v>
      </c>
      <c r="I711">
        <v>332.873752455486</v>
      </c>
      <c r="J711">
        <f t="shared" si="66"/>
        <v>5</v>
      </c>
      <c r="K711" t="str">
        <f>VLOOKUP(B711,Raw_Suppliers!$A$2:$G$101,2,FALSE)</f>
        <v>Nano Ultra Corp</v>
      </c>
      <c r="L711" t="str">
        <f>VLOOKUP(B711,Raw_Suppliers!$A$2:$G$101,3,FALSE)</f>
        <v>Canada</v>
      </c>
      <c r="M711" t="str">
        <f>VLOOKUP(B711,Raw_Suppliers!$A$2:$G$101,4,FALSE)</f>
        <v>Central</v>
      </c>
      <c r="N711" t="str">
        <f>VLOOKUP(B711,Raw_Suppliers!$A$2:$G$101,6,FALSE)</f>
        <v>ISO 9001</v>
      </c>
      <c r="O711">
        <f>VLOOKUP(B711,Raw_Suppliers!$A$2:$G$101,7,FALSE)</f>
        <v>0</v>
      </c>
      <c r="P711" t="str">
        <f t="shared" si="67"/>
        <v>No</v>
      </c>
      <c r="Q711">
        <f t="shared" si="68"/>
        <v>0</v>
      </c>
      <c r="R711" t="str">
        <f t="shared" si="69"/>
        <v>Late</v>
      </c>
      <c r="S711">
        <f t="shared" si="70"/>
        <v>2023</v>
      </c>
      <c r="T711">
        <f t="shared" si="71"/>
        <v>8</v>
      </c>
    </row>
    <row r="712" spans="1:20" x14ac:dyDescent="0.25">
      <c r="A712" t="s">
        <v>1013</v>
      </c>
      <c r="B712" t="s">
        <v>321</v>
      </c>
      <c r="C712" t="s">
        <v>466</v>
      </c>
      <c r="D712" s="1">
        <v>45136</v>
      </c>
      <c r="E712">
        <v>11</v>
      </c>
      <c r="F712">
        <v>7.2021294620463197</v>
      </c>
      <c r="G712" s="1">
        <v>45150</v>
      </c>
      <c r="H712" s="1">
        <v>45153</v>
      </c>
      <c r="I712">
        <v>79.223424082509496</v>
      </c>
      <c r="J712">
        <f t="shared" si="66"/>
        <v>3</v>
      </c>
      <c r="K712" t="str">
        <f>VLOOKUP(B712,Raw_Suppliers!$A$2:$G$101,2,FALSE)</f>
        <v>Vertex Delta LLC</v>
      </c>
      <c r="L712" t="str">
        <f>VLOOKUP(B712,Raw_Suppliers!$A$2:$G$101,3,FALSE)</f>
        <v>India</v>
      </c>
      <c r="M712" t="str">
        <f>VLOOKUP(B712,Raw_Suppliers!$A$2:$G$101,4,FALSE)</f>
        <v>South</v>
      </c>
      <c r="N712" t="str">
        <f>VLOOKUP(B712,Raw_Suppliers!$A$2:$G$101,6,FALSE)</f>
        <v>ISO 45001</v>
      </c>
      <c r="O712">
        <f>VLOOKUP(B712,Raw_Suppliers!$A$2:$G$101,7,FALSE)</f>
        <v>0</v>
      </c>
      <c r="P712" t="str">
        <f t="shared" si="67"/>
        <v>No</v>
      </c>
      <c r="Q712">
        <f t="shared" si="68"/>
        <v>0</v>
      </c>
      <c r="R712" t="str">
        <f t="shared" si="69"/>
        <v>Late</v>
      </c>
      <c r="S712">
        <f t="shared" si="70"/>
        <v>2023</v>
      </c>
      <c r="T712">
        <f t="shared" si="71"/>
        <v>7</v>
      </c>
    </row>
    <row r="713" spans="1:20" x14ac:dyDescent="0.25">
      <c r="A713" t="s">
        <v>1014</v>
      </c>
      <c r="B713" t="s">
        <v>169</v>
      </c>
      <c r="C713" t="s">
        <v>190</v>
      </c>
      <c r="D713" s="1">
        <v>44640</v>
      </c>
      <c r="E713">
        <v>12</v>
      </c>
      <c r="F713">
        <v>57.721982667548701</v>
      </c>
      <c r="G713" s="1">
        <v>44660</v>
      </c>
      <c r="H713" s="1">
        <v>44660</v>
      </c>
      <c r="I713">
        <v>692.66379201058396</v>
      </c>
      <c r="J713">
        <f t="shared" si="66"/>
        <v>0</v>
      </c>
      <c r="K713" t="str">
        <f>VLOOKUP(B713,Raw_Suppliers!$A$2:$G$101,2,FALSE)</f>
        <v>Vertex Beta LLC</v>
      </c>
      <c r="L713" t="str">
        <f>VLOOKUP(B713,Raw_Suppliers!$A$2:$G$101,3,FALSE)</f>
        <v>China</v>
      </c>
      <c r="M713" t="str">
        <f>VLOOKUP(B713,Raw_Suppliers!$A$2:$G$101,4,FALSE)</f>
        <v>South</v>
      </c>
      <c r="N713" t="str">
        <f>VLOOKUP(B713,Raw_Suppliers!$A$2:$G$101,6,FALSE)</f>
        <v>ISO 14001</v>
      </c>
      <c r="O713">
        <f>VLOOKUP(B713,Raw_Suppliers!$A$2:$G$101,7,FALSE)</f>
        <v>0</v>
      </c>
      <c r="P713" t="str">
        <f t="shared" si="67"/>
        <v>No</v>
      </c>
      <c r="Q713">
        <f t="shared" si="68"/>
        <v>1</v>
      </c>
      <c r="R713" t="str">
        <f t="shared" si="69"/>
        <v>On Time</v>
      </c>
      <c r="S713">
        <f t="shared" si="70"/>
        <v>2022</v>
      </c>
      <c r="T713">
        <f t="shared" si="71"/>
        <v>3</v>
      </c>
    </row>
    <row r="714" spans="1:20" x14ac:dyDescent="0.25">
      <c r="A714" t="s">
        <v>1015</v>
      </c>
      <c r="B714" t="s">
        <v>85</v>
      </c>
      <c r="C714" t="s">
        <v>180</v>
      </c>
      <c r="D714" s="1">
        <v>44563</v>
      </c>
      <c r="E714">
        <v>10</v>
      </c>
      <c r="F714">
        <v>45.791030946624801</v>
      </c>
      <c r="G714" s="1">
        <v>44581</v>
      </c>
      <c r="H714" s="1">
        <v>44584</v>
      </c>
      <c r="I714">
        <v>457.91030946624801</v>
      </c>
      <c r="J714">
        <f t="shared" si="66"/>
        <v>3</v>
      </c>
      <c r="K714" t="str">
        <f>VLOOKUP(B714,Raw_Suppliers!$A$2:$G$101,2,FALSE)</f>
        <v>Fusion Gamma LLC</v>
      </c>
      <c r="L714" t="str">
        <f>VLOOKUP(B714,Raw_Suppliers!$A$2:$G$101,3,FALSE)</f>
        <v>China</v>
      </c>
      <c r="M714" t="str">
        <f>VLOOKUP(B714,Raw_Suppliers!$A$2:$G$101,4,FALSE)</f>
        <v>East</v>
      </c>
      <c r="N714" t="str">
        <f>VLOOKUP(B714,Raw_Suppliers!$A$2:$G$101,6,FALSE)</f>
        <v>ISO 9001</v>
      </c>
      <c r="O714">
        <f>VLOOKUP(B714,Raw_Suppliers!$A$2:$G$101,7,FALSE)</f>
        <v>1</v>
      </c>
      <c r="P714" t="str">
        <f t="shared" si="67"/>
        <v>Yes</v>
      </c>
      <c r="Q714">
        <f t="shared" si="68"/>
        <v>0</v>
      </c>
      <c r="R714" t="str">
        <f t="shared" si="69"/>
        <v>Late</v>
      </c>
      <c r="S714">
        <f t="shared" si="70"/>
        <v>2022</v>
      </c>
      <c r="T714">
        <f t="shared" si="71"/>
        <v>1</v>
      </c>
    </row>
    <row r="715" spans="1:20" x14ac:dyDescent="0.25">
      <c r="A715" t="s">
        <v>1016</v>
      </c>
      <c r="B715" t="s">
        <v>442</v>
      </c>
      <c r="C715" t="s">
        <v>220</v>
      </c>
      <c r="D715" s="1">
        <v>45180</v>
      </c>
      <c r="E715">
        <v>15</v>
      </c>
      <c r="F715">
        <v>10.7201689641456</v>
      </c>
      <c r="G715" s="1">
        <v>45201</v>
      </c>
      <c r="H715" s="1">
        <v>45204</v>
      </c>
      <c r="I715">
        <v>160.80253446218501</v>
      </c>
      <c r="J715">
        <f t="shared" si="66"/>
        <v>3</v>
      </c>
      <c r="K715" t="str">
        <f>VLOOKUP(B715,Raw_Suppliers!$A$2:$G$101,2,FALSE)</f>
        <v>Vertex Delta LLC</v>
      </c>
      <c r="L715" t="str">
        <f>VLOOKUP(B715,Raw_Suppliers!$A$2:$G$101,3,FALSE)</f>
        <v>Canada</v>
      </c>
      <c r="M715" t="str">
        <f>VLOOKUP(B715,Raw_Suppliers!$A$2:$G$101,4,FALSE)</f>
        <v>East</v>
      </c>
      <c r="N715" t="str">
        <f>VLOOKUP(B715,Raw_Suppliers!$A$2:$G$101,6,FALSE)</f>
        <v>ISO 14001</v>
      </c>
      <c r="O715">
        <f>VLOOKUP(B715,Raw_Suppliers!$A$2:$G$101,7,FALSE)</f>
        <v>1</v>
      </c>
      <c r="P715" t="str">
        <f t="shared" si="67"/>
        <v>Yes</v>
      </c>
      <c r="Q715">
        <f t="shared" si="68"/>
        <v>0</v>
      </c>
      <c r="R715" t="str">
        <f t="shared" si="69"/>
        <v>Late</v>
      </c>
      <c r="S715">
        <f t="shared" si="70"/>
        <v>2023</v>
      </c>
      <c r="T715">
        <f t="shared" si="71"/>
        <v>9</v>
      </c>
    </row>
    <row r="716" spans="1:20" x14ac:dyDescent="0.25">
      <c r="A716" t="s">
        <v>1017</v>
      </c>
      <c r="B716" t="s">
        <v>472</v>
      </c>
      <c r="C716" t="s">
        <v>195</v>
      </c>
      <c r="D716" s="1">
        <v>44538</v>
      </c>
      <c r="E716">
        <v>11</v>
      </c>
      <c r="F716">
        <v>51.163490195163099</v>
      </c>
      <c r="G716" s="1">
        <v>44548</v>
      </c>
      <c r="H716" s="1">
        <v>44553</v>
      </c>
      <c r="I716">
        <v>562.79839214679396</v>
      </c>
      <c r="J716">
        <f t="shared" si="66"/>
        <v>5</v>
      </c>
      <c r="K716" t="str">
        <f>VLOOKUP(B716,Raw_Suppliers!$A$2:$G$101,2,FALSE)</f>
        <v>Pioneer Alpha Corp</v>
      </c>
      <c r="L716" t="str">
        <f>VLOOKUP(B716,Raw_Suppliers!$A$2:$G$101,3,FALSE)</f>
        <v>Canada</v>
      </c>
      <c r="M716" t="str">
        <f>VLOOKUP(B716,Raw_Suppliers!$A$2:$G$101,4,FALSE)</f>
        <v>North</v>
      </c>
      <c r="N716" t="str">
        <f>VLOOKUP(B716,Raw_Suppliers!$A$2:$G$101,6,FALSE)</f>
        <v>None</v>
      </c>
      <c r="O716">
        <f>VLOOKUP(B716,Raw_Suppliers!$A$2:$G$101,7,FALSE)</f>
        <v>1</v>
      </c>
      <c r="P716" t="str">
        <f t="shared" si="67"/>
        <v>Yes</v>
      </c>
      <c r="Q716">
        <f t="shared" si="68"/>
        <v>0</v>
      </c>
      <c r="R716" t="str">
        <f t="shared" si="69"/>
        <v>Late</v>
      </c>
      <c r="S716">
        <f t="shared" si="70"/>
        <v>2021</v>
      </c>
      <c r="T716">
        <f t="shared" si="71"/>
        <v>12</v>
      </c>
    </row>
    <row r="717" spans="1:20" x14ac:dyDescent="0.25">
      <c r="A717" t="s">
        <v>1018</v>
      </c>
      <c r="B717" t="s">
        <v>250</v>
      </c>
      <c r="C717" t="s">
        <v>208</v>
      </c>
      <c r="D717" s="1">
        <v>45297</v>
      </c>
      <c r="E717">
        <v>12</v>
      </c>
      <c r="F717">
        <v>76.205508958703902</v>
      </c>
      <c r="G717" s="1">
        <v>45321</v>
      </c>
      <c r="H717" s="1">
        <v>45319</v>
      </c>
      <c r="I717">
        <v>914.466107504447</v>
      </c>
      <c r="J717">
        <f t="shared" si="66"/>
        <v>-2</v>
      </c>
      <c r="K717" t="str">
        <f>VLOOKUP(B717,Raw_Suppliers!$A$2:$G$101,2,FALSE)</f>
        <v>Fusion Fusion Inc</v>
      </c>
      <c r="L717" t="str">
        <f>VLOOKUP(B717,Raw_Suppliers!$A$2:$G$101,3,FALSE)</f>
        <v>India</v>
      </c>
      <c r="M717" t="str">
        <f>VLOOKUP(B717,Raw_Suppliers!$A$2:$G$101,4,FALSE)</f>
        <v>South</v>
      </c>
      <c r="N717" t="str">
        <f>VLOOKUP(B717,Raw_Suppliers!$A$2:$G$101,6,FALSE)</f>
        <v>ISO 9001</v>
      </c>
      <c r="O717">
        <f>VLOOKUP(B717,Raw_Suppliers!$A$2:$G$101,7,FALSE)</f>
        <v>0</v>
      </c>
      <c r="P717" t="str">
        <f t="shared" si="67"/>
        <v>No</v>
      </c>
      <c r="Q717">
        <f t="shared" si="68"/>
        <v>1</v>
      </c>
      <c r="R717" t="str">
        <f t="shared" si="69"/>
        <v>On Time</v>
      </c>
      <c r="S717">
        <f t="shared" si="70"/>
        <v>2024</v>
      </c>
      <c r="T717">
        <f t="shared" si="71"/>
        <v>1</v>
      </c>
    </row>
    <row r="718" spans="1:20" x14ac:dyDescent="0.25">
      <c r="A718" t="s">
        <v>1019</v>
      </c>
      <c r="B718" t="s">
        <v>174</v>
      </c>
      <c r="C718" t="s">
        <v>228</v>
      </c>
      <c r="D718" s="1">
        <v>44880</v>
      </c>
      <c r="E718">
        <v>8</v>
      </c>
      <c r="F718">
        <v>46.223930340913697</v>
      </c>
      <c r="G718" s="1">
        <v>44904</v>
      </c>
      <c r="H718" s="1">
        <v>44910</v>
      </c>
      <c r="I718">
        <v>369.791442727309</v>
      </c>
      <c r="J718">
        <f t="shared" si="66"/>
        <v>6</v>
      </c>
      <c r="K718" t="str">
        <f>VLOOKUP(B718,Raw_Suppliers!$A$2:$G$101,2,FALSE)</f>
        <v>Quantum Eco LLC</v>
      </c>
      <c r="L718" t="str">
        <f>VLOOKUP(B718,Raw_Suppliers!$A$2:$G$101,3,FALSE)</f>
        <v>Denmark</v>
      </c>
      <c r="M718" t="str">
        <f>VLOOKUP(B718,Raw_Suppliers!$A$2:$G$101,4,FALSE)</f>
        <v>East</v>
      </c>
      <c r="N718" t="str">
        <f>VLOOKUP(B718,Raw_Suppliers!$A$2:$G$101,6,FALSE)</f>
        <v>ISO 9001</v>
      </c>
      <c r="O718">
        <f>VLOOKUP(B718,Raw_Suppliers!$A$2:$G$101,7,FALSE)</f>
        <v>1</v>
      </c>
      <c r="P718" t="str">
        <f t="shared" si="67"/>
        <v>Yes</v>
      </c>
      <c r="Q718">
        <f t="shared" si="68"/>
        <v>0</v>
      </c>
      <c r="R718" t="str">
        <f t="shared" si="69"/>
        <v>Late</v>
      </c>
      <c r="S718">
        <f t="shared" si="70"/>
        <v>2022</v>
      </c>
      <c r="T718">
        <f t="shared" si="71"/>
        <v>11</v>
      </c>
    </row>
    <row r="719" spans="1:20" x14ac:dyDescent="0.25">
      <c r="A719" t="s">
        <v>1020</v>
      </c>
      <c r="B719" t="s">
        <v>43</v>
      </c>
      <c r="C719" t="s">
        <v>521</v>
      </c>
      <c r="D719" s="1">
        <v>44731</v>
      </c>
      <c r="E719">
        <v>12</v>
      </c>
      <c r="F719">
        <v>76.062379012932993</v>
      </c>
      <c r="G719" s="1">
        <v>44751</v>
      </c>
      <c r="H719" s="1">
        <v>44748</v>
      </c>
      <c r="I719">
        <v>912.74854815519598</v>
      </c>
      <c r="J719">
        <f t="shared" si="66"/>
        <v>-3</v>
      </c>
      <c r="K719" t="str">
        <f>VLOOKUP(B719,Raw_Suppliers!$A$2:$G$101,2,FALSE)</f>
        <v>Alpha Ultra Corp</v>
      </c>
      <c r="L719" t="str">
        <f>VLOOKUP(B719,Raw_Suppliers!$A$2:$G$101,3,FALSE)</f>
        <v>USA</v>
      </c>
      <c r="M719" t="str">
        <f>VLOOKUP(B719,Raw_Suppliers!$A$2:$G$101,4,FALSE)</f>
        <v>Central</v>
      </c>
      <c r="N719" t="str">
        <f>VLOOKUP(B719,Raw_Suppliers!$A$2:$G$101,6,FALSE)</f>
        <v>ISO 9001</v>
      </c>
      <c r="O719">
        <f>VLOOKUP(B719,Raw_Suppliers!$A$2:$G$101,7,FALSE)</f>
        <v>1</v>
      </c>
      <c r="P719" t="str">
        <f t="shared" si="67"/>
        <v>Yes</v>
      </c>
      <c r="Q719">
        <f t="shared" si="68"/>
        <v>1</v>
      </c>
      <c r="R719" t="str">
        <f t="shared" si="69"/>
        <v>On Time</v>
      </c>
      <c r="S719">
        <f t="shared" si="70"/>
        <v>2022</v>
      </c>
      <c r="T719">
        <f t="shared" si="71"/>
        <v>6</v>
      </c>
    </row>
    <row r="720" spans="1:20" x14ac:dyDescent="0.25">
      <c r="A720" t="s">
        <v>1021</v>
      </c>
      <c r="B720" t="s">
        <v>207</v>
      </c>
      <c r="C720" t="s">
        <v>177</v>
      </c>
      <c r="D720" s="1">
        <v>44252</v>
      </c>
      <c r="E720">
        <v>9</v>
      </c>
      <c r="F720">
        <v>32.625907205720303</v>
      </c>
      <c r="G720" s="1">
        <v>44262</v>
      </c>
      <c r="H720" s="1">
        <v>44260</v>
      </c>
      <c r="I720">
        <v>293.633164851483</v>
      </c>
      <c r="J720">
        <f t="shared" si="66"/>
        <v>-2</v>
      </c>
      <c r="K720" t="str">
        <f>VLOOKUP(B720,Raw_Suppliers!$A$2:$G$101,2,FALSE)</f>
        <v>Nova Alpha Ltd</v>
      </c>
      <c r="L720" t="str">
        <f>VLOOKUP(B720,Raw_Suppliers!$A$2:$G$101,3,FALSE)</f>
        <v>India</v>
      </c>
      <c r="M720" t="str">
        <f>VLOOKUP(B720,Raw_Suppliers!$A$2:$G$101,4,FALSE)</f>
        <v>East</v>
      </c>
      <c r="N720" t="str">
        <f>VLOOKUP(B720,Raw_Suppliers!$A$2:$G$101,6,FALSE)</f>
        <v>ISO 9001</v>
      </c>
      <c r="O720">
        <f>VLOOKUP(B720,Raw_Suppliers!$A$2:$G$101,7,FALSE)</f>
        <v>0</v>
      </c>
      <c r="P720" t="str">
        <f t="shared" si="67"/>
        <v>No</v>
      </c>
      <c r="Q720">
        <f t="shared" si="68"/>
        <v>1</v>
      </c>
      <c r="R720" t="str">
        <f t="shared" si="69"/>
        <v>On Time</v>
      </c>
      <c r="S720">
        <f t="shared" si="70"/>
        <v>2021</v>
      </c>
      <c r="T720">
        <f t="shared" si="71"/>
        <v>2</v>
      </c>
    </row>
    <row r="721" spans="1:20" x14ac:dyDescent="0.25">
      <c r="A721" t="s">
        <v>1022</v>
      </c>
      <c r="B721" t="s">
        <v>22</v>
      </c>
      <c r="C721" t="s">
        <v>170</v>
      </c>
      <c r="D721" s="1">
        <v>44842</v>
      </c>
      <c r="E721">
        <v>9</v>
      </c>
      <c r="F721">
        <v>57.095886173998203</v>
      </c>
      <c r="G721" s="1">
        <v>44864</v>
      </c>
      <c r="H721" s="1">
        <v>44866</v>
      </c>
      <c r="I721">
        <v>513.86297556598299</v>
      </c>
      <c r="J721">
        <f t="shared" si="66"/>
        <v>2</v>
      </c>
      <c r="K721" t="str">
        <f>VLOOKUP(B721,Raw_Suppliers!$A$2:$G$101,2,FALSE)</f>
        <v>Delta Gamma Corp</v>
      </c>
      <c r="L721" t="str">
        <f>VLOOKUP(B721,Raw_Suppliers!$A$2:$G$101,3,FALSE)</f>
        <v>Denmark</v>
      </c>
      <c r="M721" t="str">
        <f>VLOOKUP(B721,Raw_Suppliers!$A$2:$G$101,4,FALSE)</f>
        <v>West</v>
      </c>
      <c r="N721" t="str">
        <f>VLOOKUP(B721,Raw_Suppliers!$A$2:$G$101,6,FALSE)</f>
        <v>ISO 45001</v>
      </c>
      <c r="O721">
        <f>VLOOKUP(B721,Raw_Suppliers!$A$2:$G$101,7,FALSE)</f>
        <v>1</v>
      </c>
      <c r="P721" t="str">
        <f t="shared" si="67"/>
        <v>Yes</v>
      </c>
      <c r="Q721">
        <f t="shared" si="68"/>
        <v>0</v>
      </c>
      <c r="R721" t="str">
        <f t="shared" si="69"/>
        <v>Late</v>
      </c>
      <c r="S721">
        <f t="shared" si="70"/>
        <v>2022</v>
      </c>
      <c r="T721">
        <f t="shared" si="71"/>
        <v>10</v>
      </c>
    </row>
    <row r="722" spans="1:20" x14ac:dyDescent="0.25">
      <c r="A722" t="s">
        <v>1023</v>
      </c>
      <c r="B722" t="s">
        <v>359</v>
      </c>
      <c r="C722" t="s">
        <v>276</v>
      </c>
      <c r="D722" s="1">
        <v>44997</v>
      </c>
      <c r="E722">
        <v>8</v>
      </c>
      <c r="F722">
        <v>24.539762220969301</v>
      </c>
      <c r="G722" s="1">
        <v>45014</v>
      </c>
      <c r="H722" s="1">
        <v>45015</v>
      </c>
      <c r="I722">
        <v>196.31809776775401</v>
      </c>
      <c r="J722">
        <f t="shared" si="66"/>
        <v>1</v>
      </c>
      <c r="K722" t="str">
        <f>VLOOKUP(B722,Raw_Suppliers!$A$2:$G$101,2,FALSE)</f>
        <v>Alpha Alpha Corp</v>
      </c>
      <c r="L722" t="str">
        <f>VLOOKUP(B722,Raw_Suppliers!$A$2:$G$101,3,FALSE)</f>
        <v>India</v>
      </c>
      <c r="M722" t="str">
        <f>VLOOKUP(B722,Raw_Suppliers!$A$2:$G$101,4,FALSE)</f>
        <v>North</v>
      </c>
      <c r="N722" t="str">
        <f>VLOOKUP(B722,Raw_Suppliers!$A$2:$G$101,6,FALSE)</f>
        <v>ISO 9001</v>
      </c>
      <c r="O722">
        <f>VLOOKUP(B722,Raw_Suppliers!$A$2:$G$101,7,FALSE)</f>
        <v>1</v>
      </c>
      <c r="P722" t="str">
        <f t="shared" si="67"/>
        <v>Yes</v>
      </c>
      <c r="Q722">
        <f t="shared" si="68"/>
        <v>0</v>
      </c>
      <c r="R722" t="str">
        <f t="shared" si="69"/>
        <v>Late</v>
      </c>
      <c r="S722">
        <f t="shared" si="70"/>
        <v>2023</v>
      </c>
      <c r="T722">
        <f t="shared" si="71"/>
        <v>3</v>
      </c>
    </row>
    <row r="723" spans="1:20" x14ac:dyDescent="0.25">
      <c r="A723" t="s">
        <v>1024</v>
      </c>
      <c r="B723" t="s">
        <v>174</v>
      </c>
      <c r="C723" t="s">
        <v>270</v>
      </c>
      <c r="D723" s="1">
        <v>45225</v>
      </c>
      <c r="E723">
        <v>6</v>
      </c>
      <c r="F723">
        <v>14.399388856702799</v>
      </c>
      <c r="G723" s="1">
        <v>45249</v>
      </c>
      <c r="H723" s="1">
        <v>45253</v>
      </c>
      <c r="I723">
        <v>86.396333140217095</v>
      </c>
      <c r="J723">
        <f t="shared" si="66"/>
        <v>4</v>
      </c>
      <c r="K723" t="str">
        <f>VLOOKUP(B723,Raw_Suppliers!$A$2:$G$101,2,FALSE)</f>
        <v>Quantum Eco LLC</v>
      </c>
      <c r="L723" t="str">
        <f>VLOOKUP(B723,Raw_Suppliers!$A$2:$G$101,3,FALSE)</f>
        <v>Denmark</v>
      </c>
      <c r="M723" t="str">
        <f>VLOOKUP(B723,Raw_Suppliers!$A$2:$G$101,4,FALSE)</f>
        <v>East</v>
      </c>
      <c r="N723" t="str">
        <f>VLOOKUP(B723,Raw_Suppliers!$A$2:$G$101,6,FALSE)</f>
        <v>ISO 9001</v>
      </c>
      <c r="O723">
        <f>VLOOKUP(B723,Raw_Suppliers!$A$2:$G$101,7,FALSE)</f>
        <v>1</v>
      </c>
      <c r="P723" t="str">
        <f t="shared" si="67"/>
        <v>Yes</v>
      </c>
      <c r="Q723">
        <f t="shared" si="68"/>
        <v>0</v>
      </c>
      <c r="R723" t="str">
        <f t="shared" si="69"/>
        <v>Late</v>
      </c>
      <c r="S723">
        <f t="shared" si="70"/>
        <v>2023</v>
      </c>
      <c r="T723">
        <f t="shared" si="71"/>
        <v>10</v>
      </c>
    </row>
    <row r="724" spans="1:20" x14ac:dyDescent="0.25">
      <c r="A724" t="s">
        <v>1025</v>
      </c>
      <c r="B724" t="s">
        <v>34</v>
      </c>
      <c r="C724" t="s">
        <v>35</v>
      </c>
      <c r="D724" s="1">
        <v>44745</v>
      </c>
      <c r="E724">
        <v>12</v>
      </c>
      <c r="F724">
        <v>76.638958954565695</v>
      </c>
      <c r="G724" s="1">
        <v>44761</v>
      </c>
      <c r="H724" s="1">
        <v>44766</v>
      </c>
      <c r="I724">
        <v>919.66750745478896</v>
      </c>
      <c r="J724">
        <f t="shared" si="66"/>
        <v>5</v>
      </c>
      <c r="K724" t="str">
        <f>VLOOKUP(B724,Raw_Suppliers!$A$2:$G$101,2,FALSE)</f>
        <v>Omega Alpha Corp</v>
      </c>
      <c r="L724" t="str">
        <f>VLOOKUP(B724,Raw_Suppliers!$A$2:$G$101,3,FALSE)</f>
        <v>UK</v>
      </c>
      <c r="M724" t="str">
        <f>VLOOKUP(B724,Raw_Suppliers!$A$2:$G$101,4,FALSE)</f>
        <v>West</v>
      </c>
      <c r="N724" t="str">
        <f>VLOOKUP(B724,Raw_Suppliers!$A$2:$G$101,6,FALSE)</f>
        <v>ISO 45001</v>
      </c>
      <c r="O724">
        <f>VLOOKUP(B724,Raw_Suppliers!$A$2:$G$101,7,FALSE)</f>
        <v>0</v>
      </c>
      <c r="P724" t="str">
        <f t="shared" si="67"/>
        <v>No</v>
      </c>
      <c r="Q724">
        <f t="shared" si="68"/>
        <v>0</v>
      </c>
      <c r="R724" t="str">
        <f t="shared" si="69"/>
        <v>Late</v>
      </c>
      <c r="S724">
        <f t="shared" si="70"/>
        <v>2022</v>
      </c>
      <c r="T724">
        <f t="shared" si="71"/>
        <v>7</v>
      </c>
    </row>
    <row r="725" spans="1:20" x14ac:dyDescent="0.25">
      <c r="A725" t="s">
        <v>1026</v>
      </c>
      <c r="B725" t="s">
        <v>43</v>
      </c>
      <c r="C725" t="s">
        <v>38</v>
      </c>
      <c r="D725" s="1">
        <v>44345</v>
      </c>
      <c r="E725">
        <v>12</v>
      </c>
      <c r="F725">
        <v>26.4713172899977</v>
      </c>
      <c r="G725" s="1">
        <v>44356</v>
      </c>
      <c r="H725" s="1">
        <v>44357</v>
      </c>
      <c r="I725">
        <v>317.65580747997302</v>
      </c>
      <c r="J725">
        <f t="shared" si="66"/>
        <v>1</v>
      </c>
      <c r="K725" t="str">
        <f>VLOOKUP(B725,Raw_Suppliers!$A$2:$G$101,2,FALSE)</f>
        <v>Alpha Ultra Corp</v>
      </c>
      <c r="L725" t="str">
        <f>VLOOKUP(B725,Raw_Suppliers!$A$2:$G$101,3,FALSE)</f>
        <v>USA</v>
      </c>
      <c r="M725" t="str">
        <f>VLOOKUP(B725,Raw_Suppliers!$A$2:$G$101,4,FALSE)</f>
        <v>Central</v>
      </c>
      <c r="N725" t="str">
        <f>VLOOKUP(B725,Raw_Suppliers!$A$2:$G$101,6,FALSE)</f>
        <v>ISO 9001</v>
      </c>
      <c r="O725">
        <f>VLOOKUP(B725,Raw_Suppliers!$A$2:$G$101,7,FALSE)</f>
        <v>1</v>
      </c>
      <c r="P725" t="str">
        <f t="shared" si="67"/>
        <v>Yes</v>
      </c>
      <c r="Q725">
        <f t="shared" si="68"/>
        <v>0</v>
      </c>
      <c r="R725" t="str">
        <f t="shared" si="69"/>
        <v>Late</v>
      </c>
      <c r="S725">
        <f t="shared" si="70"/>
        <v>2021</v>
      </c>
      <c r="T725">
        <f t="shared" si="71"/>
        <v>5</v>
      </c>
    </row>
    <row r="726" spans="1:20" x14ac:dyDescent="0.25">
      <c r="A726" t="s">
        <v>1027</v>
      </c>
      <c r="B726" t="s">
        <v>203</v>
      </c>
      <c r="C726" t="s">
        <v>35</v>
      </c>
      <c r="D726" s="1">
        <v>44975</v>
      </c>
      <c r="E726">
        <v>14</v>
      </c>
      <c r="F726">
        <v>9.4627824025546499</v>
      </c>
      <c r="G726" s="1">
        <v>44990</v>
      </c>
      <c r="H726" s="1">
        <v>44988</v>
      </c>
      <c r="I726">
        <v>132.47895363576501</v>
      </c>
      <c r="J726">
        <f t="shared" si="66"/>
        <v>-2</v>
      </c>
      <c r="K726" t="str">
        <f>VLOOKUP(B726,Raw_Suppliers!$A$2:$G$101,2,FALSE)</f>
        <v>Nova Eco LLC</v>
      </c>
      <c r="L726" t="str">
        <f>VLOOKUP(B726,Raw_Suppliers!$A$2:$G$101,3,FALSE)</f>
        <v>Denmark</v>
      </c>
      <c r="M726" t="str">
        <f>VLOOKUP(B726,Raw_Suppliers!$A$2:$G$101,4,FALSE)</f>
        <v>South</v>
      </c>
      <c r="N726" t="str">
        <f>VLOOKUP(B726,Raw_Suppliers!$A$2:$G$101,6,FALSE)</f>
        <v>ISO 14001</v>
      </c>
      <c r="O726">
        <f>VLOOKUP(B726,Raw_Suppliers!$A$2:$G$101,7,FALSE)</f>
        <v>0</v>
      </c>
      <c r="P726" t="str">
        <f t="shared" si="67"/>
        <v>No</v>
      </c>
      <c r="Q726">
        <f t="shared" si="68"/>
        <v>1</v>
      </c>
      <c r="R726" t="str">
        <f t="shared" si="69"/>
        <v>On Time</v>
      </c>
      <c r="S726">
        <f t="shared" si="70"/>
        <v>2023</v>
      </c>
      <c r="T726">
        <f t="shared" si="71"/>
        <v>2</v>
      </c>
    </row>
    <row r="727" spans="1:20" x14ac:dyDescent="0.25">
      <c r="A727" t="s">
        <v>1028</v>
      </c>
      <c r="B727" t="s">
        <v>52</v>
      </c>
      <c r="C727" t="s">
        <v>594</v>
      </c>
      <c r="D727" s="1">
        <v>45380</v>
      </c>
      <c r="E727">
        <v>10</v>
      </c>
      <c r="F727">
        <v>10.9125590727668</v>
      </c>
      <c r="G727" s="1">
        <v>45391</v>
      </c>
      <c r="H727" s="1">
        <v>45395</v>
      </c>
      <c r="I727">
        <v>109.125590727668</v>
      </c>
      <c r="J727">
        <f t="shared" si="66"/>
        <v>4</v>
      </c>
      <c r="K727" t="str">
        <f>VLOOKUP(B727,Raw_Suppliers!$A$2:$G$101,2,FALSE)</f>
        <v>Beta Nano Corp</v>
      </c>
      <c r="L727" t="str">
        <f>VLOOKUP(B727,Raw_Suppliers!$A$2:$G$101,3,FALSE)</f>
        <v>UK</v>
      </c>
      <c r="M727" t="str">
        <f>VLOOKUP(B727,Raw_Suppliers!$A$2:$G$101,4,FALSE)</f>
        <v>Central</v>
      </c>
      <c r="N727" t="str">
        <f>VLOOKUP(B727,Raw_Suppliers!$A$2:$G$101,6,FALSE)</f>
        <v>ISO 45001</v>
      </c>
      <c r="O727">
        <f>VLOOKUP(B727,Raw_Suppliers!$A$2:$G$101,7,FALSE)</f>
        <v>0</v>
      </c>
      <c r="P727" t="str">
        <f t="shared" si="67"/>
        <v>No</v>
      </c>
      <c r="Q727">
        <f t="shared" si="68"/>
        <v>0</v>
      </c>
      <c r="R727" t="str">
        <f t="shared" si="69"/>
        <v>Late</v>
      </c>
      <c r="S727">
        <f t="shared" si="70"/>
        <v>2024</v>
      </c>
      <c r="T727">
        <f t="shared" si="71"/>
        <v>3</v>
      </c>
    </row>
    <row r="728" spans="1:20" x14ac:dyDescent="0.25">
      <c r="A728" t="s">
        <v>1029</v>
      </c>
      <c r="B728" t="s">
        <v>299</v>
      </c>
      <c r="C728" t="s">
        <v>383</v>
      </c>
      <c r="D728" s="1">
        <v>44434</v>
      </c>
      <c r="E728">
        <v>6</v>
      </c>
      <c r="F728">
        <v>27.607216555427701</v>
      </c>
      <c r="G728" s="1">
        <v>44447</v>
      </c>
      <c r="H728" s="1">
        <v>44452</v>
      </c>
      <c r="I728">
        <v>165.64329933256599</v>
      </c>
      <c r="J728">
        <f t="shared" si="66"/>
        <v>5</v>
      </c>
      <c r="K728" t="str">
        <f>VLOOKUP(B728,Raw_Suppliers!$A$2:$G$101,2,FALSE)</f>
        <v>Nova Alpha Inc</v>
      </c>
      <c r="L728" t="str">
        <f>VLOOKUP(B728,Raw_Suppliers!$A$2:$G$101,3,FALSE)</f>
        <v>UK</v>
      </c>
      <c r="M728" t="str">
        <f>VLOOKUP(B728,Raw_Suppliers!$A$2:$G$101,4,FALSE)</f>
        <v>South</v>
      </c>
      <c r="N728" t="str">
        <f>VLOOKUP(B728,Raw_Suppliers!$A$2:$G$101,6,FALSE)</f>
        <v>None</v>
      </c>
      <c r="O728">
        <f>VLOOKUP(B728,Raw_Suppliers!$A$2:$G$101,7,FALSE)</f>
        <v>1</v>
      </c>
      <c r="P728" t="str">
        <f t="shared" si="67"/>
        <v>Yes</v>
      </c>
      <c r="Q728">
        <f t="shared" si="68"/>
        <v>0</v>
      </c>
      <c r="R728" t="str">
        <f t="shared" si="69"/>
        <v>Late</v>
      </c>
      <c r="S728">
        <f t="shared" si="70"/>
        <v>2021</v>
      </c>
      <c r="T728">
        <f t="shared" si="71"/>
        <v>8</v>
      </c>
    </row>
    <row r="729" spans="1:20" x14ac:dyDescent="0.25">
      <c r="A729" t="s">
        <v>1030</v>
      </c>
      <c r="B729" t="s">
        <v>194</v>
      </c>
      <c r="C729" t="s">
        <v>105</v>
      </c>
      <c r="D729" s="1">
        <v>44610</v>
      </c>
      <c r="E729">
        <v>10</v>
      </c>
      <c r="F729">
        <v>31.738197188830299</v>
      </c>
      <c r="G729" s="1">
        <v>44622</v>
      </c>
      <c r="H729" s="1">
        <v>44627</v>
      </c>
      <c r="I729">
        <v>317.38197188830299</v>
      </c>
      <c r="J729">
        <f t="shared" si="66"/>
        <v>5</v>
      </c>
      <c r="K729" t="str">
        <f>VLOOKUP(B729,Raw_Suppliers!$A$2:$G$101,2,FALSE)</f>
        <v>Eco Pioneer Corp</v>
      </c>
      <c r="L729" t="str">
        <f>VLOOKUP(B729,Raw_Suppliers!$A$2:$G$101,3,FALSE)</f>
        <v>China</v>
      </c>
      <c r="M729" t="str">
        <f>VLOOKUP(B729,Raw_Suppliers!$A$2:$G$101,4,FALSE)</f>
        <v>East</v>
      </c>
      <c r="N729" t="str">
        <f>VLOOKUP(B729,Raw_Suppliers!$A$2:$G$101,6,FALSE)</f>
        <v>ISO 14001</v>
      </c>
      <c r="O729">
        <f>VLOOKUP(B729,Raw_Suppliers!$A$2:$G$101,7,FALSE)</f>
        <v>1</v>
      </c>
      <c r="P729" t="str">
        <f t="shared" si="67"/>
        <v>Yes</v>
      </c>
      <c r="Q729">
        <f t="shared" si="68"/>
        <v>0</v>
      </c>
      <c r="R729" t="str">
        <f t="shared" si="69"/>
        <v>Late</v>
      </c>
      <c r="S729">
        <f t="shared" si="70"/>
        <v>2022</v>
      </c>
      <c r="T729">
        <f t="shared" si="71"/>
        <v>2</v>
      </c>
    </row>
    <row r="730" spans="1:20" x14ac:dyDescent="0.25">
      <c r="A730" t="s">
        <v>1031</v>
      </c>
      <c r="B730" t="s">
        <v>261</v>
      </c>
      <c r="C730" t="s">
        <v>270</v>
      </c>
      <c r="D730" s="1">
        <v>44369</v>
      </c>
      <c r="E730">
        <v>16</v>
      </c>
      <c r="F730">
        <v>63.551859509602203</v>
      </c>
      <c r="G730" s="1">
        <v>44385</v>
      </c>
      <c r="H730" s="1">
        <v>44383</v>
      </c>
      <c r="I730">
        <v>1016.82975215363</v>
      </c>
      <c r="J730">
        <f t="shared" si="66"/>
        <v>-2</v>
      </c>
      <c r="K730" t="str">
        <f>VLOOKUP(B730,Raw_Suppliers!$A$2:$G$101,2,FALSE)</f>
        <v>Delta Fusion Corp</v>
      </c>
      <c r="L730" t="str">
        <f>VLOOKUP(B730,Raw_Suppliers!$A$2:$G$101,3,FALSE)</f>
        <v>Denmark</v>
      </c>
      <c r="M730" t="str">
        <f>VLOOKUP(B730,Raw_Suppliers!$A$2:$G$101,4,FALSE)</f>
        <v>West</v>
      </c>
      <c r="N730" t="str">
        <f>VLOOKUP(B730,Raw_Suppliers!$A$2:$G$101,6,FALSE)</f>
        <v>ISO 45001</v>
      </c>
      <c r="O730">
        <f>VLOOKUP(B730,Raw_Suppliers!$A$2:$G$101,7,FALSE)</f>
        <v>0</v>
      </c>
      <c r="P730" t="str">
        <f t="shared" si="67"/>
        <v>No</v>
      </c>
      <c r="Q730">
        <f t="shared" si="68"/>
        <v>1</v>
      </c>
      <c r="R730" t="str">
        <f t="shared" si="69"/>
        <v>On Time</v>
      </c>
      <c r="S730">
        <f t="shared" si="70"/>
        <v>2021</v>
      </c>
      <c r="T730">
        <f t="shared" si="71"/>
        <v>6</v>
      </c>
    </row>
    <row r="731" spans="1:20" x14ac:dyDescent="0.25">
      <c r="A731" t="s">
        <v>1032</v>
      </c>
      <c r="B731" t="s">
        <v>321</v>
      </c>
      <c r="C731" t="s">
        <v>77</v>
      </c>
      <c r="D731" s="1">
        <v>44199</v>
      </c>
      <c r="E731">
        <v>16</v>
      </c>
      <c r="F731">
        <v>5.2853297245392996</v>
      </c>
      <c r="G731" s="1">
        <v>44209</v>
      </c>
      <c r="H731" s="1">
        <v>44212</v>
      </c>
      <c r="I731">
        <v>84.565275592628794</v>
      </c>
      <c r="J731">
        <f t="shared" si="66"/>
        <v>3</v>
      </c>
      <c r="K731" t="str">
        <f>VLOOKUP(B731,Raw_Suppliers!$A$2:$G$101,2,FALSE)</f>
        <v>Vertex Delta LLC</v>
      </c>
      <c r="L731" t="str">
        <f>VLOOKUP(B731,Raw_Suppliers!$A$2:$G$101,3,FALSE)</f>
        <v>India</v>
      </c>
      <c r="M731" t="str">
        <f>VLOOKUP(B731,Raw_Suppliers!$A$2:$G$101,4,FALSE)</f>
        <v>South</v>
      </c>
      <c r="N731" t="str">
        <f>VLOOKUP(B731,Raw_Suppliers!$A$2:$G$101,6,FALSE)</f>
        <v>ISO 45001</v>
      </c>
      <c r="O731">
        <f>VLOOKUP(B731,Raw_Suppliers!$A$2:$G$101,7,FALSE)</f>
        <v>0</v>
      </c>
      <c r="P731" t="str">
        <f t="shared" si="67"/>
        <v>No</v>
      </c>
      <c r="Q731">
        <f t="shared" si="68"/>
        <v>0</v>
      </c>
      <c r="R731" t="str">
        <f t="shared" si="69"/>
        <v>Late</v>
      </c>
      <c r="S731">
        <f t="shared" si="70"/>
        <v>2021</v>
      </c>
      <c r="T731">
        <f t="shared" si="71"/>
        <v>1</v>
      </c>
    </row>
    <row r="732" spans="1:20" x14ac:dyDescent="0.25">
      <c r="A732" t="s">
        <v>1033</v>
      </c>
      <c r="B732" t="s">
        <v>37</v>
      </c>
      <c r="C732" t="s">
        <v>262</v>
      </c>
      <c r="D732" s="1">
        <v>44445</v>
      </c>
      <c r="E732">
        <v>16</v>
      </c>
      <c r="F732">
        <v>75.756015937392107</v>
      </c>
      <c r="G732" s="1">
        <v>44464</v>
      </c>
      <c r="H732" s="1">
        <v>44461</v>
      </c>
      <c r="I732">
        <v>1212.0962549982701</v>
      </c>
      <c r="J732">
        <f t="shared" si="66"/>
        <v>-3</v>
      </c>
      <c r="K732" t="str">
        <f>VLOOKUP(B732,Raw_Suppliers!$A$2:$G$101,2,FALSE)</f>
        <v>Apex Apex Ltd</v>
      </c>
      <c r="L732" t="str">
        <f>VLOOKUP(B732,Raw_Suppliers!$A$2:$G$101,3,FALSE)</f>
        <v>Canada</v>
      </c>
      <c r="M732" t="str">
        <f>VLOOKUP(B732,Raw_Suppliers!$A$2:$G$101,4,FALSE)</f>
        <v>East</v>
      </c>
      <c r="N732" t="str">
        <f>VLOOKUP(B732,Raw_Suppliers!$A$2:$G$101,6,FALSE)</f>
        <v>ISO 9001</v>
      </c>
      <c r="O732">
        <f>VLOOKUP(B732,Raw_Suppliers!$A$2:$G$101,7,FALSE)</f>
        <v>1</v>
      </c>
      <c r="P732" t="str">
        <f t="shared" si="67"/>
        <v>Yes</v>
      </c>
      <c r="Q732">
        <f t="shared" si="68"/>
        <v>1</v>
      </c>
      <c r="R732" t="str">
        <f t="shared" si="69"/>
        <v>On Time</v>
      </c>
      <c r="S732">
        <f t="shared" si="70"/>
        <v>2021</v>
      </c>
      <c r="T732">
        <f t="shared" si="71"/>
        <v>9</v>
      </c>
    </row>
    <row r="733" spans="1:20" x14ac:dyDescent="0.25">
      <c r="A733" t="s">
        <v>1034</v>
      </c>
      <c r="B733" t="s">
        <v>19</v>
      </c>
      <c r="C733" t="s">
        <v>765</v>
      </c>
      <c r="D733" s="1">
        <v>44832</v>
      </c>
      <c r="E733">
        <v>13</v>
      </c>
      <c r="F733">
        <v>12.6029416957644</v>
      </c>
      <c r="G733" s="1">
        <v>44845</v>
      </c>
      <c r="H733" s="1">
        <v>44846</v>
      </c>
      <c r="I733">
        <v>163.838242044937</v>
      </c>
      <c r="J733">
        <f t="shared" si="66"/>
        <v>1</v>
      </c>
      <c r="K733" t="str">
        <f>VLOOKUP(B733,Raw_Suppliers!$A$2:$G$101,2,FALSE)</f>
        <v>Nova Beta Corp</v>
      </c>
      <c r="L733" t="str">
        <f>VLOOKUP(B733,Raw_Suppliers!$A$2:$G$101,3,FALSE)</f>
        <v>Brazil</v>
      </c>
      <c r="M733" t="str">
        <f>VLOOKUP(B733,Raw_Suppliers!$A$2:$G$101,4,FALSE)</f>
        <v>South</v>
      </c>
      <c r="N733" t="str">
        <f>VLOOKUP(B733,Raw_Suppliers!$A$2:$G$101,6,FALSE)</f>
        <v>ISO 14001</v>
      </c>
      <c r="O733">
        <f>VLOOKUP(B733,Raw_Suppliers!$A$2:$G$101,7,FALSE)</f>
        <v>1</v>
      </c>
      <c r="P733" t="str">
        <f t="shared" si="67"/>
        <v>Yes</v>
      </c>
      <c r="Q733">
        <f t="shared" si="68"/>
        <v>0</v>
      </c>
      <c r="R733" t="str">
        <f t="shared" si="69"/>
        <v>Late</v>
      </c>
      <c r="S733">
        <f t="shared" si="70"/>
        <v>2022</v>
      </c>
      <c r="T733">
        <f t="shared" si="71"/>
        <v>9</v>
      </c>
    </row>
    <row r="734" spans="1:20" x14ac:dyDescent="0.25">
      <c r="A734" t="s">
        <v>1035</v>
      </c>
      <c r="B734" t="s">
        <v>140</v>
      </c>
      <c r="C734" t="s">
        <v>110</v>
      </c>
      <c r="D734" s="1">
        <v>45098</v>
      </c>
      <c r="E734">
        <v>12</v>
      </c>
      <c r="F734">
        <v>66.7242293619815</v>
      </c>
      <c r="G734" s="1">
        <v>45109</v>
      </c>
      <c r="H734" s="1">
        <v>45115</v>
      </c>
      <c r="I734">
        <v>800.69075234377794</v>
      </c>
      <c r="J734">
        <f t="shared" si="66"/>
        <v>6</v>
      </c>
      <c r="K734" t="str">
        <f>VLOOKUP(B734,Raw_Suppliers!$A$2:$G$101,2,FALSE)</f>
        <v>Gamma Quantum Inc</v>
      </c>
      <c r="L734" t="str">
        <f>VLOOKUP(B734,Raw_Suppliers!$A$2:$G$101,3,FALSE)</f>
        <v>Germany</v>
      </c>
      <c r="M734" t="str">
        <f>VLOOKUP(B734,Raw_Suppliers!$A$2:$G$101,4,FALSE)</f>
        <v>North</v>
      </c>
      <c r="N734" t="str">
        <f>VLOOKUP(B734,Raw_Suppliers!$A$2:$G$101,6,FALSE)</f>
        <v>None</v>
      </c>
      <c r="O734">
        <f>VLOOKUP(B734,Raw_Suppliers!$A$2:$G$101,7,FALSE)</f>
        <v>1</v>
      </c>
      <c r="P734" t="str">
        <f t="shared" si="67"/>
        <v>Yes</v>
      </c>
      <c r="Q734">
        <f t="shared" si="68"/>
        <v>0</v>
      </c>
      <c r="R734" t="str">
        <f t="shared" si="69"/>
        <v>Late</v>
      </c>
      <c r="S734">
        <f t="shared" si="70"/>
        <v>2023</v>
      </c>
      <c r="T734">
        <f t="shared" si="71"/>
        <v>6</v>
      </c>
    </row>
    <row r="735" spans="1:20" x14ac:dyDescent="0.25">
      <c r="A735" t="s">
        <v>1036</v>
      </c>
      <c r="B735" t="s">
        <v>556</v>
      </c>
      <c r="C735" t="s">
        <v>334</v>
      </c>
      <c r="D735" s="1">
        <v>44990</v>
      </c>
      <c r="E735">
        <v>10</v>
      </c>
      <c r="F735">
        <v>3.5556541688581702</v>
      </c>
      <c r="G735" s="1">
        <v>45011</v>
      </c>
      <c r="H735" s="1">
        <v>45013</v>
      </c>
      <c r="I735">
        <v>35.556541688581703</v>
      </c>
      <c r="J735">
        <f t="shared" si="66"/>
        <v>2</v>
      </c>
      <c r="K735" t="str">
        <f>VLOOKUP(B735,Raw_Suppliers!$A$2:$G$101,2,FALSE)</f>
        <v>Ultra Delta Ltd</v>
      </c>
      <c r="L735" t="str">
        <f>VLOOKUP(B735,Raw_Suppliers!$A$2:$G$101,3,FALSE)</f>
        <v>China</v>
      </c>
      <c r="M735" t="str">
        <f>VLOOKUP(B735,Raw_Suppliers!$A$2:$G$101,4,FALSE)</f>
        <v>Central</v>
      </c>
      <c r="N735" t="str">
        <f>VLOOKUP(B735,Raw_Suppliers!$A$2:$G$101,6,FALSE)</f>
        <v>ISO 45001</v>
      </c>
      <c r="O735">
        <f>VLOOKUP(B735,Raw_Suppliers!$A$2:$G$101,7,FALSE)</f>
        <v>0</v>
      </c>
      <c r="P735" t="str">
        <f t="shared" si="67"/>
        <v>No</v>
      </c>
      <c r="Q735">
        <f t="shared" si="68"/>
        <v>0</v>
      </c>
      <c r="R735" t="str">
        <f t="shared" si="69"/>
        <v>Late</v>
      </c>
      <c r="S735">
        <f t="shared" si="70"/>
        <v>2023</v>
      </c>
      <c r="T735">
        <f t="shared" si="71"/>
        <v>3</v>
      </c>
    </row>
    <row r="736" spans="1:20" x14ac:dyDescent="0.25">
      <c r="A736" t="s">
        <v>1037</v>
      </c>
      <c r="B736" t="s">
        <v>617</v>
      </c>
      <c r="C736" t="s">
        <v>94</v>
      </c>
      <c r="D736" s="1">
        <v>44298</v>
      </c>
      <c r="E736">
        <v>6</v>
      </c>
      <c r="F736">
        <v>58.495190557896599</v>
      </c>
      <c r="G736" s="1">
        <v>44321</v>
      </c>
      <c r="H736" s="1">
        <v>44327</v>
      </c>
      <c r="I736">
        <v>350.97114334737898</v>
      </c>
      <c r="J736">
        <f t="shared" si="66"/>
        <v>6</v>
      </c>
      <c r="K736" t="str">
        <f>VLOOKUP(B736,Raw_Suppliers!$A$2:$G$101,2,FALSE)</f>
        <v>Eco Vertex Ltd</v>
      </c>
      <c r="L736" t="str">
        <f>VLOOKUP(B736,Raw_Suppliers!$A$2:$G$101,3,FALSE)</f>
        <v>UK</v>
      </c>
      <c r="M736" t="str">
        <f>VLOOKUP(B736,Raw_Suppliers!$A$2:$G$101,4,FALSE)</f>
        <v>Central</v>
      </c>
      <c r="N736" t="str">
        <f>VLOOKUP(B736,Raw_Suppliers!$A$2:$G$101,6,FALSE)</f>
        <v>None</v>
      </c>
      <c r="O736">
        <f>VLOOKUP(B736,Raw_Suppliers!$A$2:$G$101,7,FALSE)</f>
        <v>0</v>
      </c>
      <c r="P736" t="str">
        <f t="shared" si="67"/>
        <v>No</v>
      </c>
      <c r="Q736">
        <f t="shared" si="68"/>
        <v>0</v>
      </c>
      <c r="R736" t="str">
        <f t="shared" si="69"/>
        <v>Late</v>
      </c>
      <c r="S736">
        <f t="shared" si="70"/>
        <v>2021</v>
      </c>
      <c r="T736">
        <f t="shared" si="71"/>
        <v>4</v>
      </c>
    </row>
    <row r="737" spans="1:20" x14ac:dyDescent="0.25">
      <c r="A737" t="s">
        <v>1038</v>
      </c>
      <c r="B737" t="s">
        <v>46</v>
      </c>
      <c r="C737" t="s">
        <v>718</v>
      </c>
      <c r="D737" s="1">
        <v>44391</v>
      </c>
      <c r="E737">
        <v>7</v>
      </c>
      <c r="F737">
        <v>78.113506291191896</v>
      </c>
      <c r="G737" s="1">
        <v>44408</v>
      </c>
      <c r="H737" s="1">
        <v>44408</v>
      </c>
      <c r="I737">
        <v>546.79454403834302</v>
      </c>
      <c r="J737">
        <f t="shared" si="66"/>
        <v>0</v>
      </c>
      <c r="K737" t="str">
        <f>VLOOKUP(B737,Raw_Suppliers!$A$2:$G$101,2,FALSE)</f>
        <v>Prime Prime Inc</v>
      </c>
      <c r="L737" t="str">
        <f>VLOOKUP(B737,Raw_Suppliers!$A$2:$G$101,3,FALSE)</f>
        <v>UK</v>
      </c>
      <c r="M737" t="str">
        <f>VLOOKUP(B737,Raw_Suppliers!$A$2:$G$101,4,FALSE)</f>
        <v>South</v>
      </c>
      <c r="N737" t="str">
        <f>VLOOKUP(B737,Raw_Suppliers!$A$2:$G$101,6,FALSE)</f>
        <v>None</v>
      </c>
      <c r="O737">
        <f>VLOOKUP(B737,Raw_Suppliers!$A$2:$G$101,7,FALSE)</f>
        <v>1</v>
      </c>
      <c r="P737" t="str">
        <f t="shared" si="67"/>
        <v>Yes</v>
      </c>
      <c r="Q737">
        <f t="shared" si="68"/>
        <v>1</v>
      </c>
      <c r="R737" t="str">
        <f t="shared" si="69"/>
        <v>On Time</v>
      </c>
      <c r="S737">
        <f t="shared" si="70"/>
        <v>2021</v>
      </c>
      <c r="T737">
        <f t="shared" si="71"/>
        <v>7</v>
      </c>
    </row>
    <row r="738" spans="1:20" x14ac:dyDescent="0.25">
      <c r="A738" t="s">
        <v>1039</v>
      </c>
      <c r="B738" t="s">
        <v>359</v>
      </c>
      <c r="C738" t="s">
        <v>693</v>
      </c>
      <c r="D738" s="1">
        <v>44389</v>
      </c>
      <c r="E738">
        <v>10</v>
      </c>
      <c r="F738">
        <v>43.754799149877798</v>
      </c>
      <c r="G738" s="1">
        <v>44401</v>
      </c>
      <c r="H738" s="1">
        <v>44407</v>
      </c>
      <c r="I738">
        <v>437.547991498778</v>
      </c>
      <c r="J738">
        <f t="shared" si="66"/>
        <v>6</v>
      </c>
      <c r="K738" t="str">
        <f>VLOOKUP(B738,Raw_Suppliers!$A$2:$G$101,2,FALSE)</f>
        <v>Alpha Alpha Corp</v>
      </c>
      <c r="L738" t="str">
        <f>VLOOKUP(B738,Raw_Suppliers!$A$2:$G$101,3,FALSE)</f>
        <v>India</v>
      </c>
      <c r="M738" t="str">
        <f>VLOOKUP(B738,Raw_Suppliers!$A$2:$G$101,4,FALSE)</f>
        <v>North</v>
      </c>
      <c r="N738" t="str">
        <f>VLOOKUP(B738,Raw_Suppliers!$A$2:$G$101,6,FALSE)</f>
        <v>ISO 9001</v>
      </c>
      <c r="O738">
        <f>VLOOKUP(B738,Raw_Suppliers!$A$2:$G$101,7,FALSE)</f>
        <v>1</v>
      </c>
      <c r="P738" t="str">
        <f t="shared" si="67"/>
        <v>Yes</v>
      </c>
      <c r="Q738">
        <f t="shared" si="68"/>
        <v>0</v>
      </c>
      <c r="R738" t="str">
        <f t="shared" si="69"/>
        <v>Late</v>
      </c>
      <c r="S738">
        <f t="shared" si="70"/>
        <v>2021</v>
      </c>
      <c r="T738">
        <f t="shared" si="71"/>
        <v>7</v>
      </c>
    </row>
    <row r="739" spans="1:20" x14ac:dyDescent="0.25">
      <c r="A739" t="s">
        <v>1040</v>
      </c>
      <c r="B739" t="s">
        <v>174</v>
      </c>
      <c r="C739" t="s">
        <v>331</v>
      </c>
      <c r="D739" s="1">
        <v>44608</v>
      </c>
      <c r="E739">
        <v>9</v>
      </c>
      <c r="F739">
        <v>48.626522284026301</v>
      </c>
      <c r="G739" s="1">
        <v>44624</v>
      </c>
      <c r="H739" s="1">
        <v>44628</v>
      </c>
      <c r="I739">
        <v>437.63870055623602</v>
      </c>
      <c r="J739">
        <f t="shared" si="66"/>
        <v>4</v>
      </c>
      <c r="K739" t="str">
        <f>VLOOKUP(B739,Raw_Suppliers!$A$2:$G$101,2,FALSE)</f>
        <v>Quantum Eco LLC</v>
      </c>
      <c r="L739" t="str">
        <f>VLOOKUP(B739,Raw_Suppliers!$A$2:$G$101,3,FALSE)</f>
        <v>Denmark</v>
      </c>
      <c r="M739" t="str">
        <f>VLOOKUP(B739,Raw_Suppliers!$A$2:$G$101,4,FALSE)</f>
        <v>East</v>
      </c>
      <c r="N739" t="str">
        <f>VLOOKUP(B739,Raw_Suppliers!$A$2:$G$101,6,FALSE)</f>
        <v>ISO 9001</v>
      </c>
      <c r="O739">
        <f>VLOOKUP(B739,Raw_Suppliers!$A$2:$G$101,7,FALSE)</f>
        <v>1</v>
      </c>
      <c r="P739" t="str">
        <f t="shared" si="67"/>
        <v>Yes</v>
      </c>
      <c r="Q739">
        <f t="shared" si="68"/>
        <v>0</v>
      </c>
      <c r="R739" t="str">
        <f t="shared" si="69"/>
        <v>Late</v>
      </c>
      <c r="S739">
        <f t="shared" si="70"/>
        <v>2022</v>
      </c>
      <c r="T739">
        <f t="shared" si="71"/>
        <v>2</v>
      </c>
    </row>
    <row r="740" spans="1:20" x14ac:dyDescent="0.25">
      <c r="A740" t="s">
        <v>1041</v>
      </c>
      <c r="B740" t="s">
        <v>379</v>
      </c>
      <c r="C740" t="s">
        <v>77</v>
      </c>
      <c r="D740" s="1">
        <v>44738</v>
      </c>
      <c r="E740">
        <v>14</v>
      </c>
      <c r="F740">
        <v>68.383593291142802</v>
      </c>
      <c r="G740" s="1">
        <v>44760</v>
      </c>
      <c r="H740" s="1">
        <v>44760</v>
      </c>
      <c r="I740">
        <v>957.37030607600002</v>
      </c>
      <c r="J740">
        <f t="shared" si="66"/>
        <v>0</v>
      </c>
      <c r="K740" t="str">
        <f>VLOOKUP(B740,Raw_Suppliers!$A$2:$G$101,2,FALSE)</f>
        <v>Apex Fusion Ltd</v>
      </c>
      <c r="L740" t="str">
        <f>VLOOKUP(B740,Raw_Suppliers!$A$2:$G$101,3,FALSE)</f>
        <v>USA</v>
      </c>
      <c r="M740" t="str">
        <f>VLOOKUP(B740,Raw_Suppliers!$A$2:$G$101,4,FALSE)</f>
        <v>East</v>
      </c>
      <c r="N740" t="str">
        <f>VLOOKUP(B740,Raw_Suppliers!$A$2:$G$101,6,FALSE)</f>
        <v>ISO 14001</v>
      </c>
      <c r="O740">
        <f>VLOOKUP(B740,Raw_Suppliers!$A$2:$G$101,7,FALSE)</f>
        <v>1</v>
      </c>
      <c r="P740" t="str">
        <f t="shared" si="67"/>
        <v>Yes</v>
      </c>
      <c r="Q740">
        <f t="shared" si="68"/>
        <v>1</v>
      </c>
      <c r="R740" t="str">
        <f t="shared" si="69"/>
        <v>On Time</v>
      </c>
      <c r="S740">
        <f t="shared" si="70"/>
        <v>2022</v>
      </c>
      <c r="T740">
        <f t="shared" si="71"/>
        <v>6</v>
      </c>
    </row>
    <row r="741" spans="1:20" x14ac:dyDescent="0.25">
      <c r="A741" t="s">
        <v>1042</v>
      </c>
      <c r="B741" t="s">
        <v>40</v>
      </c>
      <c r="C741" t="s">
        <v>972</v>
      </c>
      <c r="D741" s="1">
        <v>44877</v>
      </c>
      <c r="E741">
        <v>11</v>
      </c>
      <c r="F741">
        <v>13.8934783036217</v>
      </c>
      <c r="G741" s="1">
        <v>44896</v>
      </c>
      <c r="H741" s="1">
        <v>44901</v>
      </c>
      <c r="I741">
        <v>152.828261339839</v>
      </c>
      <c r="J741">
        <f t="shared" si="66"/>
        <v>5</v>
      </c>
      <c r="K741" t="str">
        <f>VLOOKUP(B741,Raw_Suppliers!$A$2:$G$101,2,FALSE)</f>
        <v>Ultra Apex Inc</v>
      </c>
      <c r="L741" t="str">
        <f>VLOOKUP(B741,Raw_Suppliers!$A$2:$G$101,3,FALSE)</f>
        <v>India</v>
      </c>
      <c r="M741" t="str">
        <f>VLOOKUP(B741,Raw_Suppliers!$A$2:$G$101,4,FALSE)</f>
        <v>West</v>
      </c>
      <c r="N741" t="str">
        <f>VLOOKUP(B741,Raw_Suppliers!$A$2:$G$101,6,FALSE)</f>
        <v>ISO 9001</v>
      </c>
      <c r="O741">
        <f>VLOOKUP(B741,Raw_Suppliers!$A$2:$G$101,7,FALSE)</f>
        <v>0</v>
      </c>
      <c r="P741" t="str">
        <f t="shared" si="67"/>
        <v>No</v>
      </c>
      <c r="Q741">
        <f t="shared" si="68"/>
        <v>0</v>
      </c>
      <c r="R741" t="str">
        <f t="shared" si="69"/>
        <v>Late</v>
      </c>
      <c r="S741">
        <f t="shared" si="70"/>
        <v>2022</v>
      </c>
      <c r="T741">
        <f t="shared" si="71"/>
        <v>11</v>
      </c>
    </row>
    <row r="742" spans="1:20" x14ac:dyDescent="0.25">
      <c r="A742" t="s">
        <v>1043</v>
      </c>
      <c r="B742" t="s">
        <v>485</v>
      </c>
      <c r="C742" t="s">
        <v>74</v>
      </c>
      <c r="D742" s="1">
        <v>44756</v>
      </c>
      <c r="E742">
        <v>14</v>
      </c>
      <c r="F742">
        <v>21.474759213000102</v>
      </c>
      <c r="G742" s="1">
        <v>44780</v>
      </c>
      <c r="H742" s="1">
        <v>44778</v>
      </c>
      <c r="I742">
        <v>300.64662898200203</v>
      </c>
      <c r="J742">
        <f t="shared" si="66"/>
        <v>-2</v>
      </c>
      <c r="K742" t="str">
        <f>VLOOKUP(B742,Raw_Suppliers!$A$2:$G$101,2,FALSE)</f>
        <v>Ultra Quantum Ltd</v>
      </c>
      <c r="L742" t="str">
        <f>VLOOKUP(B742,Raw_Suppliers!$A$2:$G$101,3,FALSE)</f>
        <v>Canada</v>
      </c>
      <c r="M742" t="str">
        <f>VLOOKUP(B742,Raw_Suppliers!$A$2:$G$101,4,FALSE)</f>
        <v>North</v>
      </c>
      <c r="N742" t="str">
        <f>VLOOKUP(B742,Raw_Suppliers!$A$2:$G$101,6,FALSE)</f>
        <v>ISO 14001</v>
      </c>
      <c r="O742">
        <f>VLOOKUP(B742,Raw_Suppliers!$A$2:$G$101,7,FALSE)</f>
        <v>0</v>
      </c>
      <c r="P742" t="str">
        <f t="shared" si="67"/>
        <v>No</v>
      </c>
      <c r="Q742">
        <f t="shared" si="68"/>
        <v>1</v>
      </c>
      <c r="R742" t="str">
        <f t="shared" si="69"/>
        <v>On Time</v>
      </c>
      <c r="S742">
        <f t="shared" si="70"/>
        <v>2022</v>
      </c>
      <c r="T742">
        <f t="shared" si="71"/>
        <v>7</v>
      </c>
    </row>
    <row r="743" spans="1:20" x14ac:dyDescent="0.25">
      <c r="A743" t="s">
        <v>1044</v>
      </c>
      <c r="B743" t="s">
        <v>109</v>
      </c>
      <c r="C743" t="s">
        <v>100</v>
      </c>
      <c r="D743" s="1">
        <v>45113</v>
      </c>
      <c r="E743">
        <v>18</v>
      </c>
      <c r="F743">
        <v>40.539596007486701</v>
      </c>
      <c r="G743" s="1">
        <v>45129</v>
      </c>
      <c r="H743" s="1">
        <v>45128</v>
      </c>
      <c r="I743">
        <v>729.71272813476105</v>
      </c>
      <c r="J743">
        <f t="shared" si="66"/>
        <v>-1</v>
      </c>
      <c r="K743" t="str">
        <f>VLOOKUP(B743,Raw_Suppliers!$A$2:$G$101,2,FALSE)</f>
        <v>Nano Fusion GmbH</v>
      </c>
      <c r="L743" t="str">
        <f>VLOOKUP(B743,Raw_Suppliers!$A$2:$G$101,3,FALSE)</f>
        <v>Denmark</v>
      </c>
      <c r="M743" t="str">
        <f>VLOOKUP(B743,Raw_Suppliers!$A$2:$G$101,4,FALSE)</f>
        <v>North</v>
      </c>
      <c r="N743" t="str">
        <f>VLOOKUP(B743,Raw_Suppliers!$A$2:$G$101,6,FALSE)</f>
        <v>ISO 9001</v>
      </c>
      <c r="O743">
        <f>VLOOKUP(B743,Raw_Suppliers!$A$2:$G$101,7,FALSE)</f>
        <v>0</v>
      </c>
      <c r="P743" t="str">
        <f t="shared" si="67"/>
        <v>No</v>
      </c>
      <c r="Q743">
        <f t="shared" si="68"/>
        <v>1</v>
      </c>
      <c r="R743" t="str">
        <f t="shared" si="69"/>
        <v>On Time</v>
      </c>
      <c r="S743">
        <f t="shared" si="70"/>
        <v>2023</v>
      </c>
      <c r="T743">
        <f t="shared" si="71"/>
        <v>7</v>
      </c>
    </row>
    <row r="744" spans="1:20" x14ac:dyDescent="0.25">
      <c r="A744" t="s">
        <v>1045</v>
      </c>
      <c r="B744" t="s">
        <v>67</v>
      </c>
      <c r="C744" t="s">
        <v>402</v>
      </c>
      <c r="D744" s="1">
        <v>45343</v>
      </c>
      <c r="E744">
        <v>9</v>
      </c>
      <c r="F744">
        <v>41.8856562875972</v>
      </c>
      <c r="G744" s="1">
        <v>45354</v>
      </c>
      <c r="H744" s="1">
        <v>45356</v>
      </c>
      <c r="I744">
        <v>376.97090658837499</v>
      </c>
      <c r="J744">
        <f t="shared" si="66"/>
        <v>2</v>
      </c>
      <c r="K744" t="str">
        <f>VLOOKUP(B744,Raw_Suppliers!$A$2:$G$101,2,FALSE)</f>
        <v>Nova Eco LLC</v>
      </c>
      <c r="L744" t="str">
        <f>VLOOKUP(B744,Raw_Suppliers!$A$2:$G$101,3,FALSE)</f>
        <v>Germany</v>
      </c>
      <c r="M744" t="str">
        <f>VLOOKUP(B744,Raw_Suppliers!$A$2:$G$101,4,FALSE)</f>
        <v>Central</v>
      </c>
      <c r="N744" t="str">
        <f>VLOOKUP(B744,Raw_Suppliers!$A$2:$G$101,6,FALSE)</f>
        <v>ISO 9001</v>
      </c>
      <c r="O744">
        <f>VLOOKUP(B744,Raw_Suppliers!$A$2:$G$101,7,FALSE)</f>
        <v>1</v>
      </c>
      <c r="P744" t="str">
        <f t="shared" si="67"/>
        <v>Yes</v>
      </c>
      <c r="Q744">
        <f t="shared" si="68"/>
        <v>0</v>
      </c>
      <c r="R744" t="str">
        <f t="shared" si="69"/>
        <v>Late</v>
      </c>
      <c r="S744">
        <f t="shared" si="70"/>
        <v>2024</v>
      </c>
      <c r="T744">
        <f t="shared" si="71"/>
        <v>2</v>
      </c>
    </row>
    <row r="745" spans="1:20" x14ac:dyDescent="0.25">
      <c r="A745" t="s">
        <v>1046</v>
      </c>
      <c r="B745" t="s">
        <v>267</v>
      </c>
      <c r="C745" t="s">
        <v>331</v>
      </c>
      <c r="D745" s="1">
        <v>44700</v>
      </c>
      <c r="E745">
        <v>12</v>
      </c>
      <c r="F745">
        <v>38.8711455805174</v>
      </c>
      <c r="G745" s="1">
        <v>44712</v>
      </c>
      <c r="H745" s="1">
        <v>44715</v>
      </c>
      <c r="I745">
        <v>466.453746966209</v>
      </c>
      <c r="J745">
        <f t="shared" si="66"/>
        <v>3</v>
      </c>
      <c r="K745" t="str">
        <f>VLOOKUP(B745,Raw_Suppliers!$A$2:$G$101,2,FALSE)</f>
        <v>Omega Nova Corp</v>
      </c>
      <c r="L745" t="str">
        <f>VLOOKUP(B745,Raw_Suppliers!$A$2:$G$101,3,FALSE)</f>
        <v>India</v>
      </c>
      <c r="M745" t="str">
        <f>VLOOKUP(B745,Raw_Suppliers!$A$2:$G$101,4,FALSE)</f>
        <v>West</v>
      </c>
      <c r="N745" t="str">
        <f>VLOOKUP(B745,Raw_Suppliers!$A$2:$G$101,6,FALSE)</f>
        <v>ISO 45001</v>
      </c>
      <c r="O745">
        <f>VLOOKUP(B745,Raw_Suppliers!$A$2:$G$101,7,FALSE)</f>
        <v>0</v>
      </c>
      <c r="P745" t="str">
        <f t="shared" si="67"/>
        <v>No</v>
      </c>
      <c r="Q745">
        <f t="shared" si="68"/>
        <v>0</v>
      </c>
      <c r="R745" t="str">
        <f t="shared" si="69"/>
        <v>Late</v>
      </c>
      <c r="S745">
        <f t="shared" si="70"/>
        <v>2022</v>
      </c>
      <c r="T745">
        <f t="shared" si="71"/>
        <v>5</v>
      </c>
    </row>
    <row r="746" spans="1:20" x14ac:dyDescent="0.25">
      <c r="A746" t="s">
        <v>1047</v>
      </c>
      <c r="B746" t="s">
        <v>240</v>
      </c>
      <c r="C746" t="s">
        <v>50</v>
      </c>
      <c r="D746" s="1">
        <v>44788</v>
      </c>
      <c r="E746">
        <v>15</v>
      </c>
      <c r="F746">
        <v>40.7884328651229</v>
      </c>
      <c r="G746" s="1">
        <v>44811</v>
      </c>
      <c r="H746" s="1">
        <v>44808</v>
      </c>
      <c r="I746">
        <v>611.82649297684304</v>
      </c>
      <c r="J746">
        <f t="shared" si="66"/>
        <v>-3</v>
      </c>
      <c r="K746" t="str">
        <f>VLOOKUP(B746,Raw_Suppliers!$A$2:$G$101,2,FALSE)</f>
        <v>Apex Omega LLC</v>
      </c>
      <c r="L746" t="str">
        <f>VLOOKUP(B746,Raw_Suppliers!$A$2:$G$101,3,FALSE)</f>
        <v>UK</v>
      </c>
      <c r="M746" t="str">
        <f>VLOOKUP(B746,Raw_Suppliers!$A$2:$G$101,4,FALSE)</f>
        <v>South</v>
      </c>
      <c r="N746" t="str">
        <f>VLOOKUP(B746,Raw_Suppliers!$A$2:$G$101,6,FALSE)</f>
        <v>ISO 9001</v>
      </c>
      <c r="O746">
        <f>VLOOKUP(B746,Raw_Suppliers!$A$2:$G$101,7,FALSE)</f>
        <v>0</v>
      </c>
      <c r="P746" t="str">
        <f t="shared" si="67"/>
        <v>No</v>
      </c>
      <c r="Q746">
        <f t="shared" si="68"/>
        <v>1</v>
      </c>
      <c r="R746" t="str">
        <f t="shared" si="69"/>
        <v>On Time</v>
      </c>
      <c r="S746">
        <f t="shared" si="70"/>
        <v>2022</v>
      </c>
      <c r="T746">
        <f t="shared" si="71"/>
        <v>8</v>
      </c>
    </row>
    <row r="747" spans="1:20" x14ac:dyDescent="0.25">
      <c r="A747" t="s">
        <v>1048</v>
      </c>
      <c r="B747" t="s">
        <v>22</v>
      </c>
      <c r="C747" t="s">
        <v>192</v>
      </c>
      <c r="D747" s="1">
        <v>44861</v>
      </c>
      <c r="E747">
        <v>18</v>
      </c>
      <c r="F747">
        <v>57.852926024629198</v>
      </c>
      <c r="G747" s="1">
        <v>44880</v>
      </c>
      <c r="H747" s="1">
        <v>44884</v>
      </c>
      <c r="I747">
        <v>1041.35266844332</v>
      </c>
      <c r="J747">
        <f t="shared" si="66"/>
        <v>4</v>
      </c>
      <c r="K747" t="str">
        <f>VLOOKUP(B747,Raw_Suppliers!$A$2:$G$101,2,FALSE)</f>
        <v>Delta Gamma Corp</v>
      </c>
      <c r="L747" t="str">
        <f>VLOOKUP(B747,Raw_Suppliers!$A$2:$G$101,3,FALSE)</f>
        <v>Denmark</v>
      </c>
      <c r="M747" t="str">
        <f>VLOOKUP(B747,Raw_Suppliers!$A$2:$G$101,4,FALSE)</f>
        <v>West</v>
      </c>
      <c r="N747" t="str">
        <f>VLOOKUP(B747,Raw_Suppliers!$A$2:$G$101,6,FALSE)</f>
        <v>ISO 45001</v>
      </c>
      <c r="O747">
        <f>VLOOKUP(B747,Raw_Suppliers!$A$2:$G$101,7,FALSE)</f>
        <v>1</v>
      </c>
      <c r="P747" t="str">
        <f t="shared" si="67"/>
        <v>Yes</v>
      </c>
      <c r="Q747">
        <f t="shared" si="68"/>
        <v>0</v>
      </c>
      <c r="R747" t="str">
        <f t="shared" si="69"/>
        <v>Late</v>
      </c>
      <c r="S747">
        <f t="shared" si="70"/>
        <v>2022</v>
      </c>
      <c r="T747">
        <f t="shared" si="71"/>
        <v>10</v>
      </c>
    </row>
    <row r="748" spans="1:20" x14ac:dyDescent="0.25">
      <c r="A748" t="s">
        <v>1049</v>
      </c>
      <c r="B748" t="s">
        <v>314</v>
      </c>
      <c r="C748" t="s">
        <v>543</v>
      </c>
      <c r="D748" s="1">
        <v>45373</v>
      </c>
      <c r="E748">
        <v>10</v>
      </c>
      <c r="F748">
        <v>63.457327449375001</v>
      </c>
      <c r="G748" s="1">
        <v>45388</v>
      </c>
      <c r="H748" s="1">
        <v>45390</v>
      </c>
      <c r="I748">
        <v>634.57327449374998</v>
      </c>
      <c r="J748">
        <f t="shared" si="66"/>
        <v>2</v>
      </c>
      <c r="K748" t="str">
        <f>VLOOKUP(B748,Raw_Suppliers!$A$2:$G$101,2,FALSE)</f>
        <v>Gamma Nova Ltd</v>
      </c>
      <c r="L748" t="str">
        <f>VLOOKUP(B748,Raw_Suppliers!$A$2:$G$101,3,FALSE)</f>
        <v>USA</v>
      </c>
      <c r="M748" t="str">
        <f>VLOOKUP(B748,Raw_Suppliers!$A$2:$G$101,4,FALSE)</f>
        <v>North</v>
      </c>
      <c r="N748" t="str">
        <f>VLOOKUP(B748,Raw_Suppliers!$A$2:$G$101,6,FALSE)</f>
        <v>ISO 45001</v>
      </c>
      <c r="O748">
        <f>VLOOKUP(B748,Raw_Suppliers!$A$2:$G$101,7,FALSE)</f>
        <v>0</v>
      </c>
      <c r="P748" t="str">
        <f t="shared" si="67"/>
        <v>No</v>
      </c>
      <c r="Q748">
        <f t="shared" si="68"/>
        <v>0</v>
      </c>
      <c r="R748" t="str">
        <f t="shared" si="69"/>
        <v>Late</v>
      </c>
      <c r="S748">
        <f t="shared" si="70"/>
        <v>2024</v>
      </c>
      <c r="T748">
        <f t="shared" si="71"/>
        <v>3</v>
      </c>
    </row>
    <row r="749" spans="1:20" x14ac:dyDescent="0.25">
      <c r="A749" t="s">
        <v>1050</v>
      </c>
      <c r="B749" t="s">
        <v>203</v>
      </c>
      <c r="C749" t="s">
        <v>1051</v>
      </c>
      <c r="D749" s="1">
        <v>45246</v>
      </c>
      <c r="E749">
        <v>9</v>
      </c>
      <c r="F749">
        <v>7.4069499223704698</v>
      </c>
      <c r="G749" s="1">
        <v>45265</v>
      </c>
      <c r="H749" s="1">
        <v>45270</v>
      </c>
      <c r="I749">
        <v>66.662549301334195</v>
      </c>
      <c r="J749">
        <f t="shared" si="66"/>
        <v>5</v>
      </c>
      <c r="K749" t="str">
        <f>VLOOKUP(B749,Raw_Suppliers!$A$2:$G$101,2,FALSE)</f>
        <v>Nova Eco LLC</v>
      </c>
      <c r="L749" t="str">
        <f>VLOOKUP(B749,Raw_Suppliers!$A$2:$G$101,3,FALSE)</f>
        <v>Denmark</v>
      </c>
      <c r="M749" t="str">
        <f>VLOOKUP(B749,Raw_Suppliers!$A$2:$G$101,4,FALSE)</f>
        <v>South</v>
      </c>
      <c r="N749" t="str">
        <f>VLOOKUP(B749,Raw_Suppliers!$A$2:$G$101,6,FALSE)</f>
        <v>ISO 14001</v>
      </c>
      <c r="O749">
        <f>VLOOKUP(B749,Raw_Suppliers!$A$2:$G$101,7,FALSE)</f>
        <v>0</v>
      </c>
      <c r="P749" t="str">
        <f t="shared" si="67"/>
        <v>No</v>
      </c>
      <c r="Q749">
        <f t="shared" si="68"/>
        <v>0</v>
      </c>
      <c r="R749" t="str">
        <f t="shared" si="69"/>
        <v>Late</v>
      </c>
      <c r="S749">
        <f t="shared" si="70"/>
        <v>2023</v>
      </c>
      <c r="T749">
        <f t="shared" si="71"/>
        <v>11</v>
      </c>
    </row>
    <row r="750" spans="1:20" x14ac:dyDescent="0.25">
      <c r="A750" t="s">
        <v>1052</v>
      </c>
      <c r="B750" t="s">
        <v>55</v>
      </c>
      <c r="C750" t="s">
        <v>279</v>
      </c>
      <c r="D750" s="1">
        <v>44998</v>
      </c>
      <c r="E750">
        <v>8</v>
      </c>
      <c r="F750">
        <v>15.4156142619753</v>
      </c>
      <c r="G750" s="1">
        <v>45009</v>
      </c>
      <c r="H750" s="1">
        <v>45006</v>
      </c>
      <c r="I750">
        <v>123.324914095803</v>
      </c>
      <c r="J750">
        <f t="shared" si="66"/>
        <v>-3</v>
      </c>
      <c r="K750" t="str">
        <f>VLOOKUP(B750,Raw_Suppliers!$A$2:$G$101,2,FALSE)</f>
        <v>Prime Vertex Inc</v>
      </c>
      <c r="L750" t="str">
        <f>VLOOKUP(B750,Raw_Suppliers!$A$2:$G$101,3,FALSE)</f>
        <v>Germany</v>
      </c>
      <c r="M750" t="str">
        <f>VLOOKUP(B750,Raw_Suppliers!$A$2:$G$101,4,FALSE)</f>
        <v>South</v>
      </c>
      <c r="N750" t="str">
        <f>VLOOKUP(B750,Raw_Suppliers!$A$2:$G$101,6,FALSE)</f>
        <v>ISO 14001</v>
      </c>
      <c r="O750">
        <f>VLOOKUP(B750,Raw_Suppliers!$A$2:$G$101,7,FALSE)</f>
        <v>0</v>
      </c>
      <c r="P750" t="str">
        <f t="shared" si="67"/>
        <v>No</v>
      </c>
      <c r="Q750">
        <f t="shared" si="68"/>
        <v>1</v>
      </c>
      <c r="R750" t="str">
        <f t="shared" si="69"/>
        <v>On Time</v>
      </c>
      <c r="S750">
        <f t="shared" si="70"/>
        <v>2023</v>
      </c>
      <c r="T750">
        <f t="shared" si="71"/>
        <v>3</v>
      </c>
    </row>
    <row r="751" spans="1:20" x14ac:dyDescent="0.25">
      <c r="A751" t="s">
        <v>1053</v>
      </c>
      <c r="B751" t="s">
        <v>119</v>
      </c>
      <c r="C751" t="s">
        <v>547</v>
      </c>
      <c r="D751" s="1">
        <v>44467</v>
      </c>
      <c r="E751">
        <v>6</v>
      </c>
      <c r="F751">
        <v>50.812838696939998</v>
      </c>
      <c r="G751" s="1">
        <v>44479</v>
      </c>
      <c r="H751" s="1">
        <v>44481</v>
      </c>
      <c r="I751">
        <v>304.87703218164</v>
      </c>
      <c r="J751">
        <f t="shared" si="66"/>
        <v>2</v>
      </c>
      <c r="K751" t="str">
        <f>VLOOKUP(B751,Raw_Suppliers!$A$2:$G$101,2,FALSE)</f>
        <v>Pioneer Apex Corp</v>
      </c>
      <c r="L751" t="str">
        <f>VLOOKUP(B751,Raw_Suppliers!$A$2:$G$101,3,FALSE)</f>
        <v>USA</v>
      </c>
      <c r="M751" t="str">
        <f>VLOOKUP(B751,Raw_Suppliers!$A$2:$G$101,4,FALSE)</f>
        <v>Central</v>
      </c>
      <c r="N751" t="str">
        <f>VLOOKUP(B751,Raw_Suppliers!$A$2:$G$101,6,FALSE)</f>
        <v>None</v>
      </c>
      <c r="O751">
        <f>VLOOKUP(B751,Raw_Suppliers!$A$2:$G$101,7,FALSE)</f>
        <v>0</v>
      </c>
      <c r="P751" t="str">
        <f t="shared" si="67"/>
        <v>No</v>
      </c>
      <c r="Q751">
        <f t="shared" si="68"/>
        <v>0</v>
      </c>
      <c r="R751" t="str">
        <f t="shared" si="69"/>
        <v>Late</v>
      </c>
      <c r="S751">
        <f t="shared" si="70"/>
        <v>2021</v>
      </c>
      <c r="T751">
        <f t="shared" si="71"/>
        <v>9</v>
      </c>
    </row>
    <row r="752" spans="1:20" x14ac:dyDescent="0.25">
      <c r="A752" t="s">
        <v>1054</v>
      </c>
      <c r="B752" t="s">
        <v>751</v>
      </c>
      <c r="C752" t="s">
        <v>20</v>
      </c>
      <c r="D752" s="1">
        <v>45083</v>
      </c>
      <c r="E752">
        <v>14</v>
      </c>
      <c r="F752">
        <v>4.0805915719456696</v>
      </c>
      <c r="G752" s="1">
        <v>45101</v>
      </c>
      <c r="H752" s="1">
        <v>45102</v>
      </c>
      <c r="I752">
        <v>57.128282007239299</v>
      </c>
      <c r="J752">
        <f t="shared" si="66"/>
        <v>1</v>
      </c>
      <c r="K752" t="str">
        <f>VLOOKUP(B752,Raw_Suppliers!$A$2:$G$101,2,FALSE)</f>
        <v>Nano Vertex LLC</v>
      </c>
      <c r="L752" t="str">
        <f>VLOOKUP(B752,Raw_Suppliers!$A$2:$G$101,3,FALSE)</f>
        <v>China</v>
      </c>
      <c r="M752" t="str">
        <f>VLOOKUP(B752,Raw_Suppliers!$A$2:$G$101,4,FALSE)</f>
        <v>North</v>
      </c>
      <c r="N752" t="str">
        <f>VLOOKUP(B752,Raw_Suppliers!$A$2:$G$101,6,FALSE)</f>
        <v>ISO 9001</v>
      </c>
      <c r="O752">
        <f>VLOOKUP(B752,Raw_Suppliers!$A$2:$G$101,7,FALSE)</f>
        <v>1</v>
      </c>
      <c r="P752" t="str">
        <f t="shared" si="67"/>
        <v>Yes</v>
      </c>
      <c r="Q752">
        <f t="shared" si="68"/>
        <v>0</v>
      </c>
      <c r="R752" t="str">
        <f t="shared" si="69"/>
        <v>Late</v>
      </c>
      <c r="S752">
        <f t="shared" si="70"/>
        <v>2023</v>
      </c>
      <c r="T752">
        <f t="shared" si="71"/>
        <v>6</v>
      </c>
    </row>
    <row r="753" spans="1:20" x14ac:dyDescent="0.25">
      <c r="A753" t="s">
        <v>1055</v>
      </c>
      <c r="B753" t="s">
        <v>10</v>
      </c>
      <c r="C753" t="s">
        <v>972</v>
      </c>
      <c r="D753" s="1">
        <v>44552</v>
      </c>
      <c r="E753">
        <v>17</v>
      </c>
      <c r="F753">
        <v>25.356327557946202</v>
      </c>
      <c r="G753" s="1">
        <v>44576</v>
      </c>
      <c r="H753" s="1">
        <v>44574</v>
      </c>
      <c r="I753">
        <v>431.05756848508599</v>
      </c>
      <c r="J753">
        <f t="shared" si="66"/>
        <v>-2</v>
      </c>
      <c r="K753" t="str">
        <f>VLOOKUP(B753,Raw_Suppliers!$A$2:$G$101,2,FALSE)</f>
        <v>Vertex Beta GmbH</v>
      </c>
      <c r="L753" t="str">
        <f>VLOOKUP(B753,Raw_Suppliers!$A$2:$G$101,3,FALSE)</f>
        <v>India</v>
      </c>
      <c r="M753" t="str">
        <f>VLOOKUP(B753,Raw_Suppliers!$A$2:$G$101,4,FALSE)</f>
        <v>North</v>
      </c>
      <c r="N753" t="str">
        <f>VLOOKUP(B753,Raw_Suppliers!$A$2:$G$101,6,FALSE)</f>
        <v>ISO 14001</v>
      </c>
      <c r="O753">
        <f>VLOOKUP(B753,Raw_Suppliers!$A$2:$G$101,7,FALSE)</f>
        <v>0</v>
      </c>
      <c r="P753" t="str">
        <f t="shared" si="67"/>
        <v>No</v>
      </c>
      <c r="Q753">
        <f t="shared" si="68"/>
        <v>1</v>
      </c>
      <c r="R753" t="str">
        <f t="shared" si="69"/>
        <v>On Time</v>
      </c>
      <c r="S753">
        <f t="shared" si="70"/>
        <v>2021</v>
      </c>
      <c r="T753">
        <f t="shared" si="71"/>
        <v>12</v>
      </c>
    </row>
    <row r="754" spans="1:20" x14ac:dyDescent="0.25">
      <c r="A754" t="s">
        <v>1056</v>
      </c>
      <c r="B754" t="s">
        <v>564</v>
      </c>
      <c r="C754" t="s">
        <v>457</v>
      </c>
      <c r="D754" s="1">
        <v>44304</v>
      </c>
      <c r="E754">
        <v>12</v>
      </c>
      <c r="F754">
        <v>5.82289578176968</v>
      </c>
      <c r="G754" s="1">
        <v>44316</v>
      </c>
      <c r="H754" s="1">
        <v>44313</v>
      </c>
      <c r="I754">
        <v>69.8747493812361</v>
      </c>
      <c r="J754">
        <f t="shared" si="66"/>
        <v>-3</v>
      </c>
      <c r="K754" t="str">
        <f>VLOOKUP(B754,Raw_Suppliers!$A$2:$G$101,2,FALSE)</f>
        <v>Ultra Ultra GmbH</v>
      </c>
      <c r="L754" t="str">
        <f>VLOOKUP(B754,Raw_Suppliers!$A$2:$G$101,3,FALSE)</f>
        <v>India</v>
      </c>
      <c r="M754" t="str">
        <f>VLOOKUP(B754,Raw_Suppliers!$A$2:$G$101,4,FALSE)</f>
        <v>Central</v>
      </c>
      <c r="N754" t="str">
        <f>VLOOKUP(B754,Raw_Suppliers!$A$2:$G$101,6,FALSE)</f>
        <v>ISO 14001</v>
      </c>
      <c r="O754">
        <f>VLOOKUP(B754,Raw_Suppliers!$A$2:$G$101,7,FALSE)</f>
        <v>1</v>
      </c>
      <c r="P754" t="str">
        <f t="shared" si="67"/>
        <v>Yes</v>
      </c>
      <c r="Q754">
        <f t="shared" si="68"/>
        <v>1</v>
      </c>
      <c r="R754" t="str">
        <f t="shared" si="69"/>
        <v>On Time</v>
      </c>
      <c r="S754">
        <f t="shared" si="70"/>
        <v>2021</v>
      </c>
      <c r="T754">
        <f t="shared" si="71"/>
        <v>4</v>
      </c>
    </row>
    <row r="755" spans="1:20" x14ac:dyDescent="0.25">
      <c r="A755" t="s">
        <v>1057</v>
      </c>
      <c r="B755" t="s">
        <v>58</v>
      </c>
      <c r="C755" t="s">
        <v>693</v>
      </c>
      <c r="D755" s="1">
        <v>45198</v>
      </c>
      <c r="E755">
        <v>13</v>
      </c>
      <c r="F755">
        <v>40.042082957772401</v>
      </c>
      <c r="G755" s="1">
        <v>45221</v>
      </c>
      <c r="H755" s="1">
        <v>45227</v>
      </c>
      <c r="I755">
        <v>520.54707845104099</v>
      </c>
      <c r="J755">
        <f t="shared" si="66"/>
        <v>6</v>
      </c>
      <c r="K755" t="str">
        <f>VLOOKUP(B755,Raw_Suppliers!$A$2:$G$101,2,FALSE)</f>
        <v>Quantum Nano Inc</v>
      </c>
      <c r="L755" t="str">
        <f>VLOOKUP(B755,Raw_Suppliers!$A$2:$G$101,3,FALSE)</f>
        <v>Brazil</v>
      </c>
      <c r="M755" t="str">
        <f>VLOOKUP(B755,Raw_Suppliers!$A$2:$G$101,4,FALSE)</f>
        <v>East</v>
      </c>
      <c r="N755" t="str">
        <f>VLOOKUP(B755,Raw_Suppliers!$A$2:$G$101,6,FALSE)</f>
        <v>ISO 9001</v>
      </c>
      <c r="O755">
        <f>VLOOKUP(B755,Raw_Suppliers!$A$2:$G$101,7,FALSE)</f>
        <v>1</v>
      </c>
      <c r="P755" t="str">
        <f t="shared" si="67"/>
        <v>Yes</v>
      </c>
      <c r="Q755">
        <f t="shared" si="68"/>
        <v>0</v>
      </c>
      <c r="R755" t="str">
        <f t="shared" si="69"/>
        <v>Late</v>
      </c>
      <c r="S755">
        <f t="shared" si="70"/>
        <v>2023</v>
      </c>
      <c r="T755">
        <f t="shared" si="71"/>
        <v>9</v>
      </c>
    </row>
    <row r="756" spans="1:20" x14ac:dyDescent="0.25">
      <c r="A756" t="s">
        <v>1058</v>
      </c>
      <c r="B756" t="s">
        <v>34</v>
      </c>
      <c r="C756" t="s">
        <v>262</v>
      </c>
      <c r="D756" s="1">
        <v>45224</v>
      </c>
      <c r="E756">
        <v>10</v>
      </c>
      <c r="F756">
        <v>51.395337861851502</v>
      </c>
      <c r="G756" s="1">
        <v>45240</v>
      </c>
      <c r="H756" s="1">
        <v>45244</v>
      </c>
      <c r="I756">
        <v>513.95337861851499</v>
      </c>
      <c r="J756">
        <f t="shared" si="66"/>
        <v>4</v>
      </c>
      <c r="K756" t="str">
        <f>VLOOKUP(B756,Raw_Suppliers!$A$2:$G$101,2,FALSE)</f>
        <v>Omega Alpha Corp</v>
      </c>
      <c r="L756" t="str">
        <f>VLOOKUP(B756,Raw_Suppliers!$A$2:$G$101,3,FALSE)</f>
        <v>UK</v>
      </c>
      <c r="M756" t="str">
        <f>VLOOKUP(B756,Raw_Suppliers!$A$2:$G$101,4,FALSE)</f>
        <v>West</v>
      </c>
      <c r="N756" t="str">
        <f>VLOOKUP(B756,Raw_Suppliers!$A$2:$G$101,6,FALSE)</f>
        <v>ISO 45001</v>
      </c>
      <c r="O756">
        <f>VLOOKUP(B756,Raw_Suppliers!$A$2:$G$101,7,FALSE)</f>
        <v>0</v>
      </c>
      <c r="P756" t="str">
        <f t="shared" si="67"/>
        <v>No</v>
      </c>
      <c r="Q756">
        <f t="shared" si="68"/>
        <v>0</v>
      </c>
      <c r="R756" t="str">
        <f t="shared" si="69"/>
        <v>Late</v>
      </c>
      <c r="S756">
        <f t="shared" si="70"/>
        <v>2023</v>
      </c>
      <c r="T756">
        <f t="shared" si="71"/>
        <v>10</v>
      </c>
    </row>
    <row r="757" spans="1:20" x14ac:dyDescent="0.25">
      <c r="A757" t="s">
        <v>1059</v>
      </c>
      <c r="B757" t="s">
        <v>493</v>
      </c>
      <c r="C757" t="s">
        <v>50</v>
      </c>
      <c r="D757" s="1">
        <v>44599</v>
      </c>
      <c r="E757">
        <v>9</v>
      </c>
      <c r="F757">
        <v>44.253100922449399</v>
      </c>
      <c r="G757" s="1">
        <v>44615</v>
      </c>
      <c r="H757" s="1">
        <v>44613</v>
      </c>
      <c r="I757">
        <v>398.27790830204498</v>
      </c>
      <c r="J757">
        <f t="shared" si="66"/>
        <v>-2</v>
      </c>
      <c r="K757" t="str">
        <f>VLOOKUP(B757,Raw_Suppliers!$A$2:$G$101,2,FALSE)</f>
        <v>Delta Vertex LLC</v>
      </c>
      <c r="L757" t="str">
        <f>VLOOKUP(B757,Raw_Suppliers!$A$2:$G$101,3,FALSE)</f>
        <v>China</v>
      </c>
      <c r="M757" t="str">
        <f>VLOOKUP(B757,Raw_Suppliers!$A$2:$G$101,4,FALSE)</f>
        <v>East</v>
      </c>
      <c r="N757" t="str">
        <f>VLOOKUP(B757,Raw_Suppliers!$A$2:$G$101,6,FALSE)</f>
        <v>None</v>
      </c>
      <c r="O757">
        <f>VLOOKUP(B757,Raw_Suppliers!$A$2:$G$101,7,FALSE)</f>
        <v>0</v>
      </c>
      <c r="P757" t="str">
        <f t="shared" si="67"/>
        <v>No</v>
      </c>
      <c r="Q757">
        <f t="shared" si="68"/>
        <v>1</v>
      </c>
      <c r="R757" t="str">
        <f t="shared" si="69"/>
        <v>On Time</v>
      </c>
      <c r="S757">
        <f t="shared" si="70"/>
        <v>2022</v>
      </c>
      <c r="T757">
        <f t="shared" si="71"/>
        <v>2</v>
      </c>
    </row>
    <row r="758" spans="1:20" x14ac:dyDescent="0.25">
      <c r="A758" t="s">
        <v>1060</v>
      </c>
      <c r="B758" t="s">
        <v>485</v>
      </c>
      <c r="C758" t="s">
        <v>128</v>
      </c>
      <c r="D758" s="1">
        <v>44448</v>
      </c>
      <c r="E758">
        <v>13</v>
      </c>
      <c r="F758">
        <v>26.685587550073599</v>
      </c>
      <c r="G758" s="1">
        <v>44462</v>
      </c>
      <c r="H758" s="1">
        <v>44462</v>
      </c>
      <c r="I758">
        <v>346.91263815095698</v>
      </c>
      <c r="J758">
        <f t="shared" si="66"/>
        <v>0</v>
      </c>
      <c r="K758" t="str">
        <f>VLOOKUP(B758,Raw_Suppliers!$A$2:$G$101,2,FALSE)</f>
        <v>Ultra Quantum Ltd</v>
      </c>
      <c r="L758" t="str">
        <f>VLOOKUP(B758,Raw_Suppliers!$A$2:$G$101,3,FALSE)</f>
        <v>Canada</v>
      </c>
      <c r="M758" t="str">
        <f>VLOOKUP(B758,Raw_Suppliers!$A$2:$G$101,4,FALSE)</f>
        <v>North</v>
      </c>
      <c r="N758" t="str">
        <f>VLOOKUP(B758,Raw_Suppliers!$A$2:$G$101,6,FALSE)</f>
        <v>ISO 14001</v>
      </c>
      <c r="O758">
        <f>VLOOKUP(B758,Raw_Suppliers!$A$2:$G$101,7,FALSE)</f>
        <v>0</v>
      </c>
      <c r="P758" t="str">
        <f t="shared" si="67"/>
        <v>No</v>
      </c>
      <c r="Q758">
        <f t="shared" si="68"/>
        <v>1</v>
      </c>
      <c r="R758" t="str">
        <f t="shared" si="69"/>
        <v>On Time</v>
      </c>
      <c r="S758">
        <f t="shared" si="70"/>
        <v>2021</v>
      </c>
      <c r="T758">
        <f t="shared" si="71"/>
        <v>9</v>
      </c>
    </row>
    <row r="759" spans="1:20" x14ac:dyDescent="0.25">
      <c r="A759" t="s">
        <v>1061</v>
      </c>
      <c r="B759" t="s">
        <v>240</v>
      </c>
      <c r="C759" t="s">
        <v>224</v>
      </c>
      <c r="D759" s="1">
        <v>44688</v>
      </c>
      <c r="E759">
        <v>12</v>
      </c>
      <c r="F759">
        <v>26.948130314756401</v>
      </c>
      <c r="G759" s="1">
        <v>44701</v>
      </c>
      <c r="H759" s="1">
        <v>44707</v>
      </c>
      <c r="I759">
        <v>323.37756377707598</v>
      </c>
      <c r="J759">
        <f t="shared" si="66"/>
        <v>6</v>
      </c>
      <c r="K759" t="str">
        <f>VLOOKUP(B759,Raw_Suppliers!$A$2:$G$101,2,FALSE)</f>
        <v>Apex Omega LLC</v>
      </c>
      <c r="L759" t="str">
        <f>VLOOKUP(B759,Raw_Suppliers!$A$2:$G$101,3,FALSE)</f>
        <v>UK</v>
      </c>
      <c r="M759" t="str">
        <f>VLOOKUP(B759,Raw_Suppliers!$A$2:$G$101,4,FALSE)</f>
        <v>South</v>
      </c>
      <c r="N759" t="str">
        <f>VLOOKUP(B759,Raw_Suppliers!$A$2:$G$101,6,FALSE)</f>
        <v>ISO 9001</v>
      </c>
      <c r="O759">
        <f>VLOOKUP(B759,Raw_Suppliers!$A$2:$G$101,7,FALSE)</f>
        <v>0</v>
      </c>
      <c r="P759" t="str">
        <f t="shared" si="67"/>
        <v>No</v>
      </c>
      <c r="Q759">
        <f t="shared" si="68"/>
        <v>0</v>
      </c>
      <c r="R759" t="str">
        <f t="shared" si="69"/>
        <v>Late</v>
      </c>
      <c r="S759">
        <f t="shared" si="70"/>
        <v>2022</v>
      </c>
      <c r="T759">
        <f t="shared" si="71"/>
        <v>5</v>
      </c>
    </row>
    <row r="760" spans="1:20" x14ac:dyDescent="0.25">
      <c r="A760" t="s">
        <v>1062</v>
      </c>
      <c r="B760" t="s">
        <v>207</v>
      </c>
      <c r="C760" t="s">
        <v>600</v>
      </c>
      <c r="D760" s="1">
        <v>45166</v>
      </c>
      <c r="E760">
        <v>10</v>
      </c>
      <c r="F760">
        <v>25.971177573496401</v>
      </c>
      <c r="G760" s="1">
        <v>45189</v>
      </c>
      <c r="H760" s="1">
        <v>45188</v>
      </c>
      <c r="I760">
        <v>259.71177573496402</v>
      </c>
      <c r="J760">
        <f t="shared" si="66"/>
        <v>-1</v>
      </c>
      <c r="K760" t="str">
        <f>VLOOKUP(B760,Raw_Suppliers!$A$2:$G$101,2,FALSE)</f>
        <v>Nova Alpha Ltd</v>
      </c>
      <c r="L760" t="str">
        <f>VLOOKUP(B760,Raw_Suppliers!$A$2:$G$101,3,FALSE)</f>
        <v>India</v>
      </c>
      <c r="M760" t="str">
        <f>VLOOKUP(B760,Raw_Suppliers!$A$2:$G$101,4,FALSE)</f>
        <v>East</v>
      </c>
      <c r="N760" t="str">
        <f>VLOOKUP(B760,Raw_Suppliers!$A$2:$G$101,6,FALSE)</f>
        <v>ISO 9001</v>
      </c>
      <c r="O760">
        <f>VLOOKUP(B760,Raw_Suppliers!$A$2:$G$101,7,FALSE)</f>
        <v>0</v>
      </c>
      <c r="P760" t="str">
        <f t="shared" si="67"/>
        <v>No</v>
      </c>
      <c r="Q760">
        <f t="shared" si="68"/>
        <v>1</v>
      </c>
      <c r="R760" t="str">
        <f t="shared" si="69"/>
        <v>On Time</v>
      </c>
      <c r="S760">
        <f t="shared" si="70"/>
        <v>2023</v>
      </c>
      <c r="T760">
        <f t="shared" si="71"/>
        <v>8</v>
      </c>
    </row>
    <row r="761" spans="1:20" x14ac:dyDescent="0.25">
      <c r="A761" t="s">
        <v>1063</v>
      </c>
      <c r="B761" t="s">
        <v>16</v>
      </c>
      <c r="C761" t="s">
        <v>457</v>
      </c>
      <c r="D761" s="1">
        <v>44664</v>
      </c>
      <c r="E761">
        <v>12</v>
      </c>
      <c r="F761">
        <v>5.69269356713425</v>
      </c>
      <c r="G761" s="1">
        <v>44679</v>
      </c>
      <c r="H761" s="1">
        <v>44683</v>
      </c>
      <c r="I761">
        <v>68.312322805611004</v>
      </c>
      <c r="J761">
        <f t="shared" si="66"/>
        <v>4</v>
      </c>
      <c r="K761" t="str">
        <f>VLOOKUP(B761,Raw_Suppliers!$A$2:$G$101,2,FALSE)</f>
        <v>Beta Pioneer Inc</v>
      </c>
      <c r="L761" t="str">
        <f>VLOOKUP(B761,Raw_Suppliers!$A$2:$G$101,3,FALSE)</f>
        <v>USA</v>
      </c>
      <c r="M761" t="str">
        <f>VLOOKUP(B761,Raw_Suppliers!$A$2:$G$101,4,FALSE)</f>
        <v>Central</v>
      </c>
      <c r="N761" t="str">
        <f>VLOOKUP(B761,Raw_Suppliers!$A$2:$G$101,6,FALSE)</f>
        <v>ISO 45001</v>
      </c>
      <c r="O761">
        <f>VLOOKUP(B761,Raw_Suppliers!$A$2:$G$101,7,FALSE)</f>
        <v>1</v>
      </c>
      <c r="P761" t="str">
        <f t="shared" si="67"/>
        <v>Yes</v>
      </c>
      <c r="Q761">
        <f t="shared" si="68"/>
        <v>0</v>
      </c>
      <c r="R761" t="str">
        <f t="shared" si="69"/>
        <v>Late</v>
      </c>
      <c r="S761">
        <f t="shared" si="70"/>
        <v>2022</v>
      </c>
      <c r="T761">
        <f t="shared" si="71"/>
        <v>4</v>
      </c>
    </row>
    <row r="762" spans="1:20" x14ac:dyDescent="0.25">
      <c r="A762" t="s">
        <v>1064</v>
      </c>
      <c r="B762" t="s">
        <v>140</v>
      </c>
      <c r="C762" t="s">
        <v>792</v>
      </c>
      <c r="D762" s="1">
        <v>44715</v>
      </c>
      <c r="E762">
        <v>9</v>
      </c>
      <c r="F762">
        <v>8.6927396162637791</v>
      </c>
      <c r="G762" s="1">
        <v>44739</v>
      </c>
      <c r="H762" s="1">
        <v>44737</v>
      </c>
      <c r="I762">
        <v>78.234656546373998</v>
      </c>
      <c r="J762">
        <f t="shared" si="66"/>
        <v>-2</v>
      </c>
      <c r="K762" t="str">
        <f>VLOOKUP(B762,Raw_Suppliers!$A$2:$G$101,2,FALSE)</f>
        <v>Gamma Quantum Inc</v>
      </c>
      <c r="L762" t="str">
        <f>VLOOKUP(B762,Raw_Suppliers!$A$2:$G$101,3,FALSE)</f>
        <v>Germany</v>
      </c>
      <c r="M762" t="str">
        <f>VLOOKUP(B762,Raw_Suppliers!$A$2:$G$101,4,FALSE)</f>
        <v>North</v>
      </c>
      <c r="N762" t="str">
        <f>VLOOKUP(B762,Raw_Suppliers!$A$2:$G$101,6,FALSE)</f>
        <v>None</v>
      </c>
      <c r="O762">
        <f>VLOOKUP(B762,Raw_Suppliers!$A$2:$G$101,7,FALSE)</f>
        <v>1</v>
      </c>
      <c r="P762" t="str">
        <f t="shared" si="67"/>
        <v>Yes</v>
      </c>
      <c r="Q762">
        <f t="shared" si="68"/>
        <v>1</v>
      </c>
      <c r="R762" t="str">
        <f t="shared" si="69"/>
        <v>On Time</v>
      </c>
      <c r="S762">
        <f t="shared" si="70"/>
        <v>2022</v>
      </c>
      <c r="T762">
        <f t="shared" si="71"/>
        <v>6</v>
      </c>
    </row>
    <row r="763" spans="1:20" x14ac:dyDescent="0.25">
      <c r="A763" t="s">
        <v>1065</v>
      </c>
      <c r="B763" t="s">
        <v>55</v>
      </c>
      <c r="C763" t="s">
        <v>102</v>
      </c>
      <c r="D763" s="1">
        <v>44858</v>
      </c>
      <c r="E763">
        <v>6</v>
      </c>
      <c r="F763">
        <v>48.075156278795703</v>
      </c>
      <c r="G763" s="1">
        <v>44878</v>
      </c>
      <c r="H763" s="1">
        <v>44879</v>
      </c>
      <c r="I763">
        <v>288.45093767277399</v>
      </c>
      <c r="J763">
        <f t="shared" si="66"/>
        <v>1</v>
      </c>
      <c r="K763" t="str">
        <f>VLOOKUP(B763,Raw_Suppliers!$A$2:$G$101,2,FALSE)</f>
        <v>Prime Vertex Inc</v>
      </c>
      <c r="L763" t="str">
        <f>VLOOKUP(B763,Raw_Suppliers!$A$2:$G$101,3,FALSE)</f>
        <v>Germany</v>
      </c>
      <c r="M763" t="str">
        <f>VLOOKUP(B763,Raw_Suppliers!$A$2:$G$101,4,FALSE)</f>
        <v>South</v>
      </c>
      <c r="N763" t="str">
        <f>VLOOKUP(B763,Raw_Suppliers!$A$2:$G$101,6,FALSE)</f>
        <v>ISO 14001</v>
      </c>
      <c r="O763">
        <f>VLOOKUP(B763,Raw_Suppliers!$A$2:$G$101,7,FALSE)</f>
        <v>0</v>
      </c>
      <c r="P763" t="str">
        <f t="shared" si="67"/>
        <v>No</v>
      </c>
      <c r="Q763">
        <f t="shared" si="68"/>
        <v>0</v>
      </c>
      <c r="R763" t="str">
        <f t="shared" si="69"/>
        <v>Late</v>
      </c>
      <c r="S763">
        <f t="shared" si="70"/>
        <v>2022</v>
      </c>
      <c r="T763">
        <f t="shared" si="71"/>
        <v>10</v>
      </c>
    </row>
    <row r="764" spans="1:20" x14ac:dyDescent="0.25">
      <c r="A764" t="s">
        <v>1066</v>
      </c>
      <c r="B764" t="s">
        <v>70</v>
      </c>
      <c r="C764" t="s">
        <v>317</v>
      </c>
      <c r="D764" s="1">
        <v>45293</v>
      </c>
      <c r="E764">
        <v>7</v>
      </c>
      <c r="F764">
        <v>13.7419545181071</v>
      </c>
      <c r="G764" s="1">
        <v>45314</v>
      </c>
      <c r="H764" s="1">
        <v>45316</v>
      </c>
      <c r="I764">
        <v>96.193681626749793</v>
      </c>
      <c r="J764">
        <f t="shared" si="66"/>
        <v>2</v>
      </c>
      <c r="K764" t="str">
        <f>VLOOKUP(B764,Raw_Suppliers!$A$2:$G$101,2,FALSE)</f>
        <v>Prime Nano Ltd</v>
      </c>
      <c r="L764" t="str">
        <f>VLOOKUP(B764,Raw_Suppliers!$A$2:$G$101,3,FALSE)</f>
        <v>USA</v>
      </c>
      <c r="M764" t="str">
        <f>VLOOKUP(B764,Raw_Suppliers!$A$2:$G$101,4,FALSE)</f>
        <v>Central</v>
      </c>
      <c r="N764" t="str">
        <f>VLOOKUP(B764,Raw_Suppliers!$A$2:$G$101,6,FALSE)</f>
        <v>ISO 45001</v>
      </c>
      <c r="O764">
        <f>VLOOKUP(B764,Raw_Suppliers!$A$2:$G$101,7,FALSE)</f>
        <v>0</v>
      </c>
      <c r="P764" t="str">
        <f t="shared" si="67"/>
        <v>No</v>
      </c>
      <c r="Q764">
        <f t="shared" si="68"/>
        <v>0</v>
      </c>
      <c r="R764" t="str">
        <f t="shared" si="69"/>
        <v>Late</v>
      </c>
      <c r="S764">
        <f t="shared" si="70"/>
        <v>2024</v>
      </c>
      <c r="T764">
        <f t="shared" si="71"/>
        <v>1</v>
      </c>
    </row>
    <row r="765" spans="1:20" x14ac:dyDescent="0.25">
      <c r="A765" t="s">
        <v>1067</v>
      </c>
      <c r="B765" t="s">
        <v>350</v>
      </c>
      <c r="C765" t="s">
        <v>144</v>
      </c>
      <c r="D765" s="1">
        <v>45356</v>
      </c>
      <c r="E765">
        <v>13</v>
      </c>
      <c r="F765">
        <v>21.153242193097299</v>
      </c>
      <c r="G765" s="1">
        <v>45378</v>
      </c>
      <c r="H765" s="1">
        <v>45375</v>
      </c>
      <c r="I765">
        <v>274.992148510265</v>
      </c>
      <c r="J765">
        <f t="shared" si="66"/>
        <v>-3</v>
      </c>
      <c r="K765" t="str">
        <f>VLOOKUP(B765,Raw_Suppliers!$A$2:$G$101,2,FALSE)</f>
        <v>Prime Gamma GmbH</v>
      </c>
      <c r="L765" t="str">
        <f>VLOOKUP(B765,Raw_Suppliers!$A$2:$G$101,3,FALSE)</f>
        <v>Denmark</v>
      </c>
      <c r="M765" t="str">
        <f>VLOOKUP(B765,Raw_Suppliers!$A$2:$G$101,4,FALSE)</f>
        <v>West</v>
      </c>
      <c r="N765" t="str">
        <f>VLOOKUP(B765,Raw_Suppliers!$A$2:$G$101,6,FALSE)</f>
        <v>ISO 9001</v>
      </c>
      <c r="O765">
        <f>VLOOKUP(B765,Raw_Suppliers!$A$2:$G$101,7,FALSE)</f>
        <v>0</v>
      </c>
      <c r="P765" t="str">
        <f t="shared" si="67"/>
        <v>No</v>
      </c>
      <c r="Q765">
        <f t="shared" si="68"/>
        <v>1</v>
      </c>
      <c r="R765" t="str">
        <f t="shared" si="69"/>
        <v>On Time</v>
      </c>
      <c r="S765">
        <f t="shared" si="70"/>
        <v>2024</v>
      </c>
      <c r="T765">
        <f t="shared" si="71"/>
        <v>3</v>
      </c>
    </row>
    <row r="766" spans="1:20" x14ac:dyDescent="0.25">
      <c r="A766" t="s">
        <v>1068</v>
      </c>
      <c r="B766" t="s">
        <v>37</v>
      </c>
      <c r="C766" t="s">
        <v>228</v>
      </c>
      <c r="D766" s="1">
        <v>45095</v>
      </c>
      <c r="E766">
        <v>10</v>
      </c>
      <c r="F766">
        <v>60.839266056331503</v>
      </c>
      <c r="G766" s="1">
        <v>45114</v>
      </c>
      <c r="H766" s="1">
        <v>45119</v>
      </c>
      <c r="I766">
        <v>608.39266056331496</v>
      </c>
      <c r="J766">
        <f t="shared" si="66"/>
        <v>5</v>
      </c>
      <c r="K766" t="str">
        <f>VLOOKUP(B766,Raw_Suppliers!$A$2:$G$101,2,FALSE)</f>
        <v>Apex Apex Ltd</v>
      </c>
      <c r="L766" t="str">
        <f>VLOOKUP(B766,Raw_Suppliers!$A$2:$G$101,3,FALSE)</f>
        <v>Canada</v>
      </c>
      <c r="M766" t="str">
        <f>VLOOKUP(B766,Raw_Suppliers!$A$2:$G$101,4,FALSE)</f>
        <v>East</v>
      </c>
      <c r="N766" t="str">
        <f>VLOOKUP(B766,Raw_Suppliers!$A$2:$G$101,6,FALSE)</f>
        <v>ISO 9001</v>
      </c>
      <c r="O766">
        <f>VLOOKUP(B766,Raw_Suppliers!$A$2:$G$101,7,FALSE)</f>
        <v>1</v>
      </c>
      <c r="P766" t="str">
        <f t="shared" si="67"/>
        <v>Yes</v>
      </c>
      <c r="Q766">
        <f t="shared" si="68"/>
        <v>0</v>
      </c>
      <c r="R766" t="str">
        <f t="shared" si="69"/>
        <v>Late</v>
      </c>
      <c r="S766">
        <f t="shared" si="70"/>
        <v>2023</v>
      </c>
      <c r="T766">
        <f t="shared" si="71"/>
        <v>6</v>
      </c>
    </row>
    <row r="767" spans="1:20" x14ac:dyDescent="0.25">
      <c r="A767" t="s">
        <v>1069</v>
      </c>
      <c r="B767" t="s">
        <v>399</v>
      </c>
      <c r="C767" t="s">
        <v>430</v>
      </c>
      <c r="D767" s="1">
        <v>45360</v>
      </c>
      <c r="E767">
        <v>6</v>
      </c>
      <c r="F767">
        <v>3.7063312342090802</v>
      </c>
      <c r="G767" s="1">
        <v>45371</v>
      </c>
      <c r="H767" s="1">
        <v>45374</v>
      </c>
      <c r="I767">
        <v>22.237987405254501</v>
      </c>
      <c r="J767">
        <f t="shared" si="66"/>
        <v>3</v>
      </c>
      <c r="K767" t="str">
        <f>VLOOKUP(B767,Raw_Suppliers!$A$2:$G$101,2,FALSE)</f>
        <v>Omega Nano Corp</v>
      </c>
      <c r="L767" t="str">
        <f>VLOOKUP(B767,Raw_Suppliers!$A$2:$G$101,3,FALSE)</f>
        <v>Brazil</v>
      </c>
      <c r="M767" t="str">
        <f>VLOOKUP(B767,Raw_Suppliers!$A$2:$G$101,4,FALSE)</f>
        <v>Central</v>
      </c>
      <c r="N767" t="str">
        <f>VLOOKUP(B767,Raw_Suppliers!$A$2:$G$101,6,FALSE)</f>
        <v>ISO 14001</v>
      </c>
      <c r="O767">
        <f>VLOOKUP(B767,Raw_Suppliers!$A$2:$G$101,7,FALSE)</f>
        <v>0</v>
      </c>
      <c r="P767" t="str">
        <f t="shared" si="67"/>
        <v>No</v>
      </c>
      <c r="Q767">
        <f t="shared" si="68"/>
        <v>0</v>
      </c>
      <c r="R767" t="str">
        <f t="shared" si="69"/>
        <v>Late</v>
      </c>
      <c r="S767">
        <f t="shared" si="70"/>
        <v>2024</v>
      </c>
      <c r="T767">
        <f t="shared" si="71"/>
        <v>3</v>
      </c>
    </row>
    <row r="768" spans="1:20" x14ac:dyDescent="0.25">
      <c r="A768" t="s">
        <v>1070</v>
      </c>
      <c r="B768" t="s">
        <v>16</v>
      </c>
      <c r="C768" t="s">
        <v>180</v>
      </c>
      <c r="D768" s="1">
        <v>44706</v>
      </c>
      <c r="E768">
        <v>16</v>
      </c>
      <c r="F768">
        <v>36.468388431284701</v>
      </c>
      <c r="G768" s="1">
        <v>44727</v>
      </c>
      <c r="H768" s="1">
        <v>44732</v>
      </c>
      <c r="I768">
        <v>583.49421490055602</v>
      </c>
      <c r="J768">
        <f t="shared" si="66"/>
        <v>5</v>
      </c>
      <c r="K768" t="str">
        <f>VLOOKUP(B768,Raw_Suppliers!$A$2:$G$101,2,FALSE)</f>
        <v>Beta Pioneer Inc</v>
      </c>
      <c r="L768" t="str">
        <f>VLOOKUP(B768,Raw_Suppliers!$A$2:$G$101,3,FALSE)</f>
        <v>USA</v>
      </c>
      <c r="M768" t="str">
        <f>VLOOKUP(B768,Raw_Suppliers!$A$2:$G$101,4,FALSE)</f>
        <v>Central</v>
      </c>
      <c r="N768" t="str">
        <f>VLOOKUP(B768,Raw_Suppliers!$A$2:$G$101,6,FALSE)</f>
        <v>ISO 45001</v>
      </c>
      <c r="O768">
        <f>VLOOKUP(B768,Raw_Suppliers!$A$2:$G$101,7,FALSE)</f>
        <v>1</v>
      </c>
      <c r="P768" t="str">
        <f t="shared" si="67"/>
        <v>Yes</v>
      </c>
      <c r="Q768">
        <f t="shared" si="68"/>
        <v>0</v>
      </c>
      <c r="R768" t="str">
        <f t="shared" si="69"/>
        <v>Late</v>
      </c>
      <c r="S768">
        <f t="shared" si="70"/>
        <v>2022</v>
      </c>
      <c r="T768">
        <f t="shared" si="71"/>
        <v>5</v>
      </c>
    </row>
    <row r="769" spans="1:20" x14ac:dyDescent="0.25">
      <c r="A769" t="s">
        <v>1071</v>
      </c>
      <c r="B769" t="s">
        <v>25</v>
      </c>
      <c r="C769" t="s">
        <v>543</v>
      </c>
      <c r="D769" s="1">
        <v>44565</v>
      </c>
      <c r="E769">
        <v>14</v>
      </c>
      <c r="F769">
        <v>18.214069049965399</v>
      </c>
      <c r="G769" s="1">
        <v>44585</v>
      </c>
      <c r="H769" s="1">
        <v>44588</v>
      </c>
      <c r="I769">
        <v>254.99696669951601</v>
      </c>
      <c r="J769">
        <f t="shared" si="66"/>
        <v>3</v>
      </c>
      <c r="K769" t="str">
        <f>VLOOKUP(B769,Raw_Suppliers!$A$2:$G$101,2,FALSE)</f>
        <v>Quantum Fusion Corp</v>
      </c>
      <c r="L769" t="str">
        <f>VLOOKUP(B769,Raw_Suppliers!$A$2:$G$101,3,FALSE)</f>
        <v>UK</v>
      </c>
      <c r="M769" t="str">
        <f>VLOOKUP(B769,Raw_Suppliers!$A$2:$G$101,4,FALSE)</f>
        <v>North</v>
      </c>
      <c r="N769" t="str">
        <f>VLOOKUP(B769,Raw_Suppliers!$A$2:$G$101,6,FALSE)</f>
        <v>ISO 9001</v>
      </c>
      <c r="O769">
        <f>VLOOKUP(B769,Raw_Suppliers!$A$2:$G$101,7,FALSE)</f>
        <v>0</v>
      </c>
      <c r="P769" t="str">
        <f t="shared" si="67"/>
        <v>No</v>
      </c>
      <c r="Q769">
        <f t="shared" si="68"/>
        <v>0</v>
      </c>
      <c r="R769" t="str">
        <f t="shared" si="69"/>
        <v>Late</v>
      </c>
      <c r="S769">
        <f t="shared" si="70"/>
        <v>2022</v>
      </c>
      <c r="T769">
        <f t="shared" si="71"/>
        <v>1</v>
      </c>
    </row>
    <row r="770" spans="1:20" x14ac:dyDescent="0.25">
      <c r="A770" t="s">
        <v>1072</v>
      </c>
      <c r="B770" t="s">
        <v>58</v>
      </c>
      <c r="C770" t="s">
        <v>133</v>
      </c>
      <c r="D770" s="1">
        <v>44412</v>
      </c>
      <c r="E770">
        <v>7</v>
      </c>
      <c r="F770">
        <v>53.407786199612701</v>
      </c>
      <c r="G770" s="1">
        <v>44432</v>
      </c>
      <c r="H770" s="1">
        <v>44432</v>
      </c>
      <c r="I770">
        <v>373.85450339728902</v>
      </c>
      <c r="J770">
        <f t="shared" si="66"/>
        <v>0</v>
      </c>
      <c r="K770" t="str">
        <f>VLOOKUP(B770,Raw_Suppliers!$A$2:$G$101,2,FALSE)</f>
        <v>Quantum Nano Inc</v>
      </c>
      <c r="L770" t="str">
        <f>VLOOKUP(B770,Raw_Suppliers!$A$2:$G$101,3,FALSE)</f>
        <v>Brazil</v>
      </c>
      <c r="M770" t="str">
        <f>VLOOKUP(B770,Raw_Suppliers!$A$2:$G$101,4,FALSE)</f>
        <v>East</v>
      </c>
      <c r="N770" t="str">
        <f>VLOOKUP(B770,Raw_Suppliers!$A$2:$G$101,6,FALSE)</f>
        <v>ISO 9001</v>
      </c>
      <c r="O770">
        <f>VLOOKUP(B770,Raw_Suppliers!$A$2:$G$101,7,FALSE)</f>
        <v>1</v>
      </c>
      <c r="P770" t="str">
        <f t="shared" si="67"/>
        <v>Yes</v>
      </c>
      <c r="Q770">
        <f t="shared" si="68"/>
        <v>1</v>
      </c>
      <c r="R770" t="str">
        <f t="shared" si="69"/>
        <v>On Time</v>
      </c>
      <c r="S770">
        <f t="shared" si="70"/>
        <v>2021</v>
      </c>
      <c r="T770">
        <f t="shared" si="71"/>
        <v>8</v>
      </c>
    </row>
    <row r="771" spans="1:20" x14ac:dyDescent="0.25">
      <c r="A771" t="s">
        <v>1073</v>
      </c>
      <c r="B771" t="s">
        <v>76</v>
      </c>
      <c r="C771" t="s">
        <v>915</v>
      </c>
      <c r="D771" s="1">
        <v>45147</v>
      </c>
      <c r="E771">
        <v>7</v>
      </c>
      <c r="F771">
        <v>23.0905150069513</v>
      </c>
      <c r="G771" s="1">
        <v>45157</v>
      </c>
      <c r="H771" s="1">
        <v>45157</v>
      </c>
      <c r="I771">
        <v>161.63360504865901</v>
      </c>
      <c r="J771">
        <f t="shared" ref="J771:J834" si="72">H771-G771</f>
        <v>0</v>
      </c>
      <c r="K771" t="str">
        <f>VLOOKUP(B771,Raw_Suppliers!$A$2:$G$101,2,FALSE)</f>
        <v>Alpha Beta Ltd</v>
      </c>
      <c r="L771" t="str">
        <f>VLOOKUP(B771,Raw_Suppliers!$A$2:$G$101,3,FALSE)</f>
        <v>UK</v>
      </c>
      <c r="M771" t="str">
        <f>VLOOKUP(B771,Raw_Suppliers!$A$2:$G$101,4,FALSE)</f>
        <v>South</v>
      </c>
      <c r="N771" t="str">
        <f>VLOOKUP(B771,Raw_Suppliers!$A$2:$G$101,6,FALSE)</f>
        <v>None</v>
      </c>
      <c r="O771">
        <f>VLOOKUP(B771,Raw_Suppliers!$A$2:$G$101,7,FALSE)</f>
        <v>1</v>
      </c>
      <c r="P771" t="str">
        <f t="shared" ref="P771:P834" si="73">IF(O771=1,"Yes","No")</f>
        <v>Yes</v>
      </c>
      <c r="Q771">
        <f t="shared" ref="Q771:Q834" si="74">IF(J771&lt;=0,1,0)</f>
        <v>1</v>
      </c>
      <c r="R771" t="str">
        <f t="shared" ref="R771:R834" si="75">IF(Q771=1,"On Time","Late")</f>
        <v>On Time</v>
      </c>
      <c r="S771">
        <f t="shared" ref="S771:S834" si="76">YEAR(D771)</f>
        <v>2023</v>
      </c>
      <c r="T771">
        <f t="shared" ref="T771:T834" si="77">MONTH(D771)</f>
        <v>8</v>
      </c>
    </row>
    <row r="772" spans="1:20" x14ac:dyDescent="0.25">
      <c r="A772" t="s">
        <v>1074</v>
      </c>
      <c r="B772" t="s">
        <v>382</v>
      </c>
      <c r="C772" t="s">
        <v>257</v>
      </c>
      <c r="D772" s="1">
        <v>45270</v>
      </c>
      <c r="E772">
        <v>10</v>
      </c>
      <c r="F772">
        <v>28.0218138757077</v>
      </c>
      <c r="G772" s="1">
        <v>45287</v>
      </c>
      <c r="H772" s="1">
        <v>45286</v>
      </c>
      <c r="I772">
        <v>280.21813875707699</v>
      </c>
      <c r="J772">
        <f t="shared" si="72"/>
        <v>-1</v>
      </c>
      <c r="K772" t="str">
        <f>VLOOKUP(B772,Raw_Suppliers!$A$2:$G$101,2,FALSE)</f>
        <v>Omega Gamma Ltd</v>
      </c>
      <c r="L772" t="str">
        <f>VLOOKUP(B772,Raw_Suppliers!$A$2:$G$101,3,FALSE)</f>
        <v>USA</v>
      </c>
      <c r="M772" t="str">
        <f>VLOOKUP(B772,Raw_Suppliers!$A$2:$G$101,4,FALSE)</f>
        <v>Central</v>
      </c>
      <c r="N772" t="str">
        <f>VLOOKUP(B772,Raw_Suppliers!$A$2:$G$101,6,FALSE)</f>
        <v>None</v>
      </c>
      <c r="O772">
        <f>VLOOKUP(B772,Raw_Suppliers!$A$2:$G$101,7,FALSE)</f>
        <v>0</v>
      </c>
      <c r="P772" t="str">
        <f t="shared" si="73"/>
        <v>No</v>
      </c>
      <c r="Q772">
        <f t="shared" si="74"/>
        <v>1</v>
      </c>
      <c r="R772" t="str">
        <f t="shared" si="75"/>
        <v>On Time</v>
      </c>
      <c r="S772">
        <f t="shared" si="76"/>
        <v>2023</v>
      </c>
      <c r="T772">
        <f t="shared" si="77"/>
        <v>12</v>
      </c>
    </row>
    <row r="773" spans="1:20" x14ac:dyDescent="0.25">
      <c r="A773" t="s">
        <v>1075</v>
      </c>
      <c r="B773" t="s">
        <v>189</v>
      </c>
      <c r="C773" t="s">
        <v>668</v>
      </c>
      <c r="D773" s="1">
        <v>45069</v>
      </c>
      <c r="E773">
        <v>6</v>
      </c>
      <c r="F773">
        <v>49.958161562510099</v>
      </c>
      <c r="G773" s="1">
        <v>45088</v>
      </c>
      <c r="H773" s="1">
        <v>45094</v>
      </c>
      <c r="I773">
        <v>299.74896937506003</v>
      </c>
      <c r="J773">
        <f t="shared" si="72"/>
        <v>6</v>
      </c>
      <c r="K773" t="str">
        <f>VLOOKUP(B773,Raw_Suppliers!$A$2:$G$101,2,FALSE)</f>
        <v>Apex Pioneer Ltd</v>
      </c>
      <c r="L773" t="str">
        <f>VLOOKUP(B773,Raw_Suppliers!$A$2:$G$101,3,FALSE)</f>
        <v>Canada</v>
      </c>
      <c r="M773" t="str">
        <f>VLOOKUP(B773,Raw_Suppliers!$A$2:$G$101,4,FALSE)</f>
        <v>South</v>
      </c>
      <c r="N773" t="str">
        <f>VLOOKUP(B773,Raw_Suppliers!$A$2:$G$101,6,FALSE)</f>
        <v>ISO 14001</v>
      </c>
      <c r="O773">
        <f>VLOOKUP(B773,Raw_Suppliers!$A$2:$G$101,7,FALSE)</f>
        <v>1</v>
      </c>
      <c r="P773" t="str">
        <f t="shared" si="73"/>
        <v>Yes</v>
      </c>
      <c r="Q773">
        <f t="shared" si="74"/>
        <v>0</v>
      </c>
      <c r="R773" t="str">
        <f t="shared" si="75"/>
        <v>Late</v>
      </c>
      <c r="S773">
        <f t="shared" si="76"/>
        <v>2023</v>
      </c>
      <c r="T773">
        <f t="shared" si="77"/>
        <v>5</v>
      </c>
    </row>
    <row r="774" spans="1:20" x14ac:dyDescent="0.25">
      <c r="A774" t="s">
        <v>1076</v>
      </c>
      <c r="B774" t="s">
        <v>472</v>
      </c>
      <c r="C774" t="s">
        <v>391</v>
      </c>
      <c r="D774" s="1">
        <v>44651</v>
      </c>
      <c r="E774">
        <v>7</v>
      </c>
      <c r="F774">
        <v>25.3715917144469</v>
      </c>
      <c r="G774" s="1">
        <v>44664</v>
      </c>
      <c r="H774" s="1">
        <v>44661</v>
      </c>
      <c r="I774">
        <v>177.60114200112801</v>
      </c>
      <c r="J774">
        <f t="shared" si="72"/>
        <v>-3</v>
      </c>
      <c r="K774" t="str">
        <f>VLOOKUP(B774,Raw_Suppliers!$A$2:$G$101,2,FALSE)</f>
        <v>Pioneer Alpha Corp</v>
      </c>
      <c r="L774" t="str">
        <f>VLOOKUP(B774,Raw_Suppliers!$A$2:$G$101,3,FALSE)</f>
        <v>Canada</v>
      </c>
      <c r="M774" t="str">
        <f>VLOOKUP(B774,Raw_Suppliers!$A$2:$G$101,4,FALSE)</f>
        <v>North</v>
      </c>
      <c r="N774" t="str">
        <f>VLOOKUP(B774,Raw_Suppliers!$A$2:$G$101,6,FALSE)</f>
        <v>None</v>
      </c>
      <c r="O774">
        <f>VLOOKUP(B774,Raw_Suppliers!$A$2:$G$101,7,FALSE)</f>
        <v>1</v>
      </c>
      <c r="P774" t="str">
        <f t="shared" si="73"/>
        <v>Yes</v>
      </c>
      <c r="Q774">
        <f t="shared" si="74"/>
        <v>1</v>
      </c>
      <c r="R774" t="str">
        <f t="shared" si="75"/>
        <v>On Time</v>
      </c>
      <c r="S774">
        <f t="shared" si="76"/>
        <v>2022</v>
      </c>
      <c r="T774">
        <f t="shared" si="77"/>
        <v>3</v>
      </c>
    </row>
    <row r="775" spans="1:20" x14ac:dyDescent="0.25">
      <c r="A775" t="s">
        <v>1077</v>
      </c>
      <c r="B775" t="s">
        <v>442</v>
      </c>
      <c r="C775" t="s">
        <v>230</v>
      </c>
      <c r="D775" s="1">
        <v>44957</v>
      </c>
      <c r="E775">
        <v>6</v>
      </c>
      <c r="F775">
        <v>45.250154427905898</v>
      </c>
      <c r="G775" s="1">
        <v>44967</v>
      </c>
      <c r="H775" s="1">
        <v>44972</v>
      </c>
      <c r="I775">
        <v>271.50092656743499</v>
      </c>
      <c r="J775">
        <f t="shared" si="72"/>
        <v>5</v>
      </c>
      <c r="K775" t="str">
        <f>VLOOKUP(B775,Raw_Suppliers!$A$2:$G$101,2,FALSE)</f>
        <v>Vertex Delta LLC</v>
      </c>
      <c r="L775" t="str">
        <f>VLOOKUP(B775,Raw_Suppliers!$A$2:$G$101,3,FALSE)</f>
        <v>Canada</v>
      </c>
      <c r="M775" t="str">
        <f>VLOOKUP(B775,Raw_Suppliers!$A$2:$G$101,4,FALSE)</f>
        <v>East</v>
      </c>
      <c r="N775" t="str">
        <f>VLOOKUP(B775,Raw_Suppliers!$A$2:$G$101,6,FALSE)</f>
        <v>ISO 14001</v>
      </c>
      <c r="O775">
        <f>VLOOKUP(B775,Raw_Suppliers!$A$2:$G$101,7,FALSE)</f>
        <v>1</v>
      </c>
      <c r="P775" t="str">
        <f t="shared" si="73"/>
        <v>Yes</v>
      </c>
      <c r="Q775">
        <f t="shared" si="74"/>
        <v>0</v>
      </c>
      <c r="R775" t="str">
        <f t="shared" si="75"/>
        <v>Late</v>
      </c>
      <c r="S775">
        <f t="shared" si="76"/>
        <v>2023</v>
      </c>
      <c r="T775">
        <f t="shared" si="77"/>
        <v>1</v>
      </c>
    </row>
    <row r="776" spans="1:20" x14ac:dyDescent="0.25">
      <c r="A776" t="s">
        <v>1078</v>
      </c>
      <c r="B776" t="s">
        <v>427</v>
      </c>
      <c r="C776" t="s">
        <v>610</v>
      </c>
      <c r="D776" s="1">
        <v>44924</v>
      </c>
      <c r="E776">
        <v>11</v>
      </c>
      <c r="F776">
        <v>59.999979622827901</v>
      </c>
      <c r="G776" s="1">
        <v>44938</v>
      </c>
      <c r="H776" s="1">
        <v>44939</v>
      </c>
      <c r="I776">
        <v>659.99977585110696</v>
      </c>
      <c r="J776">
        <f t="shared" si="72"/>
        <v>1</v>
      </c>
      <c r="K776" t="str">
        <f>VLOOKUP(B776,Raw_Suppliers!$A$2:$G$101,2,FALSE)</f>
        <v>Nova Alpha Corp</v>
      </c>
      <c r="L776" t="str">
        <f>VLOOKUP(B776,Raw_Suppliers!$A$2:$G$101,3,FALSE)</f>
        <v>Denmark</v>
      </c>
      <c r="M776" t="str">
        <f>VLOOKUP(B776,Raw_Suppliers!$A$2:$G$101,4,FALSE)</f>
        <v>Central</v>
      </c>
      <c r="N776" t="str">
        <f>VLOOKUP(B776,Raw_Suppliers!$A$2:$G$101,6,FALSE)</f>
        <v>None</v>
      </c>
      <c r="O776">
        <f>VLOOKUP(B776,Raw_Suppliers!$A$2:$G$101,7,FALSE)</f>
        <v>0</v>
      </c>
      <c r="P776" t="str">
        <f t="shared" si="73"/>
        <v>No</v>
      </c>
      <c r="Q776">
        <f t="shared" si="74"/>
        <v>0</v>
      </c>
      <c r="R776" t="str">
        <f t="shared" si="75"/>
        <v>Late</v>
      </c>
      <c r="S776">
        <f t="shared" si="76"/>
        <v>2022</v>
      </c>
      <c r="T776">
        <f t="shared" si="77"/>
        <v>12</v>
      </c>
    </row>
    <row r="777" spans="1:20" x14ac:dyDescent="0.25">
      <c r="A777" t="s">
        <v>1079</v>
      </c>
      <c r="B777" t="s">
        <v>326</v>
      </c>
      <c r="C777" t="s">
        <v>302</v>
      </c>
      <c r="D777" s="1">
        <v>45052</v>
      </c>
      <c r="E777">
        <v>9</v>
      </c>
      <c r="F777">
        <v>14.581556651135299</v>
      </c>
      <c r="G777" s="1">
        <v>45067</v>
      </c>
      <c r="H777" s="1">
        <v>45067</v>
      </c>
      <c r="I777">
        <v>131.23400986021699</v>
      </c>
      <c r="J777">
        <f t="shared" si="72"/>
        <v>0</v>
      </c>
      <c r="K777" t="str">
        <f>VLOOKUP(B777,Raw_Suppliers!$A$2:$G$101,2,FALSE)</f>
        <v>Ultra Fusion Corp</v>
      </c>
      <c r="L777" t="str">
        <f>VLOOKUP(B777,Raw_Suppliers!$A$2:$G$101,3,FALSE)</f>
        <v>Canada</v>
      </c>
      <c r="M777" t="str">
        <f>VLOOKUP(B777,Raw_Suppliers!$A$2:$G$101,4,FALSE)</f>
        <v>South</v>
      </c>
      <c r="N777" t="str">
        <f>VLOOKUP(B777,Raw_Suppliers!$A$2:$G$101,6,FALSE)</f>
        <v>None</v>
      </c>
      <c r="O777">
        <f>VLOOKUP(B777,Raw_Suppliers!$A$2:$G$101,7,FALSE)</f>
        <v>1</v>
      </c>
      <c r="P777" t="str">
        <f t="shared" si="73"/>
        <v>Yes</v>
      </c>
      <c r="Q777">
        <f t="shared" si="74"/>
        <v>1</v>
      </c>
      <c r="R777" t="str">
        <f t="shared" si="75"/>
        <v>On Time</v>
      </c>
      <c r="S777">
        <f t="shared" si="76"/>
        <v>2023</v>
      </c>
      <c r="T777">
        <f t="shared" si="77"/>
        <v>5</v>
      </c>
    </row>
    <row r="778" spans="1:20" x14ac:dyDescent="0.25">
      <c r="A778" t="s">
        <v>1080</v>
      </c>
      <c r="B778" t="s">
        <v>104</v>
      </c>
      <c r="C778" t="s">
        <v>312</v>
      </c>
      <c r="D778" s="1">
        <v>44760</v>
      </c>
      <c r="E778">
        <v>6</v>
      </c>
      <c r="F778">
        <v>53.891998348263101</v>
      </c>
      <c r="G778" s="1">
        <v>44780</v>
      </c>
      <c r="H778" s="1">
        <v>44779</v>
      </c>
      <c r="I778">
        <v>323.35199008957801</v>
      </c>
      <c r="J778">
        <f t="shared" si="72"/>
        <v>-1</v>
      </c>
      <c r="K778" t="str">
        <f>VLOOKUP(B778,Raw_Suppliers!$A$2:$G$101,2,FALSE)</f>
        <v>Prime Omega Corp</v>
      </c>
      <c r="L778" t="str">
        <f>VLOOKUP(B778,Raw_Suppliers!$A$2:$G$101,3,FALSE)</f>
        <v>India</v>
      </c>
      <c r="M778" t="str">
        <f>VLOOKUP(B778,Raw_Suppliers!$A$2:$G$101,4,FALSE)</f>
        <v>Central</v>
      </c>
      <c r="N778" t="str">
        <f>VLOOKUP(B778,Raw_Suppliers!$A$2:$G$101,6,FALSE)</f>
        <v>ISO 14001</v>
      </c>
      <c r="O778">
        <f>VLOOKUP(B778,Raw_Suppliers!$A$2:$G$101,7,FALSE)</f>
        <v>0</v>
      </c>
      <c r="P778" t="str">
        <f t="shared" si="73"/>
        <v>No</v>
      </c>
      <c r="Q778">
        <f t="shared" si="74"/>
        <v>1</v>
      </c>
      <c r="R778" t="str">
        <f t="shared" si="75"/>
        <v>On Time</v>
      </c>
      <c r="S778">
        <f t="shared" si="76"/>
        <v>2022</v>
      </c>
      <c r="T778">
        <f t="shared" si="77"/>
        <v>7</v>
      </c>
    </row>
    <row r="779" spans="1:20" x14ac:dyDescent="0.25">
      <c r="A779" t="s">
        <v>1081</v>
      </c>
      <c r="B779" t="s">
        <v>124</v>
      </c>
      <c r="C779" t="s">
        <v>71</v>
      </c>
      <c r="D779" s="1">
        <v>44576</v>
      </c>
      <c r="E779">
        <v>7</v>
      </c>
      <c r="F779">
        <v>52.213607057986003</v>
      </c>
      <c r="G779" s="1">
        <v>44590</v>
      </c>
      <c r="H779" s="1">
        <v>44587</v>
      </c>
      <c r="I779">
        <v>365.49524940590197</v>
      </c>
      <c r="J779">
        <f t="shared" si="72"/>
        <v>-3</v>
      </c>
      <c r="K779" t="str">
        <f>VLOOKUP(B779,Raw_Suppliers!$A$2:$G$101,2,FALSE)</f>
        <v>Vertex Delta Inc</v>
      </c>
      <c r="L779" t="str">
        <f>VLOOKUP(B779,Raw_Suppliers!$A$2:$G$101,3,FALSE)</f>
        <v>Germany</v>
      </c>
      <c r="M779" t="str">
        <f>VLOOKUP(B779,Raw_Suppliers!$A$2:$G$101,4,FALSE)</f>
        <v>South</v>
      </c>
      <c r="N779" t="str">
        <f>VLOOKUP(B779,Raw_Suppliers!$A$2:$G$101,6,FALSE)</f>
        <v>ISO 9001</v>
      </c>
      <c r="O779">
        <f>VLOOKUP(B779,Raw_Suppliers!$A$2:$G$101,7,FALSE)</f>
        <v>0</v>
      </c>
      <c r="P779" t="str">
        <f t="shared" si="73"/>
        <v>No</v>
      </c>
      <c r="Q779">
        <f t="shared" si="74"/>
        <v>1</v>
      </c>
      <c r="R779" t="str">
        <f t="shared" si="75"/>
        <v>On Time</v>
      </c>
      <c r="S779">
        <f t="shared" si="76"/>
        <v>2022</v>
      </c>
      <c r="T779">
        <f t="shared" si="77"/>
        <v>1</v>
      </c>
    </row>
    <row r="780" spans="1:20" x14ac:dyDescent="0.25">
      <c r="A780" t="s">
        <v>1082</v>
      </c>
      <c r="B780" t="s">
        <v>119</v>
      </c>
      <c r="C780" t="s">
        <v>262</v>
      </c>
      <c r="D780" s="1">
        <v>44886</v>
      </c>
      <c r="E780">
        <v>15</v>
      </c>
      <c r="F780">
        <v>10.2795090992366</v>
      </c>
      <c r="G780" s="1">
        <v>44898</v>
      </c>
      <c r="H780" s="1">
        <v>44904</v>
      </c>
      <c r="I780">
        <v>154.19263648854999</v>
      </c>
      <c r="J780">
        <f t="shared" si="72"/>
        <v>6</v>
      </c>
      <c r="K780" t="str">
        <f>VLOOKUP(B780,Raw_Suppliers!$A$2:$G$101,2,FALSE)</f>
        <v>Pioneer Apex Corp</v>
      </c>
      <c r="L780" t="str">
        <f>VLOOKUP(B780,Raw_Suppliers!$A$2:$G$101,3,FALSE)</f>
        <v>USA</v>
      </c>
      <c r="M780" t="str">
        <f>VLOOKUP(B780,Raw_Suppliers!$A$2:$G$101,4,FALSE)</f>
        <v>Central</v>
      </c>
      <c r="N780" t="str">
        <f>VLOOKUP(B780,Raw_Suppliers!$A$2:$G$101,6,FALSE)</f>
        <v>None</v>
      </c>
      <c r="O780">
        <f>VLOOKUP(B780,Raw_Suppliers!$A$2:$G$101,7,FALSE)</f>
        <v>0</v>
      </c>
      <c r="P780" t="str">
        <f t="shared" si="73"/>
        <v>No</v>
      </c>
      <c r="Q780">
        <f t="shared" si="74"/>
        <v>0</v>
      </c>
      <c r="R780" t="str">
        <f t="shared" si="75"/>
        <v>Late</v>
      </c>
      <c r="S780">
        <f t="shared" si="76"/>
        <v>2022</v>
      </c>
      <c r="T780">
        <f t="shared" si="77"/>
        <v>11</v>
      </c>
    </row>
    <row r="781" spans="1:20" x14ac:dyDescent="0.25">
      <c r="A781" t="s">
        <v>1083</v>
      </c>
      <c r="B781" t="s">
        <v>394</v>
      </c>
      <c r="C781" t="s">
        <v>279</v>
      </c>
      <c r="D781" s="1">
        <v>44891</v>
      </c>
      <c r="E781">
        <v>14</v>
      </c>
      <c r="F781">
        <v>39.1753738570576</v>
      </c>
      <c r="G781" s="1">
        <v>44908</v>
      </c>
      <c r="H781" s="1">
        <v>44914</v>
      </c>
      <c r="I781">
        <v>548.45523399880597</v>
      </c>
      <c r="J781">
        <f t="shared" si="72"/>
        <v>6</v>
      </c>
      <c r="K781" t="str">
        <f>VLOOKUP(B781,Raw_Suppliers!$A$2:$G$101,2,FALSE)</f>
        <v>Ultra Prime Inc</v>
      </c>
      <c r="L781" t="str">
        <f>VLOOKUP(B781,Raw_Suppliers!$A$2:$G$101,3,FALSE)</f>
        <v>Brazil</v>
      </c>
      <c r="M781" t="str">
        <f>VLOOKUP(B781,Raw_Suppliers!$A$2:$G$101,4,FALSE)</f>
        <v>West</v>
      </c>
      <c r="N781" t="str">
        <f>VLOOKUP(B781,Raw_Suppliers!$A$2:$G$101,6,FALSE)</f>
        <v>ISO 9001</v>
      </c>
      <c r="O781">
        <f>VLOOKUP(B781,Raw_Suppliers!$A$2:$G$101,7,FALSE)</f>
        <v>1</v>
      </c>
      <c r="P781" t="str">
        <f t="shared" si="73"/>
        <v>Yes</v>
      </c>
      <c r="Q781">
        <f t="shared" si="74"/>
        <v>0</v>
      </c>
      <c r="R781" t="str">
        <f t="shared" si="75"/>
        <v>Late</v>
      </c>
      <c r="S781">
        <f t="shared" si="76"/>
        <v>2022</v>
      </c>
      <c r="T781">
        <f t="shared" si="77"/>
        <v>11</v>
      </c>
    </row>
    <row r="782" spans="1:20" x14ac:dyDescent="0.25">
      <c r="A782" t="s">
        <v>1084</v>
      </c>
      <c r="B782" t="s">
        <v>442</v>
      </c>
      <c r="C782" t="s">
        <v>521</v>
      </c>
      <c r="D782" s="1">
        <v>44902</v>
      </c>
      <c r="E782">
        <v>13</v>
      </c>
      <c r="F782">
        <v>51.629755007595499</v>
      </c>
      <c r="G782" s="1">
        <v>44926</v>
      </c>
      <c r="H782" s="1">
        <v>44928</v>
      </c>
      <c r="I782">
        <v>671.18681509874102</v>
      </c>
      <c r="J782">
        <f t="shared" si="72"/>
        <v>2</v>
      </c>
      <c r="K782" t="str">
        <f>VLOOKUP(B782,Raw_Suppliers!$A$2:$G$101,2,FALSE)</f>
        <v>Vertex Delta LLC</v>
      </c>
      <c r="L782" t="str">
        <f>VLOOKUP(B782,Raw_Suppliers!$A$2:$G$101,3,FALSE)</f>
        <v>Canada</v>
      </c>
      <c r="M782" t="str">
        <f>VLOOKUP(B782,Raw_Suppliers!$A$2:$G$101,4,FALSE)</f>
        <v>East</v>
      </c>
      <c r="N782" t="str">
        <f>VLOOKUP(B782,Raw_Suppliers!$A$2:$G$101,6,FALSE)</f>
        <v>ISO 14001</v>
      </c>
      <c r="O782">
        <f>VLOOKUP(B782,Raw_Suppliers!$A$2:$G$101,7,FALSE)</f>
        <v>1</v>
      </c>
      <c r="P782" t="str">
        <f t="shared" si="73"/>
        <v>Yes</v>
      </c>
      <c r="Q782">
        <f t="shared" si="74"/>
        <v>0</v>
      </c>
      <c r="R782" t="str">
        <f t="shared" si="75"/>
        <v>Late</v>
      </c>
      <c r="S782">
        <f t="shared" si="76"/>
        <v>2022</v>
      </c>
      <c r="T782">
        <f t="shared" si="77"/>
        <v>12</v>
      </c>
    </row>
    <row r="783" spans="1:20" x14ac:dyDescent="0.25">
      <c r="A783" t="s">
        <v>1085</v>
      </c>
      <c r="B783" t="s">
        <v>82</v>
      </c>
      <c r="C783" t="s">
        <v>425</v>
      </c>
      <c r="D783" s="1">
        <v>45322</v>
      </c>
      <c r="E783">
        <v>9</v>
      </c>
      <c r="F783">
        <v>18.571294935683099</v>
      </c>
      <c r="G783" s="1">
        <v>45341</v>
      </c>
      <c r="H783" s="1">
        <v>45338</v>
      </c>
      <c r="I783">
        <v>167.14165442114799</v>
      </c>
      <c r="J783">
        <f t="shared" si="72"/>
        <v>-3</v>
      </c>
      <c r="K783" t="str">
        <f>VLOOKUP(B783,Raw_Suppliers!$A$2:$G$101,2,FALSE)</f>
        <v>Gamma Quantum LLC</v>
      </c>
      <c r="L783" t="str">
        <f>VLOOKUP(B783,Raw_Suppliers!$A$2:$G$101,3,FALSE)</f>
        <v>Canada</v>
      </c>
      <c r="M783" t="str">
        <f>VLOOKUP(B783,Raw_Suppliers!$A$2:$G$101,4,FALSE)</f>
        <v>Central</v>
      </c>
      <c r="N783" t="str">
        <f>VLOOKUP(B783,Raw_Suppliers!$A$2:$G$101,6,FALSE)</f>
        <v>None</v>
      </c>
      <c r="O783">
        <f>VLOOKUP(B783,Raw_Suppliers!$A$2:$G$101,7,FALSE)</f>
        <v>1</v>
      </c>
      <c r="P783" t="str">
        <f t="shared" si="73"/>
        <v>Yes</v>
      </c>
      <c r="Q783">
        <f t="shared" si="74"/>
        <v>1</v>
      </c>
      <c r="R783" t="str">
        <f t="shared" si="75"/>
        <v>On Time</v>
      </c>
      <c r="S783">
        <f t="shared" si="76"/>
        <v>2024</v>
      </c>
      <c r="T783">
        <f t="shared" si="77"/>
        <v>1</v>
      </c>
    </row>
    <row r="784" spans="1:20" x14ac:dyDescent="0.25">
      <c r="A784" t="s">
        <v>1086</v>
      </c>
      <c r="B784" t="s">
        <v>140</v>
      </c>
      <c r="C784" t="s">
        <v>356</v>
      </c>
      <c r="D784" s="1">
        <v>44284</v>
      </c>
      <c r="E784">
        <v>14</v>
      </c>
      <c r="F784">
        <v>17.267193494345101</v>
      </c>
      <c r="G784" s="1">
        <v>44307</v>
      </c>
      <c r="H784" s="1">
        <v>44310</v>
      </c>
      <c r="I784">
        <v>241.74070892083199</v>
      </c>
      <c r="J784">
        <f t="shared" si="72"/>
        <v>3</v>
      </c>
      <c r="K784" t="str">
        <f>VLOOKUP(B784,Raw_Suppliers!$A$2:$G$101,2,FALSE)</f>
        <v>Gamma Quantum Inc</v>
      </c>
      <c r="L784" t="str">
        <f>VLOOKUP(B784,Raw_Suppliers!$A$2:$G$101,3,FALSE)</f>
        <v>Germany</v>
      </c>
      <c r="M784" t="str">
        <f>VLOOKUP(B784,Raw_Suppliers!$A$2:$G$101,4,FALSE)</f>
        <v>North</v>
      </c>
      <c r="N784" t="str">
        <f>VLOOKUP(B784,Raw_Suppliers!$A$2:$G$101,6,FALSE)</f>
        <v>None</v>
      </c>
      <c r="O784">
        <f>VLOOKUP(B784,Raw_Suppliers!$A$2:$G$101,7,FALSE)</f>
        <v>1</v>
      </c>
      <c r="P784" t="str">
        <f t="shared" si="73"/>
        <v>Yes</v>
      </c>
      <c r="Q784">
        <f t="shared" si="74"/>
        <v>0</v>
      </c>
      <c r="R784" t="str">
        <f t="shared" si="75"/>
        <v>Late</v>
      </c>
      <c r="S784">
        <f t="shared" si="76"/>
        <v>2021</v>
      </c>
      <c r="T784">
        <f t="shared" si="77"/>
        <v>3</v>
      </c>
    </row>
    <row r="785" spans="1:20" x14ac:dyDescent="0.25">
      <c r="A785" t="s">
        <v>1087</v>
      </c>
      <c r="B785" t="s">
        <v>253</v>
      </c>
      <c r="C785" t="s">
        <v>748</v>
      </c>
      <c r="D785" s="1">
        <v>45118</v>
      </c>
      <c r="E785">
        <v>15</v>
      </c>
      <c r="F785">
        <v>77.327318951922393</v>
      </c>
      <c r="G785" s="1">
        <v>45136</v>
      </c>
      <c r="H785" s="1">
        <v>45134</v>
      </c>
      <c r="I785">
        <v>1159.9097842788301</v>
      </c>
      <c r="J785">
        <f t="shared" si="72"/>
        <v>-2</v>
      </c>
      <c r="K785" t="str">
        <f>VLOOKUP(B785,Raw_Suppliers!$A$2:$G$101,2,FALSE)</f>
        <v>Vertex Apex Ltd</v>
      </c>
      <c r="L785" t="str">
        <f>VLOOKUP(B785,Raw_Suppliers!$A$2:$G$101,3,FALSE)</f>
        <v>Brazil</v>
      </c>
      <c r="M785" t="str">
        <f>VLOOKUP(B785,Raw_Suppliers!$A$2:$G$101,4,FALSE)</f>
        <v>South</v>
      </c>
      <c r="N785" t="str">
        <f>VLOOKUP(B785,Raw_Suppliers!$A$2:$G$101,6,FALSE)</f>
        <v>None</v>
      </c>
      <c r="O785">
        <f>VLOOKUP(B785,Raw_Suppliers!$A$2:$G$101,7,FALSE)</f>
        <v>1</v>
      </c>
      <c r="P785" t="str">
        <f t="shared" si="73"/>
        <v>Yes</v>
      </c>
      <c r="Q785">
        <f t="shared" si="74"/>
        <v>1</v>
      </c>
      <c r="R785" t="str">
        <f t="shared" si="75"/>
        <v>On Time</v>
      </c>
      <c r="S785">
        <f t="shared" si="76"/>
        <v>2023</v>
      </c>
      <c r="T785">
        <f t="shared" si="77"/>
        <v>7</v>
      </c>
    </row>
    <row r="786" spans="1:20" x14ac:dyDescent="0.25">
      <c r="A786" t="s">
        <v>1088</v>
      </c>
      <c r="B786" t="s">
        <v>288</v>
      </c>
      <c r="C786" t="s">
        <v>276</v>
      </c>
      <c r="D786" s="1">
        <v>44815</v>
      </c>
      <c r="E786">
        <v>11</v>
      </c>
      <c r="F786">
        <v>52.534530729085098</v>
      </c>
      <c r="G786" s="1">
        <v>44838</v>
      </c>
      <c r="H786" s="1">
        <v>44839</v>
      </c>
      <c r="I786">
        <v>577.87983801993596</v>
      </c>
      <c r="J786">
        <f t="shared" si="72"/>
        <v>1</v>
      </c>
      <c r="K786" t="str">
        <f>VLOOKUP(B786,Raw_Suppliers!$A$2:$G$101,2,FALSE)</f>
        <v>Alpha Beta LLC</v>
      </c>
      <c r="L786" t="str">
        <f>VLOOKUP(B786,Raw_Suppliers!$A$2:$G$101,3,FALSE)</f>
        <v>India</v>
      </c>
      <c r="M786" t="str">
        <f>VLOOKUP(B786,Raw_Suppliers!$A$2:$G$101,4,FALSE)</f>
        <v>West</v>
      </c>
      <c r="N786" t="str">
        <f>VLOOKUP(B786,Raw_Suppliers!$A$2:$G$101,6,FALSE)</f>
        <v>ISO 45001</v>
      </c>
      <c r="O786">
        <f>VLOOKUP(B786,Raw_Suppliers!$A$2:$G$101,7,FALSE)</f>
        <v>0</v>
      </c>
      <c r="P786" t="str">
        <f t="shared" si="73"/>
        <v>No</v>
      </c>
      <c r="Q786">
        <f t="shared" si="74"/>
        <v>0</v>
      </c>
      <c r="R786" t="str">
        <f t="shared" si="75"/>
        <v>Late</v>
      </c>
      <c r="S786">
        <f t="shared" si="76"/>
        <v>2022</v>
      </c>
      <c r="T786">
        <f t="shared" si="77"/>
        <v>9</v>
      </c>
    </row>
    <row r="787" spans="1:20" x14ac:dyDescent="0.25">
      <c r="A787" t="s">
        <v>1089</v>
      </c>
      <c r="B787" t="s">
        <v>205</v>
      </c>
      <c r="C787" t="s">
        <v>212</v>
      </c>
      <c r="D787" s="1">
        <v>45085</v>
      </c>
      <c r="E787">
        <v>9</v>
      </c>
      <c r="F787">
        <v>53.343983102921896</v>
      </c>
      <c r="G787" s="1">
        <v>45101</v>
      </c>
      <c r="H787" s="1">
        <v>45099</v>
      </c>
      <c r="I787">
        <v>480.09584792629698</v>
      </c>
      <c r="J787">
        <f t="shared" si="72"/>
        <v>-2</v>
      </c>
      <c r="K787" t="str">
        <f>VLOOKUP(B787,Raw_Suppliers!$A$2:$G$101,2,FALSE)</f>
        <v>Ultra Eco LLC</v>
      </c>
      <c r="L787" t="str">
        <f>VLOOKUP(B787,Raw_Suppliers!$A$2:$G$101,3,FALSE)</f>
        <v>China</v>
      </c>
      <c r="M787" t="str">
        <f>VLOOKUP(B787,Raw_Suppliers!$A$2:$G$101,4,FALSE)</f>
        <v>South</v>
      </c>
      <c r="N787" t="str">
        <f>VLOOKUP(B787,Raw_Suppliers!$A$2:$G$101,6,FALSE)</f>
        <v>ISO 14001</v>
      </c>
      <c r="O787">
        <f>VLOOKUP(B787,Raw_Suppliers!$A$2:$G$101,7,FALSE)</f>
        <v>1</v>
      </c>
      <c r="P787" t="str">
        <f t="shared" si="73"/>
        <v>Yes</v>
      </c>
      <c r="Q787">
        <f t="shared" si="74"/>
        <v>1</v>
      </c>
      <c r="R787" t="str">
        <f t="shared" si="75"/>
        <v>On Time</v>
      </c>
      <c r="S787">
        <f t="shared" si="76"/>
        <v>2023</v>
      </c>
      <c r="T787">
        <f t="shared" si="77"/>
        <v>6</v>
      </c>
    </row>
    <row r="788" spans="1:20" x14ac:dyDescent="0.25">
      <c r="A788" t="s">
        <v>1090</v>
      </c>
      <c r="B788" t="s">
        <v>198</v>
      </c>
      <c r="C788" t="s">
        <v>146</v>
      </c>
      <c r="D788" s="1">
        <v>45242</v>
      </c>
      <c r="E788">
        <v>15</v>
      </c>
      <c r="F788">
        <v>69.830668046105501</v>
      </c>
      <c r="G788" s="1">
        <v>45254</v>
      </c>
      <c r="H788" s="1">
        <v>45256</v>
      </c>
      <c r="I788">
        <v>1047.46002069158</v>
      </c>
      <c r="J788">
        <f t="shared" si="72"/>
        <v>2</v>
      </c>
      <c r="K788" t="str">
        <f>VLOOKUP(B788,Raw_Suppliers!$A$2:$G$101,2,FALSE)</f>
        <v>Gamma Vertex Corp</v>
      </c>
      <c r="L788" t="str">
        <f>VLOOKUP(B788,Raw_Suppliers!$A$2:$G$101,3,FALSE)</f>
        <v>Denmark</v>
      </c>
      <c r="M788" t="str">
        <f>VLOOKUP(B788,Raw_Suppliers!$A$2:$G$101,4,FALSE)</f>
        <v>South</v>
      </c>
      <c r="N788" t="str">
        <f>VLOOKUP(B788,Raw_Suppliers!$A$2:$G$101,6,FALSE)</f>
        <v>None</v>
      </c>
      <c r="O788">
        <f>VLOOKUP(B788,Raw_Suppliers!$A$2:$G$101,7,FALSE)</f>
        <v>1</v>
      </c>
      <c r="P788" t="str">
        <f t="shared" si="73"/>
        <v>Yes</v>
      </c>
      <c r="Q788">
        <f t="shared" si="74"/>
        <v>0</v>
      </c>
      <c r="R788" t="str">
        <f t="shared" si="75"/>
        <v>Late</v>
      </c>
      <c r="S788">
        <f t="shared" si="76"/>
        <v>2023</v>
      </c>
      <c r="T788">
        <f t="shared" si="77"/>
        <v>11</v>
      </c>
    </row>
    <row r="789" spans="1:20" x14ac:dyDescent="0.25">
      <c r="A789" t="s">
        <v>1091</v>
      </c>
      <c r="B789" t="s">
        <v>564</v>
      </c>
      <c r="C789" t="s">
        <v>346</v>
      </c>
      <c r="D789" s="1">
        <v>45240</v>
      </c>
      <c r="E789">
        <v>14</v>
      </c>
      <c r="F789">
        <v>53.523024238010201</v>
      </c>
      <c r="G789" s="1">
        <v>45259</v>
      </c>
      <c r="H789" s="1">
        <v>45259</v>
      </c>
      <c r="I789">
        <v>749.32233933214297</v>
      </c>
      <c r="J789">
        <f t="shared" si="72"/>
        <v>0</v>
      </c>
      <c r="K789" t="str">
        <f>VLOOKUP(B789,Raw_Suppliers!$A$2:$G$101,2,FALSE)</f>
        <v>Ultra Ultra GmbH</v>
      </c>
      <c r="L789" t="str">
        <f>VLOOKUP(B789,Raw_Suppliers!$A$2:$G$101,3,FALSE)</f>
        <v>India</v>
      </c>
      <c r="M789" t="str">
        <f>VLOOKUP(B789,Raw_Suppliers!$A$2:$G$101,4,FALSE)</f>
        <v>Central</v>
      </c>
      <c r="N789" t="str">
        <f>VLOOKUP(B789,Raw_Suppliers!$A$2:$G$101,6,FALSE)</f>
        <v>ISO 14001</v>
      </c>
      <c r="O789">
        <f>VLOOKUP(B789,Raw_Suppliers!$A$2:$G$101,7,FALSE)</f>
        <v>1</v>
      </c>
      <c r="P789" t="str">
        <f t="shared" si="73"/>
        <v>Yes</v>
      </c>
      <c r="Q789">
        <f t="shared" si="74"/>
        <v>1</v>
      </c>
      <c r="R789" t="str">
        <f t="shared" si="75"/>
        <v>On Time</v>
      </c>
      <c r="S789">
        <f t="shared" si="76"/>
        <v>2023</v>
      </c>
      <c r="T789">
        <f t="shared" si="77"/>
        <v>11</v>
      </c>
    </row>
    <row r="790" spans="1:20" x14ac:dyDescent="0.25">
      <c r="A790" t="s">
        <v>1092</v>
      </c>
      <c r="B790" t="s">
        <v>751</v>
      </c>
      <c r="C790" t="s">
        <v>243</v>
      </c>
      <c r="D790" s="1">
        <v>44634</v>
      </c>
      <c r="E790">
        <v>11</v>
      </c>
      <c r="F790">
        <v>7.1263965031320202</v>
      </c>
      <c r="G790" s="1">
        <v>44644</v>
      </c>
      <c r="H790" s="1">
        <v>44650</v>
      </c>
      <c r="I790">
        <v>78.390361534452296</v>
      </c>
      <c r="J790">
        <f t="shared" si="72"/>
        <v>6</v>
      </c>
      <c r="K790" t="str">
        <f>VLOOKUP(B790,Raw_Suppliers!$A$2:$G$101,2,FALSE)</f>
        <v>Nano Vertex LLC</v>
      </c>
      <c r="L790" t="str">
        <f>VLOOKUP(B790,Raw_Suppliers!$A$2:$G$101,3,FALSE)</f>
        <v>China</v>
      </c>
      <c r="M790" t="str">
        <f>VLOOKUP(B790,Raw_Suppliers!$A$2:$G$101,4,FALSE)</f>
        <v>North</v>
      </c>
      <c r="N790" t="str">
        <f>VLOOKUP(B790,Raw_Suppliers!$A$2:$G$101,6,FALSE)</f>
        <v>ISO 9001</v>
      </c>
      <c r="O790">
        <f>VLOOKUP(B790,Raw_Suppliers!$A$2:$G$101,7,FALSE)</f>
        <v>1</v>
      </c>
      <c r="P790" t="str">
        <f t="shared" si="73"/>
        <v>Yes</v>
      </c>
      <c r="Q790">
        <f t="shared" si="74"/>
        <v>0</v>
      </c>
      <c r="R790" t="str">
        <f t="shared" si="75"/>
        <v>Late</v>
      </c>
      <c r="S790">
        <f t="shared" si="76"/>
        <v>2022</v>
      </c>
      <c r="T790">
        <f t="shared" si="77"/>
        <v>3</v>
      </c>
    </row>
    <row r="791" spans="1:20" x14ac:dyDescent="0.25">
      <c r="A791" t="s">
        <v>1093</v>
      </c>
      <c r="B791" t="s">
        <v>16</v>
      </c>
      <c r="C791" t="s">
        <v>504</v>
      </c>
      <c r="D791" s="1">
        <v>45313</v>
      </c>
      <c r="E791">
        <v>14</v>
      </c>
      <c r="F791">
        <v>73.004982404946801</v>
      </c>
      <c r="G791" s="1">
        <v>45336</v>
      </c>
      <c r="H791" s="1">
        <v>45340</v>
      </c>
      <c r="I791">
        <v>1022.06975366925</v>
      </c>
      <c r="J791">
        <f t="shared" si="72"/>
        <v>4</v>
      </c>
      <c r="K791" t="str">
        <f>VLOOKUP(B791,Raw_Suppliers!$A$2:$G$101,2,FALSE)</f>
        <v>Beta Pioneer Inc</v>
      </c>
      <c r="L791" t="str">
        <f>VLOOKUP(B791,Raw_Suppliers!$A$2:$G$101,3,FALSE)</f>
        <v>USA</v>
      </c>
      <c r="M791" t="str">
        <f>VLOOKUP(B791,Raw_Suppliers!$A$2:$G$101,4,FALSE)</f>
        <v>Central</v>
      </c>
      <c r="N791" t="str">
        <f>VLOOKUP(B791,Raw_Suppliers!$A$2:$G$101,6,FALSE)</f>
        <v>ISO 45001</v>
      </c>
      <c r="O791">
        <f>VLOOKUP(B791,Raw_Suppliers!$A$2:$G$101,7,FALSE)</f>
        <v>1</v>
      </c>
      <c r="P791" t="str">
        <f t="shared" si="73"/>
        <v>Yes</v>
      </c>
      <c r="Q791">
        <f t="shared" si="74"/>
        <v>0</v>
      </c>
      <c r="R791" t="str">
        <f t="shared" si="75"/>
        <v>Late</v>
      </c>
      <c r="S791">
        <f t="shared" si="76"/>
        <v>2024</v>
      </c>
      <c r="T791">
        <f t="shared" si="77"/>
        <v>1</v>
      </c>
    </row>
    <row r="792" spans="1:20" x14ac:dyDescent="0.25">
      <c r="A792" t="s">
        <v>1094</v>
      </c>
      <c r="B792" t="s">
        <v>10</v>
      </c>
      <c r="C792" t="s">
        <v>32</v>
      </c>
      <c r="D792" s="1">
        <v>44840</v>
      </c>
      <c r="E792">
        <v>6</v>
      </c>
      <c r="F792">
        <v>23.690765518698399</v>
      </c>
      <c r="G792" s="1">
        <v>44862</v>
      </c>
      <c r="H792" s="1">
        <v>44866</v>
      </c>
      <c r="I792">
        <v>142.14459311218999</v>
      </c>
      <c r="J792">
        <f t="shared" si="72"/>
        <v>4</v>
      </c>
      <c r="K792" t="str">
        <f>VLOOKUP(B792,Raw_Suppliers!$A$2:$G$101,2,FALSE)</f>
        <v>Vertex Beta GmbH</v>
      </c>
      <c r="L792" t="str">
        <f>VLOOKUP(B792,Raw_Suppliers!$A$2:$G$101,3,FALSE)</f>
        <v>India</v>
      </c>
      <c r="M792" t="str">
        <f>VLOOKUP(B792,Raw_Suppliers!$A$2:$G$101,4,FALSE)</f>
        <v>North</v>
      </c>
      <c r="N792" t="str">
        <f>VLOOKUP(B792,Raw_Suppliers!$A$2:$G$101,6,FALSE)</f>
        <v>ISO 14001</v>
      </c>
      <c r="O792">
        <f>VLOOKUP(B792,Raw_Suppliers!$A$2:$G$101,7,FALSE)</f>
        <v>0</v>
      </c>
      <c r="P792" t="str">
        <f t="shared" si="73"/>
        <v>No</v>
      </c>
      <c r="Q792">
        <f t="shared" si="74"/>
        <v>0</v>
      </c>
      <c r="R792" t="str">
        <f t="shared" si="75"/>
        <v>Late</v>
      </c>
      <c r="S792">
        <f t="shared" si="76"/>
        <v>2022</v>
      </c>
      <c r="T792">
        <f t="shared" si="77"/>
        <v>10</v>
      </c>
    </row>
    <row r="793" spans="1:20" x14ac:dyDescent="0.25">
      <c r="A793" t="s">
        <v>1095</v>
      </c>
      <c r="B793" t="s">
        <v>326</v>
      </c>
      <c r="C793" t="s">
        <v>587</v>
      </c>
      <c r="D793" s="1">
        <v>45189</v>
      </c>
      <c r="E793">
        <v>8</v>
      </c>
      <c r="F793">
        <v>6.58236038031127</v>
      </c>
      <c r="G793" s="1">
        <v>45207</v>
      </c>
      <c r="H793" s="1">
        <v>45212</v>
      </c>
      <c r="I793">
        <v>52.658883042490103</v>
      </c>
      <c r="J793">
        <f t="shared" si="72"/>
        <v>5</v>
      </c>
      <c r="K793" t="str">
        <f>VLOOKUP(B793,Raw_Suppliers!$A$2:$G$101,2,FALSE)</f>
        <v>Ultra Fusion Corp</v>
      </c>
      <c r="L793" t="str">
        <f>VLOOKUP(B793,Raw_Suppliers!$A$2:$G$101,3,FALSE)</f>
        <v>Canada</v>
      </c>
      <c r="M793" t="str">
        <f>VLOOKUP(B793,Raw_Suppliers!$A$2:$G$101,4,FALSE)</f>
        <v>South</v>
      </c>
      <c r="N793" t="str">
        <f>VLOOKUP(B793,Raw_Suppliers!$A$2:$G$101,6,FALSE)</f>
        <v>None</v>
      </c>
      <c r="O793">
        <f>VLOOKUP(B793,Raw_Suppliers!$A$2:$G$101,7,FALSE)</f>
        <v>1</v>
      </c>
      <c r="P793" t="str">
        <f t="shared" si="73"/>
        <v>Yes</v>
      </c>
      <c r="Q793">
        <f t="shared" si="74"/>
        <v>0</v>
      </c>
      <c r="R793" t="str">
        <f t="shared" si="75"/>
        <v>Late</v>
      </c>
      <c r="S793">
        <f t="shared" si="76"/>
        <v>2023</v>
      </c>
      <c r="T793">
        <f t="shared" si="77"/>
        <v>9</v>
      </c>
    </row>
    <row r="794" spans="1:20" x14ac:dyDescent="0.25">
      <c r="A794" t="s">
        <v>1096</v>
      </c>
      <c r="B794" t="s">
        <v>55</v>
      </c>
      <c r="C794" t="s">
        <v>133</v>
      </c>
      <c r="D794" s="1">
        <v>44465</v>
      </c>
      <c r="E794">
        <v>8</v>
      </c>
      <c r="F794">
        <v>52.3605033421115</v>
      </c>
      <c r="G794" s="1">
        <v>44476</v>
      </c>
      <c r="H794" s="1">
        <v>44481</v>
      </c>
      <c r="I794">
        <v>418.884026736892</v>
      </c>
      <c r="J794">
        <f t="shared" si="72"/>
        <v>5</v>
      </c>
      <c r="K794" t="str">
        <f>VLOOKUP(B794,Raw_Suppliers!$A$2:$G$101,2,FALSE)</f>
        <v>Prime Vertex Inc</v>
      </c>
      <c r="L794" t="str">
        <f>VLOOKUP(B794,Raw_Suppliers!$A$2:$G$101,3,FALSE)</f>
        <v>Germany</v>
      </c>
      <c r="M794" t="str">
        <f>VLOOKUP(B794,Raw_Suppliers!$A$2:$G$101,4,FALSE)</f>
        <v>South</v>
      </c>
      <c r="N794" t="str">
        <f>VLOOKUP(B794,Raw_Suppliers!$A$2:$G$101,6,FALSE)</f>
        <v>ISO 14001</v>
      </c>
      <c r="O794">
        <f>VLOOKUP(B794,Raw_Suppliers!$A$2:$G$101,7,FALSE)</f>
        <v>0</v>
      </c>
      <c r="P794" t="str">
        <f t="shared" si="73"/>
        <v>No</v>
      </c>
      <c r="Q794">
        <f t="shared" si="74"/>
        <v>0</v>
      </c>
      <c r="R794" t="str">
        <f t="shared" si="75"/>
        <v>Late</v>
      </c>
      <c r="S794">
        <f t="shared" si="76"/>
        <v>2021</v>
      </c>
      <c r="T794">
        <f t="shared" si="77"/>
        <v>9</v>
      </c>
    </row>
    <row r="795" spans="1:20" x14ac:dyDescent="0.25">
      <c r="A795" t="s">
        <v>1097</v>
      </c>
      <c r="B795" t="s">
        <v>189</v>
      </c>
      <c r="C795" t="s">
        <v>105</v>
      </c>
      <c r="D795" s="1">
        <v>44389</v>
      </c>
      <c r="E795">
        <v>16</v>
      </c>
      <c r="F795">
        <v>36.3204208225402</v>
      </c>
      <c r="G795" s="1">
        <v>44410</v>
      </c>
      <c r="H795" s="1">
        <v>44410</v>
      </c>
      <c r="I795">
        <v>581.12673316064399</v>
      </c>
      <c r="J795">
        <f t="shared" si="72"/>
        <v>0</v>
      </c>
      <c r="K795" t="str">
        <f>VLOOKUP(B795,Raw_Suppliers!$A$2:$G$101,2,FALSE)</f>
        <v>Apex Pioneer Ltd</v>
      </c>
      <c r="L795" t="str">
        <f>VLOOKUP(B795,Raw_Suppliers!$A$2:$G$101,3,FALSE)</f>
        <v>Canada</v>
      </c>
      <c r="M795" t="str">
        <f>VLOOKUP(B795,Raw_Suppliers!$A$2:$G$101,4,FALSE)</f>
        <v>South</v>
      </c>
      <c r="N795" t="str">
        <f>VLOOKUP(B795,Raw_Suppliers!$A$2:$G$101,6,FALSE)</f>
        <v>ISO 14001</v>
      </c>
      <c r="O795">
        <f>VLOOKUP(B795,Raw_Suppliers!$A$2:$G$101,7,FALSE)</f>
        <v>1</v>
      </c>
      <c r="P795" t="str">
        <f t="shared" si="73"/>
        <v>Yes</v>
      </c>
      <c r="Q795">
        <f t="shared" si="74"/>
        <v>1</v>
      </c>
      <c r="R795" t="str">
        <f t="shared" si="75"/>
        <v>On Time</v>
      </c>
      <c r="S795">
        <f t="shared" si="76"/>
        <v>2021</v>
      </c>
      <c r="T795">
        <f t="shared" si="77"/>
        <v>7</v>
      </c>
    </row>
    <row r="796" spans="1:20" x14ac:dyDescent="0.25">
      <c r="A796" t="s">
        <v>1098</v>
      </c>
      <c r="B796" t="s">
        <v>482</v>
      </c>
      <c r="C796" t="s">
        <v>125</v>
      </c>
      <c r="D796" s="1">
        <v>44423</v>
      </c>
      <c r="E796">
        <v>10</v>
      </c>
      <c r="F796">
        <v>60.9699571628393</v>
      </c>
      <c r="G796" s="1">
        <v>44442</v>
      </c>
      <c r="H796" s="1">
        <v>44446</v>
      </c>
      <c r="I796">
        <v>609.69957162839296</v>
      </c>
      <c r="J796">
        <f t="shared" si="72"/>
        <v>4</v>
      </c>
      <c r="K796" t="str">
        <f>VLOOKUP(B796,Raw_Suppliers!$A$2:$G$101,2,FALSE)</f>
        <v>Eco Prime Corp</v>
      </c>
      <c r="L796" t="str">
        <f>VLOOKUP(B796,Raw_Suppliers!$A$2:$G$101,3,FALSE)</f>
        <v>China</v>
      </c>
      <c r="M796" t="str">
        <f>VLOOKUP(B796,Raw_Suppliers!$A$2:$G$101,4,FALSE)</f>
        <v>East</v>
      </c>
      <c r="N796" t="str">
        <f>VLOOKUP(B796,Raw_Suppliers!$A$2:$G$101,6,FALSE)</f>
        <v>ISO 45001</v>
      </c>
      <c r="O796">
        <f>VLOOKUP(B796,Raw_Suppliers!$A$2:$G$101,7,FALSE)</f>
        <v>1</v>
      </c>
      <c r="P796" t="str">
        <f t="shared" si="73"/>
        <v>Yes</v>
      </c>
      <c r="Q796">
        <f t="shared" si="74"/>
        <v>0</v>
      </c>
      <c r="R796" t="str">
        <f t="shared" si="75"/>
        <v>Late</v>
      </c>
      <c r="S796">
        <f t="shared" si="76"/>
        <v>2021</v>
      </c>
      <c r="T796">
        <f t="shared" si="77"/>
        <v>8</v>
      </c>
    </row>
    <row r="797" spans="1:20" x14ac:dyDescent="0.25">
      <c r="A797" t="s">
        <v>1099</v>
      </c>
      <c r="B797" t="s">
        <v>216</v>
      </c>
      <c r="C797" t="s">
        <v>41</v>
      </c>
      <c r="D797" s="1">
        <v>44808</v>
      </c>
      <c r="E797">
        <v>20</v>
      </c>
      <c r="F797">
        <v>61.616017894560997</v>
      </c>
      <c r="G797" s="1">
        <v>44823</v>
      </c>
      <c r="H797" s="1">
        <v>44829</v>
      </c>
      <c r="I797">
        <v>1232.3203578912101</v>
      </c>
      <c r="J797">
        <f t="shared" si="72"/>
        <v>6</v>
      </c>
      <c r="K797" t="str">
        <f>VLOOKUP(B797,Raw_Suppliers!$A$2:$G$101,2,FALSE)</f>
        <v>Fusion Delta LLC</v>
      </c>
      <c r="L797" t="str">
        <f>VLOOKUP(B797,Raw_Suppliers!$A$2:$G$101,3,FALSE)</f>
        <v>Brazil</v>
      </c>
      <c r="M797" t="str">
        <f>VLOOKUP(B797,Raw_Suppliers!$A$2:$G$101,4,FALSE)</f>
        <v>Central</v>
      </c>
      <c r="N797" t="str">
        <f>VLOOKUP(B797,Raw_Suppliers!$A$2:$G$101,6,FALSE)</f>
        <v>ISO 14001</v>
      </c>
      <c r="O797">
        <f>VLOOKUP(B797,Raw_Suppliers!$A$2:$G$101,7,FALSE)</f>
        <v>0</v>
      </c>
      <c r="P797" t="str">
        <f t="shared" si="73"/>
        <v>No</v>
      </c>
      <c r="Q797">
        <f t="shared" si="74"/>
        <v>0</v>
      </c>
      <c r="R797" t="str">
        <f t="shared" si="75"/>
        <v>Late</v>
      </c>
      <c r="S797">
        <f t="shared" si="76"/>
        <v>2022</v>
      </c>
      <c r="T797">
        <f t="shared" si="77"/>
        <v>9</v>
      </c>
    </row>
    <row r="798" spans="1:20" x14ac:dyDescent="0.25">
      <c r="A798" t="s">
        <v>1100</v>
      </c>
      <c r="B798" t="s">
        <v>179</v>
      </c>
      <c r="C798" t="s">
        <v>818</v>
      </c>
      <c r="D798" s="1">
        <v>44956</v>
      </c>
      <c r="E798">
        <v>12</v>
      </c>
      <c r="F798">
        <v>55.918839904022398</v>
      </c>
      <c r="G798" s="1">
        <v>44979</v>
      </c>
      <c r="H798" s="1">
        <v>44979</v>
      </c>
      <c r="I798">
        <v>671.02607884826898</v>
      </c>
      <c r="J798">
        <f t="shared" si="72"/>
        <v>0</v>
      </c>
      <c r="K798" t="str">
        <f>VLOOKUP(B798,Raw_Suppliers!$A$2:$G$101,2,FALSE)</f>
        <v>Nova Gamma Ltd</v>
      </c>
      <c r="L798" t="str">
        <f>VLOOKUP(B798,Raw_Suppliers!$A$2:$G$101,3,FALSE)</f>
        <v>Denmark</v>
      </c>
      <c r="M798" t="str">
        <f>VLOOKUP(B798,Raw_Suppliers!$A$2:$G$101,4,FALSE)</f>
        <v>East</v>
      </c>
      <c r="N798" t="str">
        <f>VLOOKUP(B798,Raw_Suppliers!$A$2:$G$101,6,FALSE)</f>
        <v>ISO 9001</v>
      </c>
      <c r="O798">
        <f>VLOOKUP(B798,Raw_Suppliers!$A$2:$G$101,7,FALSE)</f>
        <v>0</v>
      </c>
      <c r="P798" t="str">
        <f t="shared" si="73"/>
        <v>No</v>
      </c>
      <c r="Q798">
        <f t="shared" si="74"/>
        <v>1</v>
      </c>
      <c r="R798" t="str">
        <f t="shared" si="75"/>
        <v>On Time</v>
      </c>
      <c r="S798">
        <f t="shared" si="76"/>
        <v>2023</v>
      </c>
      <c r="T798">
        <f t="shared" si="77"/>
        <v>1</v>
      </c>
    </row>
    <row r="799" spans="1:20" x14ac:dyDescent="0.25">
      <c r="A799" t="s">
        <v>1101</v>
      </c>
      <c r="B799" t="s">
        <v>73</v>
      </c>
      <c r="C799" t="s">
        <v>180</v>
      </c>
      <c r="D799" s="1">
        <v>45069</v>
      </c>
      <c r="E799">
        <v>11</v>
      </c>
      <c r="F799">
        <v>6.9760143163672304</v>
      </c>
      <c r="G799" s="1">
        <v>45085</v>
      </c>
      <c r="H799" s="1">
        <v>45084</v>
      </c>
      <c r="I799">
        <v>76.736157480039495</v>
      </c>
      <c r="J799">
        <f t="shared" si="72"/>
        <v>-1</v>
      </c>
      <c r="K799" t="str">
        <f>VLOOKUP(B799,Raw_Suppliers!$A$2:$G$101,2,FALSE)</f>
        <v>Gamma Quantum LLC</v>
      </c>
      <c r="L799" t="str">
        <f>VLOOKUP(B799,Raw_Suppliers!$A$2:$G$101,3,FALSE)</f>
        <v>Germany</v>
      </c>
      <c r="M799" t="str">
        <f>VLOOKUP(B799,Raw_Suppliers!$A$2:$G$101,4,FALSE)</f>
        <v>Central</v>
      </c>
      <c r="N799" t="str">
        <f>VLOOKUP(B799,Raw_Suppliers!$A$2:$G$101,6,FALSE)</f>
        <v>ISO 9001</v>
      </c>
      <c r="O799">
        <f>VLOOKUP(B799,Raw_Suppliers!$A$2:$G$101,7,FALSE)</f>
        <v>1</v>
      </c>
      <c r="P799" t="str">
        <f t="shared" si="73"/>
        <v>Yes</v>
      </c>
      <c r="Q799">
        <f t="shared" si="74"/>
        <v>1</v>
      </c>
      <c r="R799" t="str">
        <f t="shared" si="75"/>
        <v>On Time</v>
      </c>
      <c r="S799">
        <f t="shared" si="76"/>
        <v>2023</v>
      </c>
      <c r="T799">
        <f t="shared" si="77"/>
        <v>5</v>
      </c>
    </row>
    <row r="800" spans="1:20" x14ac:dyDescent="0.25">
      <c r="A800" t="s">
        <v>1102</v>
      </c>
      <c r="B800" t="s">
        <v>160</v>
      </c>
      <c r="C800" t="s">
        <v>122</v>
      </c>
      <c r="D800" s="1">
        <v>44298</v>
      </c>
      <c r="E800">
        <v>11</v>
      </c>
      <c r="F800">
        <v>30.2644963829745</v>
      </c>
      <c r="G800" s="1">
        <v>44310</v>
      </c>
      <c r="H800" s="1">
        <v>44307</v>
      </c>
      <c r="I800">
        <v>332.90946021271901</v>
      </c>
      <c r="J800">
        <f t="shared" si="72"/>
        <v>-3</v>
      </c>
      <c r="K800" t="str">
        <f>VLOOKUP(B800,Raw_Suppliers!$A$2:$G$101,2,FALSE)</f>
        <v>Omega Beta Corp</v>
      </c>
      <c r="L800" t="str">
        <f>VLOOKUP(B800,Raw_Suppliers!$A$2:$G$101,3,FALSE)</f>
        <v>China</v>
      </c>
      <c r="M800" t="str">
        <f>VLOOKUP(B800,Raw_Suppliers!$A$2:$G$101,4,FALSE)</f>
        <v>East</v>
      </c>
      <c r="N800" t="str">
        <f>VLOOKUP(B800,Raw_Suppliers!$A$2:$G$101,6,FALSE)</f>
        <v>ISO 45001</v>
      </c>
      <c r="O800">
        <f>VLOOKUP(B800,Raw_Suppliers!$A$2:$G$101,7,FALSE)</f>
        <v>1</v>
      </c>
      <c r="P800" t="str">
        <f t="shared" si="73"/>
        <v>Yes</v>
      </c>
      <c r="Q800">
        <f t="shared" si="74"/>
        <v>1</v>
      </c>
      <c r="R800" t="str">
        <f t="shared" si="75"/>
        <v>On Time</v>
      </c>
      <c r="S800">
        <f t="shared" si="76"/>
        <v>2021</v>
      </c>
      <c r="T800">
        <f t="shared" si="77"/>
        <v>4</v>
      </c>
    </row>
    <row r="801" spans="1:20" x14ac:dyDescent="0.25">
      <c r="A801" t="s">
        <v>1103</v>
      </c>
      <c r="B801" t="s">
        <v>179</v>
      </c>
      <c r="C801" t="s">
        <v>498</v>
      </c>
      <c r="D801" s="1">
        <v>44856</v>
      </c>
      <c r="E801">
        <v>12</v>
      </c>
      <c r="F801">
        <v>55.468910649510697</v>
      </c>
      <c r="G801" s="1">
        <v>44869</v>
      </c>
      <c r="H801" s="1">
        <v>44874</v>
      </c>
      <c r="I801">
        <v>665.62692779412896</v>
      </c>
      <c r="J801">
        <f t="shared" si="72"/>
        <v>5</v>
      </c>
      <c r="K801" t="str">
        <f>VLOOKUP(B801,Raw_Suppliers!$A$2:$G$101,2,FALSE)</f>
        <v>Nova Gamma Ltd</v>
      </c>
      <c r="L801" t="str">
        <f>VLOOKUP(B801,Raw_Suppliers!$A$2:$G$101,3,FALSE)</f>
        <v>Denmark</v>
      </c>
      <c r="M801" t="str">
        <f>VLOOKUP(B801,Raw_Suppliers!$A$2:$G$101,4,FALSE)</f>
        <v>East</v>
      </c>
      <c r="N801" t="str">
        <f>VLOOKUP(B801,Raw_Suppliers!$A$2:$G$101,6,FALSE)</f>
        <v>ISO 9001</v>
      </c>
      <c r="O801">
        <f>VLOOKUP(B801,Raw_Suppliers!$A$2:$G$101,7,FALSE)</f>
        <v>0</v>
      </c>
      <c r="P801" t="str">
        <f t="shared" si="73"/>
        <v>No</v>
      </c>
      <c r="Q801">
        <f t="shared" si="74"/>
        <v>0</v>
      </c>
      <c r="R801" t="str">
        <f t="shared" si="75"/>
        <v>Late</v>
      </c>
      <c r="S801">
        <f t="shared" si="76"/>
        <v>2022</v>
      </c>
      <c r="T801">
        <f t="shared" si="77"/>
        <v>10</v>
      </c>
    </row>
    <row r="802" spans="1:20" x14ac:dyDescent="0.25">
      <c r="A802" t="s">
        <v>1104</v>
      </c>
      <c r="B802" t="s">
        <v>399</v>
      </c>
      <c r="C802" t="s">
        <v>473</v>
      </c>
      <c r="D802" s="1">
        <v>44989</v>
      </c>
      <c r="E802">
        <v>10</v>
      </c>
      <c r="F802">
        <v>22.5561557887033</v>
      </c>
      <c r="G802" s="1">
        <v>45003</v>
      </c>
      <c r="H802" s="1">
        <v>45008</v>
      </c>
      <c r="I802">
        <v>225.56155788703299</v>
      </c>
      <c r="J802">
        <f t="shared" si="72"/>
        <v>5</v>
      </c>
      <c r="K802" t="str">
        <f>VLOOKUP(B802,Raw_Suppliers!$A$2:$G$101,2,FALSE)</f>
        <v>Omega Nano Corp</v>
      </c>
      <c r="L802" t="str">
        <f>VLOOKUP(B802,Raw_Suppliers!$A$2:$G$101,3,FALSE)</f>
        <v>Brazil</v>
      </c>
      <c r="M802" t="str">
        <f>VLOOKUP(B802,Raw_Suppliers!$A$2:$G$101,4,FALSE)</f>
        <v>Central</v>
      </c>
      <c r="N802" t="str">
        <f>VLOOKUP(B802,Raw_Suppliers!$A$2:$G$101,6,FALSE)</f>
        <v>ISO 14001</v>
      </c>
      <c r="O802">
        <f>VLOOKUP(B802,Raw_Suppliers!$A$2:$G$101,7,FALSE)</f>
        <v>0</v>
      </c>
      <c r="P802" t="str">
        <f t="shared" si="73"/>
        <v>No</v>
      </c>
      <c r="Q802">
        <f t="shared" si="74"/>
        <v>0</v>
      </c>
      <c r="R802" t="str">
        <f t="shared" si="75"/>
        <v>Late</v>
      </c>
      <c r="S802">
        <f t="shared" si="76"/>
        <v>2023</v>
      </c>
      <c r="T802">
        <f t="shared" si="77"/>
        <v>3</v>
      </c>
    </row>
    <row r="803" spans="1:20" x14ac:dyDescent="0.25">
      <c r="A803" t="s">
        <v>1105</v>
      </c>
      <c r="B803" t="s">
        <v>43</v>
      </c>
      <c r="C803" t="s">
        <v>453</v>
      </c>
      <c r="D803" s="1">
        <v>45006</v>
      </c>
      <c r="E803">
        <v>9</v>
      </c>
      <c r="F803">
        <v>45.477126087153898</v>
      </c>
      <c r="G803" s="1">
        <v>45021</v>
      </c>
      <c r="H803" s="1">
        <v>45019</v>
      </c>
      <c r="I803">
        <v>409.29413478438499</v>
      </c>
      <c r="J803">
        <f t="shared" si="72"/>
        <v>-2</v>
      </c>
      <c r="K803" t="str">
        <f>VLOOKUP(B803,Raw_Suppliers!$A$2:$G$101,2,FALSE)</f>
        <v>Alpha Ultra Corp</v>
      </c>
      <c r="L803" t="str">
        <f>VLOOKUP(B803,Raw_Suppliers!$A$2:$G$101,3,FALSE)</f>
        <v>USA</v>
      </c>
      <c r="M803" t="str">
        <f>VLOOKUP(B803,Raw_Suppliers!$A$2:$G$101,4,FALSE)</f>
        <v>Central</v>
      </c>
      <c r="N803" t="str">
        <f>VLOOKUP(B803,Raw_Suppliers!$A$2:$G$101,6,FALSE)</f>
        <v>ISO 9001</v>
      </c>
      <c r="O803">
        <f>VLOOKUP(B803,Raw_Suppliers!$A$2:$G$101,7,FALSE)</f>
        <v>1</v>
      </c>
      <c r="P803" t="str">
        <f t="shared" si="73"/>
        <v>Yes</v>
      </c>
      <c r="Q803">
        <f t="shared" si="74"/>
        <v>1</v>
      </c>
      <c r="R803" t="str">
        <f t="shared" si="75"/>
        <v>On Time</v>
      </c>
      <c r="S803">
        <f t="shared" si="76"/>
        <v>2023</v>
      </c>
      <c r="T803">
        <f t="shared" si="77"/>
        <v>3</v>
      </c>
    </row>
    <row r="804" spans="1:20" x14ac:dyDescent="0.25">
      <c r="A804" t="s">
        <v>1106</v>
      </c>
      <c r="B804" t="s">
        <v>88</v>
      </c>
      <c r="C804" t="s">
        <v>341</v>
      </c>
      <c r="D804" s="1">
        <v>44401</v>
      </c>
      <c r="E804">
        <v>11</v>
      </c>
      <c r="F804">
        <v>63.864206918313798</v>
      </c>
      <c r="G804" s="1">
        <v>44414</v>
      </c>
      <c r="H804" s="1">
        <v>44413</v>
      </c>
      <c r="I804">
        <v>702.50627610145204</v>
      </c>
      <c r="J804">
        <f t="shared" si="72"/>
        <v>-1</v>
      </c>
      <c r="K804" t="str">
        <f>VLOOKUP(B804,Raw_Suppliers!$A$2:$G$101,2,FALSE)</f>
        <v>Eco Nano GmbH</v>
      </c>
      <c r="L804" t="str">
        <f>VLOOKUP(B804,Raw_Suppliers!$A$2:$G$101,3,FALSE)</f>
        <v>Denmark</v>
      </c>
      <c r="M804" t="str">
        <f>VLOOKUP(B804,Raw_Suppliers!$A$2:$G$101,4,FALSE)</f>
        <v>Central</v>
      </c>
      <c r="N804" t="str">
        <f>VLOOKUP(B804,Raw_Suppliers!$A$2:$G$101,6,FALSE)</f>
        <v>ISO 9001</v>
      </c>
      <c r="O804">
        <f>VLOOKUP(B804,Raw_Suppliers!$A$2:$G$101,7,FALSE)</f>
        <v>1</v>
      </c>
      <c r="P804" t="str">
        <f t="shared" si="73"/>
        <v>Yes</v>
      </c>
      <c r="Q804">
        <f t="shared" si="74"/>
        <v>1</v>
      </c>
      <c r="R804" t="str">
        <f t="shared" si="75"/>
        <v>On Time</v>
      </c>
      <c r="S804">
        <f t="shared" si="76"/>
        <v>2021</v>
      </c>
      <c r="T804">
        <f t="shared" si="77"/>
        <v>7</v>
      </c>
    </row>
    <row r="805" spans="1:20" x14ac:dyDescent="0.25">
      <c r="A805" t="s">
        <v>1107</v>
      </c>
      <c r="B805" t="s">
        <v>485</v>
      </c>
      <c r="C805" t="s">
        <v>1108</v>
      </c>
      <c r="D805" s="1">
        <v>44312</v>
      </c>
      <c r="E805">
        <v>12</v>
      </c>
      <c r="F805">
        <v>14.7547223512609</v>
      </c>
      <c r="G805" s="1">
        <v>44334</v>
      </c>
      <c r="H805" s="1">
        <v>44338</v>
      </c>
      <c r="I805">
        <v>177.056668215131</v>
      </c>
      <c r="J805">
        <f t="shared" si="72"/>
        <v>4</v>
      </c>
      <c r="K805" t="str">
        <f>VLOOKUP(B805,Raw_Suppliers!$A$2:$G$101,2,FALSE)</f>
        <v>Ultra Quantum Ltd</v>
      </c>
      <c r="L805" t="str">
        <f>VLOOKUP(B805,Raw_Suppliers!$A$2:$G$101,3,FALSE)</f>
        <v>Canada</v>
      </c>
      <c r="M805" t="str">
        <f>VLOOKUP(B805,Raw_Suppliers!$A$2:$G$101,4,FALSE)</f>
        <v>North</v>
      </c>
      <c r="N805" t="str">
        <f>VLOOKUP(B805,Raw_Suppliers!$A$2:$G$101,6,FALSE)</f>
        <v>ISO 14001</v>
      </c>
      <c r="O805">
        <f>VLOOKUP(B805,Raw_Suppliers!$A$2:$G$101,7,FALSE)</f>
        <v>0</v>
      </c>
      <c r="P805" t="str">
        <f t="shared" si="73"/>
        <v>No</v>
      </c>
      <c r="Q805">
        <f t="shared" si="74"/>
        <v>0</v>
      </c>
      <c r="R805" t="str">
        <f t="shared" si="75"/>
        <v>Late</v>
      </c>
      <c r="S805">
        <f t="shared" si="76"/>
        <v>2021</v>
      </c>
      <c r="T805">
        <f t="shared" si="77"/>
        <v>4</v>
      </c>
    </row>
    <row r="806" spans="1:20" x14ac:dyDescent="0.25">
      <c r="A806" t="s">
        <v>1109</v>
      </c>
      <c r="B806" t="s">
        <v>556</v>
      </c>
      <c r="C806" t="s">
        <v>268</v>
      </c>
      <c r="D806" s="1">
        <v>44488</v>
      </c>
      <c r="E806">
        <v>10</v>
      </c>
      <c r="F806">
        <v>71.751490624731304</v>
      </c>
      <c r="G806" s="1">
        <v>44499</v>
      </c>
      <c r="H806" s="1">
        <v>44499</v>
      </c>
      <c r="I806">
        <v>717.51490624731298</v>
      </c>
      <c r="J806">
        <f t="shared" si="72"/>
        <v>0</v>
      </c>
      <c r="K806" t="str">
        <f>VLOOKUP(B806,Raw_Suppliers!$A$2:$G$101,2,FALSE)</f>
        <v>Ultra Delta Ltd</v>
      </c>
      <c r="L806" t="str">
        <f>VLOOKUP(B806,Raw_Suppliers!$A$2:$G$101,3,FALSE)</f>
        <v>China</v>
      </c>
      <c r="M806" t="str">
        <f>VLOOKUP(B806,Raw_Suppliers!$A$2:$G$101,4,FALSE)</f>
        <v>Central</v>
      </c>
      <c r="N806" t="str">
        <f>VLOOKUP(B806,Raw_Suppliers!$A$2:$G$101,6,FALSE)</f>
        <v>ISO 45001</v>
      </c>
      <c r="O806">
        <f>VLOOKUP(B806,Raw_Suppliers!$A$2:$G$101,7,FALSE)</f>
        <v>0</v>
      </c>
      <c r="P806" t="str">
        <f t="shared" si="73"/>
        <v>No</v>
      </c>
      <c r="Q806">
        <f t="shared" si="74"/>
        <v>1</v>
      </c>
      <c r="R806" t="str">
        <f t="shared" si="75"/>
        <v>On Time</v>
      </c>
      <c r="S806">
        <f t="shared" si="76"/>
        <v>2021</v>
      </c>
      <c r="T806">
        <f t="shared" si="77"/>
        <v>10</v>
      </c>
    </row>
    <row r="807" spans="1:20" x14ac:dyDescent="0.25">
      <c r="A807" t="s">
        <v>1110</v>
      </c>
      <c r="B807" t="s">
        <v>169</v>
      </c>
      <c r="C807" t="s">
        <v>623</v>
      </c>
      <c r="D807" s="1">
        <v>44417</v>
      </c>
      <c r="E807">
        <v>8</v>
      </c>
      <c r="F807">
        <v>57.171095724325397</v>
      </c>
      <c r="G807" s="1">
        <v>44430</v>
      </c>
      <c r="H807" s="1">
        <v>44431</v>
      </c>
      <c r="I807">
        <v>457.36876579460301</v>
      </c>
      <c r="J807">
        <f t="shared" si="72"/>
        <v>1</v>
      </c>
      <c r="K807" t="str">
        <f>VLOOKUP(B807,Raw_Suppliers!$A$2:$G$101,2,FALSE)</f>
        <v>Vertex Beta LLC</v>
      </c>
      <c r="L807" t="str">
        <f>VLOOKUP(B807,Raw_Suppliers!$A$2:$G$101,3,FALSE)</f>
        <v>China</v>
      </c>
      <c r="M807" t="str">
        <f>VLOOKUP(B807,Raw_Suppliers!$A$2:$G$101,4,FALSE)</f>
        <v>South</v>
      </c>
      <c r="N807" t="str">
        <f>VLOOKUP(B807,Raw_Suppliers!$A$2:$G$101,6,FALSE)</f>
        <v>ISO 14001</v>
      </c>
      <c r="O807">
        <f>VLOOKUP(B807,Raw_Suppliers!$A$2:$G$101,7,FALSE)</f>
        <v>0</v>
      </c>
      <c r="P807" t="str">
        <f t="shared" si="73"/>
        <v>No</v>
      </c>
      <c r="Q807">
        <f t="shared" si="74"/>
        <v>0</v>
      </c>
      <c r="R807" t="str">
        <f t="shared" si="75"/>
        <v>Late</v>
      </c>
      <c r="S807">
        <f t="shared" si="76"/>
        <v>2021</v>
      </c>
      <c r="T807">
        <f t="shared" si="77"/>
        <v>8</v>
      </c>
    </row>
    <row r="808" spans="1:20" x14ac:dyDescent="0.25">
      <c r="A808" t="s">
        <v>1111</v>
      </c>
      <c r="B808" t="s">
        <v>379</v>
      </c>
      <c r="C808" t="s">
        <v>701</v>
      </c>
      <c r="D808" s="1">
        <v>45047</v>
      </c>
      <c r="E808">
        <v>6</v>
      </c>
      <c r="F808">
        <v>61.923694923069903</v>
      </c>
      <c r="G808" s="1">
        <v>45069</v>
      </c>
      <c r="H808" s="1">
        <v>45070</v>
      </c>
      <c r="I808">
        <v>371.54216953841899</v>
      </c>
      <c r="J808">
        <f t="shared" si="72"/>
        <v>1</v>
      </c>
      <c r="K808" t="str">
        <f>VLOOKUP(B808,Raw_Suppliers!$A$2:$G$101,2,FALSE)</f>
        <v>Apex Fusion Ltd</v>
      </c>
      <c r="L808" t="str">
        <f>VLOOKUP(B808,Raw_Suppliers!$A$2:$G$101,3,FALSE)</f>
        <v>USA</v>
      </c>
      <c r="M808" t="str">
        <f>VLOOKUP(B808,Raw_Suppliers!$A$2:$G$101,4,FALSE)</f>
        <v>East</v>
      </c>
      <c r="N808" t="str">
        <f>VLOOKUP(B808,Raw_Suppliers!$A$2:$G$101,6,FALSE)</f>
        <v>ISO 14001</v>
      </c>
      <c r="O808">
        <f>VLOOKUP(B808,Raw_Suppliers!$A$2:$G$101,7,FALSE)</f>
        <v>1</v>
      </c>
      <c r="P808" t="str">
        <f t="shared" si="73"/>
        <v>Yes</v>
      </c>
      <c r="Q808">
        <f t="shared" si="74"/>
        <v>0</v>
      </c>
      <c r="R808" t="str">
        <f t="shared" si="75"/>
        <v>Late</v>
      </c>
      <c r="S808">
        <f t="shared" si="76"/>
        <v>2023</v>
      </c>
      <c r="T808">
        <f t="shared" si="77"/>
        <v>5</v>
      </c>
    </row>
    <row r="809" spans="1:20" x14ac:dyDescent="0.25">
      <c r="A809" t="s">
        <v>1112</v>
      </c>
      <c r="B809" t="s">
        <v>564</v>
      </c>
      <c r="C809" t="s">
        <v>59</v>
      </c>
      <c r="D809" s="1">
        <v>44727</v>
      </c>
      <c r="E809">
        <v>11</v>
      </c>
      <c r="F809">
        <v>15.367791435911</v>
      </c>
      <c r="G809" s="1">
        <v>44747</v>
      </c>
      <c r="H809" s="1">
        <v>44753</v>
      </c>
      <c r="I809">
        <v>169.04570579502101</v>
      </c>
      <c r="J809">
        <f t="shared" si="72"/>
        <v>6</v>
      </c>
      <c r="K809" t="str">
        <f>VLOOKUP(B809,Raw_Suppliers!$A$2:$G$101,2,FALSE)</f>
        <v>Ultra Ultra GmbH</v>
      </c>
      <c r="L809" t="str">
        <f>VLOOKUP(B809,Raw_Suppliers!$A$2:$G$101,3,FALSE)</f>
        <v>India</v>
      </c>
      <c r="M809" t="str">
        <f>VLOOKUP(B809,Raw_Suppliers!$A$2:$G$101,4,FALSE)</f>
        <v>Central</v>
      </c>
      <c r="N809" t="str">
        <f>VLOOKUP(B809,Raw_Suppliers!$A$2:$G$101,6,FALSE)</f>
        <v>ISO 14001</v>
      </c>
      <c r="O809">
        <f>VLOOKUP(B809,Raw_Suppliers!$A$2:$G$101,7,FALSE)</f>
        <v>1</v>
      </c>
      <c r="P809" t="str">
        <f t="shared" si="73"/>
        <v>Yes</v>
      </c>
      <c r="Q809">
        <f t="shared" si="74"/>
        <v>0</v>
      </c>
      <c r="R809" t="str">
        <f t="shared" si="75"/>
        <v>Late</v>
      </c>
      <c r="S809">
        <f t="shared" si="76"/>
        <v>2022</v>
      </c>
      <c r="T809">
        <f t="shared" si="77"/>
        <v>6</v>
      </c>
    </row>
    <row r="810" spans="1:20" x14ac:dyDescent="0.25">
      <c r="A810" t="s">
        <v>1113</v>
      </c>
      <c r="B810" t="s">
        <v>13</v>
      </c>
      <c r="C810" t="s">
        <v>430</v>
      </c>
      <c r="D810" s="1">
        <v>44682</v>
      </c>
      <c r="E810">
        <v>15</v>
      </c>
      <c r="F810">
        <v>71.562130990147494</v>
      </c>
      <c r="G810" s="1">
        <v>44697</v>
      </c>
      <c r="H810" s="1">
        <v>44699</v>
      </c>
      <c r="I810">
        <v>1073.4319648522101</v>
      </c>
      <c r="J810">
        <f t="shared" si="72"/>
        <v>2</v>
      </c>
      <c r="K810" t="str">
        <f>VLOOKUP(B810,Raw_Suppliers!$A$2:$G$101,2,FALSE)</f>
        <v>Beta Delta LLC</v>
      </c>
      <c r="L810" t="str">
        <f>VLOOKUP(B810,Raw_Suppliers!$A$2:$G$101,3,FALSE)</f>
        <v>Germany</v>
      </c>
      <c r="M810" t="str">
        <f>VLOOKUP(B810,Raw_Suppliers!$A$2:$G$101,4,FALSE)</f>
        <v>Central</v>
      </c>
      <c r="N810" t="str">
        <f>VLOOKUP(B810,Raw_Suppliers!$A$2:$G$101,6,FALSE)</f>
        <v>ISO 9001</v>
      </c>
      <c r="O810">
        <f>VLOOKUP(B810,Raw_Suppliers!$A$2:$G$101,7,FALSE)</f>
        <v>1</v>
      </c>
      <c r="P810" t="str">
        <f t="shared" si="73"/>
        <v>Yes</v>
      </c>
      <c r="Q810">
        <f t="shared" si="74"/>
        <v>0</v>
      </c>
      <c r="R810" t="str">
        <f t="shared" si="75"/>
        <v>Late</v>
      </c>
      <c r="S810">
        <f t="shared" si="76"/>
        <v>2022</v>
      </c>
      <c r="T810">
        <f t="shared" si="77"/>
        <v>5</v>
      </c>
    </row>
    <row r="811" spans="1:20" x14ac:dyDescent="0.25">
      <c r="A811" t="s">
        <v>1114</v>
      </c>
      <c r="B811" t="s">
        <v>369</v>
      </c>
      <c r="C811" t="s">
        <v>105</v>
      </c>
      <c r="D811" s="1">
        <v>45280</v>
      </c>
      <c r="E811">
        <v>6</v>
      </c>
      <c r="F811">
        <v>36.234753789012103</v>
      </c>
      <c r="G811" s="1">
        <v>45301</v>
      </c>
      <c r="H811" s="1">
        <v>45307</v>
      </c>
      <c r="I811">
        <v>217.40852273407299</v>
      </c>
      <c r="J811">
        <f t="shared" si="72"/>
        <v>6</v>
      </c>
      <c r="K811" t="str">
        <f>VLOOKUP(B811,Raw_Suppliers!$A$2:$G$101,2,FALSE)</f>
        <v>Beta Fusion GmbH</v>
      </c>
      <c r="L811" t="str">
        <f>VLOOKUP(B811,Raw_Suppliers!$A$2:$G$101,3,FALSE)</f>
        <v>China</v>
      </c>
      <c r="M811" t="str">
        <f>VLOOKUP(B811,Raw_Suppliers!$A$2:$G$101,4,FALSE)</f>
        <v>South</v>
      </c>
      <c r="N811" t="str">
        <f>VLOOKUP(B811,Raw_Suppliers!$A$2:$G$101,6,FALSE)</f>
        <v>ISO 9001</v>
      </c>
      <c r="O811">
        <f>VLOOKUP(B811,Raw_Suppliers!$A$2:$G$101,7,FALSE)</f>
        <v>0</v>
      </c>
      <c r="P811" t="str">
        <f t="shared" si="73"/>
        <v>No</v>
      </c>
      <c r="Q811">
        <f t="shared" si="74"/>
        <v>0</v>
      </c>
      <c r="R811" t="str">
        <f t="shared" si="75"/>
        <v>Late</v>
      </c>
      <c r="S811">
        <f t="shared" si="76"/>
        <v>2023</v>
      </c>
      <c r="T811">
        <f t="shared" si="77"/>
        <v>12</v>
      </c>
    </row>
    <row r="812" spans="1:20" x14ac:dyDescent="0.25">
      <c r="A812" t="s">
        <v>1115</v>
      </c>
      <c r="B812" t="s">
        <v>451</v>
      </c>
      <c r="C812" t="s">
        <v>668</v>
      </c>
      <c r="D812" s="1">
        <v>44845</v>
      </c>
      <c r="E812">
        <v>14</v>
      </c>
      <c r="F812">
        <v>22.3611471363322</v>
      </c>
      <c r="G812" s="1">
        <v>44867</v>
      </c>
      <c r="H812" s="1">
        <v>44869</v>
      </c>
      <c r="I812">
        <v>313.05605990865098</v>
      </c>
      <c r="J812">
        <f t="shared" si="72"/>
        <v>2</v>
      </c>
      <c r="K812" t="str">
        <f>VLOOKUP(B812,Raw_Suppliers!$A$2:$G$101,2,FALSE)</f>
        <v>Beta Apex Corp</v>
      </c>
      <c r="L812" t="str">
        <f>VLOOKUP(B812,Raw_Suppliers!$A$2:$G$101,3,FALSE)</f>
        <v>India</v>
      </c>
      <c r="M812" t="str">
        <f>VLOOKUP(B812,Raw_Suppliers!$A$2:$G$101,4,FALSE)</f>
        <v>Central</v>
      </c>
      <c r="N812" t="str">
        <f>VLOOKUP(B812,Raw_Suppliers!$A$2:$G$101,6,FALSE)</f>
        <v>ISO 9001</v>
      </c>
      <c r="O812">
        <f>VLOOKUP(B812,Raw_Suppliers!$A$2:$G$101,7,FALSE)</f>
        <v>0</v>
      </c>
      <c r="P812" t="str">
        <f t="shared" si="73"/>
        <v>No</v>
      </c>
      <c r="Q812">
        <f t="shared" si="74"/>
        <v>0</v>
      </c>
      <c r="R812" t="str">
        <f t="shared" si="75"/>
        <v>Late</v>
      </c>
      <c r="S812">
        <f t="shared" si="76"/>
        <v>2022</v>
      </c>
      <c r="T812">
        <f t="shared" si="77"/>
        <v>10</v>
      </c>
    </row>
    <row r="813" spans="1:20" x14ac:dyDescent="0.25">
      <c r="A813" t="s">
        <v>1116</v>
      </c>
      <c r="B813" t="s">
        <v>247</v>
      </c>
      <c r="C813" t="s">
        <v>701</v>
      </c>
      <c r="D813" s="1">
        <v>44497</v>
      </c>
      <c r="E813">
        <v>10</v>
      </c>
      <c r="F813">
        <v>64.184071292115306</v>
      </c>
      <c r="G813" s="1">
        <v>44520</v>
      </c>
      <c r="H813" s="1">
        <v>44517</v>
      </c>
      <c r="I813">
        <v>641.840712921153</v>
      </c>
      <c r="J813">
        <f t="shared" si="72"/>
        <v>-3</v>
      </c>
      <c r="K813" t="str">
        <f>VLOOKUP(B813,Raw_Suppliers!$A$2:$G$101,2,FALSE)</f>
        <v>Ultra Apex LLC</v>
      </c>
      <c r="L813" t="str">
        <f>VLOOKUP(B813,Raw_Suppliers!$A$2:$G$101,3,FALSE)</f>
        <v>Germany</v>
      </c>
      <c r="M813" t="str">
        <f>VLOOKUP(B813,Raw_Suppliers!$A$2:$G$101,4,FALSE)</f>
        <v>West</v>
      </c>
      <c r="N813" t="str">
        <f>VLOOKUP(B813,Raw_Suppliers!$A$2:$G$101,6,FALSE)</f>
        <v>ISO 9001</v>
      </c>
      <c r="O813">
        <f>VLOOKUP(B813,Raw_Suppliers!$A$2:$G$101,7,FALSE)</f>
        <v>0</v>
      </c>
      <c r="P813" t="str">
        <f t="shared" si="73"/>
        <v>No</v>
      </c>
      <c r="Q813">
        <f t="shared" si="74"/>
        <v>1</v>
      </c>
      <c r="R813" t="str">
        <f t="shared" si="75"/>
        <v>On Time</v>
      </c>
      <c r="S813">
        <f t="shared" si="76"/>
        <v>2021</v>
      </c>
      <c r="T813">
        <f t="shared" si="77"/>
        <v>10</v>
      </c>
    </row>
    <row r="814" spans="1:20" x14ac:dyDescent="0.25">
      <c r="A814" t="s">
        <v>1117</v>
      </c>
      <c r="B814" t="s">
        <v>216</v>
      </c>
      <c r="C814" t="s">
        <v>462</v>
      </c>
      <c r="D814" s="1">
        <v>44866</v>
      </c>
      <c r="E814">
        <v>13</v>
      </c>
      <c r="F814">
        <v>13.1970369878872</v>
      </c>
      <c r="G814" s="1">
        <v>44876</v>
      </c>
      <c r="H814" s="1">
        <v>44878</v>
      </c>
      <c r="I814">
        <v>171.561480842534</v>
      </c>
      <c r="J814">
        <f t="shared" si="72"/>
        <v>2</v>
      </c>
      <c r="K814" t="str">
        <f>VLOOKUP(B814,Raw_Suppliers!$A$2:$G$101,2,FALSE)</f>
        <v>Fusion Delta LLC</v>
      </c>
      <c r="L814" t="str">
        <f>VLOOKUP(B814,Raw_Suppliers!$A$2:$G$101,3,FALSE)</f>
        <v>Brazil</v>
      </c>
      <c r="M814" t="str">
        <f>VLOOKUP(B814,Raw_Suppliers!$A$2:$G$101,4,FALSE)</f>
        <v>Central</v>
      </c>
      <c r="N814" t="str">
        <f>VLOOKUP(B814,Raw_Suppliers!$A$2:$G$101,6,FALSE)</f>
        <v>ISO 14001</v>
      </c>
      <c r="O814">
        <f>VLOOKUP(B814,Raw_Suppliers!$A$2:$G$101,7,FALSE)</f>
        <v>0</v>
      </c>
      <c r="P814" t="str">
        <f t="shared" si="73"/>
        <v>No</v>
      </c>
      <c r="Q814">
        <f t="shared" si="74"/>
        <v>0</v>
      </c>
      <c r="R814" t="str">
        <f t="shared" si="75"/>
        <v>Late</v>
      </c>
      <c r="S814">
        <f t="shared" si="76"/>
        <v>2022</v>
      </c>
      <c r="T814">
        <f t="shared" si="77"/>
        <v>11</v>
      </c>
    </row>
    <row r="815" spans="1:20" x14ac:dyDescent="0.25">
      <c r="A815" t="s">
        <v>1118</v>
      </c>
      <c r="B815" t="s">
        <v>119</v>
      </c>
      <c r="C815" t="s">
        <v>400</v>
      </c>
      <c r="D815" s="1">
        <v>44679</v>
      </c>
      <c r="E815">
        <v>11</v>
      </c>
      <c r="F815">
        <v>63.935522596388402</v>
      </c>
      <c r="G815" s="1">
        <v>44700</v>
      </c>
      <c r="H815" s="1">
        <v>44704</v>
      </c>
      <c r="I815">
        <v>703.29074856027296</v>
      </c>
      <c r="J815">
        <f t="shared" si="72"/>
        <v>4</v>
      </c>
      <c r="K815" t="str">
        <f>VLOOKUP(B815,Raw_Suppliers!$A$2:$G$101,2,FALSE)</f>
        <v>Pioneer Apex Corp</v>
      </c>
      <c r="L815" t="str">
        <f>VLOOKUP(B815,Raw_Suppliers!$A$2:$G$101,3,FALSE)</f>
        <v>USA</v>
      </c>
      <c r="M815" t="str">
        <f>VLOOKUP(B815,Raw_Suppliers!$A$2:$G$101,4,FALSE)</f>
        <v>Central</v>
      </c>
      <c r="N815" t="str">
        <f>VLOOKUP(B815,Raw_Suppliers!$A$2:$G$101,6,FALSE)</f>
        <v>None</v>
      </c>
      <c r="O815">
        <f>VLOOKUP(B815,Raw_Suppliers!$A$2:$G$101,7,FALSE)</f>
        <v>0</v>
      </c>
      <c r="P815" t="str">
        <f t="shared" si="73"/>
        <v>No</v>
      </c>
      <c r="Q815">
        <f t="shared" si="74"/>
        <v>0</v>
      </c>
      <c r="R815" t="str">
        <f t="shared" si="75"/>
        <v>Late</v>
      </c>
      <c r="S815">
        <f t="shared" si="76"/>
        <v>2022</v>
      </c>
      <c r="T815">
        <f t="shared" si="77"/>
        <v>4</v>
      </c>
    </row>
    <row r="816" spans="1:20" x14ac:dyDescent="0.25">
      <c r="A816" t="s">
        <v>1119</v>
      </c>
      <c r="B816" t="s">
        <v>350</v>
      </c>
      <c r="C816" t="s">
        <v>35</v>
      </c>
      <c r="D816" s="1">
        <v>45025</v>
      </c>
      <c r="E816">
        <v>8</v>
      </c>
      <c r="F816">
        <v>14.0172127870939</v>
      </c>
      <c r="G816" s="1">
        <v>45041</v>
      </c>
      <c r="H816" s="1">
        <v>45040</v>
      </c>
      <c r="I816">
        <v>112.137702296751</v>
      </c>
      <c r="J816">
        <f t="shared" si="72"/>
        <v>-1</v>
      </c>
      <c r="K816" t="str">
        <f>VLOOKUP(B816,Raw_Suppliers!$A$2:$G$101,2,FALSE)</f>
        <v>Prime Gamma GmbH</v>
      </c>
      <c r="L816" t="str">
        <f>VLOOKUP(B816,Raw_Suppliers!$A$2:$G$101,3,FALSE)</f>
        <v>Denmark</v>
      </c>
      <c r="M816" t="str">
        <f>VLOOKUP(B816,Raw_Suppliers!$A$2:$G$101,4,FALSE)</f>
        <v>West</v>
      </c>
      <c r="N816" t="str">
        <f>VLOOKUP(B816,Raw_Suppliers!$A$2:$G$101,6,FALSE)</f>
        <v>ISO 9001</v>
      </c>
      <c r="O816">
        <f>VLOOKUP(B816,Raw_Suppliers!$A$2:$G$101,7,FALSE)</f>
        <v>0</v>
      </c>
      <c r="P816" t="str">
        <f t="shared" si="73"/>
        <v>No</v>
      </c>
      <c r="Q816">
        <f t="shared" si="74"/>
        <v>1</v>
      </c>
      <c r="R816" t="str">
        <f t="shared" si="75"/>
        <v>On Time</v>
      </c>
      <c r="S816">
        <f t="shared" si="76"/>
        <v>2023</v>
      </c>
      <c r="T816">
        <f t="shared" si="77"/>
        <v>4</v>
      </c>
    </row>
    <row r="817" spans="1:20" x14ac:dyDescent="0.25">
      <c r="A817" t="s">
        <v>1120</v>
      </c>
      <c r="B817" t="s">
        <v>394</v>
      </c>
      <c r="C817" t="s">
        <v>302</v>
      </c>
      <c r="D817" s="1">
        <v>45028</v>
      </c>
      <c r="E817">
        <v>11</v>
      </c>
      <c r="F817">
        <v>6.3039926307939602</v>
      </c>
      <c r="G817" s="1">
        <v>45049</v>
      </c>
      <c r="H817" s="1">
        <v>45049</v>
      </c>
      <c r="I817">
        <v>69.343918938733495</v>
      </c>
      <c r="J817">
        <f t="shared" si="72"/>
        <v>0</v>
      </c>
      <c r="K817" t="str">
        <f>VLOOKUP(B817,Raw_Suppliers!$A$2:$G$101,2,FALSE)</f>
        <v>Ultra Prime Inc</v>
      </c>
      <c r="L817" t="str">
        <f>VLOOKUP(B817,Raw_Suppliers!$A$2:$G$101,3,FALSE)</f>
        <v>Brazil</v>
      </c>
      <c r="M817" t="str">
        <f>VLOOKUP(B817,Raw_Suppliers!$A$2:$G$101,4,FALSE)</f>
        <v>West</v>
      </c>
      <c r="N817" t="str">
        <f>VLOOKUP(B817,Raw_Suppliers!$A$2:$G$101,6,FALSE)</f>
        <v>ISO 9001</v>
      </c>
      <c r="O817">
        <f>VLOOKUP(B817,Raw_Suppliers!$A$2:$G$101,7,FALSE)</f>
        <v>1</v>
      </c>
      <c r="P817" t="str">
        <f t="shared" si="73"/>
        <v>Yes</v>
      </c>
      <c r="Q817">
        <f t="shared" si="74"/>
        <v>1</v>
      </c>
      <c r="R817" t="str">
        <f t="shared" si="75"/>
        <v>On Time</v>
      </c>
      <c r="S817">
        <f t="shared" si="76"/>
        <v>2023</v>
      </c>
      <c r="T817">
        <f t="shared" si="77"/>
        <v>4</v>
      </c>
    </row>
    <row r="818" spans="1:20" x14ac:dyDescent="0.25">
      <c r="A818" t="s">
        <v>1121</v>
      </c>
      <c r="B818" t="s">
        <v>314</v>
      </c>
      <c r="C818" t="s">
        <v>117</v>
      </c>
      <c r="D818" s="1">
        <v>44535</v>
      </c>
      <c r="E818">
        <v>11</v>
      </c>
      <c r="F818">
        <v>56.336485870664397</v>
      </c>
      <c r="G818" s="1">
        <v>44548</v>
      </c>
      <c r="H818" s="1">
        <v>44551</v>
      </c>
      <c r="I818">
        <v>619.70134457730899</v>
      </c>
      <c r="J818">
        <f t="shared" si="72"/>
        <v>3</v>
      </c>
      <c r="K818" t="str">
        <f>VLOOKUP(B818,Raw_Suppliers!$A$2:$G$101,2,FALSE)</f>
        <v>Gamma Nova Ltd</v>
      </c>
      <c r="L818" t="str">
        <f>VLOOKUP(B818,Raw_Suppliers!$A$2:$G$101,3,FALSE)</f>
        <v>USA</v>
      </c>
      <c r="M818" t="str">
        <f>VLOOKUP(B818,Raw_Suppliers!$A$2:$G$101,4,FALSE)</f>
        <v>North</v>
      </c>
      <c r="N818" t="str">
        <f>VLOOKUP(B818,Raw_Suppliers!$A$2:$G$101,6,FALSE)</f>
        <v>ISO 45001</v>
      </c>
      <c r="O818">
        <f>VLOOKUP(B818,Raw_Suppliers!$A$2:$G$101,7,FALSE)</f>
        <v>0</v>
      </c>
      <c r="P818" t="str">
        <f t="shared" si="73"/>
        <v>No</v>
      </c>
      <c r="Q818">
        <f t="shared" si="74"/>
        <v>0</v>
      </c>
      <c r="R818" t="str">
        <f t="shared" si="75"/>
        <v>Late</v>
      </c>
      <c r="S818">
        <f t="shared" si="76"/>
        <v>2021</v>
      </c>
      <c r="T818">
        <f t="shared" si="77"/>
        <v>12</v>
      </c>
    </row>
    <row r="819" spans="1:20" x14ac:dyDescent="0.25">
      <c r="A819" t="s">
        <v>1122</v>
      </c>
      <c r="B819" t="s">
        <v>16</v>
      </c>
      <c r="C819" t="s">
        <v>701</v>
      </c>
      <c r="D819" s="1">
        <v>45180</v>
      </c>
      <c r="E819">
        <v>14</v>
      </c>
      <c r="F819">
        <v>30.976245500883401</v>
      </c>
      <c r="G819" s="1">
        <v>45191</v>
      </c>
      <c r="H819" s="1">
        <v>45190</v>
      </c>
      <c r="I819">
        <v>433.66743701236697</v>
      </c>
      <c r="J819">
        <f t="shared" si="72"/>
        <v>-1</v>
      </c>
      <c r="K819" t="str">
        <f>VLOOKUP(B819,Raw_Suppliers!$A$2:$G$101,2,FALSE)</f>
        <v>Beta Pioneer Inc</v>
      </c>
      <c r="L819" t="str">
        <f>VLOOKUP(B819,Raw_Suppliers!$A$2:$G$101,3,FALSE)</f>
        <v>USA</v>
      </c>
      <c r="M819" t="str">
        <f>VLOOKUP(B819,Raw_Suppliers!$A$2:$G$101,4,FALSE)</f>
        <v>Central</v>
      </c>
      <c r="N819" t="str">
        <f>VLOOKUP(B819,Raw_Suppliers!$A$2:$G$101,6,FALSE)</f>
        <v>ISO 45001</v>
      </c>
      <c r="O819">
        <f>VLOOKUP(B819,Raw_Suppliers!$A$2:$G$101,7,FALSE)</f>
        <v>1</v>
      </c>
      <c r="P819" t="str">
        <f t="shared" si="73"/>
        <v>Yes</v>
      </c>
      <c r="Q819">
        <f t="shared" si="74"/>
        <v>1</v>
      </c>
      <c r="R819" t="str">
        <f t="shared" si="75"/>
        <v>On Time</v>
      </c>
      <c r="S819">
        <f t="shared" si="76"/>
        <v>2023</v>
      </c>
      <c r="T819">
        <f t="shared" si="77"/>
        <v>9</v>
      </c>
    </row>
    <row r="820" spans="1:20" x14ac:dyDescent="0.25">
      <c r="A820" t="s">
        <v>1123</v>
      </c>
      <c r="B820" t="s">
        <v>85</v>
      </c>
      <c r="C820" t="s">
        <v>402</v>
      </c>
      <c r="D820" s="1">
        <v>44442</v>
      </c>
      <c r="E820">
        <v>12</v>
      </c>
      <c r="F820">
        <v>66.863388685687198</v>
      </c>
      <c r="G820" s="1">
        <v>44464</v>
      </c>
      <c r="H820" s="1">
        <v>44464</v>
      </c>
      <c r="I820">
        <v>802.36066422824695</v>
      </c>
      <c r="J820">
        <f t="shared" si="72"/>
        <v>0</v>
      </c>
      <c r="K820" t="str">
        <f>VLOOKUP(B820,Raw_Suppliers!$A$2:$G$101,2,FALSE)</f>
        <v>Fusion Gamma LLC</v>
      </c>
      <c r="L820" t="str">
        <f>VLOOKUP(B820,Raw_Suppliers!$A$2:$G$101,3,FALSE)</f>
        <v>China</v>
      </c>
      <c r="M820" t="str">
        <f>VLOOKUP(B820,Raw_Suppliers!$A$2:$G$101,4,FALSE)</f>
        <v>East</v>
      </c>
      <c r="N820" t="str">
        <f>VLOOKUP(B820,Raw_Suppliers!$A$2:$G$101,6,FALSE)</f>
        <v>ISO 9001</v>
      </c>
      <c r="O820">
        <f>VLOOKUP(B820,Raw_Suppliers!$A$2:$G$101,7,FALSE)</f>
        <v>1</v>
      </c>
      <c r="P820" t="str">
        <f t="shared" si="73"/>
        <v>Yes</v>
      </c>
      <c r="Q820">
        <f t="shared" si="74"/>
        <v>1</v>
      </c>
      <c r="R820" t="str">
        <f t="shared" si="75"/>
        <v>On Time</v>
      </c>
      <c r="S820">
        <f t="shared" si="76"/>
        <v>2021</v>
      </c>
      <c r="T820">
        <f t="shared" si="77"/>
        <v>9</v>
      </c>
    </row>
    <row r="821" spans="1:20" x14ac:dyDescent="0.25">
      <c r="A821" t="s">
        <v>1124</v>
      </c>
      <c r="B821" t="s">
        <v>578</v>
      </c>
      <c r="C821" t="s">
        <v>521</v>
      </c>
      <c r="D821" s="1">
        <v>44737</v>
      </c>
      <c r="E821">
        <v>11</v>
      </c>
      <c r="F821">
        <v>67.190221519655296</v>
      </c>
      <c r="G821" s="1">
        <v>44750</v>
      </c>
      <c r="H821" s="1">
        <v>44753</v>
      </c>
      <c r="I821">
        <v>739.092436716208</v>
      </c>
      <c r="J821">
        <f t="shared" si="72"/>
        <v>3</v>
      </c>
      <c r="K821" t="str">
        <f>VLOOKUP(B821,Raw_Suppliers!$A$2:$G$101,2,FALSE)</f>
        <v>Beta Eco Ltd</v>
      </c>
      <c r="L821" t="str">
        <f>VLOOKUP(B821,Raw_Suppliers!$A$2:$G$101,3,FALSE)</f>
        <v>Canada</v>
      </c>
      <c r="M821" t="str">
        <f>VLOOKUP(B821,Raw_Suppliers!$A$2:$G$101,4,FALSE)</f>
        <v>East</v>
      </c>
      <c r="N821" t="str">
        <f>VLOOKUP(B821,Raw_Suppliers!$A$2:$G$101,6,FALSE)</f>
        <v>None</v>
      </c>
      <c r="O821">
        <f>VLOOKUP(B821,Raw_Suppliers!$A$2:$G$101,7,FALSE)</f>
        <v>0</v>
      </c>
      <c r="P821" t="str">
        <f t="shared" si="73"/>
        <v>No</v>
      </c>
      <c r="Q821">
        <f t="shared" si="74"/>
        <v>0</v>
      </c>
      <c r="R821" t="str">
        <f t="shared" si="75"/>
        <v>Late</v>
      </c>
      <c r="S821">
        <f t="shared" si="76"/>
        <v>2022</v>
      </c>
      <c r="T821">
        <f t="shared" si="77"/>
        <v>6</v>
      </c>
    </row>
    <row r="822" spans="1:20" x14ac:dyDescent="0.25">
      <c r="A822" t="s">
        <v>1125</v>
      </c>
      <c r="B822" t="s">
        <v>359</v>
      </c>
      <c r="C822" t="s">
        <v>473</v>
      </c>
      <c r="D822" s="1">
        <v>44938</v>
      </c>
      <c r="E822">
        <v>9</v>
      </c>
      <c r="F822">
        <v>17.664915219210801</v>
      </c>
      <c r="G822" s="1">
        <v>44955</v>
      </c>
      <c r="H822" s="1">
        <v>44953</v>
      </c>
      <c r="I822">
        <v>158.98423697289701</v>
      </c>
      <c r="J822">
        <f t="shared" si="72"/>
        <v>-2</v>
      </c>
      <c r="K822" t="str">
        <f>VLOOKUP(B822,Raw_Suppliers!$A$2:$G$101,2,FALSE)</f>
        <v>Alpha Alpha Corp</v>
      </c>
      <c r="L822" t="str">
        <f>VLOOKUP(B822,Raw_Suppliers!$A$2:$G$101,3,FALSE)</f>
        <v>India</v>
      </c>
      <c r="M822" t="str">
        <f>VLOOKUP(B822,Raw_Suppliers!$A$2:$G$101,4,FALSE)</f>
        <v>North</v>
      </c>
      <c r="N822" t="str">
        <f>VLOOKUP(B822,Raw_Suppliers!$A$2:$G$101,6,FALSE)</f>
        <v>ISO 9001</v>
      </c>
      <c r="O822">
        <f>VLOOKUP(B822,Raw_Suppliers!$A$2:$G$101,7,FALSE)</f>
        <v>1</v>
      </c>
      <c r="P822" t="str">
        <f t="shared" si="73"/>
        <v>Yes</v>
      </c>
      <c r="Q822">
        <f t="shared" si="74"/>
        <v>1</v>
      </c>
      <c r="R822" t="str">
        <f t="shared" si="75"/>
        <v>On Time</v>
      </c>
      <c r="S822">
        <f t="shared" si="76"/>
        <v>2023</v>
      </c>
      <c r="T822">
        <f t="shared" si="77"/>
        <v>1</v>
      </c>
    </row>
    <row r="823" spans="1:20" x14ac:dyDescent="0.25">
      <c r="A823" t="s">
        <v>1126</v>
      </c>
      <c r="B823" t="s">
        <v>240</v>
      </c>
      <c r="C823" t="s">
        <v>430</v>
      </c>
      <c r="D823" s="1">
        <v>44972</v>
      </c>
      <c r="E823">
        <v>7</v>
      </c>
      <c r="F823">
        <v>18.928856108000801</v>
      </c>
      <c r="G823" s="1">
        <v>44996</v>
      </c>
      <c r="H823" s="1">
        <v>44999</v>
      </c>
      <c r="I823">
        <v>132.501992756005</v>
      </c>
      <c r="J823">
        <f t="shared" si="72"/>
        <v>3</v>
      </c>
      <c r="K823" t="str">
        <f>VLOOKUP(B823,Raw_Suppliers!$A$2:$G$101,2,FALSE)</f>
        <v>Apex Omega LLC</v>
      </c>
      <c r="L823" t="str">
        <f>VLOOKUP(B823,Raw_Suppliers!$A$2:$G$101,3,FALSE)</f>
        <v>UK</v>
      </c>
      <c r="M823" t="str">
        <f>VLOOKUP(B823,Raw_Suppliers!$A$2:$G$101,4,FALSE)</f>
        <v>South</v>
      </c>
      <c r="N823" t="str">
        <f>VLOOKUP(B823,Raw_Suppliers!$A$2:$G$101,6,FALSE)</f>
        <v>ISO 9001</v>
      </c>
      <c r="O823">
        <f>VLOOKUP(B823,Raw_Suppliers!$A$2:$G$101,7,FALSE)</f>
        <v>0</v>
      </c>
      <c r="P823" t="str">
        <f t="shared" si="73"/>
        <v>No</v>
      </c>
      <c r="Q823">
        <f t="shared" si="74"/>
        <v>0</v>
      </c>
      <c r="R823" t="str">
        <f t="shared" si="75"/>
        <v>Late</v>
      </c>
      <c r="S823">
        <f t="shared" si="76"/>
        <v>2023</v>
      </c>
      <c r="T823">
        <f t="shared" si="77"/>
        <v>2</v>
      </c>
    </row>
    <row r="824" spans="1:20" x14ac:dyDescent="0.25">
      <c r="A824" t="s">
        <v>1127</v>
      </c>
      <c r="B824" t="s">
        <v>216</v>
      </c>
      <c r="C824" t="s">
        <v>356</v>
      </c>
      <c r="D824" s="1">
        <v>44772</v>
      </c>
      <c r="E824">
        <v>10</v>
      </c>
      <c r="F824">
        <v>37.823956834444999</v>
      </c>
      <c r="G824" s="1">
        <v>44786</v>
      </c>
      <c r="H824" s="1">
        <v>44790</v>
      </c>
      <c r="I824">
        <v>378.23956834444999</v>
      </c>
      <c r="J824">
        <f t="shared" si="72"/>
        <v>4</v>
      </c>
      <c r="K824" t="str">
        <f>VLOOKUP(B824,Raw_Suppliers!$A$2:$G$101,2,FALSE)</f>
        <v>Fusion Delta LLC</v>
      </c>
      <c r="L824" t="str">
        <f>VLOOKUP(B824,Raw_Suppliers!$A$2:$G$101,3,FALSE)</f>
        <v>Brazil</v>
      </c>
      <c r="M824" t="str">
        <f>VLOOKUP(B824,Raw_Suppliers!$A$2:$G$101,4,FALSE)</f>
        <v>Central</v>
      </c>
      <c r="N824" t="str">
        <f>VLOOKUP(B824,Raw_Suppliers!$A$2:$G$101,6,FALSE)</f>
        <v>ISO 14001</v>
      </c>
      <c r="O824">
        <f>VLOOKUP(B824,Raw_Suppliers!$A$2:$G$101,7,FALSE)</f>
        <v>0</v>
      </c>
      <c r="P824" t="str">
        <f t="shared" si="73"/>
        <v>No</v>
      </c>
      <c r="Q824">
        <f t="shared" si="74"/>
        <v>0</v>
      </c>
      <c r="R824" t="str">
        <f t="shared" si="75"/>
        <v>Late</v>
      </c>
      <c r="S824">
        <f t="shared" si="76"/>
        <v>2022</v>
      </c>
      <c r="T824">
        <f t="shared" si="77"/>
        <v>7</v>
      </c>
    </row>
    <row r="825" spans="1:20" x14ac:dyDescent="0.25">
      <c r="A825" t="s">
        <v>1128</v>
      </c>
      <c r="B825" t="s">
        <v>340</v>
      </c>
      <c r="C825" t="s">
        <v>1129</v>
      </c>
      <c r="D825" s="1">
        <v>44585</v>
      </c>
      <c r="E825">
        <v>7</v>
      </c>
      <c r="F825">
        <v>5.0641854487268896</v>
      </c>
      <c r="G825" s="1">
        <v>44595</v>
      </c>
      <c r="H825" s="1">
        <v>44599</v>
      </c>
      <c r="I825">
        <v>35.4492981410882</v>
      </c>
      <c r="J825">
        <f t="shared" si="72"/>
        <v>4</v>
      </c>
      <c r="K825" t="str">
        <f>VLOOKUP(B825,Raw_Suppliers!$A$2:$G$101,2,FALSE)</f>
        <v>Pioneer Ultra GmbH</v>
      </c>
      <c r="L825" t="str">
        <f>VLOOKUP(B825,Raw_Suppliers!$A$2:$G$101,3,FALSE)</f>
        <v>China</v>
      </c>
      <c r="M825" t="str">
        <f>VLOOKUP(B825,Raw_Suppliers!$A$2:$G$101,4,FALSE)</f>
        <v>Central</v>
      </c>
      <c r="N825" t="str">
        <f>VLOOKUP(B825,Raw_Suppliers!$A$2:$G$101,6,FALSE)</f>
        <v>ISO 9001</v>
      </c>
      <c r="O825">
        <f>VLOOKUP(B825,Raw_Suppliers!$A$2:$G$101,7,FALSE)</f>
        <v>0</v>
      </c>
      <c r="P825" t="str">
        <f t="shared" si="73"/>
        <v>No</v>
      </c>
      <c r="Q825">
        <f t="shared" si="74"/>
        <v>0</v>
      </c>
      <c r="R825" t="str">
        <f t="shared" si="75"/>
        <v>Late</v>
      </c>
      <c r="S825">
        <f t="shared" si="76"/>
        <v>2022</v>
      </c>
      <c r="T825">
        <f t="shared" si="77"/>
        <v>1</v>
      </c>
    </row>
    <row r="826" spans="1:20" x14ac:dyDescent="0.25">
      <c r="A826" t="s">
        <v>1130</v>
      </c>
      <c r="B826" t="s">
        <v>314</v>
      </c>
      <c r="C826" t="s">
        <v>495</v>
      </c>
      <c r="D826" s="1">
        <v>44371</v>
      </c>
      <c r="E826">
        <v>5</v>
      </c>
      <c r="F826">
        <v>39.2270759290355</v>
      </c>
      <c r="G826" s="1">
        <v>44388</v>
      </c>
      <c r="H826" s="1">
        <v>44388</v>
      </c>
      <c r="I826">
        <v>196.13537964517701</v>
      </c>
      <c r="J826">
        <f t="shared" si="72"/>
        <v>0</v>
      </c>
      <c r="K826" t="str">
        <f>VLOOKUP(B826,Raw_Suppliers!$A$2:$G$101,2,FALSE)</f>
        <v>Gamma Nova Ltd</v>
      </c>
      <c r="L826" t="str">
        <f>VLOOKUP(B826,Raw_Suppliers!$A$2:$G$101,3,FALSE)</f>
        <v>USA</v>
      </c>
      <c r="M826" t="str">
        <f>VLOOKUP(B826,Raw_Suppliers!$A$2:$G$101,4,FALSE)</f>
        <v>North</v>
      </c>
      <c r="N826" t="str">
        <f>VLOOKUP(B826,Raw_Suppliers!$A$2:$G$101,6,FALSE)</f>
        <v>ISO 45001</v>
      </c>
      <c r="O826">
        <f>VLOOKUP(B826,Raw_Suppliers!$A$2:$G$101,7,FALSE)</f>
        <v>0</v>
      </c>
      <c r="P826" t="str">
        <f t="shared" si="73"/>
        <v>No</v>
      </c>
      <c r="Q826">
        <f t="shared" si="74"/>
        <v>1</v>
      </c>
      <c r="R826" t="str">
        <f t="shared" si="75"/>
        <v>On Time</v>
      </c>
      <c r="S826">
        <f t="shared" si="76"/>
        <v>2021</v>
      </c>
      <c r="T826">
        <f t="shared" si="77"/>
        <v>6</v>
      </c>
    </row>
    <row r="827" spans="1:20" x14ac:dyDescent="0.25">
      <c r="A827" t="s">
        <v>1131</v>
      </c>
      <c r="B827" t="s">
        <v>40</v>
      </c>
      <c r="C827" t="s">
        <v>110</v>
      </c>
      <c r="D827" s="1">
        <v>44971</v>
      </c>
      <c r="E827">
        <v>15</v>
      </c>
      <c r="F827">
        <v>50.5384348480762</v>
      </c>
      <c r="G827" s="1">
        <v>44992</v>
      </c>
      <c r="H827" s="1">
        <v>44994</v>
      </c>
      <c r="I827">
        <v>758.07652272114399</v>
      </c>
      <c r="J827">
        <f t="shared" si="72"/>
        <v>2</v>
      </c>
      <c r="K827" t="str">
        <f>VLOOKUP(B827,Raw_Suppliers!$A$2:$G$101,2,FALSE)</f>
        <v>Ultra Apex Inc</v>
      </c>
      <c r="L827" t="str">
        <f>VLOOKUP(B827,Raw_Suppliers!$A$2:$G$101,3,FALSE)</f>
        <v>India</v>
      </c>
      <c r="M827" t="str">
        <f>VLOOKUP(B827,Raw_Suppliers!$A$2:$G$101,4,FALSE)</f>
        <v>West</v>
      </c>
      <c r="N827" t="str">
        <f>VLOOKUP(B827,Raw_Suppliers!$A$2:$G$101,6,FALSE)</f>
        <v>ISO 9001</v>
      </c>
      <c r="O827">
        <f>VLOOKUP(B827,Raw_Suppliers!$A$2:$G$101,7,FALSE)</f>
        <v>0</v>
      </c>
      <c r="P827" t="str">
        <f t="shared" si="73"/>
        <v>No</v>
      </c>
      <c r="Q827">
        <f t="shared" si="74"/>
        <v>0</v>
      </c>
      <c r="R827" t="str">
        <f t="shared" si="75"/>
        <v>Late</v>
      </c>
      <c r="S827">
        <f t="shared" si="76"/>
        <v>2023</v>
      </c>
      <c r="T827">
        <f t="shared" si="77"/>
        <v>2</v>
      </c>
    </row>
    <row r="828" spans="1:20" x14ac:dyDescent="0.25">
      <c r="A828" t="s">
        <v>1132</v>
      </c>
      <c r="B828" t="s">
        <v>186</v>
      </c>
      <c r="C828" t="s">
        <v>691</v>
      </c>
      <c r="D828" s="1">
        <v>44305</v>
      </c>
      <c r="E828">
        <v>9</v>
      </c>
      <c r="F828">
        <v>4.8905124781593203</v>
      </c>
      <c r="G828" s="1">
        <v>44324</v>
      </c>
      <c r="H828" s="1">
        <v>44322</v>
      </c>
      <c r="I828">
        <v>44.0146123034339</v>
      </c>
      <c r="J828">
        <f t="shared" si="72"/>
        <v>-2</v>
      </c>
      <c r="K828" t="str">
        <f>VLOOKUP(B828,Raw_Suppliers!$A$2:$G$101,2,FALSE)</f>
        <v>Omega Vertex Inc</v>
      </c>
      <c r="L828" t="str">
        <f>VLOOKUP(B828,Raw_Suppliers!$A$2:$G$101,3,FALSE)</f>
        <v>China</v>
      </c>
      <c r="M828" t="str">
        <f>VLOOKUP(B828,Raw_Suppliers!$A$2:$G$101,4,FALSE)</f>
        <v>West</v>
      </c>
      <c r="N828" t="str">
        <f>VLOOKUP(B828,Raw_Suppliers!$A$2:$G$101,6,FALSE)</f>
        <v>ISO 14001</v>
      </c>
      <c r="O828">
        <f>VLOOKUP(B828,Raw_Suppliers!$A$2:$G$101,7,FALSE)</f>
        <v>1</v>
      </c>
      <c r="P828" t="str">
        <f t="shared" si="73"/>
        <v>Yes</v>
      </c>
      <c r="Q828">
        <f t="shared" si="74"/>
        <v>1</v>
      </c>
      <c r="R828" t="str">
        <f t="shared" si="75"/>
        <v>On Time</v>
      </c>
      <c r="S828">
        <f t="shared" si="76"/>
        <v>2021</v>
      </c>
      <c r="T828">
        <f t="shared" si="77"/>
        <v>4</v>
      </c>
    </row>
    <row r="829" spans="1:20" x14ac:dyDescent="0.25">
      <c r="A829" t="s">
        <v>1133</v>
      </c>
      <c r="B829" t="s">
        <v>326</v>
      </c>
      <c r="C829" t="s">
        <v>701</v>
      </c>
      <c r="D829" s="1">
        <v>45091</v>
      </c>
      <c r="E829">
        <v>11</v>
      </c>
      <c r="F829">
        <v>22.2368965102192</v>
      </c>
      <c r="G829" s="1">
        <v>45112</v>
      </c>
      <c r="H829" s="1">
        <v>45117</v>
      </c>
      <c r="I829">
        <v>244.60586161241099</v>
      </c>
      <c r="J829">
        <f t="shared" si="72"/>
        <v>5</v>
      </c>
      <c r="K829" t="str">
        <f>VLOOKUP(B829,Raw_Suppliers!$A$2:$G$101,2,FALSE)</f>
        <v>Ultra Fusion Corp</v>
      </c>
      <c r="L829" t="str">
        <f>VLOOKUP(B829,Raw_Suppliers!$A$2:$G$101,3,FALSE)</f>
        <v>Canada</v>
      </c>
      <c r="M829" t="str">
        <f>VLOOKUP(B829,Raw_Suppliers!$A$2:$G$101,4,FALSE)</f>
        <v>South</v>
      </c>
      <c r="N829" t="str">
        <f>VLOOKUP(B829,Raw_Suppliers!$A$2:$G$101,6,FALSE)</f>
        <v>None</v>
      </c>
      <c r="O829">
        <f>VLOOKUP(B829,Raw_Suppliers!$A$2:$G$101,7,FALSE)</f>
        <v>1</v>
      </c>
      <c r="P829" t="str">
        <f t="shared" si="73"/>
        <v>Yes</v>
      </c>
      <c r="Q829">
        <f t="shared" si="74"/>
        <v>0</v>
      </c>
      <c r="R829" t="str">
        <f t="shared" si="75"/>
        <v>Late</v>
      </c>
      <c r="S829">
        <f t="shared" si="76"/>
        <v>2023</v>
      </c>
      <c r="T829">
        <f t="shared" si="77"/>
        <v>6</v>
      </c>
    </row>
    <row r="830" spans="1:20" x14ac:dyDescent="0.25">
      <c r="A830" t="s">
        <v>1134</v>
      </c>
      <c r="B830" t="s">
        <v>617</v>
      </c>
      <c r="C830" t="s">
        <v>391</v>
      </c>
      <c r="D830" s="1">
        <v>45167</v>
      </c>
      <c r="E830">
        <v>11</v>
      </c>
      <c r="F830">
        <v>33.798925038965201</v>
      </c>
      <c r="G830" s="1">
        <v>45182</v>
      </c>
      <c r="H830" s="1">
        <v>45181</v>
      </c>
      <c r="I830">
        <v>371.78817542861799</v>
      </c>
      <c r="J830">
        <f t="shared" si="72"/>
        <v>-1</v>
      </c>
      <c r="K830" t="str">
        <f>VLOOKUP(B830,Raw_Suppliers!$A$2:$G$101,2,FALSE)</f>
        <v>Eco Vertex Ltd</v>
      </c>
      <c r="L830" t="str">
        <f>VLOOKUP(B830,Raw_Suppliers!$A$2:$G$101,3,FALSE)</f>
        <v>UK</v>
      </c>
      <c r="M830" t="str">
        <f>VLOOKUP(B830,Raw_Suppliers!$A$2:$G$101,4,FALSE)</f>
        <v>Central</v>
      </c>
      <c r="N830" t="str">
        <f>VLOOKUP(B830,Raw_Suppliers!$A$2:$G$101,6,FALSE)</f>
        <v>None</v>
      </c>
      <c r="O830">
        <f>VLOOKUP(B830,Raw_Suppliers!$A$2:$G$101,7,FALSE)</f>
        <v>0</v>
      </c>
      <c r="P830" t="str">
        <f t="shared" si="73"/>
        <v>No</v>
      </c>
      <c r="Q830">
        <f t="shared" si="74"/>
        <v>1</v>
      </c>
      <c r="R830" t="str">
        <f t="shared" si="75"/>
        <v>On Time</v>
      </c>
      <c r="S830">
        <f t="shared" si="76"/>
        <v>2023</v>
      </c>
      <c r="T830">
        <f t="shared" si="77"/>
        <v>8</v>
      </c>
    </row>
    <row r="831" spans="1:20" x14ac:dyDescent="0.25">
      <c r="A831" t="s">
        <v>1135</v>
      </c>
      <c r="B831" t="s">
        <v>76</v>
      </c>
      <c r="C831" t="s">
        <v>100</v>
      </c>
      <c r="D831" s="1">
        <v>44498</v>
      </c>
      <c r="E831">
        <v>6</v>
      </c>
      <c r="F831">
        <v>42.697914314002198</v>
      </c>
      <c r="G831" s="1">
        <v>44512</v>
      </c>
      <c r="H831" s="1">
        <v>44511</v>
      </c>
      <c r="I831">
        <v>256.18748588401297</v>
      </c>
      <c r="J831">
        <f t="shared" si="72"/>
        <v>-1</v>
      </c>
      <c r="K831" t="str">
        <f>VLOOKUP(B831,Raw_Suppliers!$A$2:$G$101,2,FALSE)</f>
        <v>Alpha Beta Ltd</v>
      </c>
      <c r="L831" t="str">
        <f>VLOOKUP(B831,Raw_Suppliers!$A$2:$G$101,3,FALSE)</f>
        <v>UK</v>
      </c>
      <c r="M831" t="str">
        <f>VLOOKUP(B831,Raw_Suppliers!$A$2:$G$101,4,FALSE)</f>
        <v>South</v>
      </c>
      <c r="N831" t="str">
        <f>VLOOKUP(B831,Raw_Suppliers!$A$2:$G$101,6,FALSE)</f>
        <v>None</v>
      </c>
      <c r="O831">
        <f>VLOOKUP(B831,Raw_Suppliers!$A$2:$G$101,7,FALSE)</f>
        <v>1</v>
      </c>
      <c r="P831" t="str">
        <f t="shared" si="73"/>
        <v>Yes</v>
      </c>
      <c r="Q831">
        <f t="shared" si="74"/>
        <v>1</v>
      </c>
      <c r="R831" t="str">
        <f t="shared" si="75"/>
        <v>On Time</v>
      </c>
      <c r="S831">
        <f t="shared" si="76"/>
        <v>2021</v>
      </c>
      <c r="T831">
        <f t="shared" si="77"/>
        <v>10</v>
      </c>
    </row>
    <row r="832" spans="1:20" x14ac:dyDescent="0.25">
      <c r="A832" t="s">
        <v>1136</v>
      </c>
      <c r="B832" t="s">
        <v>79</v>
      </c>
      <c r="C832" t="s">
        <v>380</v>
      </c>
      <c r="D832" s="1">
        <v>44731</v>
      </c>
      <c r="E832">
        <v>14</v>
      </c>
      <c r="F832">
        <v>10.339464407673599</v>
      </c>
      <c r="G832" s="1">
        <v>44744</v>
      </c>
      <c r="H832" s="1">
        <v>44748</v>
      </c>
      <c r="I832">
        <v>144.75250170743101</v>
      </c>
      <c r="J832">
        <f t="shared" si="72"/>
        <v>4</v>
      </c>
      <c r="K832" t="str">
        <f>VLOOKUP(B832,Raw_Suppliers!$A$2:$G$101,2,FALSE)</f>
        <v>Vertex Fusion Inc</v>
      </c>
      <c r="L832" t="str">
        <f>VLOOKUP(B832,Raw_Suppliers!$A$2:$G$101,3,FALSE)</f>
        <v>India</v>
      </c>
      <c r="M832" t="str">
        <f>VLOOKUP(B832,Raw_Suppliers!$A$2:$G$101,4,FALSE)</f>
        <v>Central</v>
      </c>
      <c r="N832" t="str">
        <f>VLOOKUP(B832,Raw_Suppliers!$A$2:$G$101,6,FALSE)</f>
        <v>ISO 9001</v>
      </c>
      <c r="O832">
        <f>VLOOKUP(B832,Raw_Suppliers!$A$2:$G$101,7,FALSE)</f>
        <v>0</v>
      </c>
      <c r="P832" t="str">
        <f t="shared" si="73"/>
        <v>No</v>
      </c>
      <c r="Q832">
        <f t="shared" si="74"/>
        <v>0</v>
      </c>
      <c r="R832" t="str">
        <f t="shared" si="75"/>
        <v>Late</v>
      </c>
      <c r="S832">
        <f t="shared" si="76"/>
        <v>2022</v>
      </c>
      <c r="T832">
        <f t="shared" si="77"/>
        <v>6</v>
      </c>
    </row>
    <row r="833" spans="1:20" x14ac:dyDescent="0.25">
      <c r="A833" t="s">
        <v>1137</v>
      </c>
      <c r="B833" t="s">
        <v>411</v>
      </c>
      <c r="C833" t="s">
        <v>89</v>
      </c>
      <c r="D833" s="1">
        <v>44963</v>
      </c>
      <c r="E833">
        <v>15</v>
      </c>
      <c r="F833">
        <v>26.437772677025599</v>
      </c>
      <c r="G833" s="1">
        <v>44983</v>
      </c>
      <c r="H833" s="1">
        <v>44985</v>
      </c>
      <c r="I833">
        <v>396.56659015538401</v>
      </c>
      <c r="J833">
        <f t="shared" si="72"/>
        <v>2</v>
      </c>
      <c r="K833" t="str">
        <f>VLOOKUP(B833,Raw_Suppliers!$A$2:$G$101,2,FALSE)</f>
        <v>Gamma Nova LLC</v>
      </c>
      <c r="L833" t="str">
        <f>VLOOKUP(B833,Raw_Suppliers!$A$2:$G$101,3,FALSE)</f>
        <v>Brazil</v>
      </c>
      <c r="M833" t="str">
        <f>VLOOKUP(B833,Raw_Suppliers!$A$2:$G$101,4,FALSE)</f>
        <v>North</v>
      </c>
      <c r="N833" t="str">
        <f>VLOOKUP(B833,Raw_Suppliers!$A$2:$G$101,6,FALSE)</f>
        <v>ISO 14001</v>
      </c>
      <c r="O833">
        <f>VLOOKUP(B833,Raw_Suppliers!$A$2:$G$101,7,FALSE)</f>
        <v>1</v>
      </c>
      <c r="P833" t="str">
        <f t="shared" si="73"/>
        <v>Yes</v>
      </c>
      <c r="Q833">
        <f t="shared" si="74"/>
        <v>0</v>
      </c>
      <c r="R833" t="str">
        <f t="shared" si="75"/>
        <v>Late</v>
      </c>
      <c r="S833">
        <f t="shared" si="76"/>
        <v>2023</v>
      </c>
      <c r="T833">
        <f t="shared" si="77"/>
        <v>2</v>
      </c>
    </row>
    <row r="834" spans="1:20" x14ac:dyDescent="0.25">
      <c r="A834" t="s">
        <v>1138</v>
      </c>
      <c r="B834" t="s">
        <v>91</v>
      </c>
      <c r="C834" t="s">
        <v>341</v>
      </c>
      <c r="D834" s="1">
        <v>45085</v>
      </c>
      <c r="E834">
        <v>14</v>
      </c>
      <c r="F834">
        <v>71.486406292141297</v>
      </c>
      <c r="G834" s="1">
        <v>45096</v>
      </c>
      <c r="H834" s="1">
        <v>45096</v>
      </c>
      <c r="I834">
        <v>1000.80968808997</v>
      </c>
      <c r="J834">
        <f t="shared" si="72"/>
        <v>0</v>
      </c>
      <c r="K834" t="str">
        <f>VLOOKUP(B834,Raw_Suppliers!$A$2:$G$101,2,FALSE)</f>
        <v>Apex Prime Ltd</v>
      </c>
      <c r="L834" t="str">
        <f>VLOOKUP(B834,Raw_Suppliers!$A$2:$G$101,3,FALSE)</f>
        <v>India</v>
      </c>
      <c r="M834" t="str">
        <f>VLOOKUP(B834,Raw_Suppliers!$A$2:$G$101,4,FALSE)</f>
        <v>South</v>
      </c>
      <c r="N834" t="str">
        <f>VLOOKUP(B834,Raw_Suppliers!$A$2:$G$101,6,FALSE)</f>
        <v>ISO 9001</v>
      </c>
      <c r="O834">
        <f>VLOOKUP(B834,Raw_Suppliers!$A$2:$G$101,7,FALSE)</f>
        <v>0</v>
      </c>
      <c r="P834" t="str">
        <f t="shared" si="73"/>
        <v>No</v>
      </c>
      <c r="Q834">
        <f t="shared" si="74"/>
        <v>1</v>
      </c>
      <c r="R834" t="str">
        <f t="shared" si="75"/>
        <v>On Time</v>
      </c>
      <c r="S834">
        <f t="shared" si="76"/>
        <v>2023</v>
      </c>
      <c r="T834">
        <f t="shared" si="77"/>
        <v>6</v>
      </c>
    </row>
    <row r="835" spans="1:20" x14ac:dyDescent="0.25">
      <c r="A835" t="s">
        <v>1139</v>
      </c>
      <c r="B835" t="s">
        <v>174</v>
      </c>
      <c r="C835" t="s">
        <v>334</v>
      </c>
      <c r="D835" s="1">
        <v>44607</v>
      </c>
      <c r="E835">
        <v>13</v>
      </c>
      <c r="F835">
        <v>3.6978616405109199</v>
      </c>
      <c r="G835" s="1">
        <v>44617</v>
      </c>
      <c r="H835" s="1">
        <v>44620</v>
      </c>
      <c r="I835">
        <v>48.072201326642002</v>
      </c>
      <c r="J835">
        <f t="shared" ref="J835:J898" si="78">H835-G835</f>
        <v>3</v>
      </c>
      <c r="K835" t="str">
        <f>VLOOKUP(B835,Raw_Suppliers!$A$2:$G$101,2,FALSE)</f>
        <v>Quantum Eco LLC</v>
      </c>
      <c r="L835" t="str">
        <f>VLOOKUP(B835,Raw_Suppliers!$A$2:$G$101,3,FALSE)</f>
        <v>Denmark</v>
      </c>
      <c r="M835" t="str">
        <f>VLOOKUP(B835,Raw_Suppliers!$A$2:$G$101,4,FALSE)</f>
        <v>East</v>
      </c>
      <c r="N835" t="str">
        <f>VLOOKUP(B835,Raw_Suppliers!$A$2:$G$101,6,FALSE)</f>
        <v>ISO 9001</v>
      </c>
      <c r="O835">
        <f>VLOOKUP(B835,Raw_Suppliers!$A$2:$G$101,7,FALSE)</f>
        <v>1</v>
      </c>
      <c r="P835" t="str">
        <f t="shared" ref="P835:P898" si="79">IF(O835=1,"Yes","No")</f>
        <v>Yes</v>
      </c>
      <c r="Q835">
        <f t="shared" ref="Q835:Q898" si="80">IF(J835&lt;=0,1,0)</f>
        <v>0</v>
      </c>
      <c r="R835" t="str">
        <f t="shared" ref="R835:R898" si="81">IF(Q835=1,"On Time","Late")</f>
        <v>Late</v>
      </c>
      <c r="S835">
        <f t="shared" ref="S835:S898" si="82">YEAR(D835)</f>
        <v>2022</v>
      </c>
      <c r="T835">
        <f t="shared" ref="T835:T898" si="83">MONTH(D835)</f>
        <v>2</v>
      </c>
    </row>
    <row r="836" spans="1:20" x14ac:dyDescent="0.25">
      <c r="A836" t="s">
        <v>1140</v>
      </c>
      <c r="B836" t="s">
        <v>135</v>
      </c>
      <c r="C836" t="s">
        <v>128</v>
      </c>
      <c r="D836" s="1">
        <v>44989</v>
      </c>
      <c r="E836">
        <v>10</v>
      </c>
      <c r="F836">
        <v>75.854513479770404</v>
      </c>
      <c r="G836" s="1">
        <v>45003</v>
      </c>
      <c r="H836" s="1">
        <v>45000</v>
      </c>
      <c r="I836">
        <v>758.54513479770401</v>
      </c>
      <c r="J836">
        <f t="shared" si="78"/>
        <v>-3</v>
      </c>
      <c r="K836" t="str">
        <f>VLOOKUP(B836,Raw_Suppliers!$A$2:$G$101,2,FALSE)</f>
        <v>Alpha Prime Ltd</v>
      </c>
      <c r="L836" t="str">
        <f>VLOOKUP(B836,Raw_Suppliers!$A$2:$G$101,3,FALSE)</f>
        <v>UK</v>
      </c>
      <c r="M836" t="str">
        <f>VLOOKUP(B836,Raw_Suppliers!$A$2:$G$101,4,FALSE)</f>
        <v>East</v>
      </c>
      <c r="N836" t="str">
        <f>VLOOKUP(B836,Raw_Suppliers!$A$2:$G$101,6,FALSE)</f>
        <v>None</v>
      </c>
      <c r="O836">
        <f>VLOOKUP(B836,Raw_Suppliers!$A$2:$G$101,7,FALSE)</f>
        <v>1</v>
      </c>
      <c r="P836" t="str">
        <f t="shared" si="79"/>
        <v>Yes</v>
      </c>
      <c r="Q836">
        <f t="shared" si="80"/>
        <v>1</v>
      </c>
      <c r="R836" t="str">
        <f t="shared" si="81"/>
        <v>On Time</v>
      </c>
      <c r="S836">
        <f t="shared" si="82"/>
        <v>2023</v>
      </c>
      <c r="T836">
        <f t="shared" si="83"/>
        <v>3</v>
      </c>
    </row>
    <row r="837" spans="1:20" x14ac:dyDescent="0.25">
      <c r="A837" t="s">
        <v>1141</v>
      </c>
      <c r="B837" t="s">
        <v>67</v>
      </c>
      <c r="C837" t="s">
        <v>230</v>
      </c>
      <c r="D837" s="1">
        <v>44662</v>
      </c>
      <c r="E837">
        <v>8</v>
      </c>
      <c r="F837">
        <v>33.664447824125901</v>
      </c>
      <c r="G837" s="1">
        <v>44677</v>
      </c>
      <c r="H837" s="1">
        <v>44680</v>
      </c>
      <c r="I837">
        <v>269.31558259300698</v>
      </c>
      <c r="J837">
        <f t="shared" si="78"/>
        <v>3</v>
      </c>
      <c r="K837" t="str">
        <f>VLOOKUP(B837,Raw_Suppliers!$A$2:$G$101,2,FALSE)</f>
        <v>Nova Eco LLC</v>
      </c>
      <c r="L837" t="str">
        <f>VLOOKUP(B837,Raw_Suppliers!$A$2:$G$101,3,FALSE)</f>
        <v>Germany</v>
      </c>
      <c r="M837" t="str">
        <f>VLOOKUP(B837,Raw_Suppliers!$A$2:$G$101,4,FALSE)</f>
        <v>Central</v>
      </c>
      <c r="N837" t="str">
        <f>VLOOKUP(B837,Raw_Suppliers!$A$2:$G$101,6,FALSE)</f>
        <v>ISO 9001</v>
      </c>
      <c r="O837">
        <f>VLOOKUP(B837,Raw_Suppliers!$A$2:$G$101,7,FALSE)</f>
        <v>1</v>
      </c>
      <c r="P837" t="str">
        <f t="shared" si="79"/>
        <v>Yes</v>
      </c>
      <c r="Q837">
        <f t="shared" si="80"/>
        <v>0</v>
      </c>
      <c r="R837" t="str">
        <f t="shared" si="81"/>
        <v>Late</v>
      </c>
      <c r="S837">
        <f t="shared" si="82"/>
        <v>2022</v>
      </c>
      <c r="T837">
        <f t="shared" si="83"/>
        <v>4</v>
      </c>
    </row>
    <row r="838" spans="1:20" x14ac:dyDescent="0.25">
      <c r="A838" t="s">
        <v>1142</v>
      </c>
      <c r="B838" t="s">
        <v>293</v>
      </c>
      <c r="C838" t="s">
        <v>363</v>
      </c>
      <c r="D838" s="1">
        <v>45295</v>
      </c>
      <c r="E838">
        <v>9</v>
      </c>
      <c r="F838">
        <v>10.1871396885044</v>
      </c>
      <c r="G838" s="1">
        <v>45305</v>
      </c>
      <c r="H838" s="1">
        <v>45308</v>
      </c>
      <c r="I838">
        <v>91.684257196539605</v>
      </c>
      <c r="J838">
        <f t="shared" si="78"/>
        <v>3</v>
      </c>
      <c r="K838" t="str">
        <f>VLOOKUP(B838,Raw_Suppliers!$A$2:$G$101,2,FALSE)</f>
        <v>Fusion Apex LLC</v>
      </c>
      <c r="L838" t="str">
        <f>VLOOKUP(B838,Raw_Suppliers!$A$2:$G$101,3,FALSE)</f>
        <v>India</v>
      </c>
      <c r="M838" t="str">
        <f>VLOOKUP(B838,Raw_Suppliers!$A$2:$G$101,4,FALSE)</f>
        <v>Central</v>
      </c>
      <c r="N838" t="str">
        <f>VLOOKUP(B838,Raw_Suppliers!$A$2:$G$101,6,FALSE)</f>
        <v>ISO 14001</v>
      </c>
      <c r="O838">
        <f>VLOOKUP(B838,Raw_Suppliers!$A$2:$G$101,7,FALSE)</f>
        <v>1</v>
      </c>
      <c r="P838" t="str">
        <f t="shared" si="79"/>
        <v>Yes</v>
      </c>
      <c r="Q838">
        <f t="shared" si="80"/>
        <v>0</v>
      </c>
      <c r="R838" t="str">
        <f t="shared" si="81"/>
        <v>Late</v>
      </c>
      <c r="S838">
        <f t="shared" si="82"/>
        <v>2024</v>
      </c>
      <c r="T838">
        <f t="shared" si="83"/>
        <v>1</v>
      </c>
    </row>
    <row r="839" spans="1:20" x14ac:dyDescent="0.25">
      <c r="A839" t="s">
        <v>1143</v>
      </c>
      <c r="B839" t="s">
        <v>205</v>
      </c>
      <c r="C839" t="s">
        <v>155</v>
      </c>
      <c r="D839" s="1">
        <v>44530</v>
      </c>
      <c r="E839">
        <v>12</v>
      </c>
      <c r="F839">
        <v>68.126770433720694</v>
      </c>
      <c r="G839" s="1">
        <v>44544</v>
      </c>
      <c r="H839" s="1">
        <v>44542</v>
      </c>
      <c r="I839">
        <v>817.52124520464804</v>
      </c>
      <c r="J839">
        <f t="shared" si="78"/>
        <v>-2</v>
      </c>
      <c r="K839" t="str">
        <f>VLOOKUP(B839,Raw_Suppliers!$A$2:$G$101,2,FALSE)</f>
        <v>Ultra Eco LLC</v>
      </c>
      <c r="L839" t="str">
        <f>VLOOKUP(B839,Raw_Suppliers!$A$2:$G$101,3,FALSE)</f>
        <v>China</v>
      </c>
      <c r="M839" t="str">
        <f>VLOOKUP(B839,Raw_Suppliers!$A$2:$G$101,4,FALSE)</f>
        <v>South</v>
      </c>
      <c r="N839" t="str">
        <f>VLOOKUP(B839,Raw_Suppliers!$A$2:$G$101,6,FALSE)</f>
        <v>ISO 14001</v>
      </c>
      <c r="O839">
        <f>VLOOKUP(B839,Raw_Suppliers!$A$2:$G$101,7,FALSE)</f>
        <v>1</v>
      </c>
      <c r="P839" t="str">
        <f t="shared" si="79"/>
        <v>Yes</v>
      </c>
      <c r="Q839">
        <f t="shared" si="80"/>
        <v>1</v>
      </c>
      <c r="R839" t="str">
        <f t="shared" si="81"/>
        <v>On Time</v>
      </c>
      <c r="S839">
        <f t="shared" si="82"/>
        <v>2021</v>
      </c>
      <c r="T839">
        <f t="shared" si="83"/>
        <v>11</v>
      </c>
    </row>
    <row r="840" spans="1:20" x14ac:dyDescent="0.25">
      <c r="A840" t="s">
        <v>1144</v>
      </c>
      <c r="B840" t="s">
        <v>119</v>
      </c>
      <c r="C840" t="s">
        <v>462</v>
      </c>
      <c r="D840" s="1">
        <v>45189</v>
      </c>
      <c r="E840">
        <v>11</v>
      </c>
      <c r="F840">
        <v>13.967264913373199</v>
      </c>
      <c r="G840" s="1">
        <v>45204</v>
      </c>
      <c r="H840" s="1">
        <v>45204</v>
      </c>
      <c r="I840">
        <v>153.63991404710501</v>
      </c>
      <c r="J840">
        <f t="shared" si="78"/>
        <v>0</v>
      </c>
      <c r="K840" t="str">
        <f>VLOOKUP(B840,Raw_Suppliers!$A$2:$G$101,2,FALSE)</f>
        <v>Pioneer Apex Corp</v>
      </c>
      <c r="L840" t="str">
        <f>VLOOKUP(B840,Raw_Suppliers!$A$2:$G$101,3,FALSE)</f>
        <v>USA</v>
      </c>
      <c r="M840" t="str">
        <f>VLOOKUP(B840,Raw_Suppliers!$A$2:$G$101,4,FALSE)</f>
        <v>Central</v>
      </c>
      <c r="N840" t="str">
        <f>VLOOKUP(B840,Raw_Suppliers!$A$2:$G$101,6,FALSE)</f>
        <v>None</v>
      </c>
      <c r="O840">
        <f>VLOOKUP(B840,Raw_Suppliers!$A$2:$G$101,7,FALSE)</f>
        <v>0</v>
      </c>
      <c r="P840" t="str">
        <f t="shared" si="79"/>
        <v>No</v>
      </c>
      <c r="Q840">
        <f t="shared" si="80"/>
        <v>1</v>
      </c>
      <c r="R840" t="str">
        <f t="shared" si="81"/>
        <v>On Time</v>
      </c>
      <c r="S840">
        <f t="shared" si="82"/>
        <v>2023</v>
      </c>
      <c r="T840">
        <f t="shared" si="83"/>
        <v>9</v>
      </c>
    </row>
    <row r="841" spans="1:20" x14ac:dyDescent="0.25">
      <c r="A841" t="s">
        <v>1145</v>
      </c>
      <c r="B841" t="s">
        <v>99</v>
      </c>
      <c r="C841" t="s">
        <v>336</v>
      </c>
      <c r="D841" s="1">
        <v>44973</v>
      </c>
      <c r="E841">
        <v>16</v>
      </c>
      <c r="F841">
        <v>6.7357202153938003</v>
      </c>
      <c r="G841" s="1">
        <v>44993</v>
      </c>
      <c r="H841" s="1">
        <v>44996</v>
      </c>
      <c r="I841">
        <v>107.77152344629999</v>
      </c>
      <c r="J841">
        <f t="shared" si="78"/>
        <v>3</v>
      </c>
      <c r="K841" t="str">
        <f>VLOOKUP(B841,Raw_Suppliers!$A$2:$G$101,2,FALSE)</f>
        <v>Gamma Nova LLC</v>
      </c>
      <c r="L841" t="str">
        <f>VLOOKUP(B841,Raw_Suppliers!$A$2:$G$101,3,FALSE)</f>
        <v>USA</v>
      </c>
      <c r="M841" t="str">
        <f>VLOOKUP(B841,Raw_Suppliers!$A$2:$G$101,4,FALSE)</f>
        <v>North</v>
      </c>
      <c r="N841" t="str">
        <f>VLOOKUP(B841,Raw_Suppliers!$A$2:$G$101,6,FALSE)</f>
        <v>ISO 9001</v>
      </c>
      <c r="O841">
        <f>VLOOKUP(B841,Raw_Suppliers!$A$2:$G$101,7,FALSE)</f>
        <v>0</v>
      </c>
      <c r="P841" t="str">
        <f t="shared" si="79"/>
        <v>No</v>
      </c>
      <c r="Q841">
        <f t="shared" si="80"/>
        <v>0</v>
      </c>
      <c r="R841" t="str">
        <f t="shared" si="81"/>
        <v>Late</v>
      </c>
      <c r="S841">
        <f t="shared" si="82"/>
        <v>2023</v>
      </c>
      <c r="T841">
        <f t="shared" si="83"/>
        <v>2</v>
      </c>
    </row>
    <row r="842" spans="1:20" x14ac:dyDescent="0.25">
      <c r="A842" t="s">
        <v>1146</v>
      </c>
      <c r="B842" t="s">
        <v>216</v>
      </c>
      <c r="C842" t="s">
        <v>498</v>
      </c>
      <c r="D842" s="1">
        <v>44667</v>
      </c>
      <c r="E842">
        <v>10</v>
      </c>
      <c r="F842">
        <v>79.324355196249499</v>
      </c>
      <c r="G842" s="1">
        <v>44691</v>
      </c>
      <c r="H842" s="1">
        <v>44691</v>
      </c>
      <c r="I842">
        <v>793.24355196249496</v>
      </c>
      <c r="J842">
        <f t="shared" si="78"/>
        <v>0</v>
      </c>
      <c r="K842" t="str">
        <f>VLOOKUP(B842,Raw_Suppliers!$A$2:$G$101,2,FALSE)</f>
        <v>Fusion Delta LLC</v>
      </c>
      <c r="L842" t="str">
        <f>VLOOKUP(B842,Raw_Suppliers!$A$2:$G$101,3,FALSE)</f>
        <v>Brazil</v>
      </c>
      <c r="M842" t="str">
        <f>VLOOKUP(B842,Raw_Suppliers!$A$2:$G$101,4,FALSE)</f>
        <v>Central</v>
      </c>
      <c r="N842" t="str">
        <f>VLOOKUP(B842,Raw_Suppliers!$A$2:$G$101,6,FALSE)</f>
        <v>ISO 14001</v>
      </c>
      <c r="O842">
        <f>VLOOKUP(B842,Raw_Suppliers!$A$2:$G$101,7,FALSE)</f>
        <v>0</v>
      </c>
      <c r="P842" t="str">
        <f t="shared" si="79"/>
        <v>No</v>
      </c>
      <c r="Q842">
        <f t="shared" si="80"/>
        <v>1</v>
      </c>
      <c r="R842" t="str">
        <f t="shared" si="81"/>
        <v>On Time</v>
      </c>
      <c r="S842">
        <f t="shared" si="82"/>
        <v>2022</v>
      </c>
      <c r="T842">
        <f t="shared" si="83"/>
        <v>4</v>
      </c>
    </row>
    <row r="843" spans="1:20" x14ac:dyDescent="0.25">
      <c r="A843" t="s">
        <v>1147</v>
      </c>
      <c r="B843" t="s">
        <v>189</v>
      </c>
      <c r="C843" t="s">
        <v>361</v>
      </c>
      <c r="D843" s="1">
        <v>44447</v>
      </c>
      <c r="E843">
        <v>11</v>
      </c>
      <c r="F843">
        <v>62.107765852274497</v>
      </c>
      <c r="G843" s="1">
        <v>44461</v>
      </c>
      <c r="H843" s="1">
        <v>44460</v>
      </c>
      <c r="I843">
        <v>683.18542437501901</v>
      </c>
      <c r="J843">
        <f t="shared" si="78"/>
        <v>-1</v>
      </c>
      <c r="K843" t="str">
        <f>VLOOKUP(B843,Raw_Suppliers!$A$2:$G$101,2,FALSE)</f>
        <v>Apex Pioneer Ltd</v>
      </c>
      <c r="L843" t="str">
        <f>VLOOKUP(B843,Raw_Suppliers!$A$2:$G$101,3,FALSE)</f>
        <v>Canada</v>
      </c>
      <c r="M843" t="str">
        <f>VLOOKUP(B843,Raw_Suppliers!$A$2:$G$101,4,FALSE)</f>
        <v>South</v>
      </c>
      <c r="N843" t="str">
        <f>VLOOKUP(B843,Raw_Suppliers!$A$2:$G$101,6,FALSE)</f>
        <v>ISO 14001</v>
      </c>
      <c r="O843">
        <f>VLOOKUP(B843,Raw_Suppliers!$A$2:$G$101,7,FALSE)</f>
        <v>1</v>
      </c>
      <c r="P843" t="str">
        <f t="shared" si="79"/>
        <v>Yes</v>
      </c>
      <c r="Q843">
        <f t="shared" si="80"/>
        <v>1</v>
      </c>
      <c r="R843" t="str">
        <f t="shared" si="81"/>
        <v>On Time</v>
      </c>
      <c r="S843">
        <f t="shared" si="82"/>
        <v>2021</v>
      </c>
      <c r="T843">
        <f t="shared" si="83"/>
        <v>9</v>
      </c>
    </row>
    <row r="844" spans="1:20" x14ac:dyDescent="0.25">
      <c r="A844" t="s">
        <v>1148</v>
      </c>
      <c r="B844" t="s">
        <v>394</v>
      </c>
      <c r="C844" t="s">
        <v>274</v>
      </c>
      <c r="D844" s="1">
        <v>44265</v>
      </c>
      <c r="E844">
        <v>14</v>
      </c>
      <c r="F844">
        <v>58.624647230818397</v>
      </c>
      <c r="G844" s="1">
        <v>44282</v>
      </c>
      <c r="H844" s="1">
        <v>44283</v>
      </c>
      <c r="I844">
        <v>820.74506123145795</v>
      </c>
      <c r="J844">
        <f t="shared" si="78"/>
        <v>1</v>
      </c>
      <c r="K844" t="str">
        <f>VLOOKUP(B844,Raw_Suppliers!$A$2:$G$101,2,FALSE)</f>
        <v>Ultra Prime Inc</v>
      </c>
      <c r="L844" t="str">
        <f>VLOOKUP(B844,Raw_Suppliers!$A$2:$G$101,3,FALSE)</f>
        <v>Brazil</v>
      </c>
      <c r="M844" t="str">
        <f>VLOOKUP(B844,Raw_Suppliers!$A$2:$G$101,4,FALSE)</f>
        <v>West</v>
      </c>
      <c r="N844" t="str">
        <f>VLOOKUP(B844,Raw_Suppliers!$A$2:$G$101,6,FALSE)</f>
        <v>ISO 9001</v>
      </c>
      <c r="O844">
        <f>VLOOKUP(B844,Raw_Suppliers!$A$2:$G$101,7,FALSE)</f>
        <v>1</v>
      </c>
      <c r="P844" t="str">
        <f t="shared" si="79"/>
        <v>Yes</v>
      </c>
      <c r="Q844">
        <f t="shared" si="80"/>
        <v>0</v>
      </c>
      <c r="R844" t="str">
        <f t="shared" si="81"/>
        <v>Late</v>
      </c>
      <c r="S844">
        <f t="shared" si="82"/>
        <v>2021</v>
      </c>
      <c r="T844">
        <f t="shared" si="83"/>
        <v>3</v>
      </c>
    </row>
    <row r="845" spans="1:20" x14ac:dyDescent="0.25">
      <c r="A845" t="s">
        <v>1149</v>
      </c>
      <c r="B845" t="s">
        <v>556</v>
      </c>
      <c r="C845" t="s">
        <v>65</v>
      </c>
      <c r="D845" s="1">
        <v>44358</v>
      </c>
      <c r="E845">
        <v>11</v>
      </c>
      <c r="F845">
        <v>54.206251116014499</v>
      </c>
      <c r="G845" s="1">
        <v>44368</v>
      </c>
      <c r="H845" s="1">
        <v>44368</v>
      </c>
      <c r="I845">
        <v>596.26876227616003</v>
      </c>
      <c r="J845">
        <f t="shared" si="78"/>
        <v>0</v>
      </c>
      <c r="K845" t="str">
        <f>VLOOKUP(B845,Raw_Suppliers!$A$2:$G$101,2,FALSE)</f>
        <v>Ultra Delta Ltd</v>
      </c>
      <c r="L845" t="str">
        <f>VLOOKUP(B845,Raw_Suppliers!$A$2:$G$101,3,FALSE)</f>
        <v>China</v>
      </c>
      <c r="M845" t="str">
        <f>VLOOKUP(B845,Raw_Suppliers!$A$2:$G$101,4,FALSE)</f>
        <v>Central</v>
      </c>
      <c r="N845" t="str">
        <f>VLOOKUP(B845,Raw_Suppliers!$A$2:$G$101,6,FALSE)</f>
        <v>ISO 45001</v>
      </c>
      <c r="O845">
        <f>VLOOKUP(B845,Raw_Suppliers!$A$2:$G$101,7,FALSE)</f>
        <v>0</v>
      </c>
      <c r="P845" t="str">
        <f t="shared" si="79"/>
        <v>No</v>
      </c>
      <c r="Q845">
        <f t="shared" si="80"/>
        <v>1</v>
      </c>
      <c r="R845" t="str">
        <f t="shared" si="81"/>
        <v>On Time</v>
      </c>
      <c r="S845">
        <f t="shared" si="82"/>
        <v>2021</v>
      </c>
      <c r="T845">
        <f t="shared" si="83"/>
        <v>6</v>
      </c>
    </row>
    <row r="846" spans="1:20" x14ac:dyDescent="0.25">
      <c r="A846" t="s">
        <v>1150</v>
      </c>
      <c r="B846" t="s">
        <v>340</v>
      </c>
      <c r="C846" t="s">
        <v>77</v>
      </c>
      <c r="D846" s="1">
        <v>45338</v>
      </c>
      <c r="E846">
        <v>7</v>
      </c>
      <c r="F846">
        <v>38.134833823214201</v>
      </c>
      <c r="G846" s="1">
        <v>45360</v>
      </c>
      <c r="H846" s="1">
        <v>45359</v>
      </c>
      <c r="I846">
        <v>266.94383676249902</v>
      </c>
      <c r="J846">
        <f t="shared" si="78"/>
        <v>-1</v>
      </c>
      <c r="K846" t="str">
        <f>VLOOKUP(B846,Raw_Suppliers!$A$2:$G$101,2,FALSE)</f>
        <v>Pioneer Ultra GmbH</v>
      </c>
      <c r="L846" t="str">
        <f>VLOOKUP(B846,Raw_Suppliers!$A$2:$G$101,3,FALSE)</f>
        <v>China</v>
      </c>
      <c r="M846" t="str">
        <f>VLOOKUP(B846,Raw_Suppliers!$A$2:$G$101,4,FALSE)</f>
        <v>Central</v>
      </c>
      <c r="N846" t="str">
        <f>VLOOKUP(B846,Raw_Suppliers!$A$2:$G$101,6,FALSE)</f>
        <v>ISO 9001</v>
      </c>
      <c r="O846">
        <f>VLOOKUP(B846,Raw_Suppliers!$A$2:$G$101,7,FALSE)</f>
        <v>0</v>
      </c>
      <c r="P846" t="str">
        <f t="shared" si="79"/>
        <v>No</v>
      </c>
      <c r="Q846">
        <f t="shared" si="80"/>
        <v>1</v>
      </c>
      <c r="R846" t="str">
        <f t="shared" si="81"/>
        <v>On Time</v>
      </c>
      <c r="S846">
        <f t="shared" si="82"/>
        <v>2024</v>
      </c>
      <c r="T846">
        <f t="shared" si="83"/>
        <v>2</v>
      </c>
    </row>
    <row r="847" spans="1:20" x14ac:dyDescent="0.25">
      <c r="A847" t="s">
        <v>1151</v>
      </c>
      <c r="B847" t="s">
        <v>64</v>
      </c>
      <c r="C847" t="s">
        <v>20</v>
      </c>
      <c r="D847" s="1">
        <v>44630</v>
      </c>
      <c r="E847">
        <v>9</v>
      </c>
      <c r="F847">
        <v>47.869586339061001</v>
      </c>
      <c r="G847" s="1">
        <v>44641</v>
      </c>
      <c r="H847" s="1">
        <v>44641</v>
      </c>
      <c r="I847">
        <v>430.82627705154903</v>
      </c>
      <c r="J847">
        <f t="shared" si="78"/>
        <v>0</v>
      </c>
      <c r="K847" t="str">
        <f>VLOOKUP(B847,Raw_Suppliers!$A$2:$G$101,2,FALSE)</f>
        <v>Apex Quantum Inc</v>
      </c>
      <c r="L847" t="str">
        <f>VLOOKUP(B847,Raw_Suppliers!$A$2:$G$101,3,FALSE)</f>
        <v>India</v>
      </c>
      <c r="M847" t="str">
        <f>VLOOKUP(B847,Raw_Suppliers!$A$2:$G$101,4,FALSE)</f>
        <v>North</v>
      </c>
      <c r="N847" t="str">
        <f>VLOOKUP(B847,Raw_Suppliers!$A$2:$G$101,6,FALSE)</f>
        <v>ISO 45001</v>
      </c>
      <c r="O847">
        <f>VLOOKUP(B847,Raw_Suppliers!$A$2:$G$101,7,FALSE)</f>
        <v>1</v>
      </c>
      <c r="P847" t="str">
        <f t="shared" si="79"/>
        <v>Yes</v>
      </c>
      <c r="Q847">
        <f t="shared" si="80"/>
        <v>1</v>
      </c>
      <c r="R847" t="str">
        <f t="shared" si="81"/>
        <v>On Time</v>
      </c>
      <c r="S847">
        <f t="shared" si="82"/>
        <v>2022</v>
      </c>
      <c r="T847">
        <f t="shared" si="83"/>
        <v>3</v>
      </c>
    </row>
    <row r="848" spans="1:20" x14ac:dyDescent="0.25">
      <c r="A848" t="s">
        <v>1152</v>
      </c>
      <c r="B848" t="s">
        <v>88</v>
      </c>
      <c r="C848" t="s">
        <v>302</v>
      </c>
      <c r="D848" s="1">
        <v>44619</v>
      </c>
      <c r="E848">
        <v>4</v>
      </c>
      <c r="F848">
        <v>46.904529835071102</v>
      </c>
      <c r="G848" s="1">
        <v>44636</v>
      </c>
      <c r="H848" s="1">
        <v>44639</v>
      </c>
      <c r="I848">
        <v>187.61811934028401</v>
      </c>
      <c r="J848">
        <f t="shared" si="78"/>
        <v>3</v>
      </c>
      <c r="K848" t="str">
        <f>VLOOKUP(B848,Raw_Suppliers!$A$2:$G$101,2,FALSE)</f>
        <v>Eco Nano GmbH</v>
      </c>
      <c r="L848" t="str">
        <f>VLOOKUP(B848,Raw_Suppliers!$A$2:$G$101,3,FALSE)</f>
        <v>Denmark</v>
      </c>
      <c r="M848" t="str">
        <f>VLOOKUP(B848,Raw_Suppliers!$A$2:$G$101,4,FALSE)</f>
        <v>Central</v>
      </c>
      <c r="N848" t="str">
        <f>VLOOKUP(B848,Raw_Suppliers!$A$2:$G$101,6,FALSE)</f>
        <v>ISO 9001</v>
      </c>
      <c r="O848">
        <f>VLOOKUP(B848,Raw_Suppliers!$A$2:$G$101,7,FALSE)</f>
        <v>1</v>
      </c>
      <c r="P848" t="str">
        <f t="shared" si="79"/>
        <v>Yes</v>
      </c>
      <c r="Q848">
        <f t="shared" si="80"/>
        <v>0</v>
      </c>
      <c r="R848" t="str">
        <f t="shared" si="81"/>
        <v>Late</v>
      </c>
      <c r="S848">
        <f t="shared" si="82"/>
        <v>2022</v>
      </c>
      <c r="T848">
        <f t="shared" si="83"/>
        <v>2</v>
      </c>
    </row>
    <row r="849" spans="1:20" x14ac:dyDescent="0.25">
      <c r="A849" t="s">
        <v>1153</v>
      </c>
      <c r="B849" t="s">
        <v>564</v>
      </c>
      <c r="C849" t="s">
        <v>23</v>
      </c>
      <c r="D849" s="1">
        <v>44394</v>
      </c>
      <c r="E849">
        <v>15</v>
      </c>
      <c r="F849">
        <v>5.98065397428116</v>
      </c>
      <c r="G849" s="1">
        <v>44409</v>
      </c>
      <c r="H849" s="1">
        <v>44413</v>
      </c>
      <c r="I849">
        <v>89.709809614217406</v>
      </c>
      <c r="J849">
        <f t="shared" si="78"/>
        <v>4</v>
      </c>
      <c r="K849" t="str">
        <f>VLOOKUP(B849,Raw_Suppliers!$A$2:$G$101,2,FALSE)</f>
        <v>Ultra Ultra GmbH</v>
      </c>
      <c r="L849" t="str">
        <f>VLOOKUP(B849,Raw_Suppliers!$A$2:$G$101,3,FALSE)</f>
        <v>India</v>
      </c>
      <c r="M849" t="str">
        <f>VLOOKUP(B849,Raw_Suppliers!$A$2:$G$101,4,FALSE)</f>
        <v>Central</v>
      </c>
      <c r="N849" t="str">
        <f>VLOOKUP(B849,Raw_Suppliers!$A$2:$G$101,6,FALSE)</f>
        <v>ISO 14001</v>
      </c>
      <c r="O849">
        <f>VLOOKUP(B849,Raw_Suppliers!$A$2:$G$101,7,FALSE)</f>
        <v>1</v>
      </c>
      <c r="P849" t="str">
        <f t="shared" si="79"/>
        <v>Yes</v>
      </c>
      <c r="Q849">
        <f t="shared" si="80"/>
        <v>0</v>
      </c>
      <c r="R849" t="str">
        <f t="shared" si="81"/>
        <v>Late</v>
      </c>
      <c r="S849">
        <f t="shared" si="82"/>
        <v>2021</v>
      </c>
      <c r="T849">
        <f t="shared" si="83"/>
        <v>7</v>
      </c>
    </row>
    <row r="850" spans="1:20" x14ac:dyDescent="0.25">
      <c r="A850" t="s">
        <v>1154</v>
      </c>
      <c r="B850" t="s">
        <v>427</v>
      </c>
      <c r="C850" t="s">
        <v>521</v>
      </c>
      <c r="D850" s="1">
        <v>45163</v>
      </c>
      <c r="E850">
        <v>14</v>
      </c>
      <c r="F850">
        <v>72.204681926847499</v>
      </c>
      <c r="G850" s="1">
        <v>45184</v>
      </c>
      <c r="H850" s="1">
        <v>45181</v>
      </c>
      <c r="I850">
        <v>1010.86554697586</v>
      </c>
      <c r="J850">
        <f t="shared" si="78"/>
        <v>-3</v>
      </c>
      <c r="K850" t="str">
        <f>VLOOKUP(B850,Raw_Suppliers!$A$2:$G$101,2,FALSE)</f>
        <v>Nova Alpha Corp</v>
      </c>
      <c r="L850" t="str">
        <f>VLOOKUP(B850,Raw_Suppliers!$A$2:$G$101,3,FALSE)</f>
        <v>Denmark</v>
      </c>
      <c r="M850" t="str">
        <f>VLOOKUP(B850,Raw_Suppliers!$A$2:$G$101,4,FALSE)</f>
        <v>Central</v>
      </c>
      <c r="N850" t="str">
        <f>VLOOKUP(B850,Raw_Suppliers!$A$2:$G$101,6,FALSE)</f>
        <v>None</v>
      </c>
      <c r="O850">
        <f>VLOOKUP(B850,Raw_Suppliers!$A$2:$G$101,7,FALSE)</f>
        <v>0</v>
      </c>
      <c r="P850" t="str">
        <f t="shared" si="79"/>
        <v>No</v>
      </c>
      <c r="Q850">
        <f t="shared" si="80"/>
        <v>1</v>
      </c>
      <c r="R850" t="str">
        <f t="shared" si="81"/>
        <v>On Time</v>
      </c>
      <c r="S850">
        <f t="shared" si="82"/>
        <v>2023</v>
      </c>
      <c r="T850">
        <f t="shared" si="83"/>
        <v>8</v>
      </c>
    </row>
    <row r="851" spans="1:20" x14ac:dyDescent="0.25">
      <c r="A851" t="s">
        <v>1155</v>
      </c>
      <c r="B851" t="s">
        <v>109</v>
      </c>
      <c r="C851" t="s">
        <v>146</v>
      </c>
      <c r="D851" s="1">
        <v>44947</v>
      </c>
      <c r="E851">
        <v>15</v>
      </c>
      <c r="F851">
        <v>41.670283084050197</v>
      </c>
      <c r="G851" s="1">
        <v>44965</v>
      </c>
      <c r="H851" s="1">
        <v>44965</v>
      </c>
      <c r="I851">
        <v>625.05424626075296</v>
      </c>
      <c r="J851">
        <f t="shared" si="78"/>
        <v>0</v>
      </c>
      <c r="K851" t="str">
        <f>VLOOKUP(B851,Raw_Suppliers!$A$2:$G$101,2,FALSE)</f>
        <v>Nano Fusion GmbH</v>
      </c>
      <c r="L851" t="str">
        <f>VLOOKUP(B851,Raw_Suppliers!$A$2:$G$101,3,FALSE)</f>
        <v>Denmark</v>
      </c>
      <c r="M851" t="str">
        <f>VLOOKUP(B851,Raw_Suppliers!$A$2:$G$101,4,FALSE)</f>
        <v>North</v>
      </c>
      <c r="N851" t="str">
        <f>VLOOKUP(B851,Raw_Suppliers!$A$2:$G$101,6,FALSE)</f>
        <v>ISO 9001</v>
      </c>
      <c r="O851">
        <f>VLOOKUP(B851,Raw_Suppliers!$A$2:$G$101,7,FALSE)</f>
        <v>0</v>
      </c>
      <c r="P851" t="str">
        <f t="shared" si="79"/>
        <v>No</v>
      </c>
      <c r="Q851">
        <f t="shared" si="80"/>
        <v>1</v>
      </c>
      <c r="R851" t="str">
        <f t="shared" si="81"/>
        <v>On Time</v>
      </c>
      <c r="S851">
        <f t="shared" si="82"/>
        <v>2023</v>
      </c>
      <c r="T851">
        <f t="shared" si="83"/>
        <v>1</v>
      </c>
    </row>
    <row r="852" spans="1:20" x14ac:dyDescent="0.25">
      <c r="A852" t="s">
        <v>1156</v>
      </c>
      <c r="B852" t="s">
        <v>55</v>
      </c>
      <c r="C852" t="s">
        <v>180</v>
      </c>
      <c r="D852" s="1">
        <v>44305</v>
      </c>
      <c r="E852">
        <v>11</v>
      </c>
      <c r="F852">
        <v>15.1701547436881</v>
      </c>
      <c r="G852" s="1">
        <v>44324</v>
      </c>
      <c r="H852" s="1">
        <v>44326</v>
      </c>
      <c r="I852">
        <v>166.871702180569</v>
      </c>
      <c r="J852">
        <f t="shared" si="78"/>
        <v>2</v>
      </c>
      <c r="K852" t="str">
        <f>VLOOKUP(B852,Raw_Suppliers!$A$2:$G$101,2,FALSE)</f>
        <v>Prime Vertex Inc</v>
      </c>
      <c r="L852" t="str">
        <f>VLOOKUP(B852,Raw_Suppliers!$A$2:$G$101,3,FALSE)</f>
        <v>Germany</v>
      </c>
      <c r="M852" t="str">
        <f>VLOOKUP(B852,Raw_Suppliers!$A$2:$G$101,4,FALSE)</f>
        <v>South</v>
      </c>
      <c r="N852" t="str">
        <f>VLOOKUP(B852,Raw_Suppliers!$A$2:$G$101,6,FALSE)</f>
        <v>ISO 14001</v>
      </c>
      <c r="O852">
        <f>VLOOKUP(B852,Raw_Suppliers!$A$2:$G$101,7,FALSE)</f>
        <v>0</v>
      </c>
      <c r="P852" t="str">
        <f t="shared" si="79"/>
        <v>No</v>
      </c>
      <c r="Q852">
        <f t="shared" si="80"/>
        <v>0</v>
      </c>
      <c r="R852" t="str">
        <f t="shared" si="81"/>
        <v>Late</v>
      </c>
      <c r="S852">
        <f t="shared" si="82"/>
        <v>2021</v>
      </c>
      <c r="T852">
        <f t="shared" si="83"/>
        <v>4</v>
      </c>
    </row>
    <row r="853" spans="1:20" x14ac:dyDescent="0.25">
      <c r="A853" t="s">
        <v>1157</v>
      </c>
      <c r="B853" t="s">
        <v>121</v>
      </c>
      <c r="C853" t="s">
        <v>141</v>
      </c>
      <c r="D853" s="1">
        <v>44432</v>
      </c>
      <c r="E853">
        <v>7</v>
      </c>
      <c r="F853">
        <v>46.3045379163893</v>
      </c>
      <c r="G853" s="1">
        <v>44449</v>
      </c>
      <c r="H853" s="1">
        <v>44447</v>
      </c>
      <c r="I853">
        <v>324.13176541472501</v>
      </c>
      <c r="J853">
        <f t="shared" si="78"/>
        <v>-2</v>
      </c>
      <c r="K853" t="str">
        <f>VLOOKUP(B853,Raw_Suppliers!$A$2:$G$101,2,FALSE)</f>
        <v>Vertex Vertex Inc</v>
      </c>
      <c r="L853" t="str">
        <f>VLOOKUP(B853,Raw_Suppliers!$A$2:$G$101,3,FALSE)</f>
        <v>USA</v>
      </c>
      <c r="M853" t="str">
        <f>VLOOKUP(B853,Raw_Suppliers!$A$2:$G$101,4,FALSE)</f>
        <v>West</v>
      </c>
      <c r="N853" t="str">
        <f>VLOOKUP(B853,Raw_Suppliers!$A$2:$G$101,6,FALSE)</f>
        <v>None</v>
      </c>
      <c r="O853">
        <f>VLOOKUP(B853,Raw_Suppliers!$A$2:$G$101,7,FALSE)</f>
        <v>0</v>
      </c>
      <c r="P853" t="str">
        <f t="shared" si="79"/>
        <v>No</v>
      </c>
      <c r="Q853">
        <f t="shared" si="80"/>
        <v>1</v>
      </c>
      <c r="R853" t="str">
        <f t="shared" si="81"/>
        <v>On Time</v>
      </c>
      <c r="S853">
        <f t="shared" si="82"/>
        <v>2021</v>
      </c>
      <c r="T853">
        <f t="shared" si="83"/>
        <v>8</v>
      </c>
    </row>
    <row r="854" spans="1:20" x14ac:dyDescent="0.25">
      <c r="A854" t="s">
        <v>1158</v>
      </c>
      <c r="B854" t="s">
        <v>109</v>
      </c>
      <c r="C854" t="s">
        <v>290</v>
      </c>
      <c r="D854" s="1">
        <v>44721</v>
      </c>
      <c r="E854">
        <v>13</v>
      </c>
      <c r="F854">
        <v>68.656178309003593</v>
      </c>
      <c r="G854" s="1">
        <v>44745</v>
      </c>
      <c r="H854" s="1">
        <v>44747</v>
      </c>
      <c r="I854">
        <v>892.53031801704697</v>
      </c>
      <c r="J854">
        <f t="shared" si="78"/>
        <v>2</v>
      </c>
      <c r="K854" t="str">
        <f>VLOOKUP(B854,Raw_Suppliers!$A$2:$G$101,2,FALSE)</f>
        <v>Nano Fusion GmbH</v>
      </c>
      <c r="L854" t="str">
        <f>VLOOKUP(B854,Raw_Suppliers!$A$2:$G$101,3,FALSE)</f>
        <v>Denmark</v>
      </c>
      <c r="M854" t="str">
        <f>VLOOKUP(B854,Raw_Suppliers!$A$2:$G$101,4,FALSE)</f>
        <v>North</v>
      </c>
      <c r="N854" t="str">
        <f>VLOOKUP(B854,Raw_Suppliers!$A$2:$G$101,6,FALSE)</f>
        <v>ISO 9001</v>
      </c>
      <c r="O854">
        <f>VLOOKUP(B854,Raw_Suppliers!$A$2:$G$101,7,FALSE)</f>
        <v>0</v>
      </c>
      <c r="P854" t="str">
        <f t="shared" si="79"/>
        <v>No</v>
      </c>
      <c r="Q854">
        <f t="shared" si="80"/>
        <v>0</v>
      </c>
      <c r="R854" t="str">
        <f t="shared" si="81"/>
        <v>Late</v>
      </c>
      <c r="S854">
        <f t="shared" si="82"/>
        <v>2022</v>
      </c>
      <c r="T854">
        <f t="shared" si="83"/>
        <v>6</v>
      </c>
    </row>
    <row r="855" spans="1:20" x14ac:dyDescent="0.25">
      <c r="A855" t="s">
        <v>1159</v>
      </c>
      <c r="B855" t="s">
        <v>219</v>
      </c>
      <c r="C855" t="s">
        <v>437</v>
      </c>
      <c r="D855" s="1">
        <v>45378</v>
      </c>
      <c r="E855">
        <v>14</v>
      </c>
      <c r="F855">
        <v>74.418676657902395</v>
      </c>
      <c r="G855" s="1">
        <v>45394</v>
      </c>
      <c r="H855" s="1">
        <v>45400</v>
      </c>
      <c r="I855">
        <v>1041.86147321063</v>
      </c>
      <c r="J855">
        <f t="shared" si="78"/>
        <v>6</v>
      </c>
      <c r="K855" t="str">
        <f>VLOOKUP(B855,Raw_Suppliers!$A$2:$G$101,2,FALSE)</f>
        <v>Quantum Quantum Ltd</v>
      </c>
      <c r="L855" t="str">
        <f>VLOOKUP(B855,Raw_Suppliers!$A$2:$G$101,3,FALSE)</f>
        <v>USA</v>
      </c>
      <c r="M855" t="str">
        <f>VLOOKUP(B855,Raw_Suppliers!$A$2:$G$101,4,FALSE)</f>
        <v>South</v>
      </c>
      <c r="N855" t="str">
        <f>VLOOKUP(B855,Raw_Suppliers!$A$2:$G$101,6,FALSE)</f>
        <v>ISO 14001</v>
      </c>
      <c r="O855">
        <f>VLOOKUP(B855,Raw_Suppliers!$A$2:$G$101,7,FALSE)</f>
        <v>0</v>
      </c>
      <c r="P855" t="str">
        <f t="shared" si="79"/>
        <v>No</v>
      </c>
      <c r="Q855">
        <f t="shared" si="80"/>
        <v>0</v>
      </c>
      <c r="R855" t="str">
        <f t="shared" si="81"/>
        <v>Late</v>
      </c>
      <c r="S855">
        <f t="shared" si="82"/>
        <v>2024</v>
      </c>
      <c r="T855">
        <f t="shared" si="83"/>
        <v>3</v>
      </c>
    </row>
    <row r="856" spans="1:20" x14ac:dyDescent="0.25">
      <c r="A856" t="s">
        <v>1160</v>
      </c>
      <c r="B856" t="s">
        <v>216</v>
      </c>
      <c r="C856" t="s">
        <v>141</v>
      </c>
      <c r="D856" s="1">
        <v>44394</v>
      </c>
      <c r="E856">
        <v>7</v>
      </c>
      <c r="F856">
        <v>27.886817182200499</v>
      </c>
      <c r="G856" s="1">
        <v>44408</v>
      </c>
      <c r="H856" s="1">
        <v>44405</v>
      </c>
      <c r="I856">
        <v>195.20772027540301</v>
      </c>
      <c r="J856">
        <f t="shared" si="78"/>
        <v>-3</v>
      </c>
      <c r="K856" t="str">
        <f>VLOOKUP(B856,Raw_Suppliers!$A$2:$G$101,2,FALSE)</f>
        <v>Fusion Delta LLC</v>
      </c>
      <c r="L856" t="str">
        <f>VLOOKUP(B856,Raw_Suppliers!$A$2:$G$101,3,FALSE)</f>
        <v>Brazil</v>
      </c>
      <c r="M856" t="str">
        <f>VLOOKUP(B856,Raw_Suppliers!$A$2:$G$101,4,FALSE)</f>
        <v>Central</v>
      </c>
      <c r="N856" t="str">
        <f>VLOOKUP(B856,Raw_Suppliers!$A$2:$G$101,6,FALSE)</f>
        <v>ISO 14001</v>
      </c>
      <c r="O856">
        <f>VLOOKUP(B856,Raw_Suppliers!$A$2:$G$101,7,FALSE)</f>
        <v>0</v>
      </c>
      <c r="P856" t="str">
        <f t="shared" si="79"/>
        <v>No</v>
      </c>
      <c r="Q856">
        <f t="shared" si="80"/>
        <v>1</v>
      </c>
      <c r="R856" t="str">
        <f t="shared" si="81"/>
        <v>On Time</v>
      </c>
      <c r="S856">
        <f t="shared" si="82"/>
        <v>2021</v>
      </c>
      <c r="T856">
        <f t="shared" si="83"/>
        <v>7</v>
      </c>
    </row>
    <row r="857" spans="1:20" x14ac:dyDescent="0.25">
      <c r="A857" t="s">
        <v>1161</v>
      </c>
      <c r="B857" t="s">
        <v>340</v>
      </c>
      <c r="C857" t="s">
        <v>915</v>
      </c>
      <c r="D857" s="1">
        <v>45286</v>
      </c>
      <c r="E857">
        <v>10</v>
      </c>
      <c r="F857">
        <v>15.5128897402468</v>
      </c>
      <c r="G857" s="1">
        <v>45301</v>
      </c>
      <c r="H857" s="1">
        <v>45306</v>
      </c>
      <c r="I857">
        <v>155.128897402468</v>
      </c>
      <c r="J857">
        <f t="shared" si="78"/>
        <v>5</v>
      </c>
      <c r="K857" t="str">
        <f>VLOOKUP(B857,Raw_Suppliers!$A$2:$G$101,2,FALSE)</f>
        <v>Pioneer Ultra GmbH</v>
      </c>
      <c r="L857" t="str">
        <f>VLOOKUP(B857,Raw_Suppliers!$A$2:$G$101,3,FALSE)</f>
        <v>China</v>
      </c>
      <c r="M857" t="str">
        <f>VLOOKUP(B857,Raw_Suppliers!$A$2:$G$101,4,FALSE)</f>
        <v>Central</v>
      </c>
      <c r="N857" t="str">
        <f>VLOOKUP(B857,Raw_Suppliers!$A$2:$G$101,6,FALSE)</f>
        <v>ISO 9001</v>
      </c>
      <c r="O857">
        <f>VLOOKUP(B857,Raw_Suppliers!$A$2:$G$101,7,FALSE)</f>
        <v>0</v>
      </c>
      <c r="P857" t="str">
        <f t="shared" si="79"/>
        <v>No</v>
      </c>
      <c r="Q857">
        <f t="shared" si="80"/>
        <v>0</v>
      </c>
      <c r="R857" t="str">
        <f t="shared" si="81"/>
        <v>Late</v>
      </c>
      <c r="S857">
        <f t="shared" si="82"/>
        <v>2023</v>
      </c>
      <c r="T857">
        <f t="shared" si="83"/>
        <v>12</v>
      </c>
    </row>
    <row r="858" spans="1:20" x14ac:dyDescent="0.25">
      <c r="A858" t="s">
        <v>1162</v>
      </c>
      <c r="B858" t="s">
        <v>13</v>
      </c>
      <c r="C858" t="s">
        <v>385</v>
      </c>
      <c r="D858" s="1">
        <v>45111</v>
      </c>
      <c r="E858">
        <v>10</v>
      </c>
      <c r="F858">
        <v>44.566274355148103</v>
      </c>
      <c r="G858" s="1">
        <v>45132</v>
      </c>
      <c r="H858" s="1">
        <v>45136</v>
      </c>
      <c r="I858">
        <v>445.66274355148101</v>
      </c>
      <c r="J858">
        <f t="shared" si="78"/>
        <v>4</v>
      </c>
      <c r="K858" t="str">
        <f>VLOOKUP(B858,Raw_Suppliers!$A$2:$G$101,2,FALSE)</f>
        <v>Beta Delta LLC</v>
      </c>
      <c r="L858" t="str">
        <f>VLOOKUP(B858,Raw_Suppliers!$A$2:$G$101,3,FALSE)</f>
        <v>Germany</v>
      </c>
      <c r="M858" t="str">
        <f>VLOOKUP(B858,Raw_Suppliers!$A$2:$G$101,4,FALSE)</f>
        <v>Central</v>
      </c>
      <c r="N858" t="str">
        <f>VLOOKUP(B858,Raw_Suppliers!$A$2:$G$101,6,FALSE)</f>
        <v>ISO 9001</v>
      </c>
      <c r="O858">
        <f>VLOOKUP(B858,Raw_Suppliers!$A$2:$G$101,7,FALSE)</f>
        <v>1</v>
      </c>
      <c r="P858" t="str">
        <f t="shared" si="79"/>
        <v>Yes</v>
      </c>
      <c r="Q858">
        <f t="shared" si="80"/>
        <v>0</v>
      </c>
      <c r="R858" t="str">
        <f t="shared" si="81"/>
        <v>Late</v>
      </c>
      <c r="S858">
        <f t="shared" si="82"/>
        <v>2023</v>
      </c>
      <c r="T858">
        <f t="shared" si="83"/>
        <v>7</v>
      </c>
    </row>
    <row r="859" spans="1:20" x14ac:dyDescent="0.25">
      <c r="A859" t="s">
        <v>1163</v>
      </c>
      <c r="B859" t="s">
        <v>135</v>
      </c>
      <c r="C859" t="s">
        <v>547</v>
      </c>
      <c r="D859" s="1">
        <v>44592</v>
      </c>
      <c r="E859">
        <v>13</v>
      </c>
      <c r="F859">
        <v>60.1819454892617</v>
      </c>
      <c r="G859" s="1">
        <v>44613</v>
      </c>
      <c r="H859" s="1">
        <v>44612</v>
      </c>
      <c r="I859">
        <v>782.36529136040201</v>
      </c>
      <c r="J859">
        <f t="shared" si="78"/>
        <v>-1</v>
      </c>
      <c r="K859" t="str">
        <f>VLOOKUP(B859,Raw_Suppliers!$A$2:$G$101,2,FALSE)</f>
        <v>Alpha Prime Ltd</v>
      </c>
      <c r="L859" t="str">
        <f>VLOOKUP(B859,Raw_Suppliers!$A$2:$G$101,3,FALSE)</f>
        <v>UK</v>
      </c>
      <c r="M859" t="str">
        <f>VLOOKUP(B859,Raw_Suppliers!$A$2:$G$101,4,FALSE)</f>
        <v>East</v>
      </c>
      <c r="N859" t="str">
        <f>VLOOKUP(B859,Raw_Suppliers!$A$2:$G$101,6,FALSE)</f>
        <v>None</v>
      </c>
      <c r="O859">
        <f>VLOOKUP(B859,Raw_Suppliers!$A$2:$G$101,7,FALSE)</f>
        <v>1</v>
      </c>
      <c r="P859" t="str">
        <f t="shared" si="79"/>
        <v>Yes</v>
      </c>
      <c r="Q859">
        <f t="shared" si="80"/>
        <v>1</v>
      </c>
      <c r="R859" t="str">
        <f t="shared" si="81"/>
        <v>On Time</v>
      </c>
      <c r="S859">
        <f t="shared" si="82"/>
        <v>2022</v>
      </c>
      <c r="T859">
        <f t="shared" si="83"/>
        <v>1</v>
      </c>
    </row>
    <row r="860" spans="1:20" x14ac:dyDescent="0.25">
      <c r="A860" t="s">
        <v>1164</v>
      </c>
      <c r="B860" t="s">
        <v>82</v>
      </c>
      <c r="C860" t="s">
        <v>430</v>
      </c>
      <c r="D860" s="1">
        <v>45342</v>
      </c>
      <c r="E860">
        <v>12</v>
      </c>
      <c r="F860">
        <v>12.617648555093901</v>
      </c>
      <c r="G860" s="1">
        <v>45364</v>
      </c>
      <c r="H860" s="1">
        <v>45367</v>
      </c>
      <c r="I860">
        <v>151.41178266112601</v>
      </c>
      <c r="J860">
        <f t="shared" si="78"/>
        <v>3</v>
      </c>
      <c r="K860" t="str">
        <f>VLOOKUP(B860,Raw_Suppliers!$A$2:$G$101,2,FALSE)</f>
        <v>Gamma Quantum LLC</v>
      </c>
      <c r="L860" t="str">
        <f>VLOOKUP(B860,Raw_Suppliers!$A$2:$G$101,3,FALSE)</f>
        <v>Canada</v>
      </c>
      <c r="M860" t="str">
        <f>VLOOKUP(B860,Raw_Suppliers!$A$2:$G$101,4,FALSE)</f>
        <v>Central</v>
      </c>
      <c r="N860" t="str">
        <f>VLOOKUP(B860,Raw_Suppliers!$A$2:$G$101,6,FALSE)</f>
        <v>None</v>
      </c>
      <c r="O860">
        <f>VLOOKUP(B860,Raw_Suppliers!$A$2:$G$101,7,FALSE)</f>
        <v>1</v>
      </c>
      <c r="P860" t="str">
        <f t="shared" si="79"/>
        <v>Yes</v>
      </c>
      <c r="Q860">
        <f t="shared" si="80"/>
        <v>0</v>
      </c>
      <c r="R860" t="str">
        <f t="shared" si="81"/>
        <v>Late</v>
      </c>
      <c r="S860">
        <f t="shared" si="82"/>
        <v>2024</v>
      </c>
      <c r="T860">
        <f t="shared" si="83"/>
        <v>2</v>
      </c>
    </row>
    <row r="861" spans="1:20" x14ac:dyDescent="0.25">
      <c r="A861" t="s">
        <v>1165</v>
      </c>
      <c r="B861" t="s">
        <v>85</v>
      </c>
      <c r="C861" t="s">
        <v>462</v>
      </c>
      <c r="D861" s="1">
        <v>44393</v>
      </c>
      <c r="E861">
        <v>12</v>
      </c>
      <c r="F861">
        <v>35.749303919418502</v>
      </c>
      <c r="G861" s="1">
        <v>44407</v>
      </c>
      <c r="H861" s="1">
        <v>44409</v>
      </c>
      <c r="I861">
        <v>428.99164703302199</v>
      </c>
      <c r="J861">
        <f t="shared" si="78"/>
        <v>2</v>
      </c>
      <c r="K861" t="str">
        <f>VLOOKUP(B861,Raw_Suppliers!$A$2:$G$101,2,FALSE)</f>
        <v>Fusion Gamma LLC</v>
      </c>
      <c r="L861" t="str">
        <f>VLOOKUP(B861,Raw_Suppliers!$A$2:$G$101,3,FALSE)</f>
        <v>China</v>
      </c>
      <c r="M861" t="str">
        <f>VLOOKUP(B861,Raw_Suppliers!$A$2:$G$101,4,FALSE)</f>
        <v>East</v>
      </c>
      <c r="N861" t="str">
        <f>VLOOKUP(B861,Raw_Suppliers!$A$2:$G$101,6,FALSE)</f>
        <v>ISO 9001</v>
      </c>
      <c r="O861">
        <f>VLOOKUP(B861,Raw_Suppliers!$A$2:$G$101,7,FALSE)</f>
        <v>1</v>
      </c>
      <c r="P861" t="str">
        <f t="shared" si="79"/>
        <v>Yes</v>
      </c>
      <c r="Q861">
        <f t="shared" si="80"/>
        <v>0</v>
      </c>
      <c r="R861" t="str">
        <f t="shared" si="81"/>
        <v>Late</v>
      </c>
      <c r="S861">
        <f t="shared" si="82"/>
        <v>2021</v>
      </c>
      <c r="T861">
        <f t="shared" si="83"/>
        <v>7</v>
      </c>
    </row>
    <row r="862" spans="1:20" x14ac:dyDescent="0.25">
      <c r="A862" t="s">
        <v>1166</v>
      </c>
      <c r="B862" t="s">
        <v>31</v>
      </c>
      <c r="C862" t="s">
        <v>270</v>
      </c>
      <c r="D862" s="1">
        <v>45163</v>
      </c>
      <c r="E862">
        <v>9</v>
      </c>
      <c r="F862">
        <v>41.619782016016899</v>
      </c>
      <c r="G862" s="1">
        <v>45184</v>
      </c>
      <c r="H862" s="1">
        <v>45189</v>
      </c>
      <c r="I862">
        <v>374.578038144152</v>
      </c>
      <c r="J862">
        <f t="shared" si="78"/>
        <v>5</v>
      </c>
      <c r="K862" t="str">
        <f>VLOOKUP(B862,Raw_Suppliers!$A$2:$G$101,2,FALSE)</f>
        <v>Nova Nano GmbH</v>
      </c>
      <c r="L862" t="str">
        <f>VLOOKUP(B862,Raw_Suppliers!$A$2:$G$101,3,FALSE)</f>
        <v>Denmark</v>
      </c>
      <c r="M862" t="str">
        <f>VLOOKUP(B862,Raw_Suppliers!$A$2:$G$101,4,FALSE)</f>
        <v>South</v>
      </c>
      <c r="N862" t="str">
        <f>VLOOKUP(B862,Raw_Suppliers!$A$2:$G$101,6,FALSE)</f>
        <v>ISO 14001</v>
      </c>
      <c r="O862">
        <f>VLOOKUP(B862,Raw_Suppliers!$A$2:$G$101,7,FALSE)</f>
        <v>1</v>
      </c>
      <c r="P862" t="str">
        <f t="shared" si="79"/>
        <v>Yes</v>
      </c>
      <c r="Q862">
        <f t="shared" si="80"/>
        <v>0</v>
      </c>
      <c r="R862" t="str">
        <f t="shared" si="81"/>
        <v>Late</v>
      </c>
      <c r="S862">
        <f t="shared" si="82"/>
        <v>2023</v>
      </c>
      <c r="T862">
        <f t="shared" si="83"/>
        <v>8</v>
      </c>
    </row>
    <row r="863" spans="1:20" x14ac:dyDescent="0.25">
      <c r="A863" t="s">
        <v>1167</v>
      </c>
      <c r="B863" t="s">
        <v>40</v>
      </c>
      <c r="C863" t="s">
        <v>408</v>
      </c>
      <c r="D863" s="1">
        <v>45017</v>
      </c>
      <c r="E863">
        <v>9</v>
      </c>
      <c r="F863">
        <v>55.633737442329497</v>
      </c>
      <c r="G863" s="1">
        <v>45035</v>
      </c>
      <c r="H863" s="1">
        <v>45040</v>
      </c>
      <c r="I863">
        <v>500.703636980966</v>
      </c>
      <c r="J863">
        <f t="shared" si="78"/>
        <v>5</v>
      </c>
      <c r="K863" t="str">
        <f>VLOOKUP(B863,Raw_Suppliers!$A$2:$G$101,2,FALSE)</f>
        <v>Ultra Apex Inc</v>
      </c>
      <c r="L863" t="str">
        <f>VLOOKUP(B863,Raw_Suppliers!$A$2:$G$101,3,FALSE)</f>
        <v>India</v>
      </c>
      <c r="M863" t="str">
        <f>VLOOKUP(B863,Raw_Suppliers!$A$2:$G$101,4,FALSE)</f>
        <v>West</v>
      </c>
      <c r="N863" t="str">
        <f>VLOOKUP(B863,Raw_Suppliers!$A$2:$G$101,6,FALSE)</f>
        <v>ISO 9001</v>
      </c>
      <c r="O863">
        <f>VLOOKUP(B863,Raw_Suppliers!$A$2:$G$101,7,FALSE)</f>
        <v>0</v>
      </c>
      <c r="P863" t="str">
        <f t="shared" si="79"/>
        <v>No</v>
      </c>
      <c r="Q863">
        <f t="shared" si="80"/>
        <v>0</v>
      </c>
      <c r="R863" t="str">
        <f t="shared" si="81"/>
        <v>Late</v>
      </c>
      <c r="S863">
        <f t="shared" si="82"/>
        <v>2023</v>
      </c>
      <c r="T863">
        <f t="shared" si="83"/>
        <v>4</v>
      </c>
    </row>
    <row r="864" spans="1:20" x14ac:dyDescent="0.25">
      <c r="A864" t="s">
        <v>1168</v>
      </c>
      <c r="B864" t="s">
        <v>194</v>
      </c>
      <c r="C864" t="s">
        <v>792</v>
      </c>
      <c r="D864" s="1">
        <v>44526</v>
      </c>
      <c r="E864">
        <v>10</v>
      </c>
      <c r="F864">
        <v>27.662093615131401</v>
      </c>
      <c r="G864" s="1">
        <v>44540</v>
      </c>
      <c r="H864" s="1">
        <v>44542</v>
      </c>
      <c r="I864">
        <v>276.62093615131403</v>
      </c>
      <c r="J864">
        <f t="shared" si="78"/>
        <v>2</v>
      </c>
      <c r="K864" t="str">
        <f>VLOOKUP(B864,Raw_Suppliers!$A$2:$G$101,2,FALSE)</f>
        <v>Eco Pioneer Corp</v>
      </c>
      <c r="L864" t="str">
        <f>VLOOKUP(B864,Raw_Suppliers!$A$2:$G$101,3,FALSE)</f>
        <v>China</v>
      </c>
      <c r="M864" t="str">
        <f>VLOOKUP(B864,Raw_Suppliers!$A$2:$G$101,4,FALSE)</f>
        <v>East</v>
      </c>
      <c r="N864" t="str">
        <f>VLOOKUP(B864,Raw_Suppliers!$A$2:$G$101,6,FALSE)</f>
        <v>ISO 14001</v>
      </c>
      <c r="O864">
        <f>VLOOKUP(B864,Raw_Suppliers!$A$2:$G$101,7,FALSE)</f>
        <v>1</v>
      </c>
      <c r="P864" t="str">
        <f t="shared" si="79"/>
        <v>Yes</v>
      </c>
      <c r="Q864">
        <f t="shared" si="80"/>
        <v>0</v>
      </c>
      <c r="R864" t="str">
        <f t="shared" si="81"/>
        <v>Late</v>
      </c>
      <c r="S864">
        <f t="shared" si="82"/>
        <v>2021</v>
      </c>
      <c r="T864">
        <f t="shared" si="83"/>
        <v>11</v>
      </c>
    </row>
    <row r="865" spans="1:20" x14ac:dyDescent="0.25">
      <c r="A865" t="s">
        <v>1169</v>
      </c>
      <c r="B865" t="s">
        <v>186</v>
      </c>
      <c r="C865" t="s">
        <v>559</v>
      </c>
      <c r="D865" s="1">
        <v>44540</v>
      </c>
      <c r="E865">
        <v>10</v>
      </c>
      <c r="F865">
        <v>55.903188132338698</v>
      </c>
      <c r="G865" s="1">
        <v>44560</v>
      </c>
      <c r="H865" s="1">
        <v>44557</v>
      </c>
      <c r="I865">
        <v>559.03188132338698</v>
      </c>
      <c r="J865">
        <f t="shared" si="78"/>
        <v>-3</v>
      </c>
      <c r="K865" t="str">
        <f>VLOOKUP(B865,Raw_Suppliers!$A$2:$G$101,2,FALSE)</f>
        <v>Omega Vertex Inc</v>
      </c>
      <c r="L865" t="str">
        <f>VLOOKUP(B865,Raw_Suppliers!$A$2:$G$101,3,FALSE)</f>
        <v>China</v>
      </c>
      <c r="M865" t="str">
        <f>VLOOKUP(B865,Raw_Suppliers!$A$2:$G$101,4,FALSE)</f>
        <v>West</v>
      </c>
      <c r="N865" t="str">
        <f>VLOOKUP(B865,Raw_Suppliers!$A$2:$G$101,6,FALSE)</f>
        <v>ISO 14001</v>
      </c>
      <c r="O865">
        <f>VLOOKUP(B865,Raw_Suppliers!$A$2:$G$101,7,FALSE)</f>
        <v>1</v>
      </c>
      <c r="P865" t="str">
        <f t="shared" si="79"/>
        <v>Yes</v>
      </c>
      <c r="Q865">
        <f t="shared" si="80"/>
        <v>1</v>
      </c>
      <c r="R865" t="str">
        <f t="shared" si="81"/>
        <v>On Time</v>
      </c>
      <c r="S865">
        <f t="shared" si="82"/>
        <v>2021</v>
      </c>
      <c r="T865">
        <f t="shared" si="83"/>
        <v>12</v>
      </c>
    </row>
    <row r="866" spans="1:20" x14ac:dyDescent="0.25">
      <c r="A866" t="s">
        <v>1170</v>
      </c>
      <c r="B866" t="s">
        <v>31</v>
      </c>
      <c r="C866" t="s">
        <v>396</v>
      </c>
      <c r="D866" s="1">
        <v>44753</v>
      </c>
      <c r="E866">
        <v>10</v>
      </c>
      <c r="F866">
        <v>35.951776809680403</v>
      </c>
      <c r="G866" s="1">
        <v>44770</v>
      </c>
      <c r="H866" s="1">
        <v>44770</v>
      </c>
      <c r="I866">
        <v>359.51776809680399</v>
      </c>
      <c r="J866">
        <f t="shared" si="78"/>
        <v>0</v>
      </c>
      <c r="K866" t="str">
        <f>VLOOKUP(B866,Raw_Suppliers!$A$2:$G$101,2,FALSE)</f>
        <v>Nova Nano GmbH</v>
      </c>
      <c r="L866" t="str">
        <f>VLOOKUP(B866,Raw_Suppliers!$A$2:$G$101,3,FALSE)</f>
        <v>Denmark</v>
      </c>
      <c r="M866" t="str">
        <f>VLOOKUP(B866,Raw_Suppliers!$A$2:$G$101,4,FALSE)</f>
        <v>South</v>
      </c>
      <c r="N866" t="str">
        <f>VLOOKUP(B866,Raw_Suppliers!$A$2:$G$101,6,FALSE)</f>
        <v>ISO 14001</v>
      </c>
      <c r="O866">
        <f>VLOOKUP(B866,Raw_Suppliers!$A$2:$G$101,7,FALSE)</f>
        <v>1</v>
      </c>
      <c r="P866" t="str">
        <f t="shared" si="79"/>
        <v>Yes</v>
      </c>
      <c r="Q866">
        <f t="shared" si="80"/>
        <v>1</v>
      </c>
      <c r="R866" t="str">
        <f t="shared" si="81"/>
        <v>On Time</v>
      </c>
      <c r="S866">
        <f t="shared" si="82"/>
        <v>2022</v>
      </c>
      <c r="T866">
        <f t="shared" si="83"/>
        <v>7</v>
      </c>
    </row>
    <row r="867" spans="1:20" x14ac:dyDescent="0.25">
      <c r="A867" t="s">
        <v>1171</v>
      </c>
      <c r="B867" t="s">
        <v>261</v>
      </c>
      <c r="C867" t="s">
        <v>627</v>
      </c>
      <c r="D867" s="1">
        <v>44681</v>
      </c>
      <c r="E867">
        <v>10</v>
      </c>
      <c r="F867">
        <v>49.487760076507897</v>
      </c>
      <c r="G867" s="1">
        <v>44695</v>
      </c>
      <c r="H867" s="1">
        <v>44695</v>
      </c>
      <c r="I867">
        <v>494.87760076507902</v>
      </c>
      <c r="J867">
        <f t="shared" si="78"/>
        <v>0</v>
      </c>
      <c r="K867" t="str">
        <f>VLOOKUP(B867,Raw_Suppliers!$A$2:$G$101,2,FALSE)</f>
        <v>Delta Fusion Corp</v>
      </c>
      <c r="L867" t="str">
        <f>VLOOKUP(B867,Raw_Suppliers!$A$2:$G$101,3,FALSE)</f>
        <v>Denmark</v>
      </c>
      <c r="M867" t="str">
        <f>VLOOKUP(B867,Raw_Suppliers!$A$2:$G$101,4,FALSE)</f>
        <v>West</v>
      </c>
      <c r="N867" t="str">
        <f>VLOOKUP(B867,Raw_Suppliers!$A$2:$G$101,6,FALSE)</f>
        <v>ISO 45001</v>
      </c>
      <c r="O867">
        <f>VLOOKUP(B867,Raw_Suppliers!$A$2:$G$101,7,FALSE)</f>
        <v>0</v>
      </c>
      <c r="P867" t="str">
        <f t="shared" si="79"/>
        <v>No</v>
      </c>
      <c r="Q867">
        <f t="shared" si="80"/>
        <v>1</v>
      </c>
      <c r="R867" t="str">
        <f t="shared" si="81"/>
        <v>On Time</v>
      </c>
      <c r="S867">
        <f t="shared" si="82"/>
        <v>2022</v>
      </c>
      <c r="T867">
        <f t="shared" si="83"/>
        <v>4</v>
      </c>
    </row>
    <row r="868" spans="1:20" x14ac:dyDescent="0.25">
      <c r="A868" t="s">
        <v>1172</v>
      </c>
      <c r="B868" t="s">
        <v>299</v>
      </c>
      <c r="C868" t="s">
        <v>629</v>
      </c>
      <c r="D868" s="1">
        <v>44471</v>
      </c>
      <c r="E868">
        <v>9</v>
      </c>
      <c r="F868">
        <v>65.459647971679303</v>
      </c>
      <c r="G868" s="1">
        <v>44488</v>
      </c>
      <c r="H868" s="1">
        <v>44488</v>
      </c>
      <c r="I868">
        <v>589.13683174511402</v>
      </c>
      <c r="J868">
        <f t="shared" si="78"/>
        <v>0</v>
      </c>
      <c r="K868" t="str">
        <f>VLOOKUP(B868,Raw_Suppliers!$A$2:$G$101,2,FALSE)</f>
        <v>Nova Alpha Inc</v>
      </c>
      <c r="L868" t="str">
        <f>VLOOKUP(B868,Raw_Suppliers!$A$2:$G$101,3,FALSE)</f>
        <v>UK</v>
      </c>
      <c r="M868" t="str">
        <f>VLOOKUP(B868,Raw_Suppliers!$A$2:$G$101,4,FALSE)</f>
        <v>South</v>
      </c>
      <c r="N868" t="str">
        <f>VLOOKUP(B868,Raw_Suppliers!$A$2:$G$101,6,FALSE)</f>
        <v>None</v>
      </c>
      <c r="O868">
        <f>VLOOKUP(B868,Raw_Suppliers!$A$2:$G$101,7,FALSE)</f>
        <v>1</v>
      </c>
      <c r="P868" t="str">
        <f t="shared" si="79"/>
        <v>Yes</v>
      </c>
      <c r="Q868">
        <f t="shared" si="80"/>
        <v>1</v>
      </c>
      <c r="R868" t="str">
        <f t="shared" si="81"/>
        <v>On Time</v>
      </c>
      <c r="S868">
        <f t="shared" si="82"/>
        <v>2021</v>
      </c>
      <c r="T868">
        <f t="shared" si="83"/>
        <v>10</v>
      </c>
    </row>
    <row r="869" spans="1:20" x14ac:dyDescent="0.25">
      <c r="A869" t="s">
        <v>1173</v>
      </c>
      <c r="B869" t="s">
        <v>219</v>
      </c>
      <c r="C869" t="s">
        <v>689</v>
      </c>
      <c r="D869" s="1">
        <v>45391</v>
      </c>
      <c r="E869">
        <v>13</v>
      </c>
      <c r="F869">
        <v>78.327091729182797</v>
      </c>
      <c r="G869" s="1">
        <v>45406</v>
      </c>
      <c r="H869" s="1">
        <v>45411</v>
      </c>
      <c r="I869">
        <v>1018.25219247937</v>
      </c>
      <c r="J869">
        <f t="shared" si="78"/>
        <v>5</v>
      </c>
      <c r="K869" t="str">
        <f>VLOOKUP(B869,Raw_Suppliers!$A$2:$G$101,2,FALSE)</f>
        <v>Quantum Quantum Ltd</v>
      </c>
      <c r="L869" t="str">
        <f>VLOOKUP(B869,Raw_Suppliers!$A$2:$G$101,3,FALSE)</f>
        <v>USA</v>
      </c>
      <c r="M869" t="str">
        <f>VLOOKUP(B869,Raw_Suppliers!$A$2:$G$101,4,FALSE)</f>
        <v>South</v>
      </c>
      <c r="N869" t="str">
        <f>VLOOKUP(B869,Raw_Suppliers!$A$2:$G$101,6,FALSE)</f>
        <v>ISO 14001</v>
      </c>
      <c r="O869">
        <f>VLOOKUP(B869,Raw_Suppliers!$A$2:$G$101,7,FALSE)</f>
        <v>0</v>
      </c>
      <c r="P869" t="str">
        <f t="shared" si="79"/>
        <v>No</v>
      </c>
      <c r="Q869">
        <f t="shared" si="80"/>
        <v>0</v>
      </c>
      <c r="R869" t="str">
        <f t="shared" si="81"/>
        <v>Late</v>
      </c>
      <c r="S869">
        <f t="shared" si="82"/>
        <v>2024</v>
      </c>
      <c r="T869">
        <f t="shared" si="83"/>
        <v>4</v>
      </c>
    </row>
    <row r="870" spans="1:20" x14ac:dyDescent="0.25">
      <c r="A870" t="s">
        <v>1174</v>
      </c>
      <c r="B870" t="s">
        <v>76</v>
      </c>
      <c r="C870" t="s">
        <v>444</v>
      </c>
      <c r="D870" s="1">
        <v>44248</v>
      </c>
      <c r="E870">
        <v>12</v>
      </c>
      <c r="F870">
        <v>45.529216503474203</v>
      </c>
      <c r="G870" s="1">
        <v>44264</v>
      </c>
      <c r="H870" s="1">
        <v>44268</v>
      </c>
      <c r="I870">
        <v>546.35059804168998</v>
      </c>
      <c r="J870">
        <f t="shared" si="78"/>
        <v>4</v>
      </c>
      <c r="K870" t="str">
        <f>VLOOKUP(B870,Raw_Suppliers!$A$2:$G$101,2,FALSE)</f>
        <v>Alpha Beta Ltd</v>
      </c>
      <c r="L870" t="str">
        <f>VLOOKUP(B870,Raw_Suppliers!$A$2:$G$101,3,FALSE)</f>
        <v>UK</v>
      </c>
      <c r="M870" t="str">
        <f>VLOOKUP(B870,Raw_Suppliers!$A$2:$G$101,4,FALSE)</f>
        <v>South</v>
      </c>
      <c r="N870" t="str">
        <f>VLOOKUP(B870,Raw_Suppliers!$A$2:$G$101,6,FALSE)</f>
        <v>None</v>
      </c>
      <c r="O870">
        <f>VLOOKUP(B870,Raw_Suppliers!$A$2:$G$101,7,FALSE)</f>
        <v>1</v>
      </c>
      <c r="P870" t="str">
        <f t="shared" si="79"/>
        <v>Yes</v>
      </c>
      <c r="Q870">
        <f t="shared" si="80"/>
        <v>0</v>
      </c>
      <c r="R870" t="str">
        <f t="shared" si="81"/>
        <v>Late</v>
      </c>
      <c r="S870">
        <f t="shared" si="82"/>
        <v>2021</v>
      </c>
      <c r="T870">
        <f t="shared" si="83"/>
        <v>2</v>
      </c>
    </row>
    <row r="871" spans="1:20" x14ac:dyDescent="0.25">
      <c r="A871" t="s">
        <v>1175</v>
      </c>
      <c r="B871" t="s">
        <v>189</v>
      </c>
      <c r="C871" t="s">
        <v>1176</v>
      </c>
      <c r="D871" s="1">
        <v>44634</v>
      </c>
      <c r="E871">
        <v>14</v>
      </c>
      <c r="F871">
        <v>67.327530985860804</v>
      </c>
      <c r="G871" s="1">
        <v>44649</v>
      </c>
      <c r="H871" s="1">
        <v>44650</v>
      </c>
      <c r="I871">
        <v>942.58543380205197</v>
      </c>
      <c r="J871">
        <f t="shared" si="78"/>
        <v>1</v>
      </c>
      <c r="K871" t="str">
        <f>VLOOKUP(B871,Raw_Suppliers!$A$2:$G$101,2,FALSE)</f>
        <v>Apex Pioneer Ltd</v>
      </c>
      <c r="L871" t="str">
        <f>VLOOKUP(B871,Raw_Suppliers!$A$2:$G$101,3,FALSE)</f>
        <v>Canada</v>
      </c>
      <c r="M871" t="str">
        <f>VLOOKUP(B871,Raw_Suppliers!$A$2:$G$101,4,FALSE)</f>
        <v>South</v>
      </c>
      <c r="N871" t="str">
        <f>VLOOKUP(B871,Raw_Suppliers!$A$2:$G$101,6,FALSE)</f>
        <v>ISO 14001</v>
      </c>
      <c r="O871">
        <f>VLOOKUP(B871,Raw_Suppliers!$A$2:$G$101,7,FALSE)</f>
        <v>1</v>
      </c>
      <c r="P871" t="str">
        <f t="shared" si="79"/>
        <v>Yes</v>
      </c>
      <c r="Q871">
        <f t="shared" si="80"/>
        <v>0</v>
      </c>
      <c r="R871" t="str">
        <f t="shared" si="81"/>
        <v>Late</v>
      </c>
      <c r="S871">
        <f t="shared" si="82"/>
        <v>2022</v>
      </c>
      <c r="T871">
        <f t="shared" si="83"/>
        <v>3</v>
      </c>
    </row>
    <row r="872" spans="1:20" x14ac:dyDescent="0.25">
      <c r="A872" t="s">
        <v>1177</v>
      </c>
      <c r="B872" t="s">
        <v>114</v>
      </c>
      <c r="C872" t="s">
        <v>338</v>
      </c>
      <c r="D872" s="1">
        <v>44913</v>
      </c>
      <c r="E872">
        <v>11</v>
      </c>
      <c r="F872">
        <v>9.3788031256260993</v>
      </c>
      <c r="G872" s="1">
        <v>44925</v>
      </c>
      <c r="H872" s="1">
        <v>44928</v>
      </c>
      <c r="I872">
        <v>103.166834381887</v>
      </c>
      <c r="J872">
        <f t="shared" si="78"/>
        <v>3</v>
      </c>
      <c r="K872" t="str">
        <f>VLOOKUP(B872,Raw_Suppliers!$A$2:$G$101,2,FALSE)</f>
        <v>Fusion Fusion LLC</v>
      </c>
      <c r="L872" t="str">
        <f>VLOOKUP(B872,Raw_Suppliers!$A$2:$G$101,3,FALSE)</f>
        <v>China</v>
      </c>
      <c r="M872" t="str">
        <f>VLOOKUP(B872,Raw_Suppliers!$A$2:$G$101,4,FALSE)</f>
        <v>North</v>
      </c>
      <c r="N872" t="str">
        <f>VLOOKUP(B872,Raw_Suppliers!$A$2:$G$101,6,FALSE)</f>
        <v>ISO 45001</v>
      </c>
      <c r="O872">
        <f>VLOOKUP(B872,Raw_Suppliers!$A$2:$G$101,7,FALSE)</f>
        <v>1</v>
      </c>
      <c r="P872" t="str">
        <f t="shared" si="79"/>
        <v>Yes</v>
      </c>
      <c r="Q872">
        <f t="shared" si="80"/>
        <v>0</v>
      </c>
      <c r="R872" t="str">
        <f t="shared" si="81"/>
        <v>Late</v>
      </c>
      <c r="S872">
        <f t="shared" si="82"/>
        <v>2022</v>
      </c>
      <c r="T872">
        <f t="shared" si="83"/>
        <v>12</v>
      </c>
    </row>
    <row r="873" spans="1:20" x14ac:dyDescent="0.25">
      <c r="A873" t="s">
        <v>1178</v>
      </c>
      <c r="B873" t="s">
        <v>85</v>
      </c>
      <c r="C873" t="s">
        <v>317</v>
      </c>
      <c r="D873" s="1">
        <v>45240</v>
      </c>
      <c r="E873">
        <v>9</v>
      </c>
      <c r="F873">
        <v>73.763067633153497</v>
      </c>
      <c r="G873" s="1">
        <v>45256</v>
      </c>
      <c r="H873" s="1">
        <v>45257</v>
      </c>
      <c r="I873">
        <v>663.86760869838099</v>
      </c>
      <c r="J873">
        <f t="shared" si="78"/>
        <v>1</v>
      </c>
      <c r="K873" t="str">
        <f>VLOOKUP(B873,Raw_Suppliers!$A$2:$G$101,2,FALSE)</f>
        <v>Fusion Gamma LLC</v>
      </c>
      <c r="L873" t="str">
        <f>VLOOKUP(B873,Raw_Suppliers!$A$2:$G$101,3,FALSE)</f>
        <v>China</v>
      </c>
      <c r="M873" t="str">
        <f>VLOOKUP(B873,Raw_Suppliers!$A$2:$G$101,4,FALSE)</f>
        <v>East</v>
      </c>
      <c r="N873" t="str">
        <f>VLOOKUP(B873,Raw_Suppliers!$A$2:$G$101,6,FALSE)</f>
        <v>ISO 9001</v>
      </c>
      <c r="O873">
        <f>VLOOKUP(B873,Raw_Suppliers!$A$2:$G$101,7,FALSE)</f>
        <v>1</v>
      </c>
      <c r="P873" t="str">
        <f t="shared" si="79"/>
        <v>Yes</v>
      </c>
      <c r="Q873">
        <f t="shared" si="80"/>
        <v>0</v>
      </c>
      <c r="R873" t="str">
        <f t="shared" si="81"/>
        <v>Late</v>
      </c>
      <c r="S873">
        <f t="shared" si="82"/>
        <v>2023</v>
      </c>
      <c r="T873">
        <f t="shared" si="83"/>
        <v>11</v>
      </c>
    </row>
    <row r="874" spans="1:20" x14ac:dyDescent="0.25">
      <c r="A874" t="s">
        <v>1179</v>
      </c>
      <c r="B874" t="s">
        <v>16</v>
      </c>
      <c r="C874" t="s">
        <v>990</v>
      </c>
      <c r="D874" s="1">
        <v>44835</v>
      </c>
      <c r="E874">
        <v>11</v>
      </c>
      <c r="F874">
        <v>13.750742578381001</v>
      </c>
      <c r="G874" s="1">
        <v>44858</v>
      </c>
      <c r="H874" s="1">
        <v>44863</v>
      </c>
      <c r="I874">
        <v>151.25816836219201</v>
      </c>
      <c r="J874">
        <f t="shared" si="78"/>
        <v>5</v>
      </c>
      <c r="K874" t="str">
        <f>VLOOKUP(B874,Raw_Suppliers!$A$2:$G$101,2,FALSE)</f>
        <v>Beta Pioneer Inc</v>
      </c>
      <c r="L874" t="str">
        <f>VLOOKUP(B874,Raw_Suppliers!$A$2:$G$101,3,FALSE)</f>
        <v>USA</v>
      </c>
      <c r="M874" t="str">
        <f>VLOOKUP(B874,Raw_Suppliers!$A$2:$G$101,4,FALSE)</f>
        <v>Central</v>
      </c>
      <c r="N874" t="str">
        <f>VLOOKUP(B874,Raw_Suppliers!$A$2:$G$101,6,FALSE)</f>
        <v>ISO 45001</v>
      </c>
      <c r="O874">
        <f>VLOOKUP(B874,Raw_Suppliers!$A$2:$G$101,7,FALSE)</f>
        <v>1</v>
      </c>
      <c r="P874" t="str">
        <f t="shared" si="79"/>
        <v>Yes</v>
      </c>
      <c r="Q874">
        <f t="shared" si="80"/>
        <v>0</v>
      </c>
      <c r="R874" t="str">
        <f t="shared" si="81"/>
        <v>Late</v>
      </c>
      <c r="S874">
        <f t="shared" si="82"/>
        <v>2022</v>
      </c>
      <c r="T874">
        <f t="shared" si="83"/>
        <v>10</v>
      </c>
    </row>
    <row r="875" spans="1:20" x14ac:dyDescent="0.25">
      <c r="A875" t="s">
        <v>1180</v>
      </c>
      <c r="B875" t="s">
        <v>578</v>
      </c>
      <c r="C875" t="s">
        <v>172</v>
      </c>
      <c r="D875" s="1">
        <v>45209</v>
      </c>
      <c r="E875">
        <v>10</v>
      </c>
      <c r="F875">
        <v>5.75985235244341</v>
      </c>
      <c r="G875" s="1">
        <v>45226</v>
      </c>
      <c r="H875" s="1">
        <v>45224</v>
      </c>
      <c r="I875">
        <v>57.5985235244341</v>
      </c>
      <c r="J875">
        <f t="shared" si="78"/>
        <v>-2</v>
      </c>
      <c r="K875" t="str">
        <f>VLOOKUP(B875,Raw_Suppliers!$A$2:$G$101,2,FALSE)</f>
        <v>Beta Eco Ltd</v>
      </c>
      <c r="L875" t="str">
        <f>VLOOKUP(B875,Raw_Suppliers!$A$2:$G$101,3,FALSE)</f>
        <v>Canada</v>
      </c>
      <c r="M875" t="str">
        <f>VLOOKUP(B875,Raw_Suppliers!$A$2:$G$101,4,FALSE)</f>
        <v>East</v>
      </c>
      <c r="N875" t="str">
        <f>VLOOKUP(B875,Raw_Suppliers!$A$2:$G$101,6,FALSE)</f>
        <v>None</v>
      </c>
      <c r="O875">
        <f>VLOOKUP(B875,Raw_Suppliers!$A$2:$G$101,7,FALSE)</f>
        <v>0</v>
      </c>
      <c r="P875" t="str">
        <f t="shared" si="79"/>
        <v>No</v>
      </c>
      <c r="Q875">
        <f t="shared" si="80"/>
        <v>1</v>
      </c>
      <c r="R875" t="str">
        <f t="shared" si="81"/>
        <v>On Time</v>
      </c>
      <c r="S875">
        <f t="shared" si="82"/>
        <v>2023</v>
      </c>
      <c r="T875">
        <f t="shared" si="83"/>
        <v>10</v>
      </c>
    </row>
    <row r="876" spans="1:20" x14ac:dyDescent="0.25">
      <c r="A876" t="s">
        <v>1181</v>
      </c>
      <c r="B876" t="s">
        <v>198</v>
      </c>
      <c r="C876" t="s">
        <v>290</v>
      </c>
      <c r="D876" s="1">
        <v>45160</v>
      </c>
      <c r="E876">
        <v>17</v>
      </c>
      <c r="F876">
        <v>58.9766026043376</v>
      </c>
      <c r="G876" s="1">
        <v>45179</v>
      </c>
      <c r="H876" s="1">
        <v>45184</v>
      </c>
      <c r="I876">
        <v>1002.60224427374</v>
      </c>
      <c r="J876">
        <f t="shared" si="78"/>
        <v>5</v>
      </c>
      <c r="K876" t="str">
        <f>VLOOKUP(B876,Raw_Suppliers!$A$2:$G$101,2,FALSE)</f>
        <v>Gamma Vertex Corp</v>
      </c>
      <c r="L876" t="str">
        <f>VLOOKUP(B876,Raw_Suppliers!$A$2:$G$101,3,FALSE)</f>
        <v>Denmark</v>
      </c>
      <c r="M876" t="str">
        <f>VLOOKUP(B876,Raw_Suppliers!$A$2:$G$101,4,FALSE)</f>
        <v>South</v>
      </c>
      <c r="N876" t="str">
        <f>VLOOKUP(B876,Raw_Suppliers!$A$2:$G$101,6,FALSE)</f>
        <v>None</v>
      </c>
      <c r="O876">
        <f>VLOOKUP(B876,Raw_Suppliers!$A$2:$G$101,7,FALSE)</f>
        <v>1</v>
      </c>
      <c r="P876" t="str">
        <f t="shared" si="79"/>
        <v>Yes</v>
      </c>
      <c r="Q876">
        <f t="shared" si="80"/>
        <v>0</v>
      </c>
      <c r="R876" t="str">
        <f t="shared" si="81"/>
        <v>Late</v>
      </c>
      <c r="S876">
        <f t="shared" si="82"/>
        <v>2023</v>
      </c>
      <c r="T876">
        <f t="shared" si="83"/>
        <v>8</v>
      </c>
    </row>
    <row r="877" spans="1:20" x14ac:dyDescent="0.25">
      <c r="A877" t="s">
        <v>1182</v>
      </c>
      <c r="B877" t="s">
        <v>475</v>
      </c>
      <c r="C877" t="s">
        <v>83</v>
      </c>
      <c r="D877" s="1">
        <v>45233</v>
      </c>
      <c r="E877">
        <v>12</v>
      </c>
      <c r="F877">
        <v>5.4365026078019802</v>
      </c>
      <c r="G877" s="1">
        <v>45253</v>
      </c>
      <c r="H877" s="1">
        <v>45252</v>
      </c>
      <c r="I877">
        <v>65.238031293623806</v>
      </c>
      <c r="J877">
        <f t="shared" si="78"/>
        <v>-1</v>
      </c>
      <c r="K877" t="str">
        <f>VLOOKUP(B877,Raw_Suppliers!$A$2:$G$101,2,FALSE)</f>
        <v>Ultra Delta LLC</v>
      </c>
      <c r="L877" t="str">
        <f>VLOOKUP(B877,Raw_Suppliers!$A$2:$G$101,3,FALSE)</f>
        <v>UK</v>
      </c>
      <c r="M877" t="str">
        <f>VLOOKUP(B877,Raw_Suppliers!$A$2:$G$101,4,FALSE)</f>
        <v>North</v>
      </c>
      <c r="N877" t="str">
        <f>VLOOKUP(B877,Raw_Suppliers!$A$2:$G$101,6,FALSE)</f>
        <v>None</v>
      </c>
      <c r="O877">
        <f>VLOOKUP(B877,Raw_Suppliers!$A$2:$G$101,7,FALSE)</f>
        <v>1</v>
      </c>
      <c r="P877" t="str">
        <f t="shared" si="79"/>
        <v>Yes</v>
      </c>
      <c r="Q877">
        <f t="shared" si="80"/>
        <v>1</v>
      </c>
      <c r="R877" t="str">
        <f t="shared" si="81"/>
        <v>On Time</v>
      </c>
      <c r="S877">
        <f t="shared" si="82"/>
        <v>2023</v>
      </c>
      <c r="T877">
        <f t="shared" si="83"/>
        <v>11</v>
      </c>
    </row>
    <row r="878" spans="1:20" x14ac:dyDescent="0.25">
      <c r="A878" t="s">
        <v>1183</v>
      </c>
      <c r="B878" t="s">
        <v>369</v>
      </c>
      <c r="C878" t="s">
        <v>92</v>
      </c>
      <c r="D878" s="1">
        <v>45105</v>
      </c>
      <c r="E878">
        <v>7</v>
      </c>
      <c r="F878">
        <v>67.533400770013401</v>
      </c>
      <c r="G878" s="1">
        <v>45123</v>
      </c>
      <c r="H878" s="1">
        <v>45127</v>
      </c>
      <c r="I878">
        <v>472.73380539009401</v>
      </c>
      <c r="J878">
        <f t="shared" si="78"/>
        <v>4</v>
      </c>
      <c r="K878" t="str">
        <f>VLOOKUP(B878,Raw_Suppliers!$A$2:$G$101,2,FALSE)</f>
        <v>Beta Fusion GmbH</v>
      </c>
      <c r="L878" t="str">
        <f>VLOOKUP(B878,Raw_Suppliers!$A$2:$G$101,3,FALSE)</f>
        <v>China</v>
      </c>
      <c r="M878" t="str">
        <f>VLOOKUP(B878,Raw_Suppliers!$A$2:$G$101,4,FALSE)</f>
        <v>South</v>
      </c>
      <c r="N878" t="str">
        <f>VLOOKUP(B878,Raw_Suppliers!$A$2:$G$101,6,FALSE)</f>
        <v>ISO 9001</v>
      </c>
      <c r="O878">
        <f>VLOOKUP(B878,Raw_Suppliers!$A$2:$G$101,7,FALSE)</f>
        <v>0</v>
      </c>
      <c r="P878" t="str">
        <f t="shared" si="79"/>
        <v>No</v>
      </c>
      <c r="Q878">
        <f t="shared" si="80"/>
        <v>0</v>
      </c>
      <c r="R878" t="str">
        <f t="shared" si="81"/>
        <v>Late</v>
      </c>
      <c r="S878">
        <f t="shared" si="82"/>
        <v>2023</v>
      </c>
      <c r="T878">
        <f t="shared" si="83"/>
        <v>6</v>
      </c>
    </row>
    <row r="879" spans="1:20" x14ac:dyDescent="0.25">
      <c r="A879" t="s">
        <v>1184</v>
      </c>
      <c r="B879" t="s">
        <v>253</v>
      </c>
      <c r="C879" t="s">
        <v>259</v>
      </c>
      <c r="D879" s="1">
        <v>44261</v>
      </c>
      <c r="E879">
        <v>9</v>
      </c>
      <c r="F879">
        <v>67.912938778517898</v>
      </c>
      <c r="G879" s="1">
        <v>44283</v>
      </c>
      <c r="H879" s="1">
        <v>44280</v>
      </c>
      <c r="I879">
        <v>611.21644900666104</v>
      </c>
      <c r="J879">
        <f t="shared" si="78"/>
        <v>-3</v>
      </c>
      <c r="K879" t="str">
        <f>VLOOKUP(B879,Raw_Suppliers!$A$2:$G$101,2,FALSE)</f>
        <v>Vertex Apex Ltd</v>
      </c>
      <c r="L879" t="str">
        <f>VLOOKUP(B879,Raw_Suppliers!$A$2:$G$101,3,FALSE)</f>
        <v>Brazil</v>
      </c>
      <c r="M879" t="str">
        <f>VLOOKUP(B879,Raw_Suppliers!$A$2:$G$101,4,FALSE)</f>
        <v>South</v>
      </c>
      <c r="N879" t="str">
        <f>VLOOKUP(B879,Raw_Suppliers!$A$2:$G$101,6,FALSE)</f>
        <v>None</v>
      </c>
      <c r="O879">
        <f>VLOOKUP(B879,Raw_Suppliers!$A$2:$G$101,7,FALSE)</f>
        <v>1</v>
      </c>
      <c r="P879" t="str">
        <f t="shared" si="79"/>
        <v>Yes</v>
      </c>
      <c r="Q879">
        <f t="shared" si="80"/>
        <v>1</v>
      </c>
      <c r="R879" t="str">
        <f t="shared" si="81"/>
        <v>On Time</v>
      </c>
      <c r="S879">
        <f t="shared" si="82"/>
        <v>2021</v>
      </c>
      <c r="T879">
        <f t="shared" si="83"/>
        <v>3</v>
      </c>
    </row>
    <row r="880" spans="1:20" x14ac:dyDescent="0.25">
      <c r="A880" t="s">
        <v>1185</v>
      </c>
      <c r="B880" t="s">
        <v>207</v>
      </c>
      <c r="C880" t="s">
        <v>421</v>
      </c>
      <c r="D880" s="1">
        <v>45088</v>
      </c>
      <c r="E880">
        <v>13</v>
      </c>
      <c r="F880">
        <v>3.6777124452685701</v>
      </c>
      <c r="G880" s="1">
        <v>45105</v>
      </c>
      <c r="H880" s="1">
        <v>45109</v>
      </c>
      <c r="I880">
        <v>47.810261788491403</v>
      </c>
      <c r="J880">
        <f t="shared" si="78"/>
        <v>4</v>
      </c>
      <c r="K880" t="str">
        <f>VLOOKUP(B880,Raw_Suppliers!$A$2:$G$101,2,FALSE)</f>
        <v>Nova Alpha Ltd</v>
      </c>
      <c r="L880" t="str">
        <f>VLOOKUP(B880,Raw_Suppliers!$A$2:$G$101,3,FALSE)</f>
        <v>India</v>
      </c>
      <c r="M880" t="str">
        <f>VLOOKUP(B880,Raw_Suppliers!$A$2:$G$101,4,FALSE)</f>
        <v>East</v>
      </c>
      <c r="N880" t="str">
        <f>VLOOKUP(B880,Raw_Suppliers!$A$2:$G$101,6,FALSE)</f>
        <v>ISO 9001</v>
      </c>
      <c r="O880">
        <f>VLOOKUP(B880,Raw_Suppliers!$A$2:$G$101,7,FALSE)</f>
        <v>0</v>
      </c>
      <c r="P880" t="str">
        <f t="shared" si="79"/>
        <v>No</v>
      </c>
      <c r="Q880">
        <f t="shared" si="80"/>
        <v>0</v>
      </c>
      <c r="R880" t="str">
        <f t="shared" si="81"/>
        <v>Late</v>
      </c>
      <c r="S880">
        <f t="shared" si="82"/>
        <v>2023</v>
      </c>
      <c r="T880">
        <f t="shared" si="83"/>
        <v>6</v>
      </c>
    </row>
    <row r="881" spans="1:20" x14ac:dyDescent="0.25">
      <c r="A881" t="s">
        <v>1186</v>
      </c>
      <c r="B881" t="s">
        <v>174</v>
      </c>
      <c r="C881" t="s">
        <v>428</v>
      </c>
      <c r="D881" s="1">
        <v>45216</v>
      </c>
      <c r="E881">
        <v>11</v>
      </c>
      <c r="F881">
        <v>30.891335145756901</v>
      </c>
      <c r="G881" s="1">
        <v>45228</v>
      </c>
      <c r="H881" s="1">
        <v>45233</v>
      </c>
      <c r="I881">
        <v>339.80468660332599</v>
      </c>
      <c r="J881">
        <f t="shared" si="78"/>
        <v>5</v>
      </c>
      <c r="K881" t="str">
        <f>VLOOKUP(B881,Raw_Suppliers!$A$2:$G$101,2,FALSE)</f>
        <v>Quantum Eco LLC</v>
      </c>
      <c r="L881" t="str">
        <f>VLOOKUP(B881,Raw_Suppliers!$A$2:$G$101,3,FALSE)</f>
        <v>Denmark</v>
      </c>
      <c r="M881" t="str">
        <f>VLOOKUP(B881,Raw_Suppliers!$A$2:$G$101,4,FALSE)</f>
        <v>East</v>
      </c>
      <c r="N881" t="str">
        <f>VLOOKUP(B881,Raw_Suppliers!$A$2:$G$101,6,FALSE)</f>
        <v>ISO 9001</v>
      </c>
      <c r="O881">
        <f>VLOOKUP(B881,Raw_Suppliers!$A$2:$G$101,7,FALSE)</f>
        <v>1</v>
      </c>
      <c r="P881" t="str">
        <f t="shared" si="79"/>
        <v>Yes</v>
      </c>
      <c r="Q881">
        <f t="shared" si="80"/>
        <v>0</v>
      </c>
      <c r="R881" t="str">
        <f t="shared" si="81"/>
        <v>Late</v>
      </c>
      <c r="S881">
        <f t="shared" si="82"/>
        <v>2023</v>
      </c>
      <c r="T881">
        <f t="shared" si="83"/>
        <v>10</v>
      </c>
    </row>
    <row r="882" spans="1:20" x14ac:dyDescent="0.25">
      <c r="A882" t="s">
        <v>1187</v>
      </c>
      <c r="B882" t="s">
        <v>160</v>
      </c>
      <c r="C882" t="s">
        <v>587</v>
      </c>
      <c r="D882" s="1">
        <v>44996</v>
      </c>
      <c r="E882">
        <v>10</v>
      </c>
      <c r="F882">
        <v>47.459969079836199</v>
      </c>
      <c r="G882" s="1">
        <v>45007</v>
      </c>
      <c r="H882" s="1">
        <v>45009</v>
      </c>
      <c r="I882">
        <v>474.59969079836202</v>
      </c>
      <c r="J882">
        <f t="shared" si="78"/>
        <v>2</v>
      </c>
      <c r="K882" t="str">
        <f>VLOOKUP(B882,Raw_Suppliers!$A$2:$G$101,2,FALSE)</f>
        <v>Omega Beta Corp</v>
      </c>
      <c r="L882" t="str">
        <f>VLOOKUP(B882,Raw_Suppliers!$A$2:$G$101,3,FALSE)</f>
        <v>China</v>
      </c>
      <c r="M882" t="str">
        <f>VLOOKUP(B882,Raw_Suppliers!$A$2:$G$101,4,FALSE)</f>
        <v>East</v>
      </c>
      <c r="N882" t="str">
        <f>VLOOKUP(B882,Raw_Suppliers!$A$2:$G$101,6,FALSE)</f>
        <v>ISO 45001</v>
      </c>
      <c r="O882">
        <f>VLOOKUP(B882,Raw_Suppliers!$A$2:$G$101,7,FALSE)</f>
        <v>1</v>
      </c>
      <c r="P882" t="str">
        <f t="shared" si="79"/>
        <v>Yes</v>
      </c>
      <c r="Q882">
        <f t="shared" si="80"/>
        <v>0</v>
      </c>
      <c r="R882" t="str">
        <f t="shared" si="81"/>
        <v>Late</v>
      </c>
      <c r="S882">
        <f t="shared" si="82"/>
        <v>2023</v>
      </c>
      <c r="T882">
        <f t="shared" si="83"/>
        <v>3</v>
      </c>
    </row>
    <row r="883" spans="1:20" x14ac:dyDescent="0.25">
      <c r="A883" t="s">
        <v>1188</v>
      </c>
      <c r="B883" t="s">
        <v>394</v>
      </c>
      <c r="C883" t="s">
        <v>297</v>
      </c>
      <c r="D883" s="1">
        <v>44346</v>
      </c>
      <c r="E883">
        <v>19</v>
      </c>
      <c r="F883">
        <v>56.810195083492601</v>
      </c>
      <c r="G883" s="1">
        <v>44370</v>
      </c>
      <c r="H883" s="1">
        <v>44371</v>
      </c>
      <c r="I883">
        <v>1079.3937065863499</v>
      </c>
      <c r="J883">
        <f t="shared" si="78"/>
        <v>1</v>
      </c>
      <c r="K883" t="str">
        <f>VLOOKUP(B883,Raw_Suppliers!$A$2:$G$101,2,FALSE)</f>
        <v>Ultra Prime Inc</v>
      </c>
      <c r="L883" t="str">
        <f>VLOOKUP(B883,Raw_Suppliers!$A$2:$G$101,3,FALSE)</f>
        <v>Brazil</v>
      </c>
      <c r="M883" t="str">
        <f>VLOOKUP(B883,Raw_Suppliers!$A$2:$G$101,4,FALSE)</f>
        <v>West</v>
      </c>
      <c r="N883" t="str">
        <f>VLOOKUP(B883,Raw_Suppliers!$A$2:$G$101,6,FALSE)</f>
        <v>ISO 9001</v>
      </c>
      <c r="O883">
        <f>VLOOKUP(B883,Raw_Suppliers!$A$2:$G$101,7,FALSE)</f>
        <v>1</v>
      </c>
      <c r="P883" t="str">
        <f t="shared" si="79"/>
        <v>Yes</v>
      </c>
      <c r="Q883">
        <f t="shared" si="80"/>
        <v>0</v>
      </c>
      <c r="R883" t="str">
        <f t="shared" si="81"/>
        <v>Late</v>
      </c>
      <c r="S883">
        <f t="shared" si="82"/>
        <v>2021</v>
      </c>
      <c r="T883">
        <f t="shared" si="83"/>
        <v>5</v>
      </c>
    </row>
    <row r="884" spans="1:20" x14ac:dyDescent="0.25">
      <c r="A884" t="s">
        <v>1189</v>
      </c>
      <c r="B884" t="s">
        <v>19</v>
      </c>
      <c r="C884" t="s">
        <v>259</v>
      </c>
      <c r="D884" s="1">
        <v>44983</v>
      </c>
      <c r="E884">
        <v>15</v>
      </c>
      <c r="F884">
        <v>24.990370123793301</v>
      </c>
      <c r="G884" s="1">
        <v>44998</v>
      </c>
      <c r="H884" s="1">
        <v>44997</v>
      </c>
      <c r="I884">
        <v>374.85555185689998</v>
      </c>
      <c r="J884">
        <f t="shared" si="78"/>
        <v>-1</v>
      </c>
      <c r="K884" t="str">
        <f>VLOOKUP(B884,Raw_Suppliers!$A$2:$G$101,2,FALSE)</f>
        <v>Nova Beta Corp</v>
      </c>
      <c r="L884" t="str">
        <f>VLOOKUP(B884,Raw_Suppliers!$A$2:$G$101,3,FALSE)</f>
        <v>Brazil</v>
      </c>
      <c r="M884" t="str">
        <f>VLOOKUP(B884,Raw_Suppliers!$A$2:$G$101,4,FALSE)</f>
        <v>South</v>
      </c>
      <c r="N884" t="str">
        <f>VLOOKUP(B884,Raw_Suppliers!$A$2:$G$101,6,FALSE)</f>
        <v>ISO 14001</v>
      </c>
      <c r="O884">
        <f>VLOOKUP(B884,Raw_Suppliers!$A$2:$G$101,7,FALSE)</f>
        <v>1</v>
      </c>
      <c r="P884" t="str">
        <f t="shared" si="79"/>
        <v>Yes</v>
      </c>
      <c r="Q884">
        <f t="shared" si="80"/>
        <v>1</v>
      </c>
      <c r="R884" t="str">
        <f t="shared" si="81"/>
        <v>On Time</v>
      </c>
      <c r="S884">
        <f t="shared" si="82"/>
        <v>2023</v>
      </c>
      <c r="T884">
        <f t="shared" si="83"/>
        <v>2</v>
      </c>
    </row>
    <row r="885" spans="1:20" x14ac:dyDescent="0.25">
      <c r="A885" t="s">
        <v>1190</v>
      </c>
      <c r="B885" t="s">
        <v>250</v>
      </c>
      <c r="C885" t="s">
        <v>413</v>
      </c>
      <c r="D885" s="1">
        <v>44623</v>
      </c>
      <c r="E885">
        <v>13</v>
      </c>
      <c r="F885">
        <v>25.340063070892</v>
      </c>
      <c r="G885" s="1">
        <v>44647</v>
      </c>
      <c r="H885" s="1">
        <v>44648</v>
      </c>
      <c r="I885">
        <v>329.420819921597</v>
      </c>
      <c r="J885">
        <f t="shared" si="78"/>
        <v>1</v>
      </c>
      <c r="K885" t="str">
        <f>VLOOKUP(B885,Raw_Suppliers!$A$2:$G$101,2,FALSE)</f>
        <v>Fusion Fusion Inc</v>
      </c>
      <c r="L885" t="str">
        <f>VLOOKUP(B885,Raw_Suppliers!$A$2:$G$101,3,FALSE)</f>
        <v>India</v>
      </c>
      <c r="M885" t="str">
        <f>VLOOKUP(B885,Raw_Suppliers!$A$2:$G$101,4,FALSE)</f>
        <v>South</v>
      </c>
      <c r="N885" t="str">
        <f>VLOOKUP(B885,Raw_Suppliers!$A$2:$G$101,6,FALSE)</f>
        <v>ISO 9001</v>
      </c>
      <c r="O885">
        <f>VLOOKUP(B885,Raw_Suppliers!$A$2:$G$101,7,FALSE)</f>
        <v>0</v>
      </c>
      <c r="P885" t="str">
        <f t="shared" si="79"/>
        <v>No</v>
      </c>
      <c r="Q885">
        <f t="shared" si="80"/>
        <v>0</v>
      </c>
      <c r="R885" t="str">
        <f t="shared" si="81"/>
        <v>Late</v>
      </c>
      <c r="S885">
        <f t="shared" si="82"/>
        <v>2022</v>
      </c>
      <c r="T885">
        <f t="shared" si="83"/>
        <v>3</v>
      </c>
    </row>
    <row r="886" spans="1:20" x14ac:dyDescent="0.25">
      <c r="A886" t="s">
        <v>1191</v>
      </c>
      <c r="B886" t="s">
        <v>485</v>
      </c>
      <c r="C886" t="s">
        <v>581</v>
      </c>
      <c r="D886" s="1">
        <v>44980</v>
      </c>
      <c r="E886">
        <v>10</v>
      </c>
      <c r="F886">
        <v>79.338453578143501</v>
      </c>
      <c r="G886" s="1">
        <v>45001</v>
      </c>
      <c r="H886" s="1">
        <v>44999</v>
      </c>
      <c r="I886">
        <v>793.38453578143503</v>
      </c>
      <c r="J886">
        <f t="shared" si="78"/>
        <v>-2</v>
      </c>
      <c r="K886" t="str">
        <f>VLOOKUP(B886,Raw_Suppliers!$A$2:$G$101,2,FALSE)</f>
        <v>Ultra Quantum Ltd</v>
      </c>
      <c r="L886" t="str">
        <f>VLOOKUP(B886,Raw_Suppliers!$A$2:$G$101,3,FALSE)</f>
        <v>Canada</v>
      </c>
      <c r="M886" t="str">
        <f>VLOOKUP(B886,Raw_Suppliers!$A$2:$G$101,4,FALSE)</f>
        <v>North</v>
      </c>
      <c r="N886" t="str">
        <f>VLOOKUP(B886,Raw_Suppliers!$A$2:$G$101,6,FALSE)</f>
        <v>ISO 14001</v>
      </c>
      <c r="O886">
        <f>VLOOKUP(B886,Raw_Suppliers!$A$2:$G$101,7,FALSE)</f>
        <v>0</v>
      </c>
      <c r="P886" t="str">
        <f t="shared" si="79"/>
        <v>No</v>
      </c>
      <c r="Q886">
        <f t="shared" si="80"/>
        <v>1</v>
      </c>
      <c r="R886" t="str">
        <f t="shared" si="81"/>
        <v>On Time</v>
      </c>
      <c r="S886">
        <f t="shared" si="82"/>
        <v>2023</v>
      </c>
      <c r="T886">
        <f t="shared" si="83"/>
        <v>2</v>
      </c>
    </row>
    <row r="887" spans="1:20" x14ac:dyDescent="0.25">
      <c r="A887" t="s">
        <v>1192</v>
      </c>
      <c r="B887" t="s">
        <v>359</v>
      </c>
      <c r="C887" t="s">
        <v>470</v>
      </c>
      <c r="D887" s="1">
        <v>45119</v>
      </c>
      <c r="E887">
        <v>8</v>
      </c>
      <c r="F887">
        <v>67.910389886567003</v>
      </c>
      <c r="G887" s="1">
        <v>45135</v>
      </c>
      <c r="H887" s="1">
        <v>45133</v>
      </c>
      <c r="I887">
        <v>543.28311909253603</v>
      </c>
      <c r="J887">
        <f t="shared" si="78"/>
        <v>-2</v>
      </c>
      <c r="K887" t="str">
        <f>VLOOKUP(B887,Raw_Suppliers!$A$2:$G$101,2,FALSE)</f>
        <v>Alpha Alpha Corp</v>
      </c>
      <c r="L887" t="str">
        <f>VLOOKUP(B887,Raw_Suppliers!$A$2:$G$101,3,FALSE)</f>
        <v>India</v>
      </c>
      <c r="M887" t="str">
        <f>VLOOKUP(B887,Raw_Suppliers!$A$2:$G$101,4,FALSE)</f>
        <v>North</v>
      </c>
      <c r="N887" t="str">
        <f>VLOOKUP(B887,Raw_Suppliers!$A$2:$G$101,6,FALSE)</f>
        <v>ISO 9001</v>
      </c>
      <c r="O887">
        <f>VLOOKUP(B887,Raw_Suppliers!$A$2:$G$101,7,FALSE)</f>
        <v>1</v>
      </c>
      <c r="P887" t="str">
        <f t="shared" si="79"/>
        <v>Yes</v>
      </c>
      <c r="Q887">
        <f t="shared" si="80"/>
        <v>1</v>
      </c>
      <c r="R887" t="str">
        <f t="shared" si="81"/>
        <v>On Time</v>
      </c>
      <c r="S887">
        <f t="shared" si="82"/>
        <v>2023</v>
      </c>
      <c r="T887">
        <f t="shared" si="83"/>
        <v>7</v>
      </c>
    </row>
    <row r="888" spans="1:20" x14ac:dyDescent="0.25">
      <c r="A888" t="s">
        <v>1193</v>
      </c>
      <c r="B888" t="s">
        <v>321</v>
      </c>
      <c r="C888" t="s">
        <v>230</v>
      </c>
      <c r="D888" s="1">
        <v>44205</v>
      </c>
      <c r="E888">
        <v>11</v>
      </c>
      <c r="F888">
        <v>21.7014191476033</v>
      </c>
      <c r="G888" s="1">
        <v>44224</v>
      </c>
      <c r="H888" s="1">
        <v>44225</v>
      </c>
      <c r="I888">
        <v>238.715610623636</v>
      </c>
      <c r="J888">
        <f t="shared" si="78"/>
        <v>1</v>
      </c>
      <c r="K888" t="str">
        <f>VLOOKUP(B888,Raw_Suppliers!$A$2:$G$101,2,FALSE)</f>
        <v>Vertex Delta LLC</v>
      </c>
      <c r="L888" t="str">
        <f>VLOOKUP(B888,Raw_Suppliers!$A$2:$G$101,3,FALSE)</f>
        <v>India</v>
      </c>
      <c r="M888" t="str">
        <f>VLOOKUP(B888,Raw_Suppliers!$A$2:$G$101,4,FALSE)</f>
        <v>South</v>
      </c>
      <c r="N888" t="str">
        <f>VLOOKUP(B888,Raw_Suppliers!$A$2:$G$101,6,FALSE)</f>
        <v>ISO 45001</v>
      </c>
      <c r="O888">
        <f>VLOOKUP(B888,Raw_Suppliers!$A$2:$G$101,7,FALSE)</f>
        <v>0</v>
      </c>
      <c r="P888" t="str">
        <f t="shared" si="79"/>
        <v>No</v>
      </c>
      <c r="Q888">
        <f t="shared" si="80"/>
        <v>0</v>
      </c>
      <c r="R888" t="str">
        <f t="shared" si="81"/>
        <v>Late</v>
      </c>
      <c r="S888">
        <f t="shared" si="82"/>
        <v>2021</v>
      </c>
      <c r="T888">
        <f t="shared" si="83"/>
        <v>1</v>
      </c>
    </row>
    <row r="889" spans="1:20" x14ac:dyDescent="0.25">
      <c r="A889" t="s">
        <v>1194</v>
      </c>
      <c r="B889" t="s">
        <v>485</v>
      </c>
      <c r="C889" t="s">
        <v>818</v>
      </c>
      <c r="D889" s="1">
        <v>44877</v>
      </c>
      <c r="E889">
        <v>9</v>
      </c>
      <c r="F889">
        <v>19.869519511125699</v>
      </c>
      <c r="G889" s="1">
        <v>44889</v>
      </c>
      <c r="H889" s="1">
        <v>44886</v>
      </c>
      <c r="I889">
        <v>178.82567560013101</v>
      </c>
      <c r="J889">
        <f t="shared" si="78"/>
        <v>-3</v>
      </c>
      <c r="K889" t="str">
        <f>VLOOKUP(B889,Raw_Suppliers!$A$2:$G$101,2,FALSE)</f>
        <v>Ultra Quantum Ltd</v>
      </c>
      <c r="L889" t="str">
        <f>VLOOKUP(B889,Raw_Suppliers!$A$2:$G$101,3,FALSE)</f>
        <v>Canada</v>
      </c>
      <c r="M889" t="str">
        <f>VLOOKUP(B889,Raw_Suppliers!$A$2:$G$101,4,FALSE)</f>
        <v>North</v>
      </c>
      <c r="N889" t="str">
        <f>VLOOKUP(B889,Raw_Suppliers!$A$2:$G$101,6,FALSE)</f>
        <v>ISO 14001</v>
      </c>
      <c r="O889">
        <f>VLOOKUP(B889,Raw_Suppliers!$A$2:$G$101,7,FALSE)</f>
        <v>0</v>
      </c>
      <c r="P889" t="str">
        <f t="shared" si="79"/>
        <v>No</v>
      </c>
      <c r="Q889">
        <f t="shared" si="80"/>
        <v>1</v>
      </c>
      <c r="R889" t="str">
        <f t="shared" si="81"/>
        <v>On Time</v>
      </c>
      <c r="S889">
        <f t="shared" si="82"/>
        <v>2022</v>
      </c>
      <c r="T889">
        <f t="shared" si="83"/>
        <v>11</v>
      </c>
    </row>
    <row r="890" spans="1:20" x14ac:dyDescent="0.25">
      <c r="A890" t="s">
        <v>1195</v>
      </c>
      <c r="B890" t="s">
        <v>176</v>
      </c>
      <c r="C890" t="s">
        <v>470</v>
      </c>
      <c r="D890" s="1">
        <v>44647</v>
      </c>
      <c r="E890">
        <v>7</v>
      </c>
      <c r="F890">
        <v>44.848824491202102</v>
      </c>
      <c r="G890" s="1">
        <v>44663</v>
      </c>
      <c r="H890" s="1">
        <v>44669</v>
      </c>
      <c r="I890">
        <v>313.941771438415</v>
      </c>
      <c r="J890">
        <f t="shared" si="78"/>
        <v>6</v>
      </c>
      <c r="K890" t="str">
        <f>VLOOKUP(B890,Raw_Suppliers!$A$2:$G$101,2,FALSE)</f>
        <v>Nano Ultra Corp</v>
      </c>
      <c r="L890" t="str">
        <f>VLOOKUP(B890,Raw_Suppliers!$A$2:$G$101,3,FALSE)</f>
        <v>Canada</v>
      </c>
      <c r="M890" t="str">
        <f>VLOOKUP(B890,Raw_Suppliers!$A$2:$G$101,4,FALSE)</f>
        <v>Central</v>
      </c>
      <c r="N890" t="str">
        <f>VLOOKUP(B890,Raw_Suppliers!$A$2:$G$101,6,FALSE)</f>
        <v>ISO 9001</v>
      </c>
      <c r="O890">
        <f>VLOOKUP(B890,Raw_Suppliers!$A$2:$G$101,7,FALSE)</f>
        <v>0</v>
      </c>
      <c r="P890" t="str">
        <f t="shared" si="79"/>
        <v>No</v>
      </c>
      <c r="Q890">
        <f t="shared" si="80"/>
        <v>0</v>
      </c>
      <c r="R890" t="str">
        <f t="shared" si="81"/>
        <v>Late</v>
      </c>
      <c r="S890">
        <f t="shared" si="82"/>
        <v>2022</v>
      </c>
      <c r="T890">
        <f t="shared" si="83"/>
        <v>3</v>
      </c>
    </row>
    <row r="891" spans="1:20" x14ac:dyDescent="0.25">
      <c r="A891" t="s">
        <v>1196</v>
      </c>
      <c r="B891" t="s">
        <v>22</v>
      </c>
      <c r="C891" t="s">
        <v>701</v>
      </c>
      <c r="D891" s="1">
        <v>44680</v>
      </c>
      <c r="E891">
        <v>17</v>
      </c>
      <c r="F891">
        <v>57.591243254031298</v>
      </c>
      <c r="G891" s="1">
        <v>44692</v>
      </c>
      <c r="H891" s="1">
        <v>44695</v>
      </c>
      <c r="I891">
        <v>979.05113531853306</v>
      </c>
      <c r="J891">
        <f t="shared" si="78"/>
        <v>3</v>
      </c>
      <c r="K891" t="str">
        <f>VLOOKUP(B891,Raw_Suppliers!$A$2:$G$101,2,FALSE)</f>
        <v>Delta Gamma Corp</v>
      </c>
      <c r="L891" t="str">
        <f>VLOOKUP(B891,Raw_Suppliers!$A$2:$G$101,3,FALSE)</f>
        <v>Denmark</v>
      </c>
      <c r="M891" t="str">
        <f>VLOOKUP(B891,Raw_Suppliers!$A$2:$G$101,4,FALSE)</f>
        <v>West</v>
      </c>
      <c r="N891" t="str">
        <f>VLOOKUP(B891,Raw_Suppliers!$A$2:$G$101,6,FALSE)</f>
        <v>ISO 45001</v>
      </c>
      <c r="O891">
        <f>VLOOKUP(B891,Raw_Suppliers!$A$2:$G$101,7,FALSE)</f>
        <v>1</v>
      </c>
      <c r="P891" t="str">
        <f t="shared" si="79"/>
        <v>Yes</v>
      </c>
      <c r="Q891">
        <f t="shared" si="80"/>
        <v>0</v>
      </c>
      <c r="R891" t="str">
        <f t="shared" si="81"/>
        <v>Late</v>
      </c>
      <c r="S891">
        <f t="shared" si="82"/>
        <v>2022</v>
      </c>
      <c r="T891">
        <f t="shared" si="83"/>
        <v>4</v>
      </c>
    </row>
    <row r="892" spans="1:20" x14ac:dyDescent="0.25">
      <c r="A892" t="s">
        <v>1197</v>
      </c>
      <c r="B892" t="s">
        <v>31</v>
      </c>
      <c r="C892" t="s">
        <v>94</v>
      </c>
      <c r="D892" s="1">
        <v>45360</v>
      </c>
      <c r="E892">
        <v>5</v>
      </c>
      <c r="F892">
        <v>4.5814341147057203</v>
      </c>
      <c r="G892" s="1">
        <v>45378</v>
      </c>
      <c r="H892" s="1">
        <v>45375</v>
      </c>
      <c r="I892">
        <v>22.9071705735286</v>
      </c>
      <c r="J892">
        <f t="shared" si="78"/>
        <v>-3</v>
      </c>
      <c r="K892" t="str">
        <f>VLOOKUP(B892,Raw_Suppliers!$A$2:$G$101,2,FALSE)</f>
        <v>Nova Nano GmbH</v>
      </c>
      <c r="L892" t="str">
        <f>VLOOKUP(B892,Raw_Suppliers!$A$2:$G$101,3,FALSE)</f>
        <v>Denmark</v>
      </c>
      <c r="M892" t="str">
        <f>VLOOKUP(B892,Raw_Suppliers!$A$2:$G$101,4,FALSE)</f>
        <v>South</v>
      </c>
      <c r="N892" t="str">
        <f>VLOOKUP(B892,Raw_Suppliers!$A$2:$G$101,6,FALSE)</f>
        <v>ISO 14001</v>
      </c>
      <c r="O892">
        <f>VLOOKUP(B892,Raw_Suppliers!$A$2:$G$101,7,FALSE)</f>
        <v>1</v>
      </c>
      <c r="P892" t="str">
        <f t="shared" si="79"/>
        <v>Yes</v>
      </c>
      <c r="Q892">
        <f t="shared" si="80"/>
        <v>1</v>
      </c>
      <c r="R892" t="str">
        <f t="shared" si="81"/>
        <v>On Time</v>
      </c>
      <c r="S892">
        <f t="shared" si="82"/>
        <v>2024</v>
      </c>
      <c r="T892">
        <f t="shared" si="83"/>
        <v>3</v>
      </c>
    </row>
    <row r="893" spans="1:20" x14ac:dyDescent="0.25">
      <c r="A893" t="s">
        <v>1198</v>
      </c>
      <c r="B893" t="s">
        <v>411</v>
      </c>
      <c r="C893" t="s">
        <v>504</v>
      </c>
      <c r="D893" s="1">
        <v>45115</v>
      </c>
      <c r="E893">
        <v>10</v>
      </c>
      <c r="F893">
        <v>19.0232272007832</v>
      </c>
      <c r="G893" s="1">
        <v>45128</v>
      </c>
      <c r="H893" s="1">
        <v>45133</v>
      </c>
      <c r="I893">
        <v>190.23227200783199</v>
      </c>
      <c r="J893">
        <f t="shared" si="78"/>
        <v>5</v>
      </c>
      <c r="K893" t="str">
        <f>VLOOKUP(B893,Raw_Suppliers!$A$2:$G$101,2,FALSE)</f>
        <v>Gamma Nova LLC</v>
      </c>
      <c r="L893" t="str">
        <f>VLOOKUP(B893,Raw_Suppliers!$A$2:$G$101,3,FALSE)</f>
        <v>Brazil</v>
      </c>
      <c r="M893" t="str">
        <f>VLOOKUP(B893,Raw_Suppliers!$A$2:$G$101,4,FALSE)</f>
        <v>North</v>
      </c>
      <c r="N893" t="str">
        <f>VLOOKUP(B893,Raw_Suppliers!$A$2:$G$101,6,FALSE)</f>
        <v>ISO 14001</v>
      </c>
      <c r="O893">
        <f>VLOOKUP(B893,Raw_Suppliers!$A$2:$G$101,7,FALSE)</f>
        <v>1</v>
      </c>
      <c r="P893" t="str">
        <f t="shared" si="79"/>
        <v>Yes</v>
      </c>
      <c r="Q893">
        <f t="shared" si="80"/>
        <v>0</v>
      </c>
      <c r="R893" t="str">
        <f t="shared" si="81"/>
        <v>Late</v>
      </c>
      <c r="S893">
        <f t="shared" si="82"/>
        <v>2023</v>
      </c>
      <c r="T893">
        <f t="shared" si="83"/>
        <v>7</v>
      </c>
    </row>
    <row r="894" spans="1:20" x14ac:dyDescent="0.25">
      <c r="A894" t="s">
        <v>1199</v>
      </c>
      <c r="B894" t="s">
        <v>186</v>
      </c>
      <c r="C894" t="s">
        <v>222</v>
      </c>
      <c r="D894" s="1">
        <v>45205</v>
      </c>
      <c r="E894">
        <v>9</v>
      </c>
      <c r="F894">
        <v>78.452495742924498</v>
      </c>
      <c r="G894" s="1">
        <v>45222</v>
      </c>
      <c r="H894" s="1">
        <v>45221</v>
      </c>
      <c r="I894">
        <v>706.07246168632003</v>
      </c>
      <c r="J894">
        <f t="shared" si="78"/>
        <v>-1</v>
      </c>
      <c r="K894" t="str">
        <f>VLOOKUP(B894,Raw_Suppliers!$A$2:$G$101,2,FALSE)</f>
        <v>Omega Vertex Inc</v>
      </c>
      <c r="L894" t="str">
        <f>VLOOKUP(B894,Raw_Suppliers!$A$2:$G$101,3,FALSE)</f>
        <v>China</v>
      </c>
      <c r="M894" t="str">
        <f>VLOOKUP(B894,Raw_Suppliers!$A$2:$G$101,4,FALSE)</f>
        <v>West</v>
      </c>
      <c r="N894" t="str">
        <f>VLOOKUP(B894,Raw_Suppliers!$A$2:$G$101,6,FALSE)</f>
        <v>ISO 14001</v>
      </c>
      <c r="O894">
        <f>VLOOKUP(B894,Raw_Suppliers!$A$2:$G$101,7,FALSE)</f>
        <v>1</v>
      </c>
      <c r="P894" t="str">
        <f t="shared" si="79"/>
        <v>Yes</v>
      </c>
      <c r="Q894">
        <f t="shared" si="80"/>
        <v>1</v>
      </c>
      <c r="R894" t="str">
        <f t="shared" si="81"/>
        <v>On Time</v>
      </c>
      <c r="S894">
        <f t="shared" si="82"/>
        <v>2023</v>
      </c>
      <c r="T894">
        <f t="shared" si="83"/>
        <v>10</v>
      </c>
    </row>
    <row r="895" spans="1:20" x14ac:dyDescent="0.25">
      <c r="A895" t="s">
        <v>1200</v>
      </c>
      <c r="B895" t="s">
        <v>96</v>
      </c>
      <c r="C895" t="s">
        <v>38</v>
      </c>
      <c r="D895" s="1">
        <v>44254</v>
      </c>
      <c r="E895">
        <v>8</v>
      </c>
      <c r="F895">
        <v>43.282614196858702</v>
      </c>
      <c r="G895" s="1">
        <v>44268</v>
      </c>
      <c r="H895" s="1">
        <v>44272</v>
      </c>
      <c r="I895">
        <v>346.26091357486899</v>
      </c>
      <c r="J895">
        <f t="shared" si="78"/>
        <v>4</v>
      </c>
      <c r="K895" t="str">
        <f>VLOOKUP(B895,Raw_Suppliers!$A$2:$G$101,2,FALSE)</f>
        <v>Alpha Nova Ltd</v>
      </c>
      <c r="L895" t="str">
        <f>VLOOKUP(B895,Raw_Suppliers!$A$2:$G$101,3,FALSE)</f>
        <v>UK</v>
      </c>
      <c r="M895" t="str">
        <f>VLOOKUP(B895,Raw_Suppliers!$A$2:$G$101,4,FALSE)</f>
        <v>West</v>
      </c>
      <c r="N895" t="str">
        <f>VLOOKUP(B895,Raw_Suppliers!$A$2:$G$101,6,FALSE)</f>
        <v>ISO 14001</v>
      </c>
      <c r="O895">
        <f>VLOOKUP(B895,Raw_Suppliers!$A$2:$G$101,7,FALSE)</f>
        <v>0</v>
      </c>
      <c r="P895" t="str">
        <f t="shared" si="79"/>
        <v>No</v>
      </c>
      <c r="Q895">
        <f t="shared" si="80"/>
        <v>0</v>
      </c>
      <c r="R895" t="str">
        <f t="shared" si="81"/>
        <v>Late</v>
      </c>
      <c r="S895">
        <f t="shared" si="82"/>
        <v>2021</v>
      </c>
      <c r="T895">
        <f t="shared" si="83"/>
        <v>2</v>
      </c>
    </row>
    <row r="896" spans="1:20" x14ac:dyDescent="0.25">
      <c r="A896" t="s">
        <v>1201</v>
      </c>
      <c r="B896" t="s">
        <v>288</v>
      </c>
      <c r="C896" t="s">
        <v>763</v>
      </c>
      <c r="D896" s="1">
        <v>44775</v>
      </c>
      <c r="E896">
        <v>12</v>
      </c>
      <c r="F896">
        <v>74.742064379823304</v>
      </c>
      <c r="G896" s="1">
        <v>44785</v>
      </c>
      <c r="H896" s="1">
        <v>44790</v>
      </c>
      <c r="I896">
        <v>896.90477255788005</v>
      </c>
      <c r="J896">
        <f t="shared" si="78"/>
        <v>5</v>
      </c>
      <c r="K896" t="str">
        <f>VLOOKUP(B896,Raw_Suppliers!$A$2:$G$101,2,FALSE)</f>
        <v>Alpha Beta LLC</v>
      </c>
      <c r="L896" t="str">
        <f>VLOOKUP(B896,Raw_Suppliers!$A$2:$G$101,3,FALSE)</f>
        <v>India</v>
      </c>
      <c r="M896" t="str">
        <f>VLOOKUP(B896,Raw_Suppliers!$A$2:$G$101,4,FALSE)</f>
        <v>West</v>
      </c>
      <c r="N896" t="str">
        <f>VLOOKUP(B896,Raw_Suppliers!$A$2:$G$101,6,FALSE)</f>
        <v>ISO 45001</v>
      </c>
      <c r="O896">
        <f>VLOOKUP(B896,Raw_Suppliers!$A$2:$G$101,7,FALSE)</f>
        <v>0</v>
      </c>
      <c r="P896" t="str">
        <f t="shared" si="79"/>
        <v>No</v>
      </c>
      <c r="Q896">
        <f t="shared" si="80"/>
        <v>0</v>
      </c>
      <c r="R896" t="str">
        <f t="shared" si="81"/>
        <v>Late</v>
      </c>
      <c r="S896">
        <f t="shared" si="82"/>
        <v>2022</v>
      </c>
      <c r="T896">
        <f t="shared" si="83"/>
        <v>8</v>
      </c>
    </row>
    <row r="897" spans="1:20" x14ac:dyDescent="0.25">
      <c r="A897" t="s">
        <v>1202</v>
      </c>
      <c r="B897" t="s">
        <v>216</v>
      </c>
      <c r="C897" t="s">
        <v>192</v>
      </c>
      <c r="D897" s="1">
        <v>44624</v>
      </c>
      <c r="E897">
        <v>10</v>
      </c>
      <c r="F897">
        <v>4.90750873619172</v>
      </c>
      <c r="G897" s="1">
        <v>44640</v>
      </c>
      <c r="H897" s="1">
        <v>44640</v>
      </c>
      <c r="I897">
        <v>49.075087361917198</v>
      </c>
      <c r="J897">
        <f t="shared" si="78"/>
        <v>0</v>
      </c>
      <c r="K897" t="str">
        <f>VLOOKUP(B897,Raw_Suppliers!$A$2:$G$101,2,FALSE)</f>
        <v>Fusion Delta LLC</v>
      </c>
      <c r="L897" t="str">
        <f>VLOOKUP(B897,Raw_Suppliers!$A$2:$G$101,3,FALSE)</f>
        <v>Brazil</v>
      </c>
      <c r="M897" t="str">
        <f>VLOOKUP(B897,Raw_Suppliers!$A$2:$G$101,4,FALSE)</f>
        <v>Central</v>
      </c>
      <c r="N897" t="str">
        <f>VLOOKUP(B897,Raw_Suppliers!$A$2:$G$101,6,FALSE)</f>
        <v>ISO 14001</v>
      </c>
      <c r="O897">
        <f>VLOOKUP(B897,Raw_Suppliers!$A$2:$G$101,7,FALSE)</f>
        <v>0</v>
      </c>
      <c r="P897" t="str">
        <f t="shared" si="79"/>
        <v>No</v>
      </c>
      <c r="Q897">
        <f t="shared" si="80"/>
        <v>1</v>
      </c>
      <c r="R897" t="str">
        <f t="shared" si="81"/>
        <v>On Time</v>
      </c>
      <c r="S897">
        <f t="shared" si="82"/>
        <v>2022</v>
      </c>
      <c r="T897">
        <f t="shared" si="83"/>
        <v>3</v>
      </c>
    </row>
    <row r="898" spans="1:20" x14ac:dyDescent="0.25">
      <c r="A898" t="s">
        <v>1203</v>
      </c>
      <c r="B898" t="s">
        <v>127</v>
      </c>
      <c r="C898" t="s">
        <v>518</v>
      </c>
      <c r="D898" s="1">
        <v>44362</v>
      </c>
      <c r="E898">
        <v>18</v>
      </c>
      <c r="F898">
        <v>60.956675026785</v>
      </c>
      <c r="G898" s="1">
        <v>44380</v>
      </c>
      <c r="H898" s="1">
        <v>44379</v>
      </c>
      <c r="I898">
        <v>1097.2201504821301</v>
      </c>
      <c r="J898">
        <f t="shared" si="78"/>
        <v>-1</v>
      </c>
      <c r="K898" t="str">
        <f>VLOOKUP(B898,Raw_Suppliers!$A$2:$G$101,2,FALSE)</f>
        <v>Eco Gamma LLC</v>
      </c>
      <c r="L898" t="str">
        <f>VLOOKUP(B898,Raw_Suppliers!$A$2:$G$101,3,FALSE)</f>
        <v>Canada</v>
      </c>
      <c r="M898" t="str">
        <f>VLOOKUP(B898,Raw_Suppliers!$A$2:$G$101,4,FALSE)</f>
        <v>West</v>
      </c>
      <c r="N898" t="str">
        <f>VLOOKUP(B898,Raw_Suppliers!$A$2:$G$101,6,FALSE)</f>
        <v>ISO 9001</v>
      </c>
      <c r="O898">
        <f>VLOOKUP(B898,Raw_Suppliers!$A$2:$G$101,7,FALSE)</f>
        <v>1</v>
      </c>
      <c r="P898" t="str">
        <f t="shared" si="79"/>
        <v>Yes</v>
      </c>
      <c r="Q898">
        <f t="shared" si="80"/>
        <v>1</v>
      </c>
      <c r="R898" t="str">
        <f t="shared" si="81"/>
        <v>On Time</v>
      </c>
      <c r="S898">
        <f t="shared" si="82"/>
        <v>2021</v>
      </c>
      <c r="T898">
        <f t="shared" si="83"/>
        <v>6</v>
      </c>
    </row>
    <row r="899" spans="1:20" x14ac:dyDescent="0.25">
      <c r="A899" t="s">
        <v>1204</v>
      </c>
      <c r="B899" t="s">
        <v>253</v>
      </c>
      <c r="C899" t="s">
        <v>279</v>
      </c>
      <c r="D899" s="1">
        <v>44220</v>
      </c>
      <c r="E899">
        <v>8</v>
      </c>
      <c r="F899">
        <v>53.073517869815099</v>
      </c>
      <c r="G899" s="1">
        <v>44233</v>
      </c>
      <c r="H899" s="1">
        <v>44233</v>
      </c>
      <c r="I899">
        <v>424.58814295852102</v>
      </c>
      <c r="J899">
        <f t="shared" ref="J899:J962" si="84">H899-G899</f>
        <v>0</v>
      </c>
      <c r="K899" t="str">
        <f>VLOOKUP(B899,Raw_Suppliers!$A$2:$G$101,2,FALSE)</f>
        <v>Vertex Apex Ltd</v>
      </c>
      <c r="L899" t="str">
        <f>VLOOKUP(B899,Raw_Suppliers!$A$2:$G$101,3,FALSE)</f>
        <v>Brazil</v>
      </c>
      <c r="M899" t="str">
        <f>VLOOKUP(B899,Raw_Suppliers!$A$2:$G$101,4,FALSE)</f>
        <v>South</v>
      </c>
      <c r="N899" t="str">
        <f>VLOOKUP(B899,Raw_Suppliers!$A$2:$G$101,6,FALSE)</f>
        <v>None</v>
      </c>
      <c r="O899">
        <f>VLOOKUP(B899,Raw_Suppliers!$A$2:$G$101,7,FALSE)</f>
        <v>1</v>
      </c>
      <c r="P899" t="str">
        <f t="shared" ref="P899:P962" si="85">IF(O899=1,"Yes","No")</f>
        <v>Yes</v>
      </c>
      <c r="Q899">
        <f t="shared" ref="Q899:Q962" si="86">IF(J899&lt;=0,1,0)</f>
        <v>1</v>
      </c>
      <c r="R899" t="str">
        <f t="shared" ref="R899:R962" si="87">IF(Q899=1,"On Time","Late")</f>
        <v>On Time</v>
      </c>
      <c r="S899">
        <f t="shared" ref="S899:S962" si="88">YEAR(D899)</f>
        <v>2021</v>
      </c>
      <c r="T899">
        <f t="shared" ref="T899:T962" si="89">MONTH(D899)</f>
        <v>1</v>
      </c>
    </row>
    <row r="900" spans="1:20" x14ac:dyDescent="0.25">
      <c r="A900" t="s">
        <v>1205</v>
      </c>
      <c r="B900" t="s">
        <v>247</v>
      </c>
      <c r="C900" t="s">
        <v>400</v>
      </c>
      <c r="D900" s="1">
        <v>44386</v>
      </c>
      <c r="E900">
        <v>8</v>
      </c>
      <c r="F900">
        <v>33.421999266936197</v>
      </c>
      <c r="G900" s="1">
        <v>44409</v>
      </c>
      <c r="H900" s="1">
        <v>44410</v>
      </c>
      <c r="I900">
        <v>267.37599413548901</v>
      </c>
      <c r="J900">
        <f t="shared" si="84"/>
        <v>1</v>
      </c>
      <c r="K900" t="str">
        <f>VLOOKUP(B900,Raw_Suppliers!$A$2:$G$101,2,FALSE)</f>
        <v>Ultra Apex LLC</v>
      </c>
      <c r="L900" t="str">
        <f>VLOOKUP(B900,Raw_Suppliers!$A$2:$G$101,3,FALSE)</f>
        <v>Germany</v>
      </c>
      <c r="M900" t="str">
        <f>VLOOKUP(B900,Raw_Suppliers!$A$2:$G$101,4,FALSE)</f>
        <v>West</v>
      </c>
      <c r="N900" t="str">
        <f>VLOOKUP(B900,Raw_Suppliers!$A$2:$G$101,6,FALSE)</f>
        <v>ISO 9001</v>
      </c>
      <c r="O900">
        <f>VLOOKUP(B900,Raw_Suppliers!$A$2:$G$101,7,FALSE)</f>
        <v>0</v>
      </c>
      <c r="P900" t="str">
        <f t="shared" si="85"/>
        <v>No</v>
      </c>
      <c r="Q900">
        <f t="shared" si="86"/>
        <v>0</v>
      </c>
      <c r="R900" t="str">
        <f t="shared" si="87"/>
        <v>Late</v>
      </c>
      <c r="S900">
        <f t="shared" si="88"/>
        <v>2021</v>
      </c>
      <c r="T900">
        <f t="shared" si="89"/>
        <v>7</v>
      </c>
    </row>
    <row r="901" spans="1:20" x14ac:dyDescent="0.25">
      <c r="A901" t="s">
        <v>1206</v>
      </c>
      <c r="B901" t="s">
        <v>359</v>
      </c>
      <c r="C901" t="s">
        <v>29</v>
      </c>
      <c r="D901" s="1">
        <v>44216</v>
      </c>
      <c r="E901">
        <v>10</v>
      </c>
      <c r="F901">
        <v>57.811066267816102</v>
      </c>
      <c r="G901" s="1">
        <v>44232</v>
      </c>
      <c r="H901" s="1">
        <v>44233</v>
      </c>
      <c r="I901">
        <v>578.11066267816102</v>
      </c>
      <c r="J901">
        <f t="shared" si="84"/>
        <v>1</v>
      </c>
      <c r="K901" t="str">
        <f>VLOOKUP(B901,Raw_Suppliers!$A$2:$G$101,2,FALSE)</f>
        <v>Alpha Alpha Corp</v>
      </c>
      <c r="L901" t="str">
        <f>VLOOKUP(B901,Raw_Suppliers!$A$2:$G$101,3,FALSE)</f>
        <v>India</v>
      </c>
      <c r="M901" t="str">
        <f>VLOOKUP(B901,Raw_Suppliers!$A$2:$G$101,4,FALSE)</f>
        <v>North</v>
      </c>
      <c r="N901" t="str">
        <f>VLOOKUP(B901,Raw_Suppliers!$A$2:$G$101,6,FALSE)</f>
        <v>ISO 9001</v>
      </c>
      <c r="O901">
        <f>VLOOKUP(B901,Raw_Suppliers!$A$2:$G$101,7,FALSE)</f>
        <v>1</v>
      </c>
      <c r="P901" t="str">
        <f t="shared" si="85"/>
        <v>Yes</v>
      </c>
      <c r="Q901">
        <f t="shared" si="86"/>
        <v>0</v>
      </c>
      <c r="R901" t="str">
        <f t="shared" si="87"/>
        <v>Late</v>
      </c>
      <c r="S901">
        <f t="shared" si="88"/>
        <v>2021</v>
      </c>
      <c r="T901">
        <f t="shared" si="89"/>
        <v>1</v>
      </c>
    </row>
    <row r="902" spans="1:20" x14ac:dyDescent="0.25">
      <c r="A902" t="s">
        <v>1207</v>
      </c>
      <c r="B902" t="s">
        <v>109</v>
      </c>
      <c r="C902" t="s">
        <v>473</v>
      </c>
      <c r="D902" s="1">
        <v>44297</v>
      </c>
      <c r="E902">
        <v>12</v>
      </c>
      <c r="F902">
        <v>45.860726533960801</v>
      </c>
      <c r="G902" s="1">
        <v>44314</v>
      </c>
      <c r="H902" s="1">
        <v>44315</v>
      </c>
      <c r="I902">
        <v>550.32871840753</v>
      </c>
      <c r="J902">
        <f t="shared" si="84"/>
        <v>1</v>
      </c>
      <c r="K902" t="str">
        <f>VLOOKUP(B902,Raw_Suppliers!$A$2:$G$101,2,FALSE)</f>
        <v>Nano Fusion GmbH</v>
      </c>
      <c r="L902" t="str">
        <f>VLOOKUP(B902,Raw_Suppliers!$A$2:$G$101,3,FALSE)</f>
        <v>Denmark</v>
      </c>
      <c r="M902" t="str">
        <f>VLOOKUP(B902,Raw_Suppliers!$A$2:$G$101,4,FALSE)</f>
        <v>North</v>
      </c>
      <c r="N902" t="str">
        <f>VLOOKUP(B902,Raw_Suppliers!$A$2:$G$101,6,FALSE)</f>
        <v>ISO 9001</v>
      </c>
      <c r="O902">
        <f>VLOOKUP(B902,Raw_Suppliers!$A$2:$G$101,7,FALSE)</f>
        <v>0</v>
      </c>
      <c r="P902" t="str">
        <f t="shared" si="85"/>
        <v>No</v>
      </c>
      <c r="Q902">
        <f t="shared" si="86"/>
        <v>0</v>
      </c>
      <c r="R902" t="str">
        <f t="shared" si="87"/>
        <v>Late</v>
      </c>
      <c r="S902">
        <f t="shared" si="88"/>
        <v>2021</v>
      </c>
      <c r="T902">
        <f t="shared" si="89"/>
        <v>4</v>
      </c>
    </row>
    <row r="903" spans="1:20" x14ac:dyDescent="0.25">
      <c r="A903" t="s">
        <v>1208</v>
      </c>
      <c r="B903" t="s">
        <v>124</v>
      </c>
      <c r="C903" t="s">
        <v>283</v>
      </c>
      <c r="D903" s="1">
        <v>44932</v>
      </c>
      <c r="E903">
        <v>10</v>
      </c>
      <c r="F903">
        <v>52.166773463381901</v>
      </c>
      <c r="G903" s="1">
        <v>44950</v>
      </c>
      <c r="H903" s="1">
        <v>44956</v>
      </c>
      <c r="I903">
        <v>521.66773463381901</v>
      </c>
      <c r="J903">
        <f t="shared" si="84"/>
        <v>6</v>
      </c>
      <c r="K903" t="str">
        <f>VLOOKUP(B903,Raw_Suppliers!$A$2:$G$101,2,FALSE)</f>
        <v>Vertex Delta Inc</v>
      </c>
      <c r="L903" t="str">
        <f>VLOOKUP(B903,Raw_Suppliers!$A$2:$G$101,3,FALSE)</f>
        <v>Germany</v>
      </c>
      <c r="M903" t="str">
        <f>VLOOKUP(B903,Raw_Suppliers!$A$2:$G$101,4,FALSE)</f>
        <v>South</v>
      </c>
      <c r="N903" t="str">
        <f>VLOOKUP(B903,Raw_Suppliers!$A$2:$G$101,6,FALSE)</f>
        <v>ISO 9001</v>
      </c>
      <c r="O903">
        <f>VLOOKUP(B903,Raw_Suppliers!$A$2:$G$101,7,FALSE)</f>
        <v>0</v>
      </c>
      <c r="P903" t="str">
        <f t="shared" si="85"/>
        <v>No</v>
      </c>
      <c r="Q903">
        <f t="shared" si="86"/>
        <v>0</v>
      </c>
      <c r="R903" t="str">
        <f t="shared" si="87"/>
        <v>Late</v>
      </c>
      <c r="S903">
        <f t="shared" si="88"/>
        <v>2023</v>
      </c>
      <c r="T903">
        <f t="shared" si="89"/>
        <v>1</v>
      </c>
    </row>
    <row r="904" spans="1:20" x14ac:dyDescent="0.25">
      <c r="A904" t="s">
        <v>1209</v>
      </c>
      <c r="B904" t="s">
        <v>314</v>
      </c>
      <c r="C904" t="s">
        <v>792</v>
      </c>
      <c r="D904" s="1">
        <v>45066</v>
      </c>
      <c r="E904">
        <v>9</v>
      </c>
      <c r="F904">
        <v>18.425363171794501</v>
      </c>
      <c r="G904" s="1">
        <v>45078</v>
      </c>
      <c r="H904" s="1">
        <v>45081</v>
      </c>
      <c r="I904">
        <v>165.82826854615001</v>
      </c>
      <c r="J904">
        <f t="shared" si="84"/>
        <v>3</v>
      </c>
      <c r="K904" t="str">
        <f>VLOOKUP(B904,Raw_Suppliers!$A$2:$G$101,2,FALSE)</f>
        <v>Gamma Nova Ltd</v>
      </c>
      <c r="L904" t="str">
        <f>VLOOKUP(B904,Raw_Suppliers!$A$2:$G$101,3,FALSE)</f>
        <v>USA</v>
      </c>
      <c r="M904" t="str">
        <f>VLOOKUP(B904,Raw_Suppliers!$A$2:$G$101,4,FALSE)</f>
        <v>North</v>
      </c>
      <c r="N904" t="str">
        <f>VLOOKUP(B904,Raw_Suppliers!$A$2:$G$101,6,FALSE)</f>
        <v>ISO 45001</v>
      </c>
      <c r="O904">
        <f>VLOOKUP(B904,Raw_Suppliers!$A$2:$G$101,7,FALSE)</f>
        <v>0</v>
      </c>
      <c r="P904" t="str">
        <f t="shared" si="85"/>
        <v>No</v>
      </c>
      <c r="Q904">
        <f t="shared" si="86"/>
        <v>0</v>
      </c>
      <c r="R904" t="str">
        <f t="shared" si="87"/>
        <v>Late</v>
      </c>
      <c r="S904">
        <f t="shared" si="88"/>
        <v>2023</v>
      </c>
      <c r="T904">
        <f t="shared" si="89"/>
        <v>5</v>
      </c>
    </row>
    <row r="905" spans="1:20" x14ac:dyDescent="0.25">
      <c r="A905" t="s">
        <v>1210</v>
      </c>
      <c r="B905" t="s">
        <v>79</v>
      </c>
      <c r="C905" t="s">
        <v>224</v>
      </c>
      <c r="D905" s="1">
        <v>45057</v>
      </c>
      <c r="E905">
        <v>9</v>
      </c>
      <c r="F905">
        <v>39.940471266420502</v>
      </c>
      <c r="G905" s="1">
        <v>45080</v>
      </c>
      <c r="H905" s="1">
        <v>45079</v>
      </c>
      <c r="I905">
        <v>359.46424139778401</v>
      </c>
      <c r="J905">
        <f t="shared" si="84"/>
        <v>-1</v>
      </c>
      <c r="K905" t="str">
        <f>VLOOKUP(B905,Raw_Suppliers!$A$2:$G$101,2,FALSE)</f>
        <v>Vertex Fusion Inc</v>
      </c>
      <c r="L905" t="str">
        <f>VLOOKUP(B905,Raw_Suppliers!$A$2:$G$101,3,FALSE)</f>
        <v>India</v>
      </c>
      <c r="M905" t="str">
        <f>VLOOKUP(B905,Raw_Suppliers!$A$2:$G$101,4,FALSE)</f>
        <v>Central</v>
      </c>
      <c r="N905" t="str">
        <f>VLOOKUP(B905,Raw_Suppliers!$A$2:$G$101,6,FALSE)</f>
        <v>ISO 9001</v>
      </c>
      <c r="O905">
        <f>VLOOKUP(B905,Raw_Suppliers!$A$2:$G$101,7,FALSE)</f>
        <v>0</v>
      </c>
      <c r="P905" t="str">
        <f t="shared" si="85"/>
        <v>No</v>
      </c>
      <c r="Q905">
        <f t="shared" si="86"/>
        <v>1</v>
      </c>
      <c r="R905" t="str">
        <f t="shared" si="87"/>
        <v>On Time</v>
      </c>
      <c r="S905">
        <f t="shared" si="88"/>
        <v>2023</v>
      </c>
      <c r="T905">
        <f t="shared" si="89"/>
        <v>5</v>
      </c>
    </row>
    <row r="906" spans="1:20" x14ac:dyDescent="0.25">
      <c r="A906" t="s">
        <v>1211</v>
      </c>
      <c r="B906" t="s">
        <v>49</v>
      </c>
      <c r="C906" t="s">
        <v>418</v>
      </c>
      <c r="D906" s="1">
        <v>44859</v>
      </c>
      <c r="E906">
        <v>11</v>
      </c>
      <c r="F906">
        <v>29.045332266459301</v>
      </c>
      <c r="G906" s="1">
        <v>44883</v>
      </c>
      <c r="H906" s="1">
        <v>44882</v>
      </c>
      <c r="I906">
        <v>319.49865493105301</v>
      </c>
      <c r="J906">
        <f t="shared" si="84"/>
        <v>-1</v>
      </c>
      <c r="K906" t="str">
        <f>VLOOKUP(B906,Raw_Suppliers!$A$2:$G$101,2,FALSE)</f>
        <v>Prime Prime Corp</v>
      </c>
      <c r="L906" t="str">
        <f>VLOOKUP(B906,Raw_Suppliers!$A$2:$G$101,3,FALSE)</f>
        <v>China</v>
      </c>
      <c r="M906" t="str">
        <f>VLOOKUP(B906,Raw_Suppliers!$A$2:$G$101,4,FALSE)</f>
        <v>North</v>
      </c>
      <c r="N906" t="str">
        <f>VLOOKUP(B906,Raw_Suppliers!$A$2:$G$101,6,FALSE)</f>
        <v>ISO 45001</v>
      </c>
      <c r="O906">
        <f>VLOOKUP(B906,Raw_Suppliers!$A$2:$G$101,7,FALSE)</f>
        <v>0</v>
      </c>
      <c r="P906" t="str">
        <f t="shared" si="85"/>
        <v>No</v>
      </c>
      <c r="Q906">
        <f t="shared" si="86"/>
        <v>1</v>
      </c>
      <c r="R906" t="str">
        <f t="shared" si="87"/>
        <v>On Time</v>
      </c>
      <c r="S906">
        <f t="shared" si="88"/>
        <v>2022</v>
      </c>
      <c r="T906">
        <f t="shared" si="89"/>
        <v>10</v>
      </c>
    </row>
    <row r="907" spans="1:20" x14ac:dyDescent="0.25">
      <c r="A907" t="s">
        <v>1212</v>
      </c>
      <c r="B907" t="s">
        <v>16</v>
      </c>
      <c r="C907" t="s">
        <v>158</v>
      </c>
      <c r="D907" s="1">
        <v>45306</v>
      </c>
      <c r="E907">
        <v>10</v>
      </c>
      <c r="F907">
        <v>73.510166880985807</v>
      </c>
      <c r="G907" s="1">
        <v>45325</v>
      </c>
      <c r="H907" s="1">
        <v>45322</v>
      </c>
      <c r="I907">
        <v>735.10166880985798</v>
      </c>
      <c r="J907">
        <f t="shared" si="84"/>
        <v>-3</v>
      </c>
      <c r="K907" t="str">
        <f>VLOOKUP(B907,Raw_Suppliers!$A$2:$G$101,2,FALSE)</f>
        <v>Beta Pioneer Inc</v>
      </c>
      <c r="L907" t="str">
        <f>VLOOKUP(B907,Raw_Suppliers!$A$2:$G$101,3,FALSE)</f>
        <v>USA</v>
      </c>
      <c r="M907" t="str">
        <f>VLOOKUP(B907,Raw_Suppliers!$A$2:$G$101,4,FALSE)</f>
        <v>Central</v>
      </c>
      <c r="N907" t="str">
        <f>VLOOKUP(B907,Raw_Suppliers!$A$2:$G$101,6,FALSE)</f>
        <v>ISO 45001</v>
      </c>
      <c r="O907">
        <f>VLOOKUP(B907,Raw_Suppliers!$A$2:$G$101,7,FALSE)</f>
        <v>1</v>
      </c>
      <c r="P907" t="str">
        <f t="shared" si="85"/>
        <v>Yes</v>
      </c>
      <c r="Q907">
        <f t="shared" si="86"/>
        <v>1</v>
      </c>
      <c r="R907" t="str">
        <f t="shared" si="87"/>
        <v>On Time</v>
      </c>
      <c r="S907">
        <f t="shared" si="88"/>
        <v>2024</v>
      </c>
      <c r="T907">
        <f t="shared" si="89"/>
        <v>1</v>
      </c>
    </row>
    <row r="908" spans="1:20" x14ac:dyDescent="0.25">
      <c r="A908" t="s">
        <v>1213</v>
      </c>
      <c r="B908" t="s">
        <v>119</v>
      </c>
      <c r="C908" t="s">
        <v>161</v>
      </c>
      <c r="D908" s="1">
        <v>45155</v>
      </c>
      <c r="E908">
        <v>13</v>
      </c>
      <c r="F908">
        <v>18.231391366233701</v>
      </c>
      <c r="G908" s="1">
        <v>45170</v>
      </c>
      <c r="H908" s="1">
        <v>45168</v>
      </c>
      <c r="I908">
        <v>237.00808776103801</v>
      </c>
      <c r="J908">
        <f t="shared" si="84"/>
        <v>-2</v>
      </c>
      <c r="K908" t="str">
        <f>VLOOKUP(B908,Raw_Suppliers!$A$2:$G$101,2,FALSE)</f>
        <v>Pioneer Apex Corp</v>
      </c>
      <c r="L908" t="str">
        <f>VLOOKUP(B908,Raw_Suppliers!$A$2:$G$101,3,FALSE)</f>
        <v>USA</v>
      </c>
      <c r="M908" t="str">
        <f>VLOOKUP(B908,Raw_Suppliers!$A$2:$G$101,4,FALSE)</f>
        <v>Central</v>
      </c>
      <c r="N908" t="str">
        <f>VLOOKUP(B908,Raw_Suppliers!$A$2:$G$101,6,FALSE)</f>
        <v>None</v>
      </c>
      <c r="O908">
        <f>VLOOKUP(B908,Raw_Suppliers!$A$2:$G$101,7,FALSE)</f>
        <v>0</v>
      </c>
      <c r="P908" t="str">
        <f t="shared" si="85"/>
        <v>No</v>
      </c>
      <c r="Q908">
        <f t="shared" si="86"/>
        <v>1</v>
      </c>
      <c r="R908" t="str">
        <f t="shared" si="87"/>
        <v>On Time</v>
      </c>
      <c r="S908">
        <f t="shared" si="88"/>
        <v>2023</v>
      </c>
      <c r="T908">
        <f t="shared" si="89"/>
        <v>8</v>
      </c>
    </row>
    <row r="909" spans="1:20" x14ac:dyDescent="0.25">
      <c r="A909" t="s">
        <v>1214</v>
      </c>
      <c r="B909" t="s">
        <v>73</v>
      </c>
      <c r="C909" t="s">
        <v>131</v>
      </c>
      <c r="D909" s="1">
        <v>44289</v>
      </c>
      <c r="E909">
        <v>5</v>
      </c>
      <c r="F909">
        <v>47.469545249727403</v>
      </c>
      <c r="G909" s="1">
        <v>44306</v>
      </c>
      <c r="H909" s="1">
        <v>44311</v>
      </c>
      <c r="I909">
        <v>237.347726248637</v>
      </c>
      <c r="J909">
        <f t="shared" si="84"/>
        <v>5</v>
      </c>
      <c r="K909" t="str">
        <f>VLOOKUP(B909,Raw_Suppliers!$A$2:$G$101,2,FALSE)</f>
        <v>Gamma Quantum LLC</v>
      </c>
      <c r="L909" t="str">
        <f>VLOOKUP(B909,Raw_Suppliers!$A$2:$G$101,3,FALSE)</f>
        <v>Germany</v>
      </c>
      <c r="M909" t="str">
        <f>VLOOKUP(B909,Raw_Suppliers!$A$2:$G$101,4,FALSE)</f>
        <v>Central</v>
      </c>
      <c r="N909" t="str">
        <f>VLOOKUP(B909,Raw_Suppliers!$A$2:$G$101,6,FALSE)</f>
        <v>ISO 9001</v>
      </c>
      <c r="O909">
        <f>VLOOKUP(B909,Raw_Suppliers!$A$2:$G$101,7,FALSE)</f>
        <v>1</v>
      </c>
      <c r="P909" t="str">
        <f t="shared" si="85"/>
        <v>Yes</v>
      </c>
      <c r="Q909">
        <f t="shared" si="86"/>
        <v>0</v>
      </c>
      <c r="R909" t="str">
        <f t="shared" si="87"/>
        <v>Late</v>
      </c>
      <c r="S909">
        <f t="shared" si="88"/>
        <v>2021</v>
      </c>
      <c r="T909">
        <f t="shared" si="89"/>
        <v>4</v>
      </c>
    </row>
    <row r="910" spans="1:20" x14ac:dyDescent="0.25">
      <c r="A910" t="s">
        <v>1215</v>
      </c>
      <c r="B910" t="s">
        <v>25</v>
      </c>
      <c r="C910" t="s">
        <v>353</v>
      </c>
      <c r="D910" s="1">
        <v>44241</v>
      </c>
      <c r="E910">
        <v>5</v>
      </c>
      <c r="F910">
        <v>68.411464422038605</v>
      </c>
      <c r="G910" s="1">
        <v>44254</v>
      </c>
      <c r="H910" s="1">
        <v>44253</v>
      </c>
      <c r="I910">
        <v>342.05732211019301</v>
      </c>
      <c r="J910">
        <f t="shared" si="84"/>
        <v>-1</v>
      </c>
      <c r="K910" t="str">
        <f>VLOOKUP(B910,Raw_Suppliers!$A$2:$G$101,2,FALSE)</f>
        <v>Quantum Fusion Corp</v>
      </c>
      <c r="L910" t="str">
        <f>VLOOKUP(B910,Raw_Suppliers!$A$2:$G$101,3,FALSE)</f>
        <v>UK</v>
      </c>
      <c r="M910" t="str">
        <f>VLOOKUP(B910,Raw_Suppliers!$A$2:$G$101,4,FALSE)</f>
        <v>North</v>
      </c>
      <c r="N910" t="str">
        <f>VLOOKUP(B910,Raw_Suppliers!$A$2:$G$101,6,FALSE)</f>
        <v>ISO 9001</v>
      </c>
      <c r="O910">
        <f>VLOOKUP(B910,Raw_Suppliers!$A$2:$G$101,7,FALSE)</f>
        <v>0</v>
      </c>
      <c r="P910" t="str">
        <f t="shared" si="85"/>
        <v>No</v>
      </c>
      <c r="Q910">
        <f t="shared" si="86"/>
        <v>1</v>
      </c>
      <c r="R910" t="str">
        <f t="shared" si="87"/>
        <v>On Time</v>
      </c>
      <c r="S910">
        <f t="shared" si="88"/>
        <v>2021</v>
      </c>
      <c r="T910">
        <f t="shared" si="89"/>
        <v>2</v>
      </c>
    </row>
    <row r="911" spans="1:20" x14ac:dyDescent="0.25">
      <c r="A911" t="s">
        <v>1216</v>
      </c>
      <c r="B911" t="s">
        <v>43</v>
      </c>
      <c r="C911" t="s">
        <v>201</v>
      </c>
      <c r="D911" s="1">
        <v>45185</v>
      </c>
      <c r="E911">
        <v>12</v>
      </c>
      <c r="F911">
        <v>28.2024929497865</v>
      </c>
      <c r="G911" s="1">
        <v>45206</v>
      </c>
      <c r="H911" s="1">
        <v>45206</v>
      </c>
      <c r="I911">
        <v>338.42991539743798</v>
      </c>
      <c r="J911">
        <f t="shared" si="84"/>
        <v>0</v>
      </c>
      <c r="K911" t="str">
        <f>VLOOKUP(B911,Raw_Suppliers!$A$2:$G$101,2,FALSE)</f>
        <v>Alpha Ultra Corp</v>
      </c>
      <c r="L911" t="str">
        <f>VLOOKUP(B911,Raw_Suppliers!$A$2:$G$101,3,FALSE)</f>
        <v>USA</v>
      </c>
      <c r="M911" t="str">
        <f>VLOOKUP(B911,Raw_Suppliers!$A$2:$G$101,4,FALSE)</f>
        <v>Central</v>
      </c>
      <c r="N911" t="str">
        <f>VLOOKUP(B911,Raw_Suppliers!$A$2:$G$101,6,FALSE)</f>
        <v>ISO 9001</v>
      </c>
      <c r="O911">
        <f>VLOOKUP(B911,Raw_Suppliers!$A$2:$G$101,7,FALSE)</f>
        <v>1</v>
      </c>
      <c r="P911" t="str">
        <f t="shared" si="85"/>
        <v>Yes</v>
      </c>
      <c r="Q911">
        <f t="shared" si="86"/>
        <v>1</v>
      </c>
      <c r="R911" t="str">
        <f t="shared" si="87"/>
        <v>On Time</v>
      </c>
      <c r="S911">
        <f t="shared" si="88"/>
        <v>2023</v>
      </c>
      <c r="T911">
        <f t="shared" si="89"/>
        <v>9</v>
      </c>
    </row>
    <row r="912" spans="1:20" x14ac:dyDescent="0.25">
      <c r="A912" t="s">
        <v>1217</v>
      </c>
      <c r="B912" t="s">
        <v>261</v>
      </c>
      <c r="C912" t="s">
        <v>210</v>
      </c>
      <c r="D912" s="1">
        <v>44350</v>
      </c>
      <c r="E912">
        <v>8</v>
      </c>
      <c r="F912">
        <v>36.120880494628402</v>
      </c>
      <c r="G912" s="1">
        <v>44364</v>
      </c>
      <c r="H912" s="1">
        <v>44361</v>
      </c>
      <c r="I912">
        <v>288.96704395702699</v>
      </c>
      <c r="J912">
        <f t="shared" si="84"/>
        <v>-3</v>
      </c>
      <c r="K912" t="str">
        <f>VLOOKUP(B912,Raw_Suppliers!$A$2:$G$101,2,FALSE)</f>
        <v>Delta Fusion Corp</v>
      </c>
      <c r="L912" t="str">
        <f>VLOOKUP(B912,Raw_Suppliers!$A$2:$G$101,3,FALSE)</f>
        <v>Denmark</v>
      </c>
      <c r="M912" t="str">
        <f>VLOOKUP(B912,Raw_Suppliers!$A$2:$G$101,4,FALSE)</f>
        <v>West</v>
      </c>
      <c r="N912" t="str">
        <f>VLOOKUP(B912,Raw_Suppliers!$A$2:$G$101,6,FALSE)</f>
        <v>ISO 45001</v>
      </c>
      <c r="O912">
        <f>VLOOKUP(B912,Raw_Suppliers!$A$2:$G$101,7,FALSE)</f>
        <v>0</v>
      </c>
      <c r="P912" t="str">
        <f t="shared" si="85"/>
        <v>No</v>
      </c>
      <c r="Q912">
        <f t="shared" si="86"/>
        <v>1</v>
      </c>
      <c r="R912" t="str">
        <f t="shared" si="87"/>
        <v>On Time</v>
      </c>
      <c r="S912">
        <f t="shared" si="88"/>
        <v>2021</v>
      </c>
      <c r="T912">
        <f t="shared" si="89"/>
        <v>6</v>
      </c>
    </row>
    <row r="913" spans="1:20" x14ac:dyDescent="0.25">
      <c r="A913" t="s">
        <v>1218</v>
      </c>
      <c r="B913" t="s">
        <v>301</v>
      </c>
      <c r="C913" t="s">
        <v>317</v>
      </c>
      <c r="D913" s="1">
        <v>44210</v>
      </c>
      <c r="E913">
        <v>11</v>
      </c>
      <c r="F913">
        <v>31.617657795588201</v>
      </c>
      <c r="G913" s="1">
        <v>44230</v>
      </c>
      <c r="H913" s="1">
        <v>44227</v>
      </c>
      <c r="I913">
        <v>347.79423575147098</v>
      </c>
      <c r="J913">
        <f t="shared" si="84"/>
        <v>-3</v>
      </c>
      <c r="K913" t="str">
        <f>VLOOKUP(B913,Raw_Suppliers!$A$2:$G$101,2,FALSE)</f>
        <v>Beta Eco Inc</v>
      </c>
      <c r="L913" t="str">
        <f>VLOOKUP(B913,Raw_Suppliers!$A$2:$G$101,3,FALSE)</f>
        <v>Denmark</v>
      </c>
      <c r="M913" t="str">
        <f>VLOOKUP(B913,Raw_Suppliers!$A$2:$G$101,4,FALSE)</f>
        <v>South</v>
      </c>
      <c r="N913" t="str">
        <f>VLOOKUP(B913,Raw_Suppliers!$A$2:$G$101,6,FALSE)</f>
        <v>ISO 14001</v>
      </c>
      <c r="O913">
        <f>VLOOKUP(B913,Raw_Suppliers!$A$2:$G$101,7,FALSE)</f>
        <v>1</v>
      </c>
      <c r="P913" t="str">
        <f t="shared" si="85"/>
        <v>Yes</v>
      </c>
      <c r="Q913">
        <f t="shared" si="86"/>
        <v>1</v>
      </c>
      <c r="R913" t="str">
        <f t="shared" si="87"/>
        <v>On Time</v>
      </c>
      <c r="S913">
        <f t="shared" si="88"/>
        <v>2021</v>
      </c>
      <c r="T913">
        <f t="shared" si="89"/>
        <v>1</v>
      </c>
    </row>
    <row r="914" spans="1:20" x14ac:dyDescent="0.25">
      <c r="A914" t="s">
        <v>1219</v>
      </c>
      <c r="B914" t="s">
        <v>157</v>
      </c>
      <c r="C914" t="s">
        <v>600</v>
      </c>
      <c r="D914" s="1">
        <v>45227</v>
      </c>
      <c r="E914">
        <v>12</v>
      </c>
      <c r="F914">
        <v>68.200069190302898</v>
      </c>
      <c r="G914" s="1">
        <v>45250</v>
      </c>
      <c r="H914" s="1">
        <v>45255</v>
      </c>
      <c r="I914">
        <v>818.40083028363495</v>
      </c>
      <c r="J914">
        <f t="shared" si="84"/>
        <v>5</v>
      </c>
      <c r="K914" t="str">
        <f>VLOOKUP(B914,Raw_Suppliers!$A$2:$G$101,2,FALSE)</f>
        <v>Pioneer Omega Ltd</v>
      </c>
      <c r="L914" t="str">
        <f>VLOOKUP(B914,Raw_Suppliers!$A$2:$G$101,3,FALSE)</f>
        <v>Brazil</v>
      </c>
      <c r="M914" t="str">
        <f>VLOOKUP(B914,Raw_Suppliers!$A$2:$G$101,4,FALSE)</f>
        <v>East</v>
      </c>
      <c r="N914" t="str">
        <f>VLOOKUP(B914,Raw_Suppliers!$A$2:$G$101,6,FALSE)</f>
        <v>None</v>
      </c>
      <c r="O914">
        <f>VLOOKUP(B914,Raw_Suppliers!$A$2:$G$101,7,FALSE)</f>
        <v>0</v>
      </c>
      <c r="P914" t="str">
        <f t="shared" si="85"/>
        <v>No</v>
      </c>
      <c r="Q914">
        <f t="shared" si="86"/>
        <v>0</v>
      </c>
      <c r="R914" t="str">
        <f t="shared" si="87"/>
        <v>Late</v>
      </c>
      <c r="S914">
        <f t="shared" si="88"/>
        <v>2023</v>
      </c>
      <c r="T914">
        <f t="shared" si="89"/>
        <v>10</v>
      </c>
    </row>
    <row r="915" spans="1:20" x14ac:dyDescent="0.25">
      <c r="A915" t="s">
        <v>1220</v>
      </c>
      <c r="B915" t="s">
        <v>247</v>
      </c>
      <c r="C915" t="s">
        <v>363</v>
      </c>
      <c r="D915" s="1">
        <v>45061</v>
      </c>
      <c r="E915">
        <v>10</v>
      </c>
      <c r="F915">
        <v>74.463981611330894</v>
      </c>
      <c r="G915" s="1">
        <v>45085</v>
      </c>
      <c r="H915" s="1">
        <v>45086</v>
      </c>
      <c r="I915">
        <v>744.63981611330905</v>
      </c>
      <c r="J915">
        <f t="shared" si="84"/>
        <v>1</v>
      </c>
      <c r="K915" t="str">
        <f>VLOOKUP(B915,Raw_Suppliers!$A$2:$G$101,2,FALSE)</f>
        <v>Ultra Apex LLC</v>
      </c>
      <c r="L915" t="str">
        <f>VLOOKUP(B915,Raw_Suppliers!$A$2:$G$101,3,FALSE)</f>
        <v>Germany</v>
      </c>
      <c r="M915" t="str">
        <f>VLOOKUP(B915,Raw_Suppliers!$A$2:$G$101,4,FALSE)</f>
        <v>West</v>
      </c>
      <c r="N915" t="str">
        <f>VLOOKUP(B915,Raw_Suppliers!$A$2:$G$101,6,FALSE)</f>
        <v>ISO 9001</v>
      </c>
      <c r="O915">
        <f>VLOOKUP(B915,Raw_Suppliers!$A$2:$G$101,7,FALSE)</f>
        <v>0</v>
      </c>
      <c r="P915" t="str">
        <f t="shared" si="85"/>
        <v>No</v>
      </c>
      <c r="Q915">
        <f t="shared" si="86"/>
        <v>0</v>
      </c>
      <c r="R915" t="str">
        <f t="shared" si="87"/>
        <v>Late</v>
      </c>
      <c r="S915">
        <f t="shared" si="88"/>
        <v>2023</v>
      </c>
      <c r="T915">
        <f t="shared" si="89"/>
        <v>5</v>
      </c>
    </row>
    <row r="916" spans="1:20" x14ac:dyDescent="0.25">
      <c r="A916" t="s">
        <v>1221</v>
      </c>
      <c r="B916" t="s">
        <v>194</v>
      </c>
      <c r="C916" t="s">
        <v>83</v>
      </c>
      <c r="D916" s="1">
        <v>44329</v>
      </c>
      <c r="E916">
        <v>7</v>
      </c>
      <c r="F916">
        <v>75.612338569126806</v>
      </c>
      <c r="G916" s="1">
        <v>44344</v>
      </c>
      <c r="H916" s="1">
        <v>44341</v>
      </c>
      <c r="I916">
        <v>529.28636998388697</v>
      </c>
      <c r="J916">
        <f t="shared" si="84"/>
        <v>-3</v>
      </c>
      <c r="K916" t="str">
        <f>VLOOKUP(B916,Raw_Suppliers!$A$2:$G$101,2,FALSE)</f>
        <v>Eco Pioneer Corp</v>
      </c>
      <c r="L916" t="str">
        <f>VLOOKUP(B916,Raw_Suppliers!$A$2:$G$101,3,FALSE)</f>
        <v>China</v>
      </c>
      <c r="M916" t="str">
        <f>VLOOKUP(B916,Raw_Suppliers!$A$2:$G$101,4,FALSE)</f>
        <v>East</v>
      </c>
      <c r="N916" t="str">
        <f>VLOOKUP(B916,Raw_Suppliers!$A$2:$G$101,6,FALSE)</f>
        <v>ISO 14001</v>
      </c>
      <c r="O916">
        <f>VLOOKUP(B916,Raw_Suppliers!$A$2:$G$101,7,FALSE)</f>
        <v>1</v>
      </c>
      <c r="P916" t="str">
        <f t="shared" si="85"/>
        <v>Yes</v>
      </c>
      <c r="Q916">
        <f t="shared" si="86"/>
        <v>1</v>
      </c>
      <c r="R916" t="str">
        <f t="shared" si="87"/>
        <v>On Time</v>
      </c>
      <c r="S916">
        <f t="shared" si="88"/>
        <v>2021</v>
      </c>
      <c r="T916">
        <f t="shared" si="89"/>
        <v>5</v>
      </c>
    </row>
    <row r="917" spans="1:20" x14ac:dyDescent="0.25">
      <c r="A917" t="s">
        <v>1222</v>
      </c>
      <c r="B917" t="s">
        <v>578</v>
      </c>
      <c r="C917" t="s">
        <v>71</v>
      </c>
      <c r="D917" s="1">
        <v>44554</v>
      </c>
      <c r="E917">
        <v>10</v>
      </c>
      <c r="F917">
        <v>17.0263436638425</v>
      </c>
      <c r="G917" s="1">
        <v>44565</v>
      </c>
      <c r="H917" s="1">
        <v>44569</v>
      </c>
      <c r="I917">
        <v>170.26343663842499</v>
      </c>
      <c r="J917">
        <f t="shared" si="84"/>
        <v>4</v>
      </c>
      <c r="K917" t="str">
        <f>VLOOKUP(B917,Raw_Suppliers!$A$2:$G$101,2,FALSE)</f>
        <v>Beta Eco Ltd</v>
      </c>
      <c r="L917" t="str">
        <f>VLOOKUP(B917,Raw_Suppliers!$A$2:$G$101,3,FALSE)</f>
        <v>Canada</v>
      </c>
      <c r="M917" t="str">
        <f>VLOOKUP(B917,Raw_Suppliers!$A$2:$G$101,4,FALSE)</f>
        <v>East</v>
      </c>
      <c r="N917" t="str">
        <f>VLOOKUP(B917,Raw_Suppliers!$A$2:$G$101,6,FALSE)</f>
        <v>None</v>
      </c>
      <c r="O917">
        <f>VLOOKUP(B917,Raw_Suppliers!$A$2:$G$101,7,FALSE)</f>
        <v>0</v>
      </c>
      <c r="P917" t="str">
        <f t="shared" si="85"/>
        <v>No</v>
      </c>
      <c r="Q917">
        <f t="shared" si="86"/>
        <v>0</v>
      </c>
      <c r="R917" t="str">
        <f t="shared" si="87"/>
        <v>Late</v>
      </c>
      <c r="S917">
        <f t="shared" si="88"/>
        <v>2021</v>
      </c>
      <c r="T917">
        <f t="shared" si="89"/>
        <v>12</v>
      </c>
    </row>
    <row r="918" spans="1:20" x14ac:dyDescent="0.25">
      <c r="A918" t="s">
        <v>1223</v>
      </c>
      <c r="B918" t="s">
        <v>326</v>
      </c>
      <c r="C918" t="s">
        <v>613</v>
      </c>
      <c r="D918" s="1">
        <v>44922</v>
      </c>
      <c r="E918">
        <v>12</v>
      </c>
      <c r="F918">
        <v>3.5016892831603199</v>
      </c>
      <c r="G918" s="1">
        <v>44933</v>
      </c>
      <c r="H918" s="1">
        <v>44938</v>
      </c>
      <c r="I918">
        <v>42.0202713979238</v>
      </c>
      <c r="J918">
        <f t="shared" si="84"/>
        <v>5</v>
      </c>
      <c r="K918" t="str">
        <f>VLOOKUP(B918,Raw_Suppliers!$A$2:$G$101,2,FALSE)</f>
        <v>Ultra Fusion Corp</v>
      </c>
      <c r="L918" t="str">
        <f>VLOOKUP(B918,Raw_Suppliers!$A$2:$G$101,3,FALSE)</f>
        <v>Canada</v>
      </c>
      <c r="M918" t="str">
        <f>VLOOKUP(B918,Raw_Suppliers!$A$2:$G$101,4,FALSE)</f>
        <v>South</v>
      </c>
      <c r="N918" t="str">
        <f>VLOOKUP(B918,Raw_Suppliers!$A$2:$G$101,6,FALSE)</f>
        <v>None</v>
      </c>
      <c r="O918">
        <f>VLOOKUP(B918,Raw_Suppliers!$A$2:$G$101,7,FALSE)</f>
        <v>1</v>
      </c>
      <c r="P918" t="str">
        <f t="shared" si="85"/>
        <v>Yes</v>
      </c>
      <c r="Q918">
        <f t="shared" si="86"/>
        <v>0</v>
      </c>
      <c r="R918" t="str">
        <f t="shared" si="87"/>
        <v>Late</v>
      </c>
      <c r="S918">
        <f t="shared" si="88"/>
        <v>2022</v>
      </c>
      <c r="T918">
        <f t="shared" si="89"/>
        <v>12</v>
      </c>
    </row>
    <row r="919" spans="1:20" x14ac:dyDescent="0.25">
      <c r="A919" t="s">
        <v>1224</v>
      </c>
      <c r="B919" t="s">
        <v>442</v>
      </c>
      <c r="C919" t="s">
        <v>17</v>
      </c>
      <c r="D919" s="1">
        <v>45126</v>
      </c>
      <c r="E919">
        <v>9</v>
      </c>
      <c r="F919">
        <v>21.251206661736202</v>
      </c>
      <c r="G919" s="1">
        <v>45149</v>
      </c>
      <c r="H919" s="1">
        <v>45147</v>
      </c>
      <c r="I919">
        <v>191.26085995562599</v>
      </c>
      <c r="J919">
        <f t="shared" si="84"/>
        <v>-2</v>
      </c>
      <c r="K919" t="str">
        <f>VLOOKUP(B919,Raw_Suppliers!$A$2:$G$101,2,FALSE)</f>
        <v>Vertex Delta LLC</v>
      </c>
      <c r="L919" t="str">
        <f>VLOOKUP(B919,Raw_Suppliers!$A$2:$G$101,3,FALSE)</f>
        <v>Canada</v>
      </c>
      <c r="M919" t="str">
        <f>VLOOKUP(B919,Raw_Suppliers!$A$2:$G$101,4,FALSE)</f>
        <v>East</v>
      </c>
      <c r="N919" t="str">
        <f>VLOOKUP(B919,Raw_Suppliers!$A$2:$G$101,6,FALSE)</f>
        <v>ISO 14001</v>
      </c>
      <c r="O919">
        <f>VLOOKUP(B919,Raw_Suppliers!$A$2:$G$101,7,FALSE)</f>
        <v>1</v>
      </c>
      <c r="P919" t="str">
        <f t="shared" si="85"/>
        <v>Yes</v>
      </c>
      <c r="Q919">
        <f t="shared" si="86"/>
        <v>1</v>
      </c>
      <c r="R919" t="str">
        <f t="shared" si="87"/>
        <v>On Time</v>
      </c>
      <c r="S919">
        <f t="shared" si="88"/>
        <v>2023</v>
      </c>
      <c r="T919">
        <f t="shared" si="89"/>
        <v>7</v>
      </c>
    </row>
    <row r="920" spans="1:20" x14ac:dyDescent="0.25">
      <c r="A920" t="s">
        <v>1225</v>
      </c>
      <c r="B920" t="s">
        <v>216</v>
      </c>
      <c r="C920" t="s">
        <v>380</v>
      </c>
      <c r="D920" s="1">
        <v>44655</v>
      </c>
      <c r="E920">
        <v>15</v>
      </c>
      <c r="F920">
        <v>44.935074273495601</v>
      </c>
      <c r="G920" s="1">
        <v>44676</v>
      </c>
      <c r="H920" s="1">
        <v>44679</v>
      </c>
      <c r="I920">
        <v>674.02611410243503</v>
      </c>
      <c r="J920">
        <f t="shared" si="84"/>
        <v>3</v>
      </c>
      <c r="K920" t="str">
        <f>VLOOKUP(B920,Raw_Suppliers!$A$2:$G$101,2,FALSE)</f>
        <v>Fusion Delta LLC</v>
      </c>
      <c r="L920" t="str">
        <f>VLOOKUP(B920,Raw_Suppliers!$A$2:$G$101,3,FALSE)</f>
        <v>Brazil</v>
      </c>
      <c r="M920" t="str">
        <f>VLOOKUP(B920,Raw_Suppliers!$A$2:$G$101,4,FALSE)</f>
        <v>Central</v>
      </c>
      <c r="N920" t="str">
        <f>VLOOKUP(B920,Raw_Suppliers!$A$2:$G$101,6,FALSE)</f>
        <v>ISO 14001</v>
      </c>
      <c r="O920">
        <f>VLOOKUP(B920,Raw_Suppliers!$A$2:$G$101,7,FALSE)</f>
        <v>0</v>
      </c>
      <c r="P920" t="str">
        <f t="shared" si="85"/>
        <v>No</v>
      </c>
      <c r="Q920">
        <f t="shared" si="86"/>
        <v>0</v>
      </c>
      <c r="R920" t="str">
        <f t="shared" si="87"/>
        <v>Late</v>
      </c>
      <c r="S920">
        <f t="shared" si="88"/>
        <v>2022</v>
      </c>
      <c r="T920">
        <f t="shared" si="89"/>
        <v>4</v>
      </c>
    </row>
    <row r="921" spans="1:20" x14ac:dyDescent="0.25">
      <c r="A921" t="s">
        <v>1226</v>
      </c>
      <c r="B921" t="s">
        <v>61</v>
      </c>
      <c r="C921" t="s">
        <v>722</v>
      </c>
      <c r="D921" s="1">
        <v>44523</v>
      </c>
      <c r="E921">
        <v>18</v>
      </c>
      <c r="F921">
        <v>21.582095299403601</v>
      </c>
      <c r="G921" s="1">
        <v>44541</v>
      </c>
      <c r="H921" s="1">
        <v>44546</v>
      </c>
      <c r="I921">
        <v>388.47771538926497</v>
      </c>
      <c r="J921">
        <f t="shared" si="84"/>
        <v>5</v>
      </c>
      <c r="K921" t="str">
        <f>VLOOKUP(B921,Raw_Suppliers!$A$2:$G$101,2,FALSE)</f>
        <v>Ultra Gamma LLC</v>
      </c>
      <c r="L921" t="str">
        <f>VLOOKUP(B921,Raw_Suppliers!$A$2:$G$101,3,FALSE)</f>
        <v>Canada</v>
      </c>
      <c r="M921" t="str">
        <f>VLOOKUP(B921,Raw_Suppliers!$A$2:$G$101,4,FALSE)</f>
        <v>North</v>
      </c>
      <c r="N921" t="str">
        <f>VLOOKUP(B921,Raw_Suppliers!$A$2:$G$101,6,FALSE)</f>
        <v>ISO 9001</v>
      </c>
      <c r="O921">
        <f>VLOOKUP(B921,Raw_Suppliers!$A$2:$G$101,7,FALSE)</f>
        <v>1</v>
      </c>
      <c r="P921" t="str">
        <f t="shared" si="85"/>
        <v>Yes</v>
      </c>
      <c r="Q921">
        <f t="shared" si="86"/>
        <v>0</v>
      </c>
      <c r="R921" t="str">
        <f t="shared" si="87"/>
        <v>Late</v>
      </c>
      <c r="S921">
        <f t="shared" si="88"/>
        <v>2021</v>
      </c>
      <c r="T921">
        <f t="shared" si="89"/>
        <v>11</v>
      </c>
    </row>
    <row r="922" spans="1:20" x14ac:dyDescent="0.25">
      <c r="A922" t="s">
        <v>1227</v>
      </c>
      <c r="B922" t="s">
        <v>240</v>
      </c>
      <c r="C922" t="s">
        <v>310</v>
      </c>
      <c r="D922" s="1">
        <v>45187</v>
      </c>
      <c r="E922">
        <v>12</v>
      </c>
      <c r="F922">
        <v>72.964698597219794</v>
      </c>
      <c r="G922" s="1">
        <v>45202</v>
      </c>
      <c r="H922" s="1">
        <v>45204</v>
      </c>
      <c r="I922">
        <v>875.57638316663702</v>
      </c>
      <c r="J922">
        <f t="shared" si="84"/>
        <v>2</v>
      </c>
      <c r="K922" t="str">
        <f>VLOOKUP(B922,Raw_Suppliers!$A$2:$G$101,2,FALSE)</f>
        <v>Apex Omega LLC</v>
      </c>
      <c r="L922" t="str">
        <f>VLOOKUP(B922,Raw_Suppliers!$A$2:$G$101,3,FALSE)</f>
        <v>UK</v>
      </c>
      <c r="M922" t="str">
        <f>VLOOKUP(B922,Raw_Suppliers!$A$2:$G$101,4,FALSE)</f>
        <v>South</v>
      </c>
      <c r="N922" t="str">
        <f>VLOOKUP(B922,Raw_Suppliers!$A$2:$G$101,6,FALSE)</f>
        <v>ISO 9001</v>
      </c>
      <c r="O922">
        <f>VLOOKUP(B922,Raw_Suppliers!$A$2:$G$101,7,FALSE)</f>
        <v>0</v>
      </c>
      <c r="P922" t="str">
        <f t="shared" si="85"/>
        <v>No</v>
      </c>
      <c r="Q922">
        <f t="shared" si="86"/>
        <v>0</v>
      </c>
      <c r="R922" t="str">
        <f t="shared" si="87"/>
        <v>Late</v>
      </c>
      <c r="S922">
        <f t="shared" si="88"/>
        <v>2023</v>
      </c>
      <c r="T922">
        <f t="shared" si="89"/>
        <v>9</v>
      </c>
    </row>
    <row r="923" spans="1:20" x14ac:dyDescent="0.25">
      <c r="A923" t="s">
        <v>1228</v>
      </c>
      <c r="B923" t="s">
        <v>314</v>
      </c>
      <c r="C923" t="s">
        <v>425</v>
      </c>
      <c r="D923" s="1">
        <v>45019</v>
      </c>
      <c r="E923">
        <v>13</v>
      </c>
      <c r="F923">
        <v>13.994869634427699</v>
      </c>
      <c r="G923" s="1">
        <v>45036</v>
      </c>
      <c r="H923" s="1">
        <v>45042</v>
      </c>
      <c r="I923">
        <v>181.93330524756001</v>
      </c>
      <c r="J923">
        <f t="shared" si="84"/>
        <v>6</v>
      </c>
      <c r="K923" t="str">
        <f>VLOOKUP(B923,Raw_Suppliers!$A$2:$G$101,2,FALSE)</f>
        <v>Gamma Nova Ltd</v>
      </c>
      <c r="L923" t="str">
        <f>VLOOKUP(B923,Raw_Suppliers!$A$2:$G$101,3,FALSE)</f>
        <v>USA</v>
      </c>
      <c r="M923" t="str">
        <f>VLOOKUP(B923,Raw_Suppliers!$A$2:$G$101,4,FALSE)</f>
        <v>North</v>
      </c>
      <c r="N923" t="str">
        <f>VLOOKUP(B923,Raw_Suppliers!$A$2:$G$101,6,FALSE)</f>
        <v>ISO 45001</v>
      </c>
      <c r="O923">
        <f>VLOOKUP(B923,Raw_Suppliers!$A$2:$G$101,7,FALSE)</f>
        <v>0</v>
      </c>
      <c r="P923" t="str">
        <f t="shared" si="85"/>
        <v>No</v>
      </c>
      <c r="Q923">
        <f t="shared" si="86"/>
        <v>0</v>
      </c>
      <c r="R923" t="str">
        <f t="shared" si="87"/>
        <v>Late</v>
      </c>
      <c r="S923">
        <f t="shared" si="88"/>
        <v>2023</v>
      </c>
      <c r="T923">
        <f t="shared" si="89"/>
        <v>4</v>
      </c>
    </row>
    <row r="924" spans="1:20" x14ac:dyDescent="0.25">
      <c r="A924" t="s">
        <v>1229</v>
      </c>
      <c r="B924" t="s">
        <v>13</v>
      </c>
      <c r="C924" t="s">
        <v>163</v>
      </c>
      <c r="D924" s="1">
        <v>45056</v>
      </c>
      <c r="E924">
        <v>12</v>
      </c>
      <c r="F924">
        <v>26.1267603526932</v>
      </c>
      <c r="G924" s="1">
        <v>45075</v>
      </c>
      <c r="H924" s="1">
        <v>45074</v>
      </c>
      <c r="I924">
        <v>313.52112423231802</v>
      </c>
      <c r="J924">
        <f t="shared" si="84"/>
        <v>-1</v>
      </c>
      <c r="K924" t="str">
        <f>VLOOKUP(B924,Raw_Suppliers!$A$2:$G$101,2,FALSE)</f>
        <v>Beta Delta LLC</v>
      </c>
      <c r="L924" t="str">
        <f>VLOOKUP(B924,Raw_Suppliers!$A$2:$G$101,3,FALSE)</f>
        <v>Germany</v>
      </c>
      <c r="M924" t="str">
        <f>VLOOKUP(B924,Raw_Suppliers!$A$2:$G$101,4,FALSE)</f>
        <v>Central</v>
      </c>
      <c r="N924" t="str">
        <f>VLOOKUP(B924,Raw_Suppliers!$A$2:$G$101,6,FALSE)</f>
        <v>ISO 9001</v>
      </c>
      <c r="O924">
        <f>VLOOKUP(B924,Raw_Suppliers!$A$2:$G$101,7,FALSE)</f>
        <v>1</v>
      </c>
      <c r="P924" t="str">
        <f t="shared" si="85"/>
        <v>Yes</v>
      </c>
      <c r="Q924">
        <f t="shared" si="86"/>
        <v>1</v>
      </c>
      <c r="R924" t="str">
        <f t="shared" si="87"/>
        <v>On Time</v>
      </c>
      <c r="S924">
        <f t="shared" si="88"/>
        <v>2023</v>
      </c>
      <c r="T924">
        <f t="shared" si="89"/>
        <v>5</v>
      </c>
    </row>
    <row r="925" spans="1:20" x14ac:dyDescent="0.25">
      <c r="A925" t="s">
        <v>1230</v>
      </c>
      <c r="B925" t="s">
        <v>96</v>
      </c>
      <c r="C925" t="s">
        <v>228</v>
      </c>
      <c r="D925" s="1">
        <v>44435</v>
      </c>
      <c r="E925">
        <v>12</v>
      </c>
      <c r="F925">
        <v>66.139927810257106</v>
      </c>
      <c r="G925" s="1">
        <v>44458</v>
      </c>
      <c r="H925" s="1">
        <v>44459</v>
      </c>
      <c r="I925">
        <v>793.67913372308499</v>
      </c>
      <c r="J925">
        <f t="shared" si="84"/>
        <v>1</v>
      </c>
      <c r="K925" t="str">
        <f>VLOOKUP(B925,Raw_Suppliers!$A$2:$G$101,2,FALSE)</f>
        <v>Alpha Nova Ltd</v>
      </c>
      <c r="L925" t="str">
        <f>VLOOKUP(B925,Raw_Suppliers!$A$2:$G$101,3,FALSE)</f>
        <v>UK</v>
      </c>
      <c r="M925" t="str">
        <f>VLOOKUP(B925,Raw_Suppliers!$A$2:$G$101,4,FALSE)</f>
        <v>West</v>
      </c>
      <c r="N925" t="str">
        <f>VLOOKUP(B925,Raw_Suppliers!$A$2:$G$101,6,FALSE)</f>
        <v>ISO 14001</v>
      </c>
      <c r="O925">
        <f>VLOOKUP(B925,Raw_Suppliers!$A$2:$G$101,7,FALSE)</f>
        <v>0</v>
      </c>
      <c r="P925" t="str">
        <f t="shared" si="85"/>
        <v>No</v>
      </c>
      <c r="Q925">
        <f t="shared" si="86"/>
        <v>0</v>
      </c>
      <c r="R925" t="str">
        <f t="shared" si="87"/>
        <v>Late</v>
      </c>
      <c r="S925">
        <f t="shared" si="88"/>
        <v>2021</v>
      </c>
      <c r="T925">
        <f t="shared" si="89"/>
        <v>8</v>
      </c>
    </row>
    <row r="926" spans="1:20" x14ac:dyDescent="0.25">
      <c r="A926" t="s">
        <v>1231</v>
      </c>
      <c r="B926" t="s">
        <v>301</v>
      </c>
      <c r="C926" t="s">
        <v>20</v>
      </c>
      <c r="D926" s="1">
        <v>44541</v>
      </c>
      <c r="E926">
        <v>12</v>
      </c>
      <c r="F926">
        <v>54.3969375542029</v>
      </c>
      <c r="G926" s="1">
        <v>44562</v>
      </c>
      <c r="H926" s="1">
        <v>44567</v>
      </c>
      <c r="I926">
        <v>652.763250650435</v>
      </c>
      <c r="J926">
        <f t="shared" si="84"/>
        <v>5</v>
      </c>
      <c r="K926" t="str">
        <f>VLOOKUP(B926,Raw_Suppliers!$A$2:$G$101,2,FALSE)</f>
        <v>Beta Eco Inc</v>
      </c>
      <c r="L926" t="str">
        <f>VLOOKUP(B926,Raw_Suppliers!$A$2:$G$101,3,FALSE)</f>
        <v>Denmark</v>
      </c>
      <c r="M926" t="str">
        <f>VLOOKUP(B926,Raw_Suppliers!$A$2:$G$101,4,FALSE)</f>
        <v>South</v>
      </c>
      <c r="N926" t="str">
        <f>VLOOKUP(B926,Raw_Suppliers!$A$2:$G$101,6,FALSE)</f>
        <v>ISO 14001</v>
      </c>
      <c r="O926">
        <f>VLOOKUP(B926,Raw_Suppliers!$A$2:$G$101,7,FALSE)</f>
        <v>1</v>
      </c>
      <c r="P926" t="str">
        <f t="shared" si="85"/>
        <v>Yes</v>
      </c>
      <c r="Q926">
        <f t="shared" si="86"/>
        <v>0</v>
      </c>
      <c r="R926" t="str">
        <f t="shared" si="87"/>
        <v>Late</v>
      </c>
      <c r="S926">
        <f t="shared" si="88"/>
        <v>2021</v>
      </c>
      <c r="T926">
        <f t="shared" si="89"/>
        <v>12</v>
      </c>
    </row>
    <row r="927" spans="1:20" x14ac:dyDescent="0.25">
      <c r="A927" t="s">
        <v>1232</v>
      </c>
      <c r="B927" t="s">
        <v>556</v>
      </c>
      <c r="C927" t="s">
        <v>86</v>
      </c>
      <c r="D927" s="1">
        <v>44348</v>
      </c>
      <c r="E927">
        <v>9</v>
      </c>
      <c r="F927">
        <v>42.336624563572698</v>
      </c>
      <c r="G927" s="1">
        <v>44370</v>
      </c>
      <c r="H927" s="1">
        <v>44375</v>
      </c>
      <c r="I927">
        <v>381.02962107215399</v>
      </c>
      <c r="J927">
        <f t="shared" si="84"/>
        <v>5</v>
      </c>
      <c r="K927" t="str">
        <f>VLOOKUP(B927,Raw_Suppliers!$A$2:$G$101,2,FALSE)</f>
        <v>Ultra Delta Ltd</v>
      </c>
      <c r="L927" t="str">
        <f>VLOOKUP(B927,Raw_Suppliers!$A$2:$G$101,3,FALSE)</f>
        <v>China</v>
      </c>
      <c r="M927" t="str">
        <f>VLOOKUP(B927,Raw_Suppliers!$A$2:$G$101,4,FALSE)</f>
        <v>Central</v>
      </c>
      <c r="N927" t="str">
        <f>VLOOKUP(B927,Raw_Suppliers!$A$2:$G$101,6,FALSE)</f>
        <v>ISO 45001</v>
      </c>
      <c r="O927">
        <f>VLOOKUP(B927,Raw_Suppliers!$A$2:$G$101,7,FALSE)</f>
        <v>0</v>
      </c>
      <c r="P927" t="str">
        <f t="shared" si="85"/>
        <v>No</v>
      </c>
      <c r="Q927">
        <f t="shared" si="86"/>
        <v>0</v>
      </c>
      <c r="R927" t="str">
        <f t="shared" si="87"/>
        <v>Late</v>
      </c>
      <c r="S927">
        <f t="shared" si="88"/>
        <v>2021</v>
      </c>
      <c r="T927">
        <f t="shared" si="89"/>
        <v>6</v>
      </c>
    </row>
    <row r="928" spans="1:20" x14ac:dyDescent="0.25">
      <c r="A928" t="s">
        <v>1233</v>
      </c>
      <c r="B928" t="s">
        <v>198</v>
      </c>
      <c r="C928" t="s">
        <v>138</v>
      </c>
      <c r="D928" s="1">
        <v>44599</v>
      </c>
      <c r="E928">
        <v>11</v>
      </c>
      <c r="F928">
        <v>21.242869183196198</v>
      </c>
      <c r="G928" s="1">
        <v>44618</v>
      </c>
      <c r="H928" s="1">
        <v>44618</v>
      </c>
      <c r="I928">
        <v>233.67156101515801</v>
      </c>
      <c r="J928">
        <f t="shared" si="84"/>
        <v>0</v>
      </c>
      <c r="K928" t="str">
        <f>VLOOKUP(B928,Raw_Suppliers!$A$2:$G$101,2,FALSE)</f>
        <v>Gamma Vertex Corp</v>
      </c>
      <c r="L928" t="str">
        <f>VLOOKUP(B928,Raw_Suppliers!$A$2:$G$101,3,FALSE)</f>
        <v>Denmark</v>
      </c>
      <c r="M928" t="str">
        <f>VLOOKUP(B928,Raw_Suppliers!$A$2:$G$101,4,FALSE)</f>
        <v>South</v>
      </c>
      <c r="N928" t="str">
        <f>VLOOKUP(B928,Raw_Suppliers!$A$2:$G$101,6,FALSE)</f>
        <v>None</v>
      </c>
      <c r="O928">
        <f>VLOOKUP(B928,Raw_Suppliers!$A$2:$G$101,7,FALSE)</f>
        <v>1</v>
      </c>
      <c r="P928" t="str">
        <f t="shared" si="85"/>
        <v>Yes</v>
      </c>
      <c r="Q928">
        <f t="shared" si="86"/>
        <v>1</v>
      </c>
      <c r="R928" t="str">
        <f t="shared" si="87"/>
        <v>On Time</v>
      </c>
      <c r="S928">
        <f t="shared" si="88"/>
        <v>2022</v>
      </c>
      <c r="T928">
        <f t="shared" si="89"/>
        <v>2</v>
      </c>
    </row>
    <row r="929" spans="1:20" x14ac:dyDescent="0.25">
      <c r="A929" t="s">
        <v>1234</v>
      </c>
      <c r="B929" t="s">
        <v>13</v>
      </c>
      <c r="C929" t="s">
        <v>341</v>
      </c>
      <c r="D929" s="1">
        <v>44397</v>
      </c>
      <c r="E929">
        <v>8</v>
      </c>
      <c r="F929">
        <v>72.785943452896404</v>
      </c>
      <c r="G929" s="1">
        <v>44413</v>
      </c>
      <c r="H929" s="1">
        <v>44419</v>
      </c>
      <c r="I929">
        <v>582.28754762317101</v>
      </c>
      <c r="J929">
        <f t="shared" si="84"/>
        <v>6</v>
      </c>
      <c r="K929" t="str">
        <f>VLOOKUP(B929,Raw_Suppliers!$A$2:$G$101,2,FALSE)</f>
        <v>Beta Delta LLC</v>
      </c>
      <c r="L929" t="str">
        <f>VLOOKUP(B929,Raw_Suppliers!$A$2:$G$101,3,FALSE)</f>
        <v>Germany</v>
      </c>
      <c r="M929" t="str">
        <f>VLOOKUP(B929,Raw_Suppliers!$A$2:$G$101,4,FALSE)</f>
        <v>Central</v>
      </c>
      <c r="N929" t="str">
        <f>VLOOKUP(B929,Raw_Suppliers!$A$2:$G$101,6,FALSE)</f>
        <v>ISO 9001</v>
      </c>
      <c r="O929">
        <f>VLOOKUP(B929,Raw_Suppliers!$A$2:$G$101,7,FALSE)</f>
        <v>1</v>
      </c>
      <c r="P929" t="str">
        <f t="shared" si="85"/>
        <v>Yes</v>
      </c>
      <c r="Q929">
        <f t="shared" si="86"/>
        <v>0</v>
      </c>
      <c r="R929" t="str">
        <f t="shared" si="87"/>
        <v>Late</v>
      </c>
      <c r="S929">
        <f t="shared" si="88"/>
        <v>2021</v>
      </c>
      <c r="T929">
        <f t="shared" si="89"/>
        <v>7</v>
      </c>
    </row>
    <row r="930" spans="1:20" x14ac:dyDescent="0.25">
      <c r="A930" t="s">
        <v>1235</v>
      </c>
      <c r="B930" t="s">
        <v>61</v>
      </c>
      <c r="C930" t="s">
        <v>243</v>
      </c>
      <c r="D930" s="1">
        <v>44942</v>
      </c>
      <c r="E930">
        <v>13</v>
      </c>
      <c r="F930">
        <v>45.8455534159121</v>
      </c>
      <c r="G930" s="1">
        <v>44954</v>
      </c>
      <c r="H930" s="1">
        <v>44956</v>
      </c>
      <c r="I930">
        <v>595.99219440685704</v>
      </c>
      <c r="J930">
        <f t="shared" si="84"/>
        <v>2</v>
      </c>
      <c r="K930" t="str">
        <f>VLOOKUP(B930,Raw_Suppliers!$A$2:$G$101,2,FALSE)</f>
        <v>Ultra Gamma LLC</v>
      </c>
      <c r="L930" t="str">
        <f>VLOOKUP(B930,Raw_Suppliers!$A$2:$G$101,3,FALSE)</f>
        <v>Canada</v>
      </c>
      <c r="M930" t="str">
        <f>VLOOKUP(B930,Raw_Suppliers!$A$2:$G$101,4,FALSE)</f>
        <v>North</v>
      </c>
      <c r="N930" t="str">
        <f>VLOOKUP(B930,Raw_Suppliers!$A$2:$G$101,6,FALSE)</f>
        <v>ISO 9001</v>
      </c>
      <c r="O930">
        <f>VLOOKUP(B930,Raw_Suppliers!$A$2:$G$101,7,FALSE)</f>
        <v>1</v>
      </c>
      <c r="P930" t="str">
        <f t="shared" si="85"/>
        <v>Yes</v>
      </c>
      <c r="Q930">
        <f t="shared" si="86"/>
        <v>0</v>
      </c>
      <c r="R930" t="str">
        <f t="shared" si="87"/>
        <v>Late</v>
      </c>
      <c r="S930">
        <f t="shared" si="88"/>
        <v>2023</v>
      </c>
      <c r="T930">
        <f t="shared" si="89"/>
        <v>1</v>
      </c>
    </row>
    <row r="931" spans="1:20" x14ac:dyDescent="0.25">
      <c r="A931" t="s">
        <v>1236</v>
      </c>
      <c r="B931" t="s">
        <v>475</v>
      </c>
      <c r="C931" t="s">
        <v>521</v>
      </c>
      <c r="D931" s="1">
        <v>45112</v>
      </c>
      <c r="E931">
        <v>10</v>
      </c>
      <c r="F931">
        <v>78.964114537796704</v>
      </c>
      <c r="G931" s="1">
        <v>45130</v>
      </c>
      <c r="H931" s="1">
        <v>45131</v>
      </c>
      <c r="I931">
        <v>789.64114537796695</v>
      </c>
      <c r="J931">
        <f t="shared" si="84"/>
        <v>1</v>
      </c>
      <c r="K931" t="str">
        <f>VLOOKUP(B931,Raw_Suppliers!$A$2:$G$101,2,FALSE)</f>
        <v>Ultra Delta LLC</v>
      </c>
      <c r="L931" t="str">
        <f>VLOOKUP(B931,Raw_Suppliers!$A$2:$G$101,3,FALSE)</f>
        <v>UK</v>
      </c>
      <c r="M931" t="str">
        <f>VLOOKUP(B931,Raw_Suppliers!$A$2:$G$101,4,FALSE)</f>
        <v>North</v>
      </c>
      <c r="N931" t="str">
        <f>VLOOKUP(B931,Raw_Suppliers!$A$2:$G$101,6,FALSE)</f>
        <v>None</v>
      </c>
      <c r="O931">
        <f>VLOOKUP(B931,Raw_Suppliers!$A$2:$G$101,7,FALSE)</f>
        <v>1</v>
      </c>
      <c r="P931" t="str">
        <f t="shared" si="85"/>
        <v>Yes</v>
      </c>
      <c r="Q931">
        <f t="shared" si="86"/>
        <v>0</v>
      </c>
      <c r="R931" t="str">
        <f t="shared" si="87"/>
        <v>Late</v>
      </c>
      <c r="S931">
        <f t="shared" si="88"/>
        <v>2023</v>
      </c>
      <c r="T931">
        <f t="shared" si="89"/>
        <v>7</v>
      </c>
    </row>
    <row r="932" spans="1:20" x14ac:dyDescent="0.25">
      <c r="A932" t="s">
        <v>1237</v>
      </c>
      <c r="B932" t="s">
        <v>293</v>
      </c>
      <c r="C932" t="s">
        <v>110</v>
      </c>
      <c r="D932" s="1">
        <v>44542</v>
      </c>
      <c r="E932">
        <v>17</v>
      </c>
      <c r="F932">
        <v>61.406988726185197</v>
      </c>
      <c r="G932" s="1">
        <v>44557</v>
      </c>
      <c r="H932" s="1">
        <v>44563</v>
      </c>
      <c r="I932">
        <v>1043.91880834514</v>
      </c>
      <c r="J932">
        <f t="shared" si="84"/>
        <v>6</v>
      </c>
      <c r="K932" t="str">
        <f>VLOOKUP(B932,Raw_Suppliers!$A$2:$G$101,2,FALSE)</f>
        <v>Fusion Apex LLC</v>
      </c>
      <c r="L932" t="str">
        <f>VLOOKUP(B932,Raw_Suppliers!$A$2:$G$101,3,FALSE)</f>
        <v>India</v>
      </c>
      <c r="M932" t="str">
        <f>VLOOKUP(B932,Raw_Suppliers!$A$2:$G$101,4,FALSE)</f>
        <v>Central</v>
      </c>
      <c r="N932" t="str">
        <f>VLOOKUP(B932,Raw_Suppliers!$A$2:$G$101,6,FALSE)</f>
        <v>ISO 14001</v>
      </c>
      <c r="O932">
        <f>VLOOKUP(B932,Raw_Suppliers!$A$2:$G$101,7,FALSE)</f>
        <v>1</v>
      </c>
      <c r="P932" t="str">
        <f t="shared" si="85"/>
        <v>Yes</v>
      </c>
      <c r="Q932">
        <f t="shared" si="86"/>
        <v>0</v>
      </c>
      <c r="R932" t="str">
        <f t="shared" si="87"/>
        <v>Late</v>
      </c>
      <c r="S932">
        <f t="shared" si="88"/>
        <v>2021</v>
      </c>
      <c r="T932">
        <f t="shared" si="89"/>
        <v>12</v>
      </c>
    </row>
    <row r="933" spans="1:20" x14ac:dyDescent="0.25">
      <c r="A933" t="s">
        <v>1238</v>
      </c>
      <c r="B933" t="s">
        <v>751</v>
      </c>
      <c r="C933" t="s">
        <v>29</v>
      </c>
      <c r="D933" s="1">
        <v>44947</v>
      </c>
      <c r="E933">
        <v>14</v>
      </c>
      <c r="F933">
        <v>70.319145110742099</v>
      </c>
      <c r="G933" s="1">
        <v>44960</v>
      </c>
      <c r="H933" s="1">
        <v>44964</v>
      </c>
      <c r="I933">
        <v>984.46803155038901</v>
      </c>
      <c r="J933">
        <f t="shared" si="84"/>
        <v>4</v>
      </c>
      <c r="K933" t="str">
        <f>VLOOKUP(B933,Raw_Suppliers!$A$2:$G$101,2,FALSE)</f>
        <v>Nano Vertex LLC</v>
      </c>
      <c r="L933" t="str">
        <f>VLOOKUP(B933,Raw_Suppliers!$A$2:$G$101,3,FALSE)</f>
        <v>China</v>
      </c>
      <c r="M933" t="str">
        <f>VLOOKUP(B933,Raw_Suppliers!$A$2:$G$101,4,FALSE)</f>
        <v>North</v>
      </c>
      <c r="N933" t="str">
        <f>VLOOKUP(B933,Raw_Suppliers!$A$2:$G$101,6,FALSE)</f>
        <v>ISO 9001</v>
      </c>
      <c r="O933">
        <f>VLOOKUP(B933,Raw_Suppliers!$A$2:$G$101,7,FALSE)</f>
        <v>1</v>
      </c>
      <c r="P933" t="str">
        <f t="shared" si="85"/>
        <v>Yes</v>
      </c>
      <c r="Q933">
        <f t="shared" si="86"/>
        <v>0</v>
      </c>
      <c r="R933" t="str">
        <f t="shared" si="87"/>
        <v>Late</v>
      </c>
      <c r="S933">
        <f t="shared" si="88"/>
        <v>2023</v>
      </c>
      <c r="T933">
        <f t="shared" si="89"/>
        <v>1</v>
      </c>
    </row>
    <row r="934" spans="1:20" x14ac:dyDescent="0.25">
      <c r="A934" t="s">
        <v>1239</v>
      </c>
      <c r="B934" t="s">
        <v>121</v>
      </c>
      <c r="C934" t="s">
        <v>571</v>
      </c>
      <c r="D934" s="1">
        <v>45207</v>
      </c>
      <c r="E934">
        <v>13</v>
      </c>
      <c r="F934">
        <v>76.222684235277001</v>
      </c>
      <c r="G934" s="1">
        <v>45217</v>
      </c>
      <c r="H934" s="1">
        <v>45220</v>
      </c>
      <c r="I934">
        <v>990.89489505860195</v>
      </c>
      <c r="J934">
        <f t="shared" si="84"/>
        <v>3</v>
      </c>
      <c r="K934" t="str">
        <f>VLOOKUP(B934,Raw_Suppliers!$A$2:$G$101,2,FALSE)</f>
        <v>Vertex Vertex Inc</v>
      </c>
      <c r="L934" t="str">
        <f>VLOOKUP(B934,Raw_Suppliers!$A$2:$G$101,3,FALSE)</f>
        <v>USA</v>
      </c>
      <c r="M934" t="str">
        <f>VLOOKUP(B934,Raw_Suppliers!$A$2:$G$101,4,FALSE)</f>
        <v>West</v>
      </c>
      <c r="N934" t="str">
        <f>VLOOKUP(B934,Raw_Suppliers!$A$2:$G$101,6,FALSE)</f>
        <v>None</v>
      </c>
      <c r="O934">
        <f>VLOOKUP(B934,Raw_Suppliers!$A$2:$G$101,7,FALSE)</f>
        <v>0</v>
      </c>
      <c r="P934" t="str">
        <f t="shared" si="85"/>
        <v>No</v>
      </c>
      <c r="Q934">
        <f t="shared" si="86"/>
        <v>0</v>
      </c>
      <c r="R934" t="str">
        <f t="shared" si="87"/>
        <v>Late</v>
      </c>
      <c r="S934">
        <f t="shared" si="88"/>
        <v>2023</v>
      </c>
      <c r="T934">
        <f t="shared" si="89"/>
        <v>10</v>
      </c>
    </row>
    <row r="935" spans="1:20" x14ac:dyDescent="0.25">
      <c r="A935" t="s">
        <v>1240</v>
      </c>
      <c r="B935" t="s">
        <v>205</v>
      </c>
      <c r="C935" t="s">
        <v>328</v>
      </c>
      <c r="D935" s="1">
        <v>44930</v>
      </c>
      <c r="E935">
        <v>6</v>
      </c>
      <c r="F935">
        <v>48.9609990193334</v>
      </c>
      <c r="G935" s="1">
        <v>44949</v>
      </c>
      <c r="H935" s="1">
        <v>44947</v>
      </c>
      <c r="I935">
        <v>293.765994116</v>
      </c>
      <c r="J935">
        <f t="shared" si="84"/>
        <v>-2</v>
      </c>
      <c r="K935" t="str">
        <f>VLOOKUP(B935,Raw_Suppliers!$A$2:$G$101,2,FALSE)</f>
        <v>Ultra Eco LLC</v>
      </c>
      <c r="L935" t="str">
        <f>VLOOKUP(B935,Raw_Suppliers!$A$2:$G$101,3,FALSE)</f>
        <v>China</v>
      </c>
      <c r="M935" t="str">
        <f>VLOOKUP(B935,Raw_Suppliers!$A$2:$G$101,4,FALSE)</f>
        <v>South</v>
      </c>
      <c r="N935" t="str">
        <f>VLOOKUP(B935,Raw_Suppliers!$A$2:$G$101,6,FALSE)</f>
        <v>ISO 14001</v>
      </c>
      <c r="O935">
        <f>VLOOKUP(B935,Raw_Suppliers!$A$2:$G$101,7,FALSE)</f>
        <v>1</v>
      </c>
      <c r="P935" t="str">
        <f t="shared" si="85"/>
        <v>Yes</v>
      </c>
      <c r="Q935">
        <f t="shared" si="86"/>
        <v>1</v>
      </c>
      <c r="R935" t="str">
        <f t="shared" si="87"/>
        <v>On Time</v>
      </c>
      <c r="S935">
        <f t="shared" si="88"/>
        <v>2023</v>
      </c>
      <c r="T935">
        <f t="shared" si="89"/>
        <v>1</v>
      </c>
    </row>
    <row r="936" spans="1:20" x14ac:dyDescent="0.25">
      <c r="A936" t="s">
        <v>1241</v>
      </c>
      <c r="B936" t="s">
        <v>288</v>
      </c>
      <c r="C936" t="s">
        <v>763</v>
      </c>
      <c r="D936" s="1">
        <v>44431</v>
      </c>
      <c r="E936">
        <v>11</v>
      </c>
      <c r="F936">
        <v>46.801210101094597</v>
      </c>
      <c r="G936" s="1">
        <v>44446</v>
      </c>
      <c r="H936" s="1">
        <v>44446</v>
      </c>
      <c r="I936">
        <v>514.81331111204099</v>
      </c>
      <c r="J936">
        <f t="shared" si="84"/>
        <v>0</v>
      </c>
      <c r="K936" t="str">
        <f>VLOOKUP(B936,Raw_Suppliers!$A$2:$G$101,2,FALSE)</f>
        <v>Alpha Beta LLC</v>
      </c>
      <c r="L936" t="str">
        <f>VLOOKUP(B936,Raw_Suppliers!$A$2:$G$101,3,FALSE)</f>
        <v>India</v>
      </c>
      <c r="M936" t="str">
        <f>VLOOKUP(B936,Raw_Suppliers!$A$2:$G$101,4,FALSE)</f>
        <v>West</v>
      </c>
      <c r="N936" t="str">
        <f>VLOOKUP(B936,Raw_Suppliers!$A$2:$G$101,6,FALSE)</f>
        <v>ISO 45001</v>
      </c>
      <c r="O936">
        <f>VLOOKUP(B936,Raw_Suppliers!$A$2:$G$101,7,FALSE)</f>
        <v>0</v>
      </c>
      <c r="P936" t="str">
        <f t="shared" si="85"/>
        <v>No</v>
      </c>
      <c r="Q936">
        <f t="shared" si="86"/>
        <v>1</v>
      </c>
      <c r="R936" t="str">
        <f t="shared" si="87"/>
        <v>On Time</v>
      </c>
      <c r="S936">
        <f t="shared" si="88"/>
        <v>2021</v>
      </c>
      <c r="T936">
        <f t="shared" si="89"/>
        <v>8</v>
      </c>
    </row>
    <row r="937" spans="1:20" x14ac:dyDescent="0.25">
      <c r="A937" t="s">
        <v>1242</v>
      </c>
      <c r="B937" t="s">
        <v>203</v>
      </c>
      <c r="C937" t="s">
        <v>77</v>
      </c>
      <c r="D937" s="1">
        <v>45272</v>
      </c>
      <c r="E937">
        <v>13</v>
      </c>
      <c r="F937">
        <v>50.569539994648103</v>
      </c>
      <c r="G937" s="1">
        <v>45293</v>
      </c>
      <c r="H937" s="1">
        <v>45290</v>
      </c>
      <c r="I937">
        <v>657.40401993042497</v>
      </c>
      <c r="J937">
        <f t="shared" si="84"/>
        <v>-3</v>
      </c>
      <c r="K937" t="str">
        <f>VLOOKUP(B937,Raw_Suppliers!$A$2:$G$101,2,FALSE)</f>
        <v>Nova Eco LLC</v>
      </c>
      <c r="L937" t="str">
        <f>VLOOKUP(B937,Raw_Suppliers!$A$2:$G$101,3,FALSE)</f>
        <v>Denmark</v>
      </c>
      <c r="M937" t="str">
        <f>VLOOKUP(B937,Raw_Suppliers!$A$2:$G$101,4,FALSE)</f>
        <v>South</v>
      </c>
      <c r="N937" t="str">
        <f>VLOOKUP(B937,Raw_Suppliers!$A$2:$G$101,6,FALSE)</f>
        <v>ISO 14001</v>
      </c>
      <c r="O937">
        <f>VLOOKUP(B937,Raw_Suppliers!$A$2:$G$101,7,FALSE)</f>
        <v>0</v>
      </c>
      <c r="P937" t="str">
        <f t="shared" si="85"/>
        <v>No</v>
      </c>
      <c r="Q937">
        <f t="shared" si="86"/>
        <v>1</v>
      </c>
      <c r="R937" t="str">
        <f t="shared" si="87"/>
        <v>On Time</v>
      </c>
      <c r="S937">
        <f t="shared" si="88"/>
        <v>2023</v>
      </c>
      <c r="T937">
        <f t="shared" si="89"/>
        <v>12</v>
      </c>
    </row>
    <row r="938" spans="1:20" x14ac:dyDescent="0.25">
      <c r="A938" t="s">
        <v>1243</v>
      </c>
      <c r="B938" t="s">
        <v>267</v>
      </c>
      <c r="C938" t="s">
        <v>623</v>
      </c>
      <c r="D938" s="1">
        <v>45354</v>
      </c>
      <c r="E938">
        <v>10</v>
      </c>
      <c r="F938">
        <v>39.331025244566298</v>
      </c>
      <c r="G938" s="1">
        <v>45368</v>
      </c>
      <c r="H938" s="1">
        <v>45372</v>
      </c>
      <c r="I938">
        <v>393.31025244566302</v>
      </c>
      <c r="J938">
        <f t="shared" si="84"/>
        <v>4</v>
      </c>
      <c r="K938" t="str">
        <f>VLOOKUP(B938,Raw_Suppliers!$A$2:$G$101,2,FALSE)</f>
        <v>Omega Nova Corp</v>
      </c>
      <c r="L938" t="str">
        <f>VLOOKUP(B938,Raw_Suppliers!$A$2:$G$101,3,FALSE)</f>
        <v>India</v>
      </c>
      <c r="M938" t="str">
        <f>VLOOKUP(B938,Raw_Suppliers!$A$2:$G$101,4,FALSE)</f>
        <v>West</v>
      </c>
      <c r="N938" t="str">
        <f>VLOOKUP(B938,Raw_Suppliers!$A$2:$G$101,6,FALSE)</f>
        <v>ISO 45001</v>
      </c>
      <c r="O938">
        <f>VLOOKUP(B938,Raw_Suppliers!$A$2:$G$101,7,FALSE)</f>
        <v>0</v>
      </c>
      <c r="P938" t="str">
        <f t="shared" si="85"/>
        <v>No</v>
      </c>
      <c r="Q938">
        <f t="shared" si="86"/>
        <v>0</v>
      </c>
      <c r="R938" t="str">
        <f t="shared" si="87"/>
        <v>Late</v>
      </c>
      <c r="S938">
        <f t="shared" si="88"/>
        <v>2024</v>
      </c>
      <c r="T938">
        <f t="shared" si="89"/>
        <v>3</v>
      </c>
    </row>
    <row r="939" spans="1:20" x14ac:dyDescent="0.25">
      <c r="A939" t="s">
        <v>1244</v>
      </c>
      <c r="B939" t="s">
        <v>114</v>
      </c>
      <c r="C939" t="s">
        <v>413</v>
      </c>
      <c r="D939" s="1">
        <v>44788</v>
      </c>
      <c r="E939">
        <v>6</v>
      </c>
      <c r="F939">
        <v>44.349199773461201</v>
      </c>
      <c r="G939" s="1">
        <v>44798</v>
      </c>
      <c r="H939" s="1">
        <v>44796</v>
      </c>
      <c r="I939">
        <v>266.09519864076702</v>
      </c>
      <c r="J939">
        <f t="shared" si="84"/>
        <v>-2</v>
      </c>
      <c r="K939" t="str">
        <f>VLOOKUP(B939,Raw_Suppliers!$A$2:$G$101,2,FALSE)</f>
        <v>Fusion Fusion LLC</v>
      </c>
      <c r="L939" t="str">
        <f>VLOOKUP(B939,Raw_Suppliers!$A$2:$G$101,3,FALSE)</f>
        <v>China</v>
      </c>
      <c r="M939" t="str">
        <f>VLOOKUP(B939,Raw_Suppliers!$A$2:$G$101,4,FALSE)</f>
        <v>North</v>
      </c>
      <c r="N939" t="str">
        <f>VLOOKUP(B939,Raw_Suppliers!$A$2:$G$101,6,FALSE)</f>
        <v>ISO 45001</v>
      </c>
      <c r="O939">
        <f>VLOOKUP(B939,Raw_Suppliers!$A$2:$G$101,7,FALSE)</f>
        <v>1</v>
      </c>
      <c r="P939" t="str">
        <f t="shared" si="85"/>
        <v>Yes</v>
      </c>
      <c r="Q939">
        <f t="shared" si="86"/>
        <v>1</v>
      </c>
      <c r="R939" t="str">
        <f t="shared" si="87"/>
        <v>On Time</v>
      </c>
      <c r="S939">
        <f t="shared" si="88"/>
        <v>2022</v>
      </c>
      <c r="T939">
        <f t="shared" si="89"/>
        <v>8</v>
      </c>
    </row>
    <row r="940" spans="1:20" x14ac:dyDescent="0.25">
      <c r="A940" t="s">
        <v>1245</v>
      </c>
      <c r="B940" t="s">
        <v>109</v>
      </c>
      <c r="C940" t="s">
        <v>32</v>
      </c>
      <c r="D940" s="1">
        <v>45377</v>
      </c>
      <c r="E940">
        <v>17</v>
      </c>
      <c r="F940">
        <v>33.598397872828002</v>
      </c>
      <c r="G940" s="1">
        <v>45395</v>
      </c>
      <c r="H940" s="1">
        <v>45392</v>
      </c>
      <c r="I940">
        <v>571.17276383807598</v>
      </c>
      <c r="J940">
        <f t="shared" si="84"/>
        <v>-3</v>
      </c>
      <c r="K940" t="str">
        <f>VLOOKUP(B940,Raw_Suppliers!$A$2:$G$101,2,FALSE)</f>
        <v>Nano Fusion GmbH</v>
      </c>
      <c r="L940" t="str">
        <f>VLOOKUP(B940,Raw_Suppliers!$A$2:$G$101,3,FALSE)</f>
        <v>Denmark</v>
      </c>
      <c r="M940" t="str">
        <f>VLOOKUP(B940,Raw_Suppliers!$A$2:$G$101,4,FALSE)</f>
        <v>North</v>
      </c>
      <c r="N940" t="str">
        <f>VLOOKUP(B940,Raw_Suppliers!$A$2:$G$101,6,FALSE)</f>
        <v>ISO 9001</v>
      </c>
      <c r="O940">
        <f>VLOOKUP(B940,Raw_Suppliers!$A$2:$G$101,7,FALSE)</f>
        <v>0</v>
      </c>
      <c r="P940" t="str">
        <f t="shared" si="85"/>
        <v>No</v>
      </c>
      <c r="Q940">
        <f t="shared" si="86"/>
        <v>1</v>
      </c>
      <c r="R940" t="str">
        <f t="shared" si="87"/>
        <v>On Time</v>
      </c>
      <c r="S940">
        <f t="shared" si="88"/>
        <v>2024</v>
      </c>
      <c r="T940">
        <f t="shared" si="89"/>
        <v>3</v>
      </c>
    </row>
    <row r="941" spans="1:20" x14ac:dyDescent="0.25">
      <c r="A941" t="s">
        <v>1246</v>
      </c>
      <c r="B941" t="s">
        <v>49</v>
      </c>
      <c r="C941" t="s">
        <v>272</v>
      </c>
      <c r="D941" s="1">
        <v>45291</v>
      </c>
      <c r="E941">
        <v>10</v>
      </c>
      <c r="F941">
        <v>53.590475238840902</v>
      </c>
      <c r="G941" s="1">
        <v>45307</v>
      </c>
      <c r="H941" s="1">
        <v>45305</v>
      </c>
      <c r="I941">
        <v>535.90475238840895</v>
      </c>
      <c r="J941">
        <f t="shared" si="84"/>
        <v>-2</v>
      </c>
      <c r="K941" t="str">
        <f>VLOOKUP(B941,Raw_Suppliers!$A$2:$G$101,2,FALSE)</f>
        <v>Prime Prime Corp</v>
      </c>
      <c r="L941" t="str">
        <f>VLOOKUP(B941,Raw_Suppliers!$A$2:$G$101,3,FALSE)</f>
        <v>China</v>
      </c>
      <c r="M941" t="str">
        <f>VLOOKUP(B941,Raw_Suppliers!$A$2:$G$101,4,FALSE)</f>
        <v>North</v>
      </c>
      <c r="N941" t="str">
        <f>VLOOKUP(B941,Raw_Suppliers!$A$2:$G$101,6,FALSE)</f>
        <v>ISO 45001</v>
      </c>
      <c r="O941">
        <f>VLOOKUP(B941,Raw_Suppliers!$A$2:$G$101,7,FALSE)</f>
        <v>0</v>
      </c>
      <c r="P941" t="str">
        <f t="shared" si="85"/>
        <v>No</v>
      </c>
      <c r="Q941">
        <f t="shared" si="86"/>
        <v>1</v>
      </c>
      <c r="R941" t="str">
        <f t="shared" si="87"/>
        <v>On Time</v>
      </c>
      <c r="S941">
        <f t="shared" si="88"/>
        <v>2023</v>
      </c>
      <c r="T941">
        <f t="shared" si="89"/>
        <v>12</v>
      </c>
    </row>
    <row r="942" spans="1:20" x14ac:dyDescent="0.25">
      <c r="A942" t="s">
        <v>1247</v>
      </c>
      <c r="B942" t="s">
        <v>169</v>
      </c>
      <c r="C942" t="s">
        <v>383</v>
      </c>
      <c r="D942" s="1">
        <v>44388</v>
      </c>
      <c r="E942">
        <v>13</v>
      </c>
      <c r="F942">
        <v>19.7974276515348</v>
      </c>
      <c r="G942" s="1">
        <v>44398</v>
      </c>
      <c r="H942" s="1">
        <v>44402</v>
      </c>
      <c r="I942">
        <v>257.36655946995199</v>
      </c>
      <c r="J942">
        <f t="shared" si="84"/>
        <v>4</v>
      </c>
      <c r="K942" t="str">
        <f>VLOOKUP(B942,Raw_Suppliers!$A$2:$G$101,2,FALSE)</f>
        <v>Vertex Beta LLC</v>
      </c>
      <c r="L942" t="str">
        <f>VLOOKUP(B942,Raw_Suppliers!$A$2:$G$101,3,FALSE)</f>
        <v>China</v>
      </c>
      <c r="M942" t="str">
        <f>VLOOKUP(B942,Raw_Suppliers!$A$2:$G$101,4,FALSE)</f>
        <v>South</v>
      </c>
      <c r="N942" t="str">
        <f>VLOOKUP(B942,Raw_Suppliers!$A$2:$G$101,6,FALSE)</f>
        <v>ISO 14001</v>
      </c>
      <c r="O942">
        <f>VLOOKUP(B942,Raw_Suppliers!$A$2:$G$101,7,FALSE)</f>
        <v>0</v>
      </c>
      <c r="P942" t="str">
        <f t="shared" si="85"/>
        <v>No</v>
      </c>
      <c r="Q942">
        <f t="shared" si="86"/>
        <v>0</v>
      </c>
      <c r="R942" t="str">
        <f t="shared" si="87"/>
        <v>Late</v>
      </c>
      <c r="S942">
        <f t="shared" si="88"/>
        <v>2021</v>
      </c>
      <c r="T942">
        <f t="shared" si="89"/>
        <v>7</v>
      </c>
    </row>
    <row r="943" spans="1:20" x14ac:dyDescent="0.25">
      <c r="A943" t="s">
        <v>1248</v>
      </c>
      <c r="B943" t="s">
        <v>174</v>
      </c>
      <c r="C943" t="s">
        <v>230</v>
      </c>
      <c r="D943" s="1">
        <v>45313</v>
      </c>
      <c r="E943">
        <v>5</v>
      </c>
      <c r="F943">
        <v>57.656715960264002</v>
      </c>
      <c r="G943" s="1">
        <v>45334</v>
      </c>
      <c r="H943" s="1">
        <v>45339</v>
      </c>
      <c r="I943">
        <v>288.28357980132</v>
      </c>
      <c r="J943">
        <f t="shared" si="84"/>
        <v>5</v>
      </c>
      <c r="K943" t="str">
        <f>VLOOKUP(B943,Raw_Suppliers!$A$2:$G$101,2,FALSE)</f>
        <v>Quantum Eco LLC</v>
      </c>
      <c r="L943" t="str">
        <f>VLOOKUP(B943,Raw_Suppliers!$A$2:$G$101,3,FALSE)</f>
        <v>Denmark</v>
      </c>
      <c r="M943" t="str">
        <f>VLOOKUP(B943,Raw_Suppliers!$A$2:$G$101,4,FALSE)</f>
        <v>East</v>
      </c>
      <c r="N943" t="str">
        <f>VLOOKUP(B943,Raw_Suppliers!$A$2:$G$101,6,FALSE)</f>
        <v>ISO 9001</v>
      </c>
      <c r="O943">
        <f>VLOOKUP(B943,Raw_Suppliers!$A$2:$G$101,7,FALSE)</f>
        <v>1</v>
      </c>
      <c r="P943" t="str">
        <f t="shared" si="85"/>
        <v>Yes</v>
      </c>
      <c r="Q943">
        <f t="shared" si="86"/>
        <v>0</v>
      </c>
      <c r="R943" t="str">
        <f t="shared" si="87"/>
        <v>Late</v>
      </c>
      <c r="S943">
        <f t="shared" si="88"/>
        <v>2024</v>
      </c>
      <c r="T943">
        <f t="shared" si="89"/>
        <v>1</v>
      </c>
    </row>
    <row r="944" spans="1:20" x14ac:dyDescent="0.25">
      <c r="A944" t="s">
        <v>1249</v>
      </c>
      <c r="B944" t="s">
        <v>25</v>
      </c>
      <c r="C944" t="s">
        <v>59</v>
      </c>
      <c r="D944" s="1">
        <v>44626</v>
      </c>
      <c r="E944">
        <v>9</v>
      </c>
      <c r="F944">
        <v>24.396748536321098</v>
      </c>
      <c r="G944" s="1">
        <v>44649</v>
      </c>
      <c r="H944" s="1">
        <v>44647</v>
      </c>
      <c r="I944">
        <v>219.57073682689</v>
      </c>
      <c r="J944">
        <f t="shared" si="84"/>
        <v>-2</v>
      </c>
      <c r="K944" t="str">
        <f>VLOOKUP(B944,Raw_Suppliers!$A$2:$G$101,2,FALSE)</f>
        <v>Quantum Fusion Corp</v>
      </c>
      <c r="L944" t="str">
        <f>VLOOKUP(B944,Raw_Suppliers!$A$2:$G$101,3,FALSE)</f>
        <v>UK</v>
      </c>
      <c r="M944" t="str">
        <f>VLOOKUP(B944,Raw_Suppliers!$A$2:$G$101,4,FALSE)</f>
        <v>North</v>
      </c>
      <c r="N944" t="str">
        <f>VLOOKUP(B944,Raw_Suppliers!$A$2:$G$101,6,FALSE)</f>
        <v>ISO 9001</v>
      </c>
      <c r="O944">
        <f>VLOOKUP(B944,Raw_Suppliers!$A$2:$G$101,7,FALSE)</f>
        <v>0</v>
      </c>
      <c r="P944" t="str">
        <f t="shared" si="85"/>
        <v>No</v>
      </c>
      <c r="Q944">
        <f t="shared" si="86"/>
        <v>1</v>
      </c>
      <c r="R944" t="str">
        <f t="shared" si="87"/>
        <v>On Time</v>
      </c>
      <c r="S944">
        <f t="shared" si="88"/>
        <v>2022</v>
      </c>
      <c r="T944">
        <f t="shared" si="89"/>
        <v>3</v>
      </c>
    </row>
    <row r="945" spans="1:20" x14ac:dyDescent="0.25">
      <c r="A945" t="s">
        <v>1250</v>
      </c>
      <c r="B945" t="s">
        <v>88</v>
      </c>
      <c r="C945" t="s">
        <v>514</v>
      </c>
      <c r="D945" s="1">
        <v>44767</v>
      </c>
      <c r="E945">
        <v>9</v>
      </c>
      <c r="F945">
        <v>12.5441239764553</v>
      </c>
      <c r="G945" s="1">
        <v>44785</v>
      </c>
      <c r="H945" s="1">
        <v>44791</v>
      </c>
      <c r="I945">
        <v>112.897115788097</v>
      </c>
      <c r="J945">
        <f t="shared" si="84"/>
        <v>6</v>
      </c>
      <c r="K945" t="str">
        <f>VLOOKUP(B945,Raw_Suppliers!$A$2:$G$101,2,FALSE)</f>
        <v>Eco Nano GmbH</v>
      </c>
      <c r="L945" t="str">
        <f>VLOOKUP(B945,Raw_Suppliers!$A$2:$G$101,3,FALSE)</f>
        <v>Denmark</v>
      </c>
      <c r="M945" t="str">
        <f>VLOOKUP(B945,Raw_Suppliers!$A$2:$G$101,4,FALSE)</f>
        <v>Central</v>
      </c>
      <c r="N945" t="str">
        <f>VLOOKUP(B945,Raw_Suppliers!$A$2:$G$101,6,FALSE)</f>
        <v>ISO 9001</v>
      </c>
      <c r="O945">
        <f>VLOOKUP(B945,Raw_Suppliers!$A$2:$G$101,7,FALSE)</f>
        <v>1</v>
      </c>
      <c r="P945" t="str">
        <f t="shared" si="85"/>
        <v>Yes</v>
      </c>
      <c r="Q945">
        <f t="shared" si="86"/>
        <v>0</v>
      </c>
      <c r="R945" t="str">
        <f t="shared" si="87"/>
        <v>Late</v>
      </c>
      <c r="S945">
        <f t="shared" si="88"/>
        <v>2022</v>
      </c>
      <c r="T945">
        <f t="shared" si="89"/>
        <v>7</v>
      </c>
    </row>
    <row r="946" spans="1:20" x14ac:dyDescent="0.25">
      <c r="A946" t="s">
        <v>1251</v>
      </c>
      <c r="B946" t="s">
        <v>176</v>
      </c>
      <c r="C946" t="s">
        <v>274</v>
      </c>
      <c r="D946" s="1">
        <v>45222</v>
      </c>
      <c r="E946">
        <v>19</v>
      </c>
      <c r="F946">
        <v>50.916990371373601</v>
      </c>
      <c r="G946" s="1">
        <v>45237</v>
      </c>
      <c r="H946" s="1">
        <v>45236</v>
      </c>
      <c r="I946">
        <v>967.42281705609901</v>
      </c>
      <c r="J946">
        <f t="shared" si="84"/>
        <v>-1</v>
      </c>
      <c r="K946" t="str">
        <f>VLOOKUP(B946,Raw_Suppliers!$A$2:$G$101,2,FALSE)</f>
        <v>Nano Ultra Corp</v>
      </c>
      <c r="L946" t="str">
        <f>VLOOKUP(B946,Raw_Suppliers!$A$2:$G$101,3,FALSE)</f>
        <v>Canada</v>
      </c>
      <c r="M946" t="str">
        <f>VLOOKUP(B946,Raw_Suppliers!$A$2:$G$101,4,FALSE)</f>
        <v>Central</v>
      </c>
      <c r="N946" t="str">
        <f>VLOOKUP(B946,Raw_Suppliers!$A$2:$G$101,6,FALSE)</f>
        <v>ISO 9001</v>
      </c>
      <c r="O946">
        <f>VLOOKUP(B946,Raw_Suppliers!$A$2:$G$101,7,FALSE)</f>
        <v>0</v>
      </c>
      <c r="P946" t="str">
        <f t="shared" si="85"/>
        <v>No</v>
      </c>
      <c r="Q946">
        <f t="shared" si="86"/>
        <v>1</v>
      </c>
      <c r="R946" t="str">
        <f t="shared" si="87"/>
        <v>On Time</v>
      </c>
      <c r="S946">
        <f t="shared" si="88"/>
        <v>2023</v>
      </c>
      <c r="T946">
        <f t="shared" si="89"/>
        <v>10</v>
      </c>
    </row>
    <row r="947" spans="1:20" x14ac:dyDescent="0.25">
      <c r="A947" t="s">
        <v>1252</v>
      </c>
      <c r="B947" t="s">
        <v>157</v>
      </c>
      <c r="C947" t="s">
        <v>53</v>
      </c>
      <c r="D947" s="1">
        <v>45165</v>
      </c>
      <c r="E947">
        <v>16</v>
      </c>
      <c r="F947">
        <v>65.253314613269396</v>
      </c>
      <c r="G947" s="1">
        <v>45178</v>
      </c>
      <c r="H947" s="1">
        <v>45179</v>
      </c>
      <c r="I947">
        <v>1044.0530338123101</v>
      </c>
      <c r="J947">
        <f t="shared" si="84"/>
        <v>1</v>
      </c>
      <c r="K947" t="str">
        <f>VLOOKUP(B947,Raw_Suppliers!$A$2:$G$101,2,FALSE)</f>
        <v>Pioneer Omega Ltd</v>
      </c>
      <c r="L947" t="str">
        <f>VLOOKUP(B947,Raw_Suppliers!$A$2:$G$101,3,FALSE)</f>
        <v>Brazil</v>
      </c>
      <c r="M947" t="str">
        <f>VLOOKUP(B947,Raw_Suppliers!$A$2:$G$101,4,FALSE)</f>
        <v>East</v>
      </c>
      <c r="N947" t="str">
        <f>VLOOKUP(B947,Raw_Suppliers!$A$2:$G$101,6,FALSE)</f>
        <v>None</v>
      </c>
      <c r="O947">
        <f>VLOOKUP(B947,Raw_Suppliers!$A$2:$G$101,7,FALSE)</f>
        <v>0</v>
      </c>
      <c r="P947" t="str">
        <f t="shared" si="85"/>
        <v>No</v>
      </c>
      <c r="Q947">
        <f t="shared" si="86"/>
        <v>0</v>
      </c>
      <c r="R947" t="str">
        <f t="shared" si="87"/>
        <v>Late</v>
      </c>
      <c r="S947">
        <f t="shared" si="88"/>
        <v>2023</v>
      </c>
      <c r="T947">
        <f t="shared" si="89"/>
        <v>8</v>
      </c>
    </row>
    <row r="948" spans="1:20" x14ac:dyDescent="0.25">
      <c r="A948" t="s">
        <v>1253</v>
      </c>
      <c r="B948" t="s">
        <v>442</v>
      </c>
      <c r="C948" t="s">
        <v>158</v>
      </c>
      <c r="D948" s="1">
        <v>44656</v>
      </c>
      <c r="E948">
        <v>12</v>
      </c>
      <c r="F948">
        <v>31.600644196205401</v>
      </c>
      <c r="G948" s="1">
        <v>44680</v>
      </c>
      <c r="H948" s="1">
        <v>44684</v>
      </c>
      <c r="I948">
        <v>379.20773035446501</v>
      </c>
      <c r="J948">
        <f t="shared" si="84"/>
        <v>4</v>
      </c>
      <c r="K948" t="str">
        <f>VLOOKUP(B948,Raw_Suppliers!$A$2:$G$101,2,FALSE)</f>
        <v>Vertex Delta LLC</v>
      </c>
      <c r="L948" t="str">
        <f>VLOOKUP(B948,Raw_Suppliers!$A$2:$G$101,3,FALSE)</f>
        <v>Canada</v>
      </c>
      <c r="M948" t="str">
        <f>VLOOKUP(B948,Raw_Suppliers!$A$2:$G$101,4,FALSE)</f>
        <v>East</v>
      </c>
      <c r="N948" t="str">
        <f>VLOOKUP(B948,Raw_Suppliers!$A$2:$G$101,6,FALSE)</f>
        <v>ISO 14001</v>
      </c>
      <c r="O948">
        <f>VLOOKUP(B948,Raw_Suppliers!$A$2:$G$101,7,FALSE)</f>
        <v>1</v>
      </c>
      <c r="P948" t="str">
        <f t="shared" si="85"/>
        <v>Yes</v>
      </c>
      <c r="Q948">
        <f t="shared" si="86"/>
        <v>0</v>
      </c>
      <c r="R948" t="str">
        <f t="shared" si="87"/>
        <v>Late</v>
      </c>
      <c r="S948">
        <f t="shared" si="88"/>
        <v>2022</v>
      </c>
      <c r="T948">
        <f t="shared" si="89"/>
        <v>4</v>
      </c>
    </row>
    <row r="949" spans="1:20" x14ac:dyDescent="0.25">
      <c r="A949" t="s">
        <v>1254</v>
      </c>
      <c r="B949" t="s">
        <v>578</v>
      </c>
      <c r="C949" t="s">
        <v>187</v>
      </c>
      <c r="D949" s="1">
        <v>44778</v>
      </c>
      <c r="E949">
        <v>16</v>
      </c>
      <c r="F949">
        <v>44.121188608549502</v>
      </c>
      <c r="G949" s="1">
        <v>44802</v>
      </c>
      <c r="H949" s="1">
        <v>44803</v>
      </c>
      <c r="I949">
        <v>705.93901773679204</v>
      </c>
      <c r="J949">
        <f t="shared" si="84"/>
        <v>1</v>
      </c>
      <c r="K949" t="str">
        <f>VLOOKUP(B949,Raw_Suppliers!$A$2:$G$101,2,FALSE)</f>
        <v>Beta Eco Ltd</v>
      </c>
      <c r="L949" t="str">
        <f>VLOOKUP(B949,Raw_Suppliers!$A$2:$G$101,3,FALSE)</f>
        <v>Canada</v>
      </c>
      <c r="M949" t="str">
        <f>VLOOKUP(B949,Raw_Suppliers!$A$2:$G$101,4,FALSE)</f>
        <v>East</v>
      </c>
      <c r="N949" t="str">
        <f>VLOOKUP(B949,Raw_Suppliers!$A$2:$G$101,6,FALSE)</f>
        <v>None</v>
      </c>
      <c r="O949">
        <f>VLOOKUP(B949,Raw_Suppliers!$A$2:$G$101,7,FALSE)</f>
        <v>0</v>
      </c>
      <c r="P949" t="str">
        <f t="shared" si="85"/>
        <v>No</v>
      </c>
      <c r="Q949">
        <f t="shared" si="86"/>
        <v>0</v>
      </c>
      <c r="R949" t="str">
        <f t="shared" si="87"/>
        <v>Late</v>
      </c>
      <c r="S949">
        <f t="shared" si="88"/>
        <v>2022</v>
      </c>
      <c r="T949">
        <f t="shared" si="89"/>
        <v>8</v>
      </c>
    </row>
    <row r="950" spans="1:20" x14ac:dyDescent="0.25">
      <c r="A950" t="s">
        <v>1255</v>
      </c>
      <c r="B950" t="s">
        <v>160</v>
      </c>
      <c r="C950" t="s">
        <v>270</v>
      </c>
      <c r="D950" s="1">
        <v>44493</v>
      </c>
      <c r="E950">
        <v>12</v>
      </c>
      <c r="F950">
        <v>77.714743876006906</v>
      </c>
      <c r="G950" s="1">
        <v>44509</v>
      </c>
      <c r="H950" s="1">
        <v>44515</v>
      </c>
      <c r="I950">
        <v>932.57692651208299</v>
      </c>
      <c r="J950">
        <f t="shared" si="84"/>
        <v>6</v>
      </c>
      <c r="K950" t="str">
        <f>VLOOKUP(B950,Raw_Suppliers!$A$2:$G$101,2,FALSE)</f>
        <v>Omega Beta Corp</v>
      </c>
      <c r="L950" t="str">
        <f>VLOOKUP(B950,Raw_Suppliers!$A$2:$G$101,3,FALSE)</f>
        <v>China</v>
      </c>
      <c r="M950" t="str">
        <f>VLOOKUP(B950,Raw_Suppliers!$A$2:$G$101,4,FALSE)</f>
        <v>East</v>
      </c>
      <c r="N950" t="str">
        <f>VLOOKUP(B950,Raw_Suppliers!$A$2:$G$101,6,FALSE)</f>
        <v>ISO 45001</v>
      </c>
      <c r="O950">
        <f>VLOOKUP(B950,Raw_Suppliers!$A$2:$G$101,7,FALSE)</f>
        <v>1</v>
      </c>
      <c r="P950" t="str">
        <f t="shared" si="85"/>
        <v>Yes</v>
      </c>
      <c r="Q950">
        <f t="shared" si="86"/>
        <v>0</v>
      </c>
      <c r="R950" t="str">
        <f t="shared" si="87"/>
        <v>Late</v>
      </c>
      <c r="S950">
        <f t="shared" si="88"/>
        <v>2021</v>
      </c>
      <c r="T950">
        <f t="shared" si="89"/>
        <v>10</v>
      </c>
    </row>
    <row r="951" spans="1:20" x14ac:dyDescent="0.25">
      <c r="A951" t="s">
        <v>1256</v>
      </c>
      <c r="B951" t="s">
        <v>40</v>
      </c>
      <c r="C951" t="s">
        <v>391</v>
      </c>
      <c r="D951" s="1">
        <v>45377</v>
      </c>
      <c r="E951">
        <v>8</v>
      </c>
      <c r="F951">
        <v>32.982414131690298</v>
      </c>
      <c r="G951" s="1">
        <v>45390</v>
      </c>
      <c r="H951" s="1">
        <v>45387</v>
      </c>
      <c r="I951">
        <v>263.85931305352199</v>
      </c>
      <c r="J951">
        <f t="shared" si="84"/>
        <v>-3</v>
      </c>
      <c r="K951" t="str">
        <f>VLOOKUP(B951,Raw_Suppliers!$A$2:$G$101,2,FALSE)</f>
        <v>Ultra Apex Inc</v>
      </c>
      <c r="L951" t="str">
        <f>VLOOKUP(B951,Raw_Suppliers!$A$2:$G$101,3,FALSE)</f>
        <v>India</v>
      </c>
      <c r="M951" t="str">
        <f>VLOOKUP(B951,Raw_Suppliers!$A$2:$G$101,4,FALSE)</f>
        <v>West</v>
      </c>
      <c r="N951" t="str">
        <f>VLOOKUP(B951,Raw_Suppliers!$A$2:$G$101,6,FALSE)</f>
        <v>ISO 9001</v>
      </c>
      <c r="O951">
        <f>VLOOKUP(B951,Raw_Suppliers!$A$2:$G$101,7,FALSE)</f>
        <v>0</v>
      </c>
      <c r="P951" t="str">
        <f t="shared" si="85"/>
        <v>No</v>
      </c>
      <c r="Q951">
        <f t="shared" si="86"/>
        <v>1</v>
      </c>
      <c r="R951" t="str">
        <f t="shared" si="87"/>
        <v>On Time</v>
      </c>
      <c r="S951">
        <f t="shared" si="88"/>
        <v>2024</v>
      </c>
      <c r="T951">
        <f t="shared" si="89"/>
        <v>3</v>
      </c>
    </row>
    <row r="952" spans="1:20" x14ac:dyDescent="0.25">
      <c r="A952" t="s">
        <v>1257</v>
      </c>
      <c r="B952" t="s">
        <v>186</v>
      </c>
      <c r="C952" t="s">
        <v>251</v>
      </c>
      <c r="D952" s="1">
        <v>45010</v>
      </c>
      <c r="E952">
        <v>12</v>
      </c>
      <c r="F952">
        <v>10.7378160208536</v>
      </c>
      <c r="G952" s="1">
        <v>45032</v>
      </c>
      <c r="H952" s="1">
        <v>45031</v>
      </c>
      <c r="I952">
        <v>128.853792250243</v>
      </c>
      <c r="J952">
        <f t="shared" si="84"/>
        <v>-1</v>
      </c>
      <c r="K952" t="str">
        <f>VLOOKUP(B952,Raw_Suppliers!$A$2:$G$101,2,FALSE)</f>
        <v>Omega Vertex Inc</v>
      </c>
      <c r="L952" t="str">
        <f>VLOOKUP(B952,Raw_Suppliers!$A$2:$G$101,3,FALSE)</f>
        <v>China</v>
      </c>
      <c r="M952" t="str">
        <f>VLOOKUP(B952,Raw_Suppliers!$A$2:$G$101,4,FALSE)</f>
        <v>West</v>
      </c>
      <c r="N952" t="str">
        <f>VLOOKUP(B952,Raw_Suppliers!$A$2:$G$101,6,FALSE)</f>
        <v>ISO 14001</v>
      </c>
      <c r="O952">
        <f>VLOOKUP(B952,Raw_Suppliers!$A$2:$G$101,7,FALSE)</f>
        <v>1</v>
      </c>
      <c r="P952" t="str">
        <f t="shared" si="85"/>
        <v>Yes</v>
      </c>
      <c r="Q952">
        <f t="shared" si="86"/>
        <v>1</v>
      </c>
      <c r="R952" t="str">
        <f t="shared" si="87"/>
        <v>On Time</v>
      </c>
      <c r="S952">
        <f t="shared" si="88"/>
        <v>2023</v>
      </c>
      <c r="T952">
        <f t="shared" si="89"/>
        <v>3</v>
      </c>
    </row>
    <row r="953" spans="1:20" x14ac:dyDescent="0.25">
      <c r="A953" t="s">
        <v>1258</v>
      </c>
      <c r="B953" t="s">
        <v>34</v>
      </c>
      <c r="C953" t="s">
        <v>1259</v>
      </c>
      <c r="D953" s="1">
        <v>44291</v>
      </c>
      <c r="E953">
        <v>15</v>
      </c>
      <c r="F953">
        <v>18.773070274429401</v>
      </c>
      <c r="G953" s="1">
        <v>44305</v>
      </c>
      <c r="H953" s="1">
        <v>44308</v>
      </c>
      <c r="I953">
        <v>281.596054116441</v>
      </c>
      <c r="J953">
        <f t="shared" si="84"/>
        <v>3</v>
      </c>
      <c r="K953" t="str">
        <f>VLOOKUP(B953,Raw_Suppliers!$A$2:$G$101,2,FALSE)</f>
        <v>Omega Alpha Corp</v>
      </c>
      <c r="L953" t="str">
        <f>VLOOKUP(B953,Raw_Suppliers!$A$2:$G$101,3,FALSE)</f>
        <v>UK</v>
      </c>
      <c r="M953" t="str">
        <f>VLOOKUP(B953,Raw_Suppliers!$A$2:$G$101,4,FALSE)</f>
        <v>West</v>
      </c>
      <c r="N953" t="str">
        <f>VLOOKUP(B953,Raw_Suppliers!$A$2:$G$101,6,FALSE)</f>
        <v>ISO 45001</v>
      </c>
      <c r="O953">
        <f>VLOOKUP(B953,Raw_Suppliers!$A$2:$G$101,7,FALSE)</f>
        <v>0</v>
      </c>
      <c r="P953" t="str">
        <f t="shared" si="85"/>
        <v>No</v>
      </c>
      <c r="Q953">
        <f t="shared" si="86"/>
        <v>0</v>
      </c>
      <c r="R953" t="str">
        <f t="shared" si="87"/>
        <v>Late</v>
      </c>
      <c r="S953">
        <f t="shared" si="88"/>
        <v>2021</v>
      </c>
      <c r="T953">
        <f t="shared" si="89"/>
        <v>4</v>
      </c>
    </row>
    <row r="954" spans="1:20" x14ac:dyDescent="0.25">
      <c r="A954" t="s">
        <v>1260</v>
      </c>
      <c r="B954" t="s">
        <v>104</v>
      </c>
      <c r="C954" t="s">
        <v>498</v>
      </c>
      <c r="D954" s="1">
        <v>44949</v>
      </c>
      <c r="E954">
        <v>9</v>
      </c>
      <c r="F954">
        <v>75.9848315865122</v>
      </c>
      <c r="G954" s="1">
        <v>44973</v>
      </c>
      <c r="H954" s="1">
        <v>44971</v>
      </c>
      <c r="I954">
        <v>683.86348427861003</v>
      </c>
      <c r="J954">
        <f t="shared" si="84"/>
        <v>-2</v>
      </c>
      <c r="K954" t="str">
        <f>VLOOKUP(B954,Raw_Suppliers!$A$2:$G$101,2,FALSE)</f>
        <v>Prime Omega Corp</v>
      </c>
      <c r="L954" t="str">
        <f>VLOOKUP(B954,Raw_Suppliers!$A$2:$G$101,3,FALSE)</f>
        <v>India</v>
      </c>
      <c r="M954" t="str">
        <f>VLOOKUP(B954,Raw_Suppliers!$A$2:$G$101,4,FALSE)</f>
        <v>Central</v>
      </c>
      <c r="N954" t="str">
        <f>VLOOKUP(B954,Raw_Suppliers!$A$2:$G$101,6,FALSE)</f>
        <v>ISO 14001</v>
      </c>
      <c r="O954">
        <f>VLOOKUP(B954,Raw_Suppliers!$A$2:$G$101,7,FALSE)</f>
        <v>0</v>
      </c>
      <c r="P954" t="str">
        <f t="shared" si="85"/>
        <v>No</v>
      </c>
      <c r="Q954">
        <f t="shared" si="86"/>
        <v>1</v>
      </c>
      <c r="R954" t="str">
        <f t="shared" si="87"/>
        <v>On Time</v>
      </c>
      <c r="S954">
        <f t="shared" si="88"/>
        <v>2023</v>
      </c>
      <c r="T954">
        <f t="shared" si="89"/>
        <v>1</v>
      </c>
    </row>
    <row r="955" spans="1:20" x14ac:dyDescent="0.25">
      <c r="A955" t="s">
        <v>1261</v>
      </c>
      <c r="B955" t="s">
        <v>85</v>
      </c>
      <c r="C955" t="s">
        <v>470</v>
      </c>
      <c r="D955" s="1">
        <v>44621</v>
      </c>
      <c r="E955">
        <v>14</v>
      </c>
      <c r="F955">
        <v>30.580378138631399</v>
      </c>
      <c r="G955" s="1">
        <v>44637</v>
      </c>
      <c r="H955" s="1">
        <v>44640</v>
      </c>
      <c r="I955">
        <v>428.12529394083998</v>
      </c>
      <c r="J955">
        <f t="shared" si="84"/>
        <v>3</v>
      </c>
      <c r="K955" t="str">
        <f>VLOOKUP(B955,Raw_Suppliers!$A$2:$G$101,2,FALSE)</f>
        <v>Fusion Gamma LLC</v>
      </c>
      <c r="L955" t="str">
        <f>VLOOKUP(B955,Raw_Suppliers!$A$2:$G$101,3,FALSE)</f>
        <v>China</v>
      </c>
      <c r="M955" t="str">
        <f>VLOOKUP(B955,Raw_Suppliers!$A$2:$G$101,4,FALSE)</f>
        <v>East</v>
      </c>
      <c r="N955" t="str">
        <f>VLOOKUP(B955,Raw_Suppliers!$A$2:$G$101,6,FALSE)</f>
        <v>ISO 9001</v>
      </c>
      <c r="O955">
        <f>VLOOKUP(B955,Raw_Suppliers!$A$2:$G$101,7,FALSE)</f>
        <v>1</v>
      </c>
      <c r="P955" t="str">
        <f t="shared" si="85"/>
        <v>Yes</v>
      </c>
      <c r="Q955">
        <f t="shared" si="86"/>
        <v>0</v>
      </c>
      <c r="R955" t="str">
        <f t="shared" si="87"/>
        <v>Late</v>
      </c>
      <c r="S955">
        <f t="shared" si="88"/>
        <v>2022</v>
      </c>
      <c r="T955">
        <f t="shared" si="89"/>
        <v>3</v>
      </c>
    </row>
    <row r="956" spans="1:20" x14ac:dyDescent="0.25">
      <c r="A956" t="s">
        <v>1262</v>
      </c>
      <c r="B956" t="s">
        <v>91</v>
      </c>
      <c r="C956" t="s">
        <v>341</v>
      </c>
      <c r="D956" s="1">
        <v>45318</v>
      </c>
      <c r="E956">
        <v>10</v>
      </c>
      <c r="F956">
        <v>58.601602282276097</v>
      </c>
      <c r="G956" s="1">
        <v>45341</v>
      </c>
      <c r="H956" s="1">
        <v>45340</v>
      </c>
      <c r="I956">
        <v>586.01602282276099</v>
      </c>
      <c r="J956">
        <f t="shared" si="84"/>
        <v>-1</v>
      </c>
      <c r="K956" t="str">
        <f>VLOOKUP(B956,Raw_Suppliers!$A$2:$G$101,2,FALSE)</f>
        <v>Apex Prime Ltd</v>
      </c>
      <c r="L956" t="str">
        <f>VLOOKUP(B956,Raw_Suppliers!$A$2:$G$101,3,FALSE)</f>
        <v>India</v>
      </c>
      <c r="M956" t="str">
        <f>VLOOKUP(B956,Raw_Suppliers!$A$2:$G$101,4,FALSE)</f>
        <v>South</v>
      </c>
      <c r="N956" t="str">
        <f>VLOOKUP(B956,Raw_Suppliers!$A$2:$G$101,6,FALSE)</f>
        <v>ISO 9001</v>
      </c>
      <c r="O956">
        <f>VLOOKUP(B956,Raw_Suppliers!$A$2:$G$101,7,FALSE)</f>
        <v>0</v>
      </c>
      <c r="P956" t="str">
        <f t="shared" si="85"/>
        <v>No</v>
      </c>
      <c r="Q956">
        <f t="shared" si="86"/>
        <v>1</v>
      </c>
      <c r="R956" t="str">
        <f t="shared" si="87"/>
        <v>On Time</v>
      </c>
      <c r="S956">
        <f t="shared" si="88"/>
        <v>2024</v>
      </c>
      <c r="T956">
        <f t="shared" si="89"/>
        <v>1</v>
      </c>
    </row>
    <row r="957" spans="1:20" x14ac:dyDescent="0.25">
      <c r="A957" t="s">
        <v>1263</v>
      </c>
      <c r="B957" t="s">
        <v>160</v>
      </c>
      <c r="C957" t="s">
        <v>182</v>
      </c>
      <c r="D957" s="1">
        <v>44297</v>
      </c>
      <c r="E957">
        <v>16</v>
      </c>
      <c r="F957">
        <v>42.0015463614046</v>
      </c>
      <c r="G957" s="1">
        <v>44308</v>
      </c>
      <c r="H957" s="1">
        <v>44307</v>
      </c>
      <c r="I957">
        <v>672.02474178247405</v>
      </c>
      <c r="J957">
        <f t="shared" si="84"/>
        <v>-1</v>
      </c>
      <c r="K957" t="str">
        <f>VLOOKUP(B957,Raw_Suppliers!$A$2:$G$101,2,FALSE)</f>
        <v>Omega Beta Corp</v>
      </c>
      <c r="L957" t="str">
        <f>VLOOKUP(B957,Raw_Suppliers!$A$2:$G$101,3,FALSE)</f>
        <v>China</v>
      </c>
      <c r="M957" t="str">
        <f>VLOOKUP(B957,Raw_Suppliers!$A$2:$G$101,4,FALSE)</f>
        <v>East</v>
      </c>
      <c r="N957" t="str">
        <f>VLOOKUP(B957,Raw_Suppliers!$A$2:$G$101,6,FALSE)</f>
        <v>ISO 45001</v>
      </c>
      <c r="O957">
        <f>VLOOKUP(B957,Raw_Suppliers!$A$2:$G$101,7,FALSE)</f>
        <v>1</v>
      </c>
      <c r="P957" t="str">
        <f t="shared" si="85"/>
        <v>Yes</v>
      </c>
      <c r="Q957">
        <f t="shared" si="86"/>
        <v>1</v>
      </c>
      <c r="R957" t="str">
        <f t="shared" si="87"/>
        <v>On Time</v>
      </c>
      <c r="S957">
        <f t="shared" si="88"/>
        <v>2021</v>
      </c>
      <c r="T957">
        <f t="shared" si="89"/>
        <v>4</v>
      </c>
    </row>
    <row r="958" spans="1:20" x14ac:dyDescent="0.25">
      <c r="A958" t="s">
        <v>1264</v>
      </c>
      <c r="B958" t="s">
        <v>399</v>
      </c>
      <c r="C958" t="s">
        <v>38</v>
      </c>
      <c r="D958" s="1">
        <v>44438</v>
      </c>
      <c r="E958">
        <v>12</v>
      </c>
      <c r="F958">
        <v>43.451556839904299</v>
      </c>
      <c r="G958" s="1">
        <v>44457</v>
      </c>
      <c r="H958" s="1">
        <v>44462</v>
      </c>
      <c r="I958">
        <v>521.41868207885102</v>
      </c>
      <c r="J958">
        <f t="shared" si="84"/>
        <v>5</v>
      </c>
      <c r="K958" t="str">
        <f>VLOOKUP(B958,Raw_Suppliers!$A$2:$G$101,2,FALSE)</f>
        <v>Omega Nano Corp</v>
      </c>
      <c r="L958" t="str">
        <f>VLOOKUP(B958,Raw_Suppliers!$A$2:$G$101,3,FALSE)</f>
        <v>Brazil</v>
      </c>
      <c r="M958" t="str">
        <f>VLOOKUP(B958,Raw_Suppliers!$A$2:$G$101,4,FALSE)</f>
        <v>Central</v>
      </c>
      <c r="N958" t="str">
        <f>VLOOKUP(B958,Raw_Suppliers!$A$2:$G$101,6,FALSE)</f>
        <v>ISO 14001</v>
      </c>
      <c r="O958">
        <f>VLOOKUP(B958,Raw_Suppliers!$A$2:$G$101,7,FALSE)</f>
        <v>0</v>
      </c>
      <c r="P958" t="str">
        <f t="shared" si="85"/>
        <v>No</v>
      </c>
      <c r="Q958">
        <f t="shared" si="86"/>
        <v>0</v>
      </c>
      <c r="R958" t="str">
        <f t="shared" si="87"/>
        <v>Late</v>
      </c>
      <c r="S958">
        <f t="shared" si="88"/>
        <v>2021</v>
      </c>
      <c r="T958">
        <f t="shared" si="89"/>
        <v>8</v>
      </c>
    </row>
    <row r="959" spans="1:20" x14ac:dyDescent="0.25">
      <c r="A959" t="s">
        <v>1265</v>
      </c>
      <c r="B959" t="s">
        <v>751</v>
      </c>
      <c r="C959" t="s">
        <v>600</v>
      </c>
      <c r="D959" s="1">
        <v>44690</v>
      </c>
      <c r="E959">
        <v>11</v>
      </c>
      <c r="F959">
        <v>13.6391232988671</v>
      </c>
      <c r="G959" s="1">
        <v>44700</v>
      </c>
      <c r="H959" s="1">
        <v>44702</v>
      </c>
      <c r="I959">
        <v>150.03035628753801</v>
      </c>
      <c r="J959">
        <f t="shared" si="84"/>
        <v>2</v>
      </c>
      <c r="K959" t="str">
        <f>VLOOKUP(B959,Raw_Suppliers!$A$2:$G$101,2,FALSE)</f>
        <v>Nano Vertex LLC</v>
      </c>
      <c r="L959" t="str">
        <f>VLOOKUP(B959,Raw_Suppliers!$A$2:$G$101,3,FALSE)</f>
        <v>China</v>
      </c>
      <c r="M959" t="str">
        <f>VLOOKUP(B959,Raw_Suppliers!$A$2:$G$101,4,FALSE)</f>
        <v>North</v>
      </c>
      <c r="N959" t="str">
        <f>VLOOKUP(B959,Raw_Suppliers!$A$2:$G$101,6,FALSE)</f>
        <v>ISO 9001</v>
      </c>
      <c r="O959">
        <f>VLOOKUP(B959,Raw_Suppliers!$A$2:$G$101,7,FALSE)</f>
        <v>1</v>
      </c>
      <c r="P959" t="str">
        <f t="shared" si="85"/>
        <v>Yes</v>
      </c>
      <c r="Q959">
        <f t="shared" si="86"/>
        <v>0</v>
      </c>
      <c r="R959" t="str">
        <f t="shared" si="87"/>
        <v>Late</v>
      </c>
      <c r="S959">
        <f t="shared" si="88"/>
        <v>2022</v>
      </c>
      <c r="T959">
        <f t="shared" si="89"/>
        <v>5</v>
      </c>
    </row>
    <row r="960" spans="1:20" x14ac:dyDescent="0.25">
      <c r="A960" t="s">
        <v>1266</v>
      </c>
      <c r="B960" t="s">
        <v>154</v>
      </c>
      <c r="C960" t="s">
        <v>527</v>
      </c>
      <c r="D960" s="1">
        <v>44600</v>
      </c>
      <c r="E960">
        <v>19</v>
      </c>
      <c r="F960">
        <v>17.5238950156394</v>
      </c>
      <c r="G960" s="1">
        <v>44623</v>
      </c>
      <c r="H960" s="1">
        <v>44626</v>
      </c>
      <c r="I960">
        <v>332.95400529714999</v>
      </c>
      <c r="J960">
        <f t="shared" si="84"/>
        <v>3</v>
      </c>
      <c r="K960" t="str">
        <f>VLOOKUP(B960,Raw_Suppliers!$A$2:$G$101,2,FALSE)</f>
        <v>Apex Ultra Ltd</v>
      </c>
      <c r="L960" t="str">
        <f>VLOOKUP(B960,Raw_Suppliers!$A$2:$G$101,3,FALSE)</f>
        <v>Canada</v>
      </c>
      <c r="M960" t="str">
        <f>VLOOKUP(B960,Raw_Suppliers!$A$2:$G$101,4,FALSE)</f>
        <v>West</v>
      </c>
      <c r="N960" t="str">
        <f>VLOOKUP(B960,Raw_Suppliers!$A$2:$G$101,6,FALSE)</f>
        <v>None</v>
      </c>
      <c r="O960">
        <f>VLOOKUP(B960,Raw_Suppliers!$A$2:$G$101,7,FALSE)</f>
        <v>1</v>
      </c>
      <c r="P960" t="str">
        <f t="shared" si="85"/>
        <v>Yes</v>
      </c>
      <c r="Q960">
        <f t="shared" si="86"/>
        <v>0</v>
      </c>
      <c r="R960" t="str">
        <f t="shared" si="87"/>
        <v>Late</v>
      </c>
      <c r="S960">
        <f t="shared" si="88"/>
        <v>2022</v>
      </c>
      <c r="T960">
        <f t="shared" si="89"/>
        <v>2</v>
      </c>
    </row>
    <row r="961" spans="1:20" x14ac:dyDescent="0.25">
      <c r="A961" t="s">
        <v>1267</v>
      </c>
      <c r="B961" t="s">
        <v>751</v>
      </c>
      <c r="C961" t="s">
        <v>400</v>
      </c>
      <c r="D961" s="1">
        <v>44414</v>
      </c>
      <c r="E961">
        <v>14</v>
      </c>
      <c r="F961">
        <v>24.666606330173799</v>
      </c>
      <c r="G961" s="1">
        <v>44437</v>
      </c>
      <c r="H961" s="1">
        <v>44439</v>
      </c>
      <c r="I961">
        <v>345.332488622433</v>
      </c>
      <c r="J961">
        <f t="shared" si="84"/>
        <v>2</v>
      </c>
      <c r="K961" t="str">
        <f>VLOOKUP(B961,Raw_Suppliers!$A$2:$G$101,2,FALSE)</f>
        <v>Nano Vertex LLC</v>
      </c>
      <c r="L961" t="str">
        <f>VLOOKUP(B961,Raw_Suppliers!$A$2:$G$101,3,FALSE)</f>
        <v>China</v>
      </c>
      <c r="M961" t="str">
        <f>VLOOKUP(B961,Raw_Suppliers!$A$2:$G$101,4,FALSE)</f>
        <v>North</v>
      </c>
      <c r="N961" t="str">
        <f>VLOOKUP(B961,Raw_Suppliers!$A$2:$G$101,6,FALSE)</f>
        <v>ISO 9001</v>
      </c>
      <c r="O961">
        <f>VLOOKUP(B961,Raw_Suppliers!$A$2:$G$101,7,FALSE)</f>
        <v>1</v>
      </c>
      <c r="P961" t="str">
        <f t="shared" si="85"/>
        <v>Yes</v>
      </c>
      <c r="Q961">
        <f t="shared" si="86"/>
        <v>0</v>
      </c>
      <c r="R961" t="str">
        <f t="shared" si="87"/>
        <v>Late</v>
      </c>
      <c r="S961">
        <f t="shared" si="88"/>
        <v>2021</v>
      </c>
      <c r="T961">
        <f t="shared" si="89"/>
        <v>8</v>
      </c>
    </row>
    <row r="962" spans="1:20" x14ac:dyDescent="0.25">
      <c r="A962" t="s">
        <v>1268</v>
      </c>
      <c r="B962" t="s">
        <v>253</v>
      </c>
      <c r="C962" t="s">
        <v>102</v>
      </c>
      <c r="D962" s="1">
        <v>44646</v>
      </c>
      <c r="E962">
        <v>5</v>
      </c>
      <c r="F962">
        <v>18.314183821372801</v>
      </c>
      <c r="G962" s="1">
        <v>44667</v>
      </c>
      <c r="H962" s="1">
        <v>44666</v>
      </c>
      <c r="I962">
        <v>91.570919106864295</v>
      </c>
      <c r="J962">
        <f t="shared" si="84"/>
        <v>-1</v>
      </c>
      <c r="K962" t="str">
        <f>VLOOKUP(B962,Raw_Suppliers!$A$2:$G$101,2,FALSE)</f>
        <v>Vertex Apex Ltd</v>
      </c>
      <c r="L962" t="str">
        <f>VLOOKUP(B962,Raw_Suppliers!$A$2:$G$101,3,FALSE)</f>
        <v>Brazil</v>
      </c>
      <c r="M962" t="str">
        <f>VLOOKUP(B962,Raw_Suppliers!$A$2:$G$101,4,FALSE)</f>
        <v>South</v>
      </c>
      <c r="N962" t="str">
        <f>VLOOKUP(B962,Raw_Suppliers!$A$2:$G$101,6,FALSE)</f>
        <v>None</v>
      </c>
      <c r="O962">
        <f>VLOOKUP(B962,Raw_Suppliers!$A$2:$G$101,7,FALSE)</f>
        <v>1</v>
      </c>
      <c r="P962" t="str">
        <f t="shared" si="85"/>
        <v>Yes</v>
      </c>
      <c r="Q962">
        <f t="shared" si="86"/>
        <v>1</v>
      </c>
      <c r="R962" t="str">
        <f t="shared" si="87"/>
        <v>On Time</v>
      </c>
      <c r="S962">
        <f t="shared" si="88"/>
        <v>2022</v>
      </c>
      <c r="T962">
        <f t="shared" si="89"/>
        <v>3</v>
      </c>
    </row>
    <row r="963" spans="1:20" x14ac:dyDescent="0.25">
      <c r="A963" t="s">
        <v>1269</v>
      </c>
      <c r="B963" t="s">
        <v>52</v>
      </c>
      <c r="C963" t="s">
        <v>370</v>
      </c>
      <c r="D963" s="1">
        <v>44506</v>
      </c>
      <c r="E963">
        <v>7</v>
      </c>
      <c r="F963">
        <v>53.765544813275604</v>
      </c>
      <c r="G963" s="1">
        <v>44527</v>
      </c>
      <c r="H963" s="1">
        <v>44525</v>
      </c>
      <c r="I963">
        <v>376.358813692929</v>
      </c>
      <c r="J963">
        <f t="shared" ref="J963:J1026" si="90">H963-G963</f>
        <v>-2</v>
      </c>
      <c r="K963" t="str">
        <f>VLOOKUP(B963,Raw_Suppliers!$A$2:$G$101,2,FALSE)</f>
        <v>Beta Nano Corp</v>
      </c>
      <c r="L963" t="str">
        <f>VLOOKUP(B963,Raw_Suppliers!$A$2:$G$101,3,FALSE)</f>
        <v>UK</v>
      </c>
      <c r="M963" t="str">
        <f>VLOOKUP(B963,Raw_Suppliers!$A$2:$G$101,4,FALSE)</f>
        <v>Central</v>
      </c>
      <c r="N963" t="str">
        <f>VLOOKUP(B963,Raw_Suppliers!$A$2:$G$101,6,FALSE)</f>
        <v>ISO 45001</v>
      </c>
      <c r="O963">
        <f>VLOOKUP(B963,Raw_Suppliers!$A$2:$G$101,7,FALSE)</f>
        <v>0</v>
      </c>
      <c r="P963" t="str">
        <f t="shared" ref="P963:P1026" si="91">IF(O963=1,"Yes","No")</f>
        <v>No</v>
      </c>
      <c r="Q963">
        <f t="shared" ref="Q963:Q1026" si="92">IF(J963&lt;=0,1,0)</f>
        <v>1</v>
      </c>
      <c r="R963" t="str">
        <f t="shared" ref="R963:R1026" si="93">IF(Q963=1,"On Time","Late")</f>
        <v>On Time</v>
      </c>
      <c r="S963">
        <f t="shared" ref="S963:S1026" si="94">YEAR(D963)</f>
        <v>2021</v>
      </c>
      <c r="T963">
        <f t="shared" ref="T963:T1026" si="95">MONTH(D963)</f>
        <v>11</v>
      </c>
    </row>
    <row r="964" spans="1:20" x14ac:dyDescent="0.25">
      <c r="A964" t="s">
        <v>1270</v>
      </c>
      <c r="B964" t="s">
        <v>198</v>
      </c>
      <c r="C964" t="s">
        <v>795</v>
      </c>
      <c r="D964" s="1">
        <v>44498</v>
      </c>
      <c r="E964">
        <v>8</v>
      </c>
      <c r="F964">
        <v>42.674073886715099</v>
      </c>
      <c r="G964" s="1">
        <v>44508</v>
      </c>
      <c r="H964" s="1">
        <v>44509</v>
      </c>
      <c r="I964">
        <v>341.39259109372102</v>
      </c>
      <c r="J964">
        <f t="shared" si="90"/>
        <v>1</v>
      </c>
      <c r="K964" t="str">
        <f>VLOOKUP(B964,Raw_Suppliers!$A$2:$G$101,2,FALSE)</f>
        <v>Gamma Vertex Corp</v>
      </c>
      <c r="L964" t="str">
        <f>VLOOKUP(B964,Raw_Suppliers!$A$2:$G$101,3,FALSE)</f>
        <v>Denmark</v>
      </c>
      <c r="M964" t="str">
        <f>VLOOKUP(B964,Raw_Suppliers!$A$2:$G$101,4,FALSE)</f>
        <v>South</v>
      </c>
      <c r="N964" t="str">
        <f>VLOOKUP(B964,Raw_Suppliers!$A$2:$G$101,6,FALSE)</f>
        <v>None</v>
      </c>
      <c r="O964">
        <f>VLOOKUP(B964,Raw_Suppliers!$A$2:$G$101,7,FALSE)</f>
        <v>1</v>
      </c>
      <c r="P964" t="str">
        <f t="shared" si="91"/>
        <v>Yes</v>
      </c>
      <c r="Q964">
        <f t="shared" si="92"/>
        <v>0</v>
      </c>
      <c r="R964" t="str">
        <f t="shared" si="93"/>
        <v>Late</v>
      </c>
      <c r="S964">
        <f t="shared" si="94"/>
        <v>2021</v>
      </c>
      <c r="T964">
        <f t="shared" si="95"/>
        <v>10</v>
      </c>
    </row>
    <row r="965" spans="1:20" x14ac:dyDescent="0.25">
      <c r="A965" t="s">
        <v>1271</v>
      </c>
      <c r="B965" t="s">
        <v>55</v>
      </c>
      <c r="C965" t="s">
        <v>543</v>
      </c>
      <c r="D965" s="1">
        <v>44664</v>
      </c>
      <c r="E965">
        <v>14</v>
      </c>
      <c r="F965">
        <v>57.546394598965897</v>
      </c>
      <c r="G965" s="1">
        <v>44684</v>
      </c>
      <c r="H965" s="1">
        <v>44689</v>
      </c>
      <c r="I965">
        <v>805.649524385522</v>
      </c>
      <c r="J965">
        <f t="shared" si="90"/>
        <v>5</v>
      </c>
      <c r="K965" t="str">
        <f>VLOOKUP(B965,Raw_Suppliers!$A$2:$G$101,2,FALSE)</f>
        <v>Prime Vertex Inc</v>
      </c>
      <c r="L965" t="str">
        <f>VLOOKUP(B965,Raw_Suppliers!$A$2:$G$101,3,FALSE)</f>
        <v>Germany</v>
      </c>
      <c r="M965" t="str">
        <f>VLOOKUP(B965,Raw_Suppliers!$A$2:$G$101,4,FALSE)</f>
        <v>South</v>
      </c>
      <c r="N965" t="str">
        <f>VLOOKUP(B965,Raw_Suppliers!$A$2:$G$101,6,FALSE)</f>
        <v>ISO 14001</v>
      </c>
      <c r="O965">
        <f>VLOOKUP(B965,Raw_Suppliers!$A$2:$G$101,7,FALSE)</f>
        <v>0</v>
      </c>
      <c r="P965" t="str">
        <f t="shared" si="91"/>
        <v>No</v>
      </c>
      <c r="Q965">
        <f t="shared" si="92"/>
        <v>0</v>
      </c>
      <c r="R965" t="str">
        <f t="shared" si="93"/>
        <v>Late</v>
      </c>
      <c r="S965">
        <f t="shared" si="94"/>
        <v>2022</v>
      </c>
      <c r="T965">
        <f t="shared" si="95"/>
        <v>4</v>
      </c>
    </row>
    <row r="966" spans="1:20" x14ac:dyDescent="0.25">
      <c r="A966" t="s">
        <v>1272</v>
      </c>
      <c r="B966" t="s">
        <v>76</v>
      </c>
      <c r="C966" t="s">
        <v>100</v>
      </c>
      <c r="D966" s="1">
        <v>44885</v>
      </c>
      <c r="E966">
        <v>11</v>
      </c>
      <c r="F966">
        <v>22.324946433615199</v>
      </c>
      <c r="G966" s="1">
        <v>44909</v>
      </c>
      <c r="H966" s="1">
        <v>44915</v>
      </c>
      <c r="I966">
        <v>245.57441076976701</v>
      </c>
      <c r="J966">
        <f t="shared" si="90"/>
        <v>6</v>
      </c>
      <c r="K966" t="str">
        <f>VLOOKUP(B966,Raw_Suppliers!$A$2:$G$101,2,FALSE)</f>
        <v>Alpha Beta Ltd</v>
      </c>
      <c r="L966" t="str">
        <f>VLOOKUP(B966,Raw_Suppliers!$A$2:$G$101,3,FALSE)</f>
        <v>UK</v>
      </c>
      <c r="M966" t="str">
        <f>VLOOKUP(B966,Raw_Suppliers!$A$2:$G$101,4,FALSE)</f>
        <v>South</v>
      </c>
      <c r="N966" t="str">
        <f>VLOOKUP(B966,Raw_Suppliers!$A$2:$G$101,6,FALSE)</f>
        <v>None</v>
      </c>
      <c r="O966">
        <f>VLOOKUP(B966,Raw_Suppliers!$A$2:$G$101,7,FALSE)</f>
        <v>1</v>
      </c>
      <c r="P966" t="str">
        <f t="shared" si="91"/>
        <v>Yes</v>
      </c>
      <c r="Q966">
        <f t="shared" si="92"/>
        <v>0</v>
      </c>
      <c r="R966" t="str">
        <f t="shared" si="93"/>
        <v>Late</v>
      </c>
      <c r="S966">
        <f t="shared" si="94"/>
        <v>2022</v>
      </c>
      <c r="T966">
        <f t="shared" si="95"/>
        <v>11</v>
      </c>
    </row>
    <row r="967" spans="1:20" x14ac:dyDescent="0.25">
      <c r="A967" t="s">
        <v>1273</v>
      </c>
      <c r="B967" t="s">
        <v>58</v>
      </c>
      <c r="C967" t="s">
        <v>97</v>
      </c>
      <c r="D967" s="1">
        <v>44731</v>
      </c>
      <c r="E967">
        <v>11</v>
      </c>
      <c r="F967">
        <v>8.9325810099818899</v>
      </c>
      <c r="G967" s="1">
        <v>44753</v>
      </c>
      <c r="H967" s="1">
        <v>44753</v>
      </c>
      <c r="I967">
        <v>98.258391109800797</v>
      </c>
      <c r="J967">
        <f t="shared" si="90"/>
        <v>0</v>
      </c>
      <c r="K967" t="str">
        <f>VLOOKUP(B967,Raw_Suppliers!$A$2:$G$101,2,FALSE)</f>
        <v>Quantum Nano Inc</v>
      </c>
      <c r="L967" t="str">
        <f>VLOOKUP(B967,Raw_Suppliers!$A$2:$G$101,3,FALSE)</f>
        <v>Brazil</v>
      </c>
      <c r="M967" t="str">
        <f>VLOOKUP(B967,Raw_Suppliers!$A$2:$G$101,4,FALSE)</f>
        <v>East</v>
      </c>
      <c r="N967" t="str">
        <f>VLOOKUP(B967,Raw_Suppliers!$A$2:$G$101,6,FALSE)</f>
        <v>ISO 9001</v>
      </c>
      <c r="O967">
        <f>VLOOKUP(B967,Raw_Suppliers!$A$2:$G$101,7,FALSE)</f>
        <v>1</v>
      </c>
      <c r="P967" t="str">
        <f t="shared" si="91"/>
        <v>Yes</v>
      </c>
      <c r="Q967">
        <f t="shared" si="92"/>
        <v>1</v>
      </c>
      <c r="R967" t="str">
        <f t="shared" si="93"/>
        <v>On Time</v>
      </c>
      <c r="S967">
        <f t="shared" si="94"/>
        <v>2022</v>
      </c>
      <c r="T967">
        <f t="shared" si="95"/>
        <v>6</v>
      </c>
    </row>
    <row r="968" spans="1:20" x14ac:dyDescent="0.25">
      <c r="A968" t="s">
        <v>1274</v>
      </c>
      <c r="B968" t="s">
        <v>37</v>
      </c>
      <c r="C968" t="s">
        <v>97</v>
      </c>
      <c r="D968" s="1">
        <v>44850</v>
      </c>
      <c r="E968">
        <v>11</v>
      </c>
      <c r="F968">
        <v>69.149497454998397</v>
      </c>
      <c r="G968" s="1">
        <v>44863</v>
      </c>
      <c r="H968" s="1">
        <v>44866</v>
      </c>
      <c r="I968">
        <v>760.64447200498296</v>
      </c>
      <c r="J968">
        <f t="shared" si="90"/>
        <v>3</v>
      </c>
      <c r="K968" t="str">
        <f>VLOOKUP(B968,Raw_Suppliers!$A$2:$G$101,2,FALSE)</f>
        <v>Apex Apex Ltd</v>
      </c>
      <c r="L968" t="str">
        <f>VLOOKUP(B968,Raw_Suppliers!$A$2:$G$101,3,FALSE)</f>
        <v>Canada</v>
      </c>
      <c r="M968" t="str">
        <f>VLOOKUP(B968,Raw_Suppliers!$A$2:$G$101,4,FALSE)</f>
        <v>East</v>
      </c>
      <c r="N968" t="str">
        <f>VLOOKUP(B968,Raw_Suppliers!$A$2:$G$101,6,FALSE)</f>
        <v>ISO 9001</v>
      </c>
      <c r="O968">
        <f>VLOOKUP(B968,Raw_Suppliers!$A$2:$G$101,7,FALSE)</f>
        <v>1</v>
      </c>
      <c r="P968" t="str">
        <f t="shared" si="91"/>
        <v>Yes</v>
      </c>
      <c r="Q968">
        <f t="shared" si="92"/>
        <v>0</v>
      </c>
      <c r="R968" t="str">
        <f t="shared" si="93"/>
        <v>Late</v>
      </c>
      <c r="S968">
        <f t="shared" si="94"/>
        <v>2022</v>
      </c>
      <c r="T968">
        <f t="shared" si="95"/>
        <v>10</v>
      </c>
    </row>
    <row r="969" spans="1:20" x14ac:dyDescent="0.25">
      <c r="A969" t="s">
        <v>1275</v>
      </c>
      <c r="B969" t="s">
        <v>43</v>
      </c>
      <c r="C969" t="s">
        <v>20</v>
      </c>
      <c r="D969" s="1">
        <v>44402</v>
      </c>
      <c r="E969">
        <v>11</v>
      </c>
      <c r="F969">
        <v>55.412622053014097</v>
      </c>
      <c r="G969" s="1">
        <v>44421</v>
      </c>
      <c r="H969" s="1">
        <v>44423</v>
      </c>
      <c r="I969">
        <v>609.53884258315497</v>
      </c>
      <c r="J969">
        <f t="shared" si="90"/>
        <v>2</v>
      </c>
      <c r="K969" t="str">
        <f>VLOOKUP(B969,Raw_Suppliers!$A$2:$G$101,2,FALSE)</f>
        <v>Alpha Ultra Corp</v>
      </c>
      <c r="L969" t="str">
        <f>VLOOKUP(B969,Raw_Suppliers!$A$2:$G$101,3,FALSE)</f>
        <v>USA</v>
      </c>
      <c r="M969" t="str">
        <f>VLOOKUP(B969,Raw_Suppliers!$A$2:$G$101,4,FALSE)</f>
        <v>Central</v>
      </c>
      <c r="N969" t="str">
        <f>VLOOKUP(B969,Raw_Suppliers!$A$2:$G$101,6,FALSE)</f>
        <v>ISO 9001</v>
      </c>
      <c r="O969">
        <f>VLOOKUP(B969,Raw_Suppliers!$A$2:$G$101,7,FALSE)</f>
        <v>1</v>
      </c>
      <c r="P969" t="str">
        <f t="shared" si="91"/>
        <v>Yes</v>
      </c>
      <c r="Q969">
        <f t="shared" si="92"/>
        <v>0</v>
      </c>
      <c r="R969" t="str">
        <f t="shared" si="93"/>
        <v>Late</v>
      </c>
      <c r="S969">
        <f t="shared" si="94"/>
        <v>2021</v>
      </c>
      <c r="T969">
        <f t="shared" si="95"/>
        <v>7</v>
      </c>
    </row>
    <row r="970" spans="1:20" x14ac:dyDescent="0.25">
      <c r="A970" t="s">
        <v>1276</v>
      </c>
      <c r="B970" t="s">
        <v>124</v>
      </c>
      <c r="C970" t="s">
        <v>224</v>
      </c>
      <c r="D970" s="1">
        <v>44448</v>
      </c>
      <c r="E970">
        <v>13</v>
      </c>
      <c r="F970">
        <v>72.456000530530702</v>
      </c>
      <c r="G970" s="1">
        <v>44472</v>
      </c>
      <c r="H970" s="1">
        <v>44469</v>
      </c>
      <c r="I970">
        <v>941.92800689689898</v>
      </c>
      <c r="J970">
        <f t="shared" si="90"/>
        <v>-3</v>
      </c>
      <c r="K970" t="str">
        <f>VLOOKUP(B970,Raw_Suppliers!$A$2:$G$101,2,FALSE)</f>
        <v>Vertex Delta Inc</v>
      </c>
      <c r="L970" t="str">
        <f>VLOOKUP(B970,Raw_Suppliers!$A$2:$G$101,3,FALSE)</f>
        <v>Germany</v>
      </c>
      <c r="M970" t="str">
        <f>VLOOKUP(B970,Raw_Suppliers!$A$2:$G$101,4,FALSE)</f>
        <v>South</v>
      </c>
      <c r="N970" t="str">
        <f>VLOOKUP(B970,Raw_Suppliers!$A$2:$G$101,6,FALSE)</f>
        <v>ISO 9001</v>
      </c>
      <c r="O970">
        <f>VLOOKUP(B970,Raw_Suppliers!$A$2:$G$101,7,FALSE)</f>
        <v>0</v>
      </c>
      <c r="P970" t="str">
        <f t="shared" si="91"/>
        <v>No</v>
      </c>
      <c r="Q970">
        <f t="shared" si="92"/>
        <v>1</v>
      </c>
      <c r="R970" t="str">
        <f t="shared" si="93"/>
        <v>On Time</v>
      </c>
      <c r="S970">
        <f t="shared" si="94"/>
        <v>2021</v>
      </c>
      <c r="T970">
        <f t="shared" si="95"/>
        <v>9</v>
      </c>
    </row>
    <row r="971" spans="1:20" x14ac:dyDescent="0.25">
      <c r="A971" t="s">
        <v>1277</v>
      </c>
      <c r="B971" t="s">
        <v>451</v>
      </c>
      <c r="C971" t="s">
        <v>664</v>
      </c>
      <c r="D971" s="1">
        <v>44847</v>
      </c>
      <c r="E971">
        <v>16</v>
      </c>
      <c r="F971">
        <v>23.453692128211099</v>
      </c>
      <c r="G971" s="1">
        <v>44867</v>
      </c>
      <c r="H971" s="1">
        <v>44872</v>
      </c>
      <c r="I971">
        <v>375.25907405137798</v>
      </c>
      <c r="J971">
        <f t="shared" si="90"/>
        <v>5</v>
      </c>
      <c r="K971" t="str">
        <f>VLOOKUP(B971,Raw_Suppliers!$A$2:$G$101,2,FALSE)</f>
        <v>Beta Apex Corp</v>
      </c>
      <c r="L971" t="str">
        <f>VLOOKUP(B971,Raw_Suppliers!$A$2:$G$101,3,FALSE)</f>
        <v>India</v>
      </c>
      <c r="M971" t="str">
        <f>VLOOKUP(B971,Raw_Suppliers!$A$2:$G$101,4,FALSE)</f>
        <v>Central</v>
      </c>
      <c r="N971" t="str">
        <f>VLOOKUP(B971,Raw_Suppliers!$A$2:$G$101,6,FALSE)</f>
        <v>ISO 9001</v>
      </c>
      <c r="O971">
        <f>VLOOKUP(B971,Raw_Suppliers!$A$2:$G$101,7,FALSE)</f>
        <v>0</v>
      </c>
      <c r="P971" t="str">
        <f t="shared" si="91"/>
        <v>No</v>
      </c>
      <c r="Q971">
        <f t="shared" si="92"/>
        <v>0</v>
      </c>
      <c r="R971" t="str">
        <f t="shared" si="93"/>
        <v>Late</v>
      </c>
      <c r="S971">
        <f t="shared" si="94"/>
        <v>2022</v>
      </c>
      <c r="T971">
        <f t="shared" si="95"/>
        <v>10</v>
      </c>
    </row>
    <row r="972" spans="1:20" x14ac:dyDescent="0.25">
      <c r="A972" t="s">
        <v>1278</v>
      </c>
      <c r="B972" t="s">
        <v>160</v>
      </c>
      <c r="C972" t="s">
        <v>83</v>
      </c>
      <c r="D972" s="1">
        <v>44298</v>
      </c>
      <c r="E972">
        <v>12</v>
      </c>
      <c r="F972">
        <v>47.1768713106215</v>
      </c>
      <c r="G972" s="1">
        <v>44311</v>
      </c>
      <c r="H972" s="1">
        <v>44309</v>
      </c>
      <c r="I972">
        <v>566.12245572745803</v>
      </c>
      <c r="J972">
        <f t="shared" si="90"/>
        <v>-2</v>
      </c>
      <c r="K972" t="str">
        <f>VLOOKUP(B972,Raw_Suppliers!$A$2:$G$101,2,FALSE)</f>
        <v>Omega Beta Corp</v>
      </c>
      <c r="L972" t="str">
        <f>VLOOKUP(B972,Raw_Suppliers!$A$2:$G$101,3,FALSE)</f>
        <v>China</v>
      </c>
      <c r="M972" t="str">
        <f>VLOOKUP(B972,Raw_Suppliers!$A$2:$G$101,4,FALSE)</f>
        <v>East</v>
      </c>
      <c r="N972" t="str">
        <f>VLOOKUP(B972,Raw_Suppliers!$A$2:$G$101,6,FALSE)</f>
        <v>ISO 45001</v>
      </c>
      <c r="O972">
        <f>VLOOKUP(B972,Raw_Suppliers!$A$2:$G$101,7,FALSE)</f>
        <v>1</v>
      </c>
      <c r="P972" t="str">
        <f t="shared" si="91"/>
        <v>Yes</v>
      </c>
      <c r="Q972">
        <f t="shared" si="92"/>
        <v>1</v>
      </c>
      <c r="R972" t="str">
        <f t="shared" si="93"/>
        <v>On Time</v>
      </c>
      <c r="S972">
        <f t="shared" si="94"/>
        <v>2021</v>
      </c>
      <c r="T972">
        <f t="shared" si="95"/>
        <v>4</v>
      </c>
    </row>
    <row r="973" spans="1:20" x14ac:dyDescent="0.25">
      <c r="A973" t="s">
        <v>1279</v>
      </c>
      <c r="B973" t="s">
        <v>13</v>
      </c>
      <c r="C973" t="s">
        <v>540</v>
      </c>
      <c r="D973" s="1">
        <v>44269</v>
      </c>
      <c r="E973">
        <v>14</v>
      </c>
      <c r="F973">
        <v>35.709385557864898</v>
      </c>
      <c r="G973" s="1">
        <v>44283</v>
      </c>
      <c r="H973" s="1">
        <v>44285</v>
      </c>
      <c r="I973">
        <v>499.93139781010802</v>
      </c>
      <c r="J973">
        <f t="shared" si="90"/>
        <v>2</v>
      </c>
      <c r="K973" t="str">
        <f>VLOOKUP(B973,Raw_Suppliers!$A$2:$G$101,2,FALSE)</f>
        <v>Beta Delta LLC</v>
      </c>
      <c r="L973" t="str">
        <f>VLOOKUP(B973,Raw_Suppliers!$A$2:$G$101,3,FALSE)</f>
        <v>Germany</v>
      </c>
      <c r="M973" t="str">
        <f>VLOOKUP(B973,Raw_Suppliers!$A$2:$G$101,4,FALSE)</f>
        <v>Central</v>
      </c>
      <c r="N973" t="str">
        <f>VLOOKUP(B973,Raw_Suppliers!$A$2:$G$101,6,FALSE)</f>
        <v>ISO 9001</v>
      </c>
      <c r="O973">
        <f>VLOOKUP(B973,Raw_Suppliers!$A$2:$G$101,7,FALSE)</f>
        <v>1</v>
      </c>
      <c r="P973" t="str">
        <f t="shared" si="91"/>
        <v>Yes</v>
      </c>
      <c r="Q973">
        <f t="shared" si="92"/>
        <v>0</v>
      </c>
      <c r="R973" t="str">
        <f t="shared" si="93"/>
        <v>Late</v>
      </c>
      <c r="S973">
        <f t="shared" si="94"/>
        <v>2021</v>
      </c>
      <c r="T973">
        <f t="shared" si="95"/>
        <v>3</v>
      </c>
    </row>
    <row r="974" spans="1:20" x14ac:dyDescent="0.25">
      <c r="A974" t="s">
        <v>1280</v>
      </c>
      <c r="B974" t="s">
        <v>314</v>
      </c>
      <c r="C974" t="s">
        <v>312</v>
      </c>
      <c r="D974" s="1">
        <v>44820</v>
      </c>
      <c r="E974">
        <v>10</v>
      </c>
      <c r="F974">
        <v>47.7364449868723</v>
      </c>
      <c r="G974" s="1">
        <v>44836</v>
      </c>
      <c r="H974" s="1">
        <v>44839</v>
      </c>
      <c r="I974">
        <v>477.364449868723</v>
      </c>
      <c r="J974">
        <f t="shared" si="90"/>
        <v>3</v>
      </c>
      <c r="K974" t="str">
        <f>VLOOKUP(B974,Raw_Suppliers!$A$2:$G$101,2,FALSE)</f>
        <v>Gamma Nova Ltd</v>
      </c>
      <c r="L974" t="str">
        <f>VLOOKUP(B974,Raw_Suppliers!$A$2:$G$101,3,FALSE)</f>
        <v>USA</v>
      </c>
      <c r="M974" t="str">
        <f>VLOOKUP(B974,Raw_Suppliers!$A$2:$G$101,4,FALSE)</f>
        <v>North</v>
      </c>
      <c r="N974" t="str">
        <f>VLOOKUP(B974,Raw_Suppliers!$A$2:$G$101,6,FALSE)</f>
        <v>ISO 45001</v>
      </c>
      <c r="O974">
        <f>VLOOKUP(B974,Raw_Suppliers!$A$2:$G$101,7,FALSE)</f>
        <v>0</v>
      </c>
      <c r="P974" t="str">
        <f t="shared" si="91"/>
        <v>No</v>
      </c>
      <c r="Q974">
        <f t="shared" si="92"/>
        <v>0</v>
      </c>
      <c r="R974" t="str">
        <f t="shared" si="93"/>
        <v>Late</v>
      </c>
      <c r="S974">
        <f t="shared" si="94"/>
        <v>2022</v>
      </c>
      <c r="T974">
        <f t="shared" si="95"/>
        <v>9</v>
      </c>
    </row>
    <row r="975" spans="1:20" x14ac:dyDescent="0.25">
      <c r="A975" t="s">
        <v>1281</v>
      </c>
      <c r="B975" t="s">
        <v>58</v>
      </c>
      <c r="C975" t="s">
        <v>17</v>
      </c>
      <c r="D975" s="1">
        <v>45286</v>
      </c>
      <c r="E975">
        <v>14</v>
      </c>
      <c r="F975">
        <v>16.5109485208107</v>
      </c>
      <c r="G975" s="1">
        <v>45310</v>
      </c>
      <c r="H975" s="1">
        <v>45315</v>
      </c>
      <c r="I975">
        <v>231.15327929135</v>
      </c>
      <c r="J975">
        <f t="shared" si="90"/>
        <v>5</v>
      </c>
      <c r="K975" t="str">
        <f>VLOOKUP(B975,Raw_Suppliers!$A$2:$G$101,2,FALSE)</f>
        <v>Quantum Nano Inc</v>
      </c>
      <c r="L975" t="str">
        <f>VLOOKUP(B975,Raw_Suppliers!$A$2:$G$101,3,FALSE)</f>
        <v>Brazil</v>
      </c>
      <c r="M975" t="str">
        <f>VLOOKUP(B975,Raw_Suppliers!$A$2:$G$101,4,FALSE)</f>
        <v>East</v>
      </c>
      <c r="N975" t="str">
        <f>VLOOKUP(B975,Raw_Suppliers!$A$2:$G$101,6,FALSE)</f>
        <v>ISO 9001</v>
      </c>
      <c r="O975">
        <f>VLOOKUP(B975,Raw_Suppliers!$A$2:$G$101,7,FALSE)</f>
        <v>1</v>
      </c>
      <c r="P975" t="str">
        <f t="shared" si="91"/>
        <v>Yes</v>
      </c>
      <c r="Q975">
        <f t="shared" si="92"/>
        <v>0</v>
      </c>
      <c r="R975" t="str">
        <f t="shared" si="93"/>
        <v>Late</v>
      </c>
      <c r="S975">
        <f t="shared" si="94"/>
        <v>2023</v>
      </c>
      <c r="T975">
        <f t="shared" si="95"/>
        <v>12</v>
      </c>
    </row>
    <row r="976" spans="1:20" x14ac:dyDescent="0.25">
      <c r="A976" t="s">
        <v>1282</v>
      </c>
      <c r="B976" t="s">
        <v>186</v>
      </c>
      <c r="C976" t="s">
        <v>117</v>
      </c>
      <c r="D976" s="1">
        <v>45009</v>
      </c>
      <c r="E976">
        <v>8</v>
      </c>
      <c r="F976">
        <v>61.853906661144201</v>
      </c>
      <c r="G976" s="1">
        <v>45024</v>
      </c>
      <c r="H976" s="1">
        <v>45029</v>
      </c>
      <c r="I976">
        <v>494.83125328915298</v>
      </c>
      <c r="J976">
        <f t="shared" si="90"/>
        <v>5</v>
      </c>
      <c r="K976" t="str">
        <f>VLOOKUP(B976,Raw_Suppliers!$A$2:$G$101,2,FALSE)</f>
        <v>Omega Vertex Inc</v>
      </c>
      <c r="L976" t="str">
        <f>VLOOKUP(B976,Raw_Suppliers!$A$2:$G$101,3,FALSE)</f>
        <v>China</v>
      </c>
      <c r="M976" t="str">
        <f>VLOOKUP(B976,Raw_Suppliers!$A$2:$G$101,4,FALSE)</f>
        <v>West</v>
      </c>
      <c r="N976" t="str">
        <f>VLOOKUP(B976,Raw_Suppliers!$A$2:$G$101,6,FALSE)</f>
        <v>ISO 14001</v>
      </c>
      <c r="O976">
        <f>VLOOKUP(B976,Raw_Suppliers!$A$2:$G$101,7,FALSE)</f>
        <v>1</v>
      </c>
      <c r="P976" t="str">
        <f t="shared" si="91"/>
        <v>Yes</v>
      </c>
      <c r="Q976">
        <f t="shared" si="92"/>
        <v>0</v>
      </c>
      <c r="R976" t="str">
        <f t="shared" si="93"/>
        <v>Late</v>
      </c>
      <c r="S976">
        <f t="shared" si="94"/>
        <v>2023</v>
      </c>
      <c r="T976">
        <f t="shared" si="95"/>
        <v>3</v>
      </c>
    </row>
    <row r="977" spans="1:20" x14ac:dyDescent="0.25">
      <c r="A977" t="s">
        <v>1283</v>
      </c>
      <c r="B977" t="s">
        <v>394</v>
      </c>
      <c r="C977" t="s">
        <v>418</v>
      </c>
      <c r="D977" s="1">
        <v>45270</v>
      </c>
      <c r="E977">
        <v>15</v>
      </c>
      <c r="F977">
        <v>7.6295519009686901</v>
      </c>
      <c r="G977" s="1">
        <v>45282</v>
      </c>
      <c r="H977" s="1">
        <v>45283</v>
      </c>
      <c r="I977">
        <v>114.44327851452999</v>
      </c>
      <c r="J977">
        <f t="shared" si="90"/>
        <v>1</v>
      </c>
      <c r="K977" t="str">
        <f>VLOOKUP(B977,Raw_Suppliers!$A$2:$G$101,2,FALSE)</f>
        <v>Ultra Prime Inc</v>
      </c>
      <c r="L977" t="str">
        <f>VLOOKUP(B977,Raw_Suppliers!$A$2:$G$101,3,FALSE)</f>
        <v>Brazil</v>
      </c>
      <c r="M977" t="str">
        <f>VLOOKUP(B977,Raw_Suppliers!$A$2:$G$101,4,FALSE)</f>
        <v>West</v>
      </c>
      <c r="N977" t="str">
        <f>VLOOKUP(B977,Raw_Suppliers!$A$2:$G$101,6,FALSE)</f>
        <v>ISO 9001</v>
      </c>
      <c r="O977">
        <f>VLOOKUP(B977,Raw_Suppliers!$A$2:$G$101,7,FALSE)</f>
        <v>1</v>
      </c>
      <c r="P977" t="str">
        <f t="shared" si="91"/>
        <v>Yes</v>
      </c>
      <c r="Q977">
        <f t="shared" si="92"/>
        <v>0</v>
      </c>
      <c r="R977" t="str">
        <f t="shared" si="93"/>
        <v>Late</v>
      </c>
      <c r="S977">
        <f t="shared" si="94"/>
        <v>2023</v>
      </c>
      <c r="T977">
        <f t="shared" si="95"/>
        <v>12</v>
      </c>
    </row>
    <row r="978" spans="1:20" x14ac:dyDescent="0.25">
      <c r="A978" t="s">
        <v>1284</v>
      </c>
      <c r="B978" t="s">
        <v>121</v>
      </c>
      <c r="C978" t="s">
        <v>425</v>
      </c>
      <c r="D978" s="1">
        <v>45108</v>
      </c>
      <c r="E978">
        <v>9</v>
      </c>
      <c r="F978">
        <v>60.617780108022501</v>
      </c>
      <c r="G978" s="1">
        <v>45131</v>
      </c>
      <c r="H978" s="1">
        <v>45137</v>
      </c>
      <c r="I978">
        <v>545.56002097220301</v>
      </c>
      <c r="J978">
        <f t="shared" si="90"/>
        <v>6</v>
      </c>
      <c r="K978" t="str">
        <f>VLOOKUP(B978,Raw_Suppliers!$A$2:$G$101,2,FALSE)</f>
        <v>Vertex Vertex Inc</v>
      </c>
      <c r="L978" t="str">
        <f>VLOOKUP(B978,Raw_Suppliers!$A$2:$G$101,3,FALSE)</f>
        <v>USA</v>
      </c>
      <c r="M978" t="str">
        <f>VLOOKUP(B978,Raw_Suppliers!$A$2:$G$101,4,FALSE)</f>
        <v>West</v>
      </c>
      <c r="N978" t="str">
        <f>VLOOKUP(B978,Raw_Suppliers!$A$2:$G$101,6,FALSE)</f>
        <v>None</v>
      </c>
      <c r="O978">
        <f>VLOOKUP(B978,Raw_Suppliers!$A$2:$G$101,7,FALSE)</f>
        <v>0</v>
      </c>
      <c r="P978" t="str">
        <f t="shared" si="91"/>
        <v>No</v>
      </c>
      <c r="Q978">
        <f t="shared" si="92"/>
        <v>0</v>
      </c>
      <c r="R978" t="str">
        <f t="shared" si="93"/>
        <v>Late</v>
      </c>
      <c r="S978">
        <f t="shared" si="94"/>
        <v>2023</v>
      </c>
      <c r="T978">
        <f t="shared" si="95"/>
        <v>7</v>
      </c>
    </row>
    <row r="979" spans="1:20" x14ac:dyDescent="0.25">
      <c r="A979" t="s">
        <v>1285</v>
      </c>
      <c r="B979" t="s">
        <v>369</v>
      </c>
      <c r="C979" t="s">
        <v>100</v>
      </c>
      <c r="D979" s="1">
        <v>44592</v>
      </c>
      <c r="E979">
        <v>14</v>
      </c>
      <c r="F979">
        <v>48.687394948499097</v>
      </c>
      <c r="G979" s="1">
        <v>44604</v>
      </c>
      <c r="H979" s="1">
        <v>44610</v>
      </c>
      <c r="I979">
        <v>681.62352927898803</v>
      </c>
      <c r="J979">
        <f t="shared" si="90"/>
        <v>6</v>
      </c>
      <c r="K979" t="str">
        <f>VLOOKUP(B979,Raw_Suppliers!$A$2:$G$101,2,FALSE)</f>
        <v>Beta Fusion GmbH</v>
      </c>
      <c r="L979" t="str">
        <f>VLOOKUP(B979,Raw_Suppliers!$A$2:$G$101,3,FALSE)</f>
        <v>China</v>
      </c>
      <c r="M979" t="str">
        <f>VLOOKUP(B979,Raw_Suppliers!$A$2:$G$101,4,FALSE)</f>
        <v>South</v>
      </c>
      <c r="N979" t="str">
        <f>VLOOKUP(B979,Raw_Suppliers!$A$2:$G$101,6,FALSE)</f>
        <v>ISO 9001</v>
      </c>
      <c r="O979">
        <f>VLOOKUP(B979,Raw_Suppliers!$A$2:$G$101,7,FALSE)</f>
        <v>0</v>
      </c>
      <c r="P979" t="str">
        <f t="shared" si="91"/>
        <v>No</v>
      </c>
      <c r="Q979">
        <f t="shared" si="92"/>
        <v>0</v>
      </c>
      <c r="R979" t="str">
        <f t="shared" si="93"/>
        <v>Late</v>
      </c>
      <c r="S979">
        <f t="shared" si="94"/>
        <v>2022</v>
      </c>
      <c r="T979">
        <f t="shared" si="95"/>
        <v>1</v>
      </c>
    </row>
    <row r="980" spans="1:20" x14ac:dyDescent="0.25">
      <c r="A980" t="s">
        <v>1286</v>
      </c>
      <c r="B980" t="s">
        <v>70</v>
      </c>
      <c r="C980" t="s">
        <v>792</v>
      </c>
      <c r="D980" s="1">
        <v>44798</v>
      </c>
      <c r="E980">
        <v>14</v>
      </c>
      <c r="F980">
        <v>17.5636955985809</v>
      </c>
      <c r="G980" s="1">
        <v>44815</v>
      </c>
      <c r="H980" s="1">
        <v>44815</v>
      </c>
      <c r="I980">
        <v>245.89173838013301</v>
      </c>
      <c r="J980">
        <f t="shared" si="90"/>
        <v>0</v>
      </c>
      <c r="K980" t="str">
        <f>VLOOKUP(B980,Raw_Suppliers!$A$2:$G$101,2,FALSE)</f>
        <v>Prime Nano Ltd</v>
      </c>
      <c r="L980" t="str">
        <f>VLOOKUP(B980,Raw_Suppliers!$A$2:$G$101,3,FALSE)</f>
        <v>USA</v>
      </c>
      <c r="M980" t="str">
        <f>VLOOKUP(B980,Raw_Suppliers!$A$2:$G$101,4,FALSE)</f>
        <v>Central</v>
      </c>
      <c r="N980" t="str">
        <f>VLOOKUP(B980,Raw_Suppliers!$A$2:$G$101,6,FALSE)</f>
        <v>ISO 45001</v>
      </c>
      <c r="O980">
        <f>VLOOKUP(B980,Raw_Suppliers!$A$2:$G$101,7,FALSE)</f>
        <v>0</v>
      </c>
      <c r="P980" t="str">
        <f t="shared" si="91"/>
        <v>No</v>
      </c>
      <c r="Q980">
        <f t="shared" si="92"/>
        <v>1</v>
      </c>
      <c r="R980" t="str">
        <f t="shared" si="93"/>
        <v>On Time</v>
      </c>
      <c r="S980">
        <f t="shared" si="94"/>
        <v>2022</v>
      </c>
      <c r="T980">
        <f t="shared" si="95"/>
        <v>8</v>
      </c>
    </row>
    <row r="981" spans="1:20" x14ac:dyDescent="0.25">
      <c r="A981" t="s">
        <v>1287</v>
      </c>
      <c r="B981" t="s">
        <v>37</v>
      </c>
      <c r="C981" t="s">
        <v>432</v>
      </c>
      <c r="D981" s="1">
        <v>44948</v>
      </c>
      <c r="E981">
        <v>10</v>
      </c>
      <c r="F981">
        <v>6.5956658913746997</v>
      </c>
      <c r="G981" s="1">
        <v>44968</v>
      </c>
      <c r="H981" s="1">
        <v>44965</v>
      </c>
      <c r="I981">
        <v>65.956658913747006</v>
      </c>
      <c r="J981">
        <f t="shared" si="90"/>
        <v>-3</v>
      </c>
      <c r="K981" t="str">
        <f>VLOOKUP(B981,Raw_Suppliers!$A$2:$G$101,2,FALSE)</f>
        <v>Apex Apex Ltd</v>
      </c>
      <c r="L981" t="str">
        <f>VLOOKUP(B981,Raw_Suppliers!$A$2:$G$101,3,FALSE)</f>
        <v>Canada</v>
      </c>
      <c r="M981" t="str">
        <f>VLOOKUP(B981,Raw_Suppliers!$A$2:$G$101,4,FALSE)</f>
        <v>East</v>
      </c>
      <c r="N981" t="str">
        <f>VLOOKUP(B981,Raw_Suppliers!$A$2:$G$101,6,FALSE)</f>
        <v>ISO 9001</v>
      </c>
      <c r="O981">
        <f>VLOOKUP(B981,Raw_Suppliers!$A$2:$G$101,7,FALSE)</f>
        <v>1</v>
      </c>
      <c r="P981" t="str">
        <f t="shared" si="91"/>
        <v>Yes</v>
      </c>
      <c r="Q981">
        <f t="shared" si="92"/>
        <v>1</v>
      </c>
      <c r="R981" t="str">
        <f t="shared" si="93"/>
        <v>On Time</v>
      </c>
      <c r="S981">
        <f t="shared" si="94"/>
        <v>2023</v>
      </c>
      <c r="T981">
        <f t="shared" si="95"/>
        <v>1</v>
      </c>
    </row>
    <row r="982" spans="1:20" x14ac:dyDescent="0.25">
      <c r="A982" t="s">
        <v>1288</v>
      </c>
      <c r="B982" t="s">
        <v>124</v>
      </c>
      <c r="C982" t="s">
        <v>344</v>
      </c>
      <c r="D982" s="1">
        <v>45385</v>
      </c>
      <c r="E982">
        <v>8</v>
      </c>
      <c r="F982">
        <v>61.003926724613798</v>
      </c>
      <c r="G982" s="1">
        <v>45408</v>
      </c>
      <c r="H982" s="1">
        <v>45407</v>
      </c>
      <c r="I982">
        <v>488.03141379690999</v>
      </c>
      <c r="J982">
        <f t="shared" si="90"/>
        <v>-1</v>
      </c>
      <c r="K982" t="str">
        <f>VLOOKUP(B982,Raw_Suppliers!$A$2:$G$101,2,FALSE)</f>
        <v>Vertex Delta Inc</v>
      </c>
      <c r="L982" t="str">
        <f>VLOOKUP(B982,Raw_Suppliers!$A$2:$G$101,3,FALSE)</f>
        <v>Germany</v>
      </c>
      <c r="M982" t="str">
        <f>VLOOKUP(B982,Raw_Suppliers!$A$2:$G$101,4,FALSE)</f>
        <v>South</v>
      </c>
      <c r="N982" t="str">
        <f>VLOOKUP(B982,Raw_Suppliers!$A$2:$G$101,6,FALSE)</f>
        <v>ISO 9001</v>
      </c>
      <c r="O982">
        <f>VLOOKUP(B982,Raw_Suppliers!$A$2:$G$101,7,FALSE)</f>
        <v>0</v>
      </c>
      <c r="P982" t="str">
        <f t="shared" si="91"/>
        <v>No</v>
      </c>
      <c r="Q982">
        <f t="shared" si="92"/>
        <v>1</v>
      </c>
      <c r="R982" t="str">
        <f t="shared" si="93"/>
        <v>On Time</v>
      </c>
      <c r="S982">
        <f t="shared" si="94"/>
        <v>2024</v>
      </c>
      <c r="T982">
        <f t="shared" si="95"/>
        <v>4</v>
      </c>
    </row>
    <row r="983" spans="1:20" x14ac:dyDescent="0.25">
      <c r="A983" t="s">
        <v>1289</v>
      </c>
      <c r="B983" t="s">
        <v>114</v>
      </c>
      <c r="C983" t="s">
        <v>276</v>
      </c>
      <c r="D983" s="1">
        <v>44707</v>
      </c>
      <c r="E983">
        <v>17</v>
      </c>
      <c r="F983">
        <v>14.9936071932737</v>
      </c>
      <c r="G983" s="1">
        <v>44724</v>
      </c>
      <c r="H983" s="1">
        <v>44723</v>
      </c>
      <c r="I983">
        <v>254.89132228565401</v>
      </c>
      <c r="J983">
        <f t="shared" si="90"/>
        <v>-1</v>
      </c>
      <c r="K983" t="str">
        <f>VLOOKUP(B983,Raw_Suppliers!$A$2:$G$101,2,FALSE)</f>
        <v>Fusion Fusion LLC</v>
      </c>
      <c r="L983" t="str">
        <f>VLOOKUP(B983,Raw_Suppliers!$A$2:$G$101,3,FALSE)</f>
        <v>China</v>
      </c>
      <c r="M983" t="str">
        <f>VLOOKUP(B983,Raw_Suppliers!$A$2:$G$101,4,FALSE)</f>
        <v>North</v>
      </c>
      <c r="N983" t="str">
        <f>VLOOKUP(B983,Raw_Suppliers!$A$2:$G$101,6,FALSE)</f>
        <v>ISO 45001</v>
      </c>
      <c r="O983">
        <f>VLOOKUP(B983,Raw_Suppliers!$A$2:$G$101,7,FALSE)</f>
        <v>1</v>
      </c>
      <c r="P983" t="str">
        <f t="shared" si="91"/>
        <v>Yes</v>
      </c>
      <c r="Q983">
        <f t="shared" si="92"/>
        <v>1</v>
      </c>
      <c r="R983" t="str">
        <f t="shared" si="93"/>
        <v>On Time</v>
      </c>
      <c r="S983">
        <f t="shared" si="94"/>
        <v>2022</v>
      </c>
      <c r="T983">
        <f t="shared" si="95"/>
        <v>5</v>
      </c>
    </row>
    <row r="984" spans="1:20" x14ac:dyDescent="0.25">
      <c r="A984" t="s">
        <v>1290</v>
      </c>
      <c r="B984" t="s">
        <v>73</v>
      </c>
      <c r="C984" t="s">
        <v>792</v>
      </c>
      <c r="D984" s="1">
        <v>45161</v>
      </c>
      <c r="E984">
        <v>8</v>
      </c>
      <c r="F984">
        <v>7.0163079545379201</v>
      </c>
      <c r="G984" s="1">
        <v>45172</v>
      </c>
      <c r="H984" s="1">
        <v>45169</v>
      </c>
      <c r="I984">
        <v>56.130463636303297</v>
      </c>
      <c r="J984">
        <f t="shared" si="90"/>
        <v>-3</v>
      </c>
      <c r="K984" t="str">
        <f>VLOOKUP(B984,Raw_Suppliers!$A$2:$G$101,2,FALSE)</f>
        <v>Gamma Quantum LLC</v>
      </c>
      <c r="L984" t="str">
        <f>VLOOKUP(B984,Raw_Suppliers!$A$2:$G$101,3,FALSE)</f>
        <v>Germany</v>
      </c>
      <c r="M984" t="str">
        <f>VLOOKUP(B984,Raw_Suppliers!$A$2:$G$101,4,FALSE)</f>
        <v>Central</v>
      </c>
      <c r="N984" t="str">
        <f>VLOOKUP(B984,Raw_Suppliers!$A$2:$G$101,6,FALSE)</f>
        <v>ISO 9001</v>
      </c>
      <c r="O984">
        <f>VLOOKUP(B984,Raw_Suppliers!$A$2:$G$101,7,FALSE)</f>
        <v>1</v>
      </c>
      <c r="P984" t="str">
        <f t="shared" si="91"/>
        <v>Yes</v>
      </c>
      <c r="Q984">
        <f t="shared" si="92"/>
        <v>1</v>
      </c>
      <c r="R984" t="str">
        <f t="shared" si="93"/>
        <v>On Time</v>
      </c>
      <c r="S984">
        <f t="shared" si="94"/>
        <v>2023</v>
      </c>
      <c r="T984">
        <f t="shared" si="95"/>
        <v>8</v>
      </c>
    </row>
    <row r="985" spans="1:20" x14ac:dyDescent="0.25">
      <c r="A985" t="s">
        <v>1291</v>
      </c>
      <c r="B985" t="s">
        <v>174</v>
      </c>
      <c r="C985" t="s">
        <v>428</v>
      </c>
      <c r="D985" s="1">
        <v>44437</v>
      </c>
      <c r="E985">
        <v>12</v>
      </c>
      <c r="F985">
        <v>33.9894420656546</v>
      </c>
      <c r="G985" s="1">
        <v>44452</v>
      </c>
      <c r="H985" s="1">
        <v>44453</v>
      </c>
      <c r="I985">
        <v>407.87330478785498</v>
      </c>
      <c r="J985">
        <f t="shared" si="90"/>
        <v>1</v>
      </c>
      <c r="K985" t="str">
        <f>VLOOKUP(B985,Raw_Suppliers!$A$2:$G$101,2,FALSE)</f>
        <v>Quantum Eco LLC</v>
      </c>
      <c r="L985" t="str">
        <f>VLOOKUP(B985,Raw_Suppliers!$A$2:$G$101,3,FALSE)</f>
        <v>Denmark</v>
      </c>
      <c r="M985" t="str">
        <f>VLOOKUP(B985,Raw_Suppliers!$A$2:$G$101,4,FALSE)</f>
        <v>East</v>
      </c>
      <c r="N985" t="str">
        <f>VLOOKUP(B985,Raw_Suppliers!$A$2:$G$101,6,FALSE)</f>
        <v>ISO 9001</v>
      </c>
      <c r="O985">
        <f>VLOOKUP(B985,Raw_Suppliers!$A$2:$G$101,7,FALSE)</f>
        <v>1</v>
      </c>
      <c r="P985" t="str">
        <f t="shared" si="91"/>
        <v>Yes</v>
      </c>
      <c r="Q985">
        <f t="shared" si="92"/>
        <v>0</v>
      </c>
      <c r="R985" t="str">
        <f t="shared" si="93"/>
        <v>Late</v>
      </c>
      <c r="S985">
        <f t="shared" si="94"/>
        <v>2021</v>
      </c>
      <c r="T985">
        <f t="shared" si="95"/>
        <v>8</v>
      </c>
    </row>
    <row r="986" spans="1:20" x14ac:dyDescent="0.25">
      <c r="A986" t="s">
        <v>1292</v>
      </c>
      <c r="B986" t="s">
        <v>119</v>
      </c>
      <c r="C986" t="s">
        <v>144</v>
      </c>
      <c r="D986" s="1">
        <v>44493</v>
      </c>
      <c r="E986">
        <v>15</v>
      </c>
      <c r="F986">
        <v>26.8552954883429</v>
      </c>
      <c r="G986" s="1">
        <v>44508</v>
      </c>
      <c r="H986" s="1">
        <v>44510</v>
      </c>
      <c r="I986">
        <v>402.82943232514299</v>
      </c>
      <c r="J986">
        <f t="shared" si="90"/>
        <v>2</v>
      </c>
      <c r="K986" t="str">
        <f>VLOOKUP(B986,Raw_Suppliers!$A$2:$G$101,2,FALSE)</f>
        <v>Pioneer Apex Corp</v>
      </c>
      <c r="L986" t="str">
        <f>VLOOKUP(B986,Raw_Suppliers!$A$2:$G$101,3,FALSE)</f>
        <v>USA</v>
      </c>
      <c r="M986" t="str">
        <f>VLOOKUP(B986,Raw_Suppliers!$A$2:$G$101,4,FALSE)</f>
        <v>Central</v>
      </c>
      <c r="N986" t="str">
        <f>VLOOKUP(B986,Raw_Suppliers!$A$2:$G$101,6,FALSE)</f>
        <v>None</v>
      </c>
      <c r="O986">
        <f>VLOOKUP(B986,Raw_Suppliers!$A$2:$G$101,7,FALSE)</f>
        <v>0</v>
      </c>
      <c r="P986" t="str">
        <f t="shared" si="91"/>
        <v>No</v>
      </c>
      <c r="Q986">
        <f t="shared" si="92"/>
        <v>0</v>
      </c>
      <c r="R986" t="str">
        <f t="shared" si="93"/>
        <v>Late</v>
      </c>
      <c r="S986">
        <f t="shared" si="94"/>
        <v>2021</v>
      </c>
      <c r="T986">
        <f t="shared" si="95"/>
        <v>10</v>
      </c>
    </row>
    <row r="987" spans="1:20" x14ac:dyDescent="0.25">
      <c r="A987" t="s">
        <v>1293</v>
      </c>
      <c r="B987" t="s">
        <v>198</v>
      </c>
      <c r="C987" t="s">
        <v>881</v>
      </c>
      <c r="D987" s="1">
        <v>44872</v>
      </c>
      <c r="E987">
        <v>9</v>
      </c>
      <c r="F987">
        <v>49.255717471326001</v>
      </c>
      <c r="G987" s="1">
        <v>44887</v>
      </c>
      <c r="H987" s="1">
        <v>44885</v>
      </c>
      <c r="I987">
        <v>443.30145724193397</v>
      </c>
      <c r="J987">
        <f t="shared" si="90"/>
        <v>-2</v>
      </c>
      <c r="K987" t="str">
        <f>VLOOKUP(B987,Raw_Suppliers!$A$2:$G$101,2,FALSE)</f>
        <v>Gamma Vertex Corp</v>
      </c>
      <c r="L987" t="str">
        <f>VLOOKUP(B987,Raw_Suppliers!$A$2:$G$101,3,FALSE)</f>
        <v>Denmark</v>
      </c>
      <c r="M987" t="str">
        <f>VLOOKUP(B987,Raw_Suppliers!$A$2:$G$101,4,FALSE)</f>
        <v>South</v>
      </c>
      <c r="N987" t="str">
        <f>VLOOKUP(B987,Raw_Suppliers!$A$2:$G$101,6,FALSE)</f>
        <v>None</v>
      </c>
      <c r="O987">
        <f>VLOOKUP(B987,Raw_Suppliers!$A$2:$G$101,7,FALSE)</f>
        <v>1</v>
      </c>
      <c r="P987" t="str">
        <f t="shared" si="91"/>
        <v>Yes</v>
      </c>
      <c r="Q987">
        <f t="shared" si="92"/>
        <v>1</v>
      </c>
      <c r="R987" t="str">
        <f t="shared" si="93"/>
        <v>On Time</v>
      </c>
      <c r="S987">
        <f t="shared" si="94"/>
        <v>2022</v>
      </c>
      <c r="T987">
        <f t="shared" si="95"/>
        <v>11</v>
      </c>
    </row>
    <row r="988" spans="1:20" x14ac:dyDescent="0.25">
      <c r="A988" t="s">
        <v>1294</v>
      </c>
      <c r="B988" t="s">
        <v>578</v>
      </c>
      <c r="C988" t="s">
        <v>128</v>
      </c>
      <c r="D988" s="1">
        <v>45174</v>
      </c>
      <c r="E988">
        <v>11</v>
      </c>
      <c r="F988">
        <v>34.954595770768002</v>
      </c>
      <c r="G988" s="1">
        <v>45189</v>
      </c>
      <c r="H988" s="1">
        <v>45195</v>
      </c>
      <c r="I988">
        <v>384.50055347844801</v>
      </c>
      <c r="J988">
        <f t="shared" si="90"/>
        <v>6</v>
      </c>
      <c r="K988" t="str">
        <f>VLOOKUP(B988,Raw_Suppliers!$A$2:$G$101,2,FALSE)</f>
        <v>Beta Eco Ltd</v>
      </c>
      <c r="L988" t="str">
        <f>VLOOKUP(B988,Raw_Suppliers!$A$2:$G$101,3,FALSE)</f>
        <v>Canada</v>
      </c>
      <c r="M988" t="str">
        <f>VLOOKUP(B988,Raw_Suppliers!$A$2:$G$101,4,FALSE)</f>
        <v>East</v>
      </c>
      <c r="N988" t="str">
        <f>VLOOKUP(B988,Raw_Suppliers!$A$2:$G$101,6,FALSE)</f>
        <v>None</v>
      </c>
      <c r="O988">
        <f>VLOOKUP(B988,Raw_Suppliers!$A$2:$G$101,7,FALSE)</f>
        <v>0</v>
      </c>
      <c r="P988" t="str">
        <f t="shared" si="91"/>
        <v>No</v>
      </c>
      <c r="Q988">
        <f t="shared" si="92"/>
        <v>0</v>
      </c>
      <c r="R988" t="str">
        <f t="shared" si="93"/>
        <v>Late</v>
      </c>
      <c r="S988">
        <f t="shared" si="94"/>
        <v>2023</v>
      </c>
      <c r="T988">
        <f t="shared" si="95"/>
        <v>9</v>
      </c>
    </row>
    <row r="989" spans="1:20" x14ac:dyDescent="0.25">
      <c r="A989" t="s">
        <v>1295</v>
      </c>
      <c r="B989" t="s">
        <v>70</v>
      </c>
      <c r="C989" t="s">
        <v>587</v>
      </c>
      <c r="D989" s="1">
        <v>45231</v>
      </c>
      <c r="E989">
        <v>13</v>
      </c>
      <c r="F989">
        <v>57.8533377384177</v>
      </c>
      <c r="G989" s="1">
        <v>45255</v>
      </c>
      <c r="H989" s="1">
        <v>45258</v>
      </c>
      <c r="I989">
        <v>752.09339059942999</v>
      </c>
      <c r="J989">
        <f t="shared" si="90"/>
        <v>3</v>
      </c>
      <c r="K989" t="str">
        <f>VLOOKUP(B989,Raw_Suppliers!$A$2:$G$101,2,FALSE)</f>
        <v>Prime Nano Ltd</v>
      </c>
      <c r="L989" t="str">
        <f>VLOOKUP(B989,Raw_Suppliers!$A$2:$G$101,3,FALSE)</f>
        <v>USA</v>
      </c>
      <c r="M989" t="str">
        <f>VLOOKUP(B989,Raw_Suppliers!$A$2:$G$101,4,FALSE)</f>
        <v>Central</v>
      </c>
      <c r="N989" t="str">
        <f>VLOOKUP(B989,Raw_Suppliers!$A$2:$G$101,6,FALSE)</f>
        <v>ISO 45001</v>
      </c>
      <c r="O989">
        <f>VLOOKUP(B989,Raw_Suppliers!$A$2:$G$101,7,FALSE)</f>
        <v>0</v>
      </c>
      <c r="P989" t="str">
        <f t="shared" si="91"/>
        <v>No</v>
      </c>
      <c r="Q989">
        <f t="shared" si="92"/>
        <v>0</v>
      </c>
      <c r="R989" t="str">
        <f t="shared" si="93"/>
        <v>Late</v>
      </c>
      <c r="S989">
        <f t="shared" si="94"/>
        <v>2023</v>
      </c>
      <c r="T989">
        <f t="shared" si="95"/>
        <v>11</v>
      </c>
    </row>
    <row r="990" spans="1:20" x14ac:dyDescent="0.25">
      <c r="A990" t="s">
        <v>1296</v>
      </c>
      <c r="B990" t="s">
        <v>399</v>
      </c>
      <c r="C990" t="s">
        <v>44</v>
      </c>
      <c r="D990" s="1">
        <v>45145</v>
      </c>
      <c r="E990">
        <v>11</v>
      </c>
      <c r="F990">
        <v>32.105452142544998</v>
      </c>
      <c r="G990" s="1">
        <v>45164</v>
      </c>
      <c r="H990" s="1">
        <v>45167</v>
      </c>
      <c r="I990">
        <v>353.159973567995</v>
      </c>
      <c r="J990">
        <f t="shared" si="90"/>
        <v>3</v>
      </c>
      <c r="K990" t="str">
        <f>VLOOKUP(B990,Raw_Suppliers!$A$2:$G$101,2,FALSE)</f>
        <v>Omega Nano Corp</v>
      </c>
      <c r="L990" t="str">
        <f>VLOOKUP(B990,Raw_Suppliers!$A$2:$G$101,3,FALSE)</f>
        <v>Brazil</v>
      </c>
      <c r="M990" t="str">
        <f>VLOOKUP(B990,Raw_Suppliers!$A$2:$G$101,4,FALSE)</f>
        <v>Central</v>
      </c>
      <c r="N990" t="str">
        <f>VLOOKUP(B990,Raw_Suppliers!$A$2:$G$101,6,FALSE)</f>
        <v>ISO 14001</v>
      </c>
      <c r="O990">
        <f>VLOOKUP(B990,Raw_Suppliers!$A$2:$G$101,7,FALSE)</f>
        <v>0</v>
      </c>
      <c r="P990" t="str">
        <f t="shared" si="91"/>
        <v>No</v>
      </c>
      <c r="Q990">
        <f t="shared" si="92"/>
        <v>0</v>
      </c>
      <c r="R990" t="str">
        <f t="shared" si="93"/>
        <v>Late</v>
      </c>
      <c r="S990">
        <f t="shared" si="94"/>
        <v>2023</v>
      </c>
      <c r="T990">
        <f t="shared" si="95"/>
        <v>8</v>
      </c>
    </row>
    <row r="991" spans="1:20" x14ac:dyDescent="0.25">
      <c r="A991" t="s">
        <v>1297</v>
      </c>
      <c r="B991" t="s">
        <v>40</v>
      </c>
      <c r="C991" t="s">
        <v>408</v>
      </c>
      <c r="D991" s="1">
        <v>44501</v>
      </c>
      <c r="E991">
        <v>15</v>
      </c>
      <c r="F991">
        <v>72.554828660664697</v>
      </c>
      <c r="G991" s="1">
        <v>44521</v>
      </c>
      <c r="H991" s="1">
        <v>44525</v>
      </c>
      <c r="I991">
        <v>1088.32242990997</v>
      </c>
      <c r="J991">
        <f t="shared" si="90"/>
        <v>4</v>
      </c>
      <c r="K991" t="str">
        <f>VLOOKUP(B991,Raw_Suppliers!$A$2:$G$101,2,FALSE)</f>
        <v>Ultra Apex Inc</v>
      </c>
      <c r="L991" t="str">
        <f>VLOOKUP(B991,Raw_Suppliers!$A$2:$G$101,3,FALSE)</f>
        <v>India</v>
      </c>
      <c r="M991" t="str">
        <f>VLOOKUP(B991,Raw_Suppliers!$A$2:$G$101,4,FALSE)</f>
        <v>West</v>
      </c>
      <c r="N991" t="str">
        <f>VLOOKUP(B991,Raw_Suppliers!$A$2:$G$101,6,FALSE)</f>
        <v>ISO 9001</v>
      </c>
      <c r="O991">
        <f>VLOOKUP(B991,Raw_Suppliers!$A$2:$G$101,7,FALSE)</f>
        <v>0</v>
      </c>
      <c r="P991" t="str">
        <f t="shared" si="91"/>
        <v>No</v>
      </c>
      <c r="Q991">
        <f t="shared" si="92"/>
        <v>0</v>
      </c>
      <c r="R991" t="str">
        <f t="shared" si="93"/>
        <v>Late</v>
      </c>
      <c r="S991">
        <f t="shared" si="94"/>
        <v>2021</v>
      </c>
      <c r="T991">
        <f t="shared" si="95"/>
        <v>11</v>
      </c>
    </row>
    <row r="992" spans="1:20" x14ac:dyDescent="0.25">
      <c r="A992" t="s">
        <v>1298</v>
      </c>
      <c r="B992" t="s">
        <v>314</v>
      </c>
      <c r="C992" t="s">
        <v>122</v>
      </c>
      <c r="D992" s="1">
        <v>44728</v>
      </c>
      <c r="E992">
        <v>12</v>
      </c>
      <c r="F992">
        <v>63.5711761660164</v>
      </c>
      <c r="G992" s="1">
        <v>44752</v>
      </c>
      <c r="H992" s="1">
        <v>44757</v>
      </c>
      <c r="I992">
        <v>762.85411399219697</v>
      </c>
      <c r="J992">
        <f t="shared" si="90"/>
        <v>5</v>
      </c>
      <c r="K992" t="str">
        <f>VLOOKUP(B992,Raw_Suppliers!$A$2:$G$101,2,FALSE)</f>
        <v>Gamma Nova Ltd</v>
      </c>
      <c r="L992" t="str">
        <f>VLOOKUP(B992,Raw_Suppliers!$A$2:$G$101,3,FALSE)</f>
        <v>USA</v>
      </c>
      <c r="M992" t="str">
        <f>VLOOKUP(B992,Raw_Suppliers!$A$2:$G$101,4,FALSE)</f>
        <v>North</v>
      </c>
      <c r="N992" t="str">
        <f>VLOOKUP(B992,Raw_Suppliers!$A$2:$G$101,6,FALSE)</f>
        <v>ISO 45001</v>
      </c>
      <c r="O992">
        <f>VLOOKUP(B992,Raw_Suppliers!$A$2:$G$101,7,FALSE)</f>
        <v>0</v>
      </c>
      <c r="P992" t="str">
        <f t="shared" si="91"/>
        <v>No</v>
      </c>
      <c r="Q992">
        <f t="shared" si="92"/>
        <v>0</v>
      </c>
      <c r="R992" t="str">
        <f t="shared" si="93"/>
        <v>Late</v>
      </c>
      <c r="S992">
        <f t="shared" si="94"/>
        <v>2022</v>
      </c>
      <c r="T992">
        <f t="shared" si="95"/>
        <v>6</v>
      </c>
    </row>
    <row r="993" spans="1:20" x14ac:dyDescent="0.25">
      <c r="A993" t="s">
        <v>1299</v>
      </c>
      <c r="B993" t="s">
        <v>240</v>
      </c>
      <c r="C993" t="s">
        <v>661</v>
      </c>
      <c r="D993" s="1">
        <v>44886</v>
      </c>
      <c r="E993">
        <v>16</v>
      </c>
      <c r="F993">
        <v>49.4881192903133</v>
      </c>
      <c r="G993" s="1">
        <v>44900</v>
      </c>
      <c r="H993" s="1">
        <v>44905</v>
      </c>
      <c r="I993">
        <v>791.80990864501302</v>
      </c>
      <c r="J993">
        <f t="shared" si="90"/>
        <v>5</v>
      </c>
      <c r="K993" t="str">
        <f>VLOOKUP(B993,Raw_Suppliers!$A$2:$G$101,2,FALSE)</f>
        <v>Apex Omega LLC</v>
      </c>
      <c r="L993" t="str">
        <f>VLOOKUP(B993,Raw_Suppliers!$A$2:$G$101,3,FALSE)</f>
        <v>UK</v>
      </c>
      <c r="M993" t="str">
        <f>VLOOKUP(B993,Raw_Suppliers!$A$2:$G$101,4,FALSE)</f>
        <v>South</v>
      </c>
      <c r="N993" t="str">
        <f>VLOOKUP(B993,Raw_Suppliers!$A$2:$G$101,6,FALSE)</f>
        <v>ISO 9001</v>
      </c>
      <c r="O993">
        <f>VLOOKUP(B993,Raw_Suppliers!$A$2:$G$101,7,FALSE)</f>
        <v>0</v>
      </c>
      <c r="P993" t="str">
        <f t="shared" si="91"/>
        <v>No</v>
      </c>
      <c r="Q993">
        <f t="shared" si="92"/>
        <v>0</v>
      </c>
      <c r="R993" t="str">
        <f t="shared" si="93"/>
        <v>Late</v>
      </c>
      <c r="S993">
        <f t="shared" si="94"/>
        <v>2022</v>
      </c>
      <c r="T993">
        <f t="shared" si="95"/>
        <v>11</v>
      </c>
    </row>
    <row r="994" spans="1:20" x14ac:dyDescent="0.25">
      <c r="A994" t="s">
        <v>1300</v>
      </c>
      <c r="B994" t="s">
        <v>203</v>
      </c>
      <c r="C994" t="s">
        <v>158</v>
      </c>
      <c r="D994" s="1">
        <v>45396</v>
      </c>
      <c r="E994">
        <v>8</v>
      </c>
      <c r="F994">
        <v>27.064873600349401</v>
      </c>
      <c r="G994" s="1">
        <v>45407</v>
      </c>
      <c r="H994" s="1">
        <v>45405</v>
      </c>
      <c r="I994">
        <v>216.51898880279501</v>
      </c>
      <c r="J994">
        <f t="shared" si="90"/>
        <v>-2</v>
      </c>
      <c r="K994" t="str">
        <f>VLOOKUP(B994,Raw_Suppliers!$A$2:$G$101,2,FALSE)</f>
        <v>Nova Eco LLC</v>
      </c>
      <c r="L994" t="str">
        <f>VLOOKUP(B994,Raw_Suppliers!$A$2:$G$101,3,FALSE)</f>
        <v>Denmark</v>
      </c>
      <c r="M994" t="str">
        <f>VLOOKUP(B994,Raw_Suppliers!$A$2:$G$101,4,FALSE)</f>
        <v>South</v>
      </c>
      <c r="N994" t="str">
        <f>VLOOKUP(B994,Raw_Suppliers!$A$2:$G$101,6,FALSE)</f>
        <v>ISO 14001</v>
      </c>
      <c r="O994">
        <f>VLOOKUP(B994,Raw_Suppliers!$A$2:$G$101,7,FALSE)</f>
        <v>0</v>
      </c>
      <c r="P994" t="str">
        <f t="shared" si="91"/>
        <v>No</v>
      </c>
      <c r="Q994">
        <f t="shared" si="92"/>
        <v>1</v>
      </c>
      <c r="R994" t="str">
        <f t="shared" si="93"/>
        <v>On Time</v>
      </c>
      <c r="S994">
        <f t="shared" si="94"/>
        <v>2024</v>
      </c>
      <c r="T994">
        <f t="shared" si="95"/>
        <v>4</v>
      </c>
    </row>
    <row r="995" spans="1:20" x14ac:dyDescent="0.25">
      <c r="A995" t="s">
        <v>1301</v>
      </c>
      <c r="B995" t="s">
        <v>140</v>
      </c>
      <c r="C995" t="s">
        <v>182</v>
      </c>
      <c r="D995" s="1">
        <v>44303</v>
      </c>
      <c r="E995">
        <v>6</v>
      </c>
      <c r="F995">
        <v>72.365387115559798</v>
      </c>
      <c r="G995" s="1">
        <v>44314</v>
      </c>
      <c r="H995" s="1">
        <v>44316</v>
      </c>
      <c r="I995">
        <v>434.19232269335799</v>
      </c>
      <c r="J995">
        <f t="shared" si="90"/>
        <v>2</v>
      </c>
      <c r="K995" t="str">
        <f>VLOOKUP(B995,Raw_Suppliers!$A$2:$G$101,2,FALSE)</f>
        <v>Gamma Quantum Inc</v>
      </c>
      <c r="L995" t="str">
        <f>VLOOKUP(B995,Raw_Suppliers!$A$2:$G$101,3,FALSE)</f>
        <v>Germany</v>
      </c>
      <c r="M995" t="str">
        <f>VLOOKUP(B995,Raw_Suppliers!$A$2:$G$101,4,FALSE)</f>
        <v>North</v>
      </c>
      <c r="N995" t="str">
        <f>VLOOKUP(B995,Raw_Suppliers!$A$2:$G$101,6,FALSE)</f>
        <v>None</v>
      </c>
      <c r="O995">
        <f>VLOOKUP(B995,Raw_Suppliers!$A$2:$G$101,7,FALSE)</f>
        <v>1</v>
      </c>
      <c r="P995" t="str">
        <f t="shared" si="91"/>
        <v>Yes</v>
      </c>
      <c r="Q995">
        <f t="shared" si="92"/>
        <v>0</v>
      </c>
      <c r="R995" t="str">
        <f t="shared" si="93"/>
        <v>Late</v>
      </c>
      <c r="S995">
        <f t="shared" si="94"/>
        <v>2021</v>
      </c>
      <c r="T995">
        <f t="shared" si="95"/>
        <v>4</v>
      </c>
    </row>
    <row r="996" spans="1:20" x14ac:dyDescent="0.25">
      <c r="A996" t="s">
        <v>1302</v>
      </c>
      <c r="B996" t="s">
        <v>99</v>
      </c>
      <c r="C996" t="s">
        <v>53</v>
      </c>
      <c r="D996" s="1">
        <v>44548</v>
      </c>
      <c r="E996">
        <v>9</v>
      </c>
      <c r="F996">
        <v>57.543164695051701</v>
      </c>
      <c r="G996" s="1">
        <v>44565</v>
      </c>
      <c r="H996" s="1">
        <v>44567</v>
      </c>
      <c r="I996">
        <v>517.88848225546599</v>
      </c>
      <c r="J996">
        <f t="shared" si="90"/>
        <v>2</v>
      </c>
      <c r="K996" t="str">
        <f>VLOOKUP(B996,Raw_Suppliers!$A$2:$G$101,2,FALSE)</f>
        <v>Gamma Nova LLC</v>
      </c>
      <c r="L996" t="str">
        <f>VLOOKUP(B996,Raw_Suppliers!$A$2:$G$101,3,FALSE)</f>
        <v>USA</v>
      </c>
      <c r="M996" t="str">
        <f>VLOOKUP(B996,Raw_Suppliers!$A$2:$G$101,4,FALSE)</f>
        <v>North</v>
      </c>
      <c r="N996" t="str">
        <f>VLOOKUP(B996,Raw_Suppliers!$A$2:$G$101,6,FALSE)</f>
        <v>ISO 9001</v>
      </c>
      <c r="O996">
        <f>VLOOKUP(B996,Raw_Suppliers!$A$2:$G$101,7,FALSE)</f>
        <v>0</v>
      </c>
      <c r="P996" t="str">
        <f t="shared" si="91"/>
        <v>No</v>
      </c>
      <c r="Q996">
        <f t="shared" si="92"/>
        <v>0</v>
      </c>
      <c r="R996" t="str">
        <f t="shared" si="93"/>
        <v>Late</v>
      </c>
      <c r="S996">
        <f t="shared" si="94"/>
        <v>2021</v>
      </c>
      <c r="T996">
        <f t="shared" si="95"/>
        <v>12</v>
      </c>
    </row>
    <row r="997" spans="1:20" x14ac:dyDescent="0.25">
      <c r="A997" t="s">
        <v>1303</v>
      </c>
      <c r="B997" t="s">
        <v>143</v>
      </c>
      <c r="C997" t="s">
        <v>56</v>
      </c>
      <c r="D997" s="1">
        <v>45386</v>
      </c>
      <c r="E997">
        <v>7</v>
      </c>
      <c r="F997">
        <v>63.874835014399402</v>
      </c>
      <c r="G997" s="1">
        <v>45397</v>
      </c>
      <c r="H997" s="1">
        <v>45402</v>
      </c>
      <c r="I997">
        <v>447.12384510079602</v>
      </c>
      <c r="J997">
        <f t="shared" si="90"/>
        <v>5</v>
      </c>
      <c r="K997" t="str">
        <f>VLOOKUP(B997,Raw_Suppliers!$A$2:$G$101,2,FALSE)</f>
        <v>Prime Gamma Inc</v>
      </c>
      <c r="L997" t="str">
        <f>VLOOKUP(B997,Raw_Suppliers!$A$2:$G$101,3,FALSE)</f>
        <v>China</v>
      </c>
      <c r="M997" t="str">
        <f>VLOOKUP(B997,Raw_Suppliers!$A$2:$G$101,4,FALSE)</f>
        <v>East</v>
      </c>
      <c r="N997" t="str">
        <f>VLOOKUP(B997,Raw_Suppliers!$A$2:$G$101,6,FALSE)</f>
        <v>ISO 14001</v>
      </c>
      <c r="O997">
        <f>VLOOKUP(B997,Raw_Suppliers!$A$2:$G$101,7,FALSE)</f>
        <v>0</v>
      </c>
      <c r="P997" t="str">
        <f t="shared" si="91"/>
        <v>No</v>
      </c>
      <c r="Q997">
        <f t="shared" si="92"/>
        <v>0</v>
      </c>
      <c r="R997" t="str">
        <f t="shared" si="93"/>
        <v>Late</v>
      </c>
      <c r="S997">
        <f t="shared" si="94"/>
        <v>2024</v>
      </c>
      <c r="T997">
        <f t="shared" si="95"/>
        <v>4</v>
      </c>
    </row>
    <row r="998" spans="1:20" x14ac:dyDescent="0.25">
      <c r="A998" t="s">
        <v>1304</v>
      </c>
      <c r="B998" t="s">
        <v>293</v>
      </c>
      <c r="C998" t="s">
        <v>581</v>
      </c>
      <c r="D998" s="1">
        <v>45172</v>
      </c>
      <c r="E998">
        <v>12</v>
      </c>
      <c r="F998">
        <v>66.816229257996397</v>
      </c>
      <c r="G998" s="1">
        <v>45189</v>
      </c>
      <c r="H998" s="1">
        <v>45190</v>
      </c>
      <c r="I998">
        <v>801.79475109595705</v>
      </c>
      <c r="J998">
        <f t="shared" si="90"/>
        <v>1</v>
      </c>
      <c r="K998" t="str">
        <f>VLOOKUP(B998,Raw_Suppliers!$A$2:$G$101,2,FALSE)</f>
        <v>Fusion Apex LLC</v>
      </c>
      <c r="L998" t="str">
        <f>VLOOKUP(B998,Raw_Suppliers!$A$2:$G$101,3,FALSE)</f>
        <v>India</v>
      </c>
      <c r="M998" t="str">
        <f>VLOOKUP(B998,Raw_Suppliers!$A$2:$G$101,4,FALSE)</f>
        <v>Central</v>
      </c>
      <c r="N998" t="str">
        <f>VLOOKUP(B998,Raw_Suppliers!$A$2:$G$101,6,FALSE)</f>
        <v>ISO 14001</v>
      </c>
      <c r="O998">
        <f>VLOOKUP(B998,Raw_Suppliers!$A$2:$G$101,7,FALSE)</f>
        <v>1</v>
      </c>
      <c r="P998" t="str">
        <f t="shared" si="91"/>
        <v>Yes</v>
      </c>
      <c r="Q998">
        <f t="shared" si="92"/>
        <v>0</v>
      </c>
      <c r="R998" t="str">
        <f t="shared" si="93"/>
        <v>Late</v>
      </c>
      <c r="S998">
        <f t="shared" si="94"/>
        <v>2023</v>
      </c>
      <c r="T998">
        <f t="shared" si="95"/>
        <v>9</v>
      </c>
    </row>
    <row r="999" spans="1:20" x14ac:dyDescent="0.25">
      <c r="A999" t="s">
        <v>1305</v>
      </c>
      <c r="B999" t="s">
        <v>247</v>
      </c>
      <c r="C999" t="s">
        <v>385</v>
      </c>
      <c r="D999" s="1">
        <v>45154</v>
      </c>
      <c r="E999">
        <v>19</v>
      </c>
      <c r="F999">
        <v>33.004088964093</v>
      </c>
      <c r="G999" s="1">
        <v>45172</v>
      </c>
      <c r="H999" s="1">
        <v>45169</v>
      </c>
      <c r="I999">
        <v>627.07769031776797</v>
      </c>
      <c r="J999">
        <f t="shared" si="90"/>
        <v>-3</v>
      </c>
      <c r="K999" t="str">
        <f>VLOOKUP(B999,Raw_Suppliers!$A$2:$G$101,2,FALSE)</f>
        <v>Ultra Apex LLC</v>
      </c>
      <c r="L999" t="str">
        <f>VLOOKUP(B999,Raw_Suppliers!$A$2:$G$101,3,FALSE)</f>
        <v>Germany</v>
      </c>
      <c r="M999" t="str">
        <f>VLOOKUP(B999,Raw_Suppliers!$A$2:$G$101,4,FALSE)</f>
        <v>West</v>
      </c>
      <c r="N999" t="str">
        <f>VLOOKUP(B999,Raw_Suppliers!$A$2:$G$101,6,FALSE)</f>
        <v>ISO 9001</v>
      </c>
      <c r="O999">
        <f>VLOOKUP(B999,Raw_Suppliers!$A$2:$G$101,7,FALSE)</f>
        <v>0</v>
      </c>
      <c r="P999" t="str">
        <f t="shared" si="91"/>
        <v>No</v>
      </c>
      <c r="Q999">
        <f t="shared" si="92"/>
        <v>1</v>
      </c>
      <c r="R999" t="str">
        <f t="shared" si="93"/>
        <v>On Time</v>
      </c>
      <c r="S999">
        <f t="shared" si="94"/>
        <v>2023</v>
      </c>
      <c r="T999">
        <f t="shared" si="95"/>
        <v>8</v>
      </c>
    </row>
    <row r="1000" spans="1:20" x14ac:dyDescent="0.25">
      <c r="A1000" t="s">
        <v>1306</v>
      </c>
      <c r="B1000" t="s">
        <v>46</v>
      </c>
      <c r="C1000" t="s">
        <v>210</v>
      </c>
      <c r="D1000" s="1">
        <v>45258</v>
      </c>
      <c r="E1000">
        <v>9</v>
      </c>
      <c r="F1000">
        <v>35.535035457771599</v>
      </c>
      <c r="G1000" s="1">
        <v>45275</v>
      </c>
      <c r="H1000" s="1">
        <v>45280</v>
      </c>
      <c r="I1000">
        <v>319.81531911994398</v>
      </c>
      <c r="J1000">
        <f t="shared" si="90"/>
        <v>5</v>
      </c>
      <c r="K1000" t="str">
        <f>VLOOKUP(B1000,Raw_Suppliers!$A$2:$G$101,2,FALSE)</f>
        <v>Prime Prime Inc</v>
      </c>
      <c r="L1000" t="str">
        <f>VLOOKUP(B1000,Raw_Suppliers!$A$2:$G$101,3,FALSE)</f>
        <v>UK</v>
      </c>
      <c r="M1000" t="str">
        <f>VLOOKUP(B1000,Raw_Suppliers!$A$2:$G$101,4,FALSE)</f>
        <v>South</v>
      </c>
      <c r="N1000" t="str">
        <f>VLOOKUP(B1000,Raw_Suppliers!$A$2:$G$101,6,FALSE)</f>
        <v>None</v>
      </c>
      <c r="O1000">
        <f>VLOOKUP(B1000,Raw_Suppliers!$A$2:$G$101,7,FALSE)</f>
        <v>1</v>
      </c>
      <c r="P1000" t="str">
        <f t="shared" si="91"/>
        <v>Yes</v>
      </c>
      <c r="Q1000">
        <f t="shared" si="92"/>
        <v>0</v>
      </c>
      <c r="R1000" t="str">
        <f t="shared" si="93"/>
        <v>Late</v>
      </c>
      <c r="S1000">
        <f t="shared" si="94"/>
        <v>2023</v>
      </c>
      <c r="T1000">
        <f t="shared" si="95"/>
        <v>11</v>
      </c>
    </row>
    <row r="1001" spans="1:20" x14ac:dyDescent="0.25">
      <c r="A1001" t="s">
        <v>1307</v>
      </c>
      <c r="B1001" t="s">
        <v>207</v>
      </c>
      <c r="C1001" t="s">
        <v>32</v>
      </c>
      <c r="D1001" s="1">
        <v>44301</v>
      </c>
      <c r="E1001">
        <v>5</v>
      </c>
      <c r="F1001">
        <v>26.5713504170104</v>
      </c>
      <c r="G1001" s="1">
        <v>44313</v>
      </c>
      <c r="H1001" s="1">
        <v>44319</v>
      </c>
      <c r="I1001">
        <v>132.85675208505199</v>
      </c>
      <c r="J1001">
        <f t="shared" si="90"/>
        <v>6</v>
      </c>
      <c r="K1001" t="str">
        <f>VLOOKUP(B1001,Raw_Suppliers!$A$2:$G$101,2,FALSE)</f>
        <v>Nova Alpha Ltd</v>
      </c>
      <c r="L1001" t="str">
        <f>VLOOKUP(B1001,Raw_Suppliers!$A$2:$G$101,3,FALSE)</f>
        <v>India</v>
      </c>
      <c r="M1001" t="str">
        <f>VLOOKUP(B1001,Raw_Suppliers!$A$2:$G$101,4,FALSE)</f>
        <v>East</v>
      </c>
      <c r="N1001" t="str">
        <f>VLOOKUP(B1001,Raw_Suppliers!$A$2:$G$101,6,FALSE)</f>
        <v>ISO 9001</v>
      </c>
      <c r="O1001">
        <f>VLOOKUP(B1001,Raw_Suppliers!$A$2:$G$101,7,FALSE)</f>
        <v>0</v>
      </c>
      <c r="P1001" t="str">
        <f t="shared" si="91"/>
        <v>No</v>
      </c>
      <c r="Q1001">
        <f t="shared" si="92"/>
        <v>0</v>
      </c>
      <c r="R1001" t="str">
        <f t="shared" si="93"/>
        <v>Late</v>
      </c>
      <c r="S1001">
        <f t="shared" si="94"/>
        <v>2021</v>
      </c>
      <c r="T1001">
        <f t="shared" si="95"/>
        <v>4</v>
      </c>
    </row>
    <row r="1002" spans="1:20" x14ac:dyDescent="0.25">
      <c r="A1002" t="s">
        <v>1308</v>
      </c>
      <c r="B1002" t="s">
        <v>314</v>
      </c>
      <c r="C1002" t="s">
        <v>29</v>
      </c>
      <c r="D1002" s="1">
        <v>44800</v>
      </c>
      <c r="E1002">
        <v>7</v>
      </c>
      <c r="F1002">
        <v>10.232052228980701</v>
      </c>
      <c r="G1002" s="1">
        <v>44814</v>
      </c>
      <c r="H1002" s="1">
        <v>44811</v>
      </c>
      <c r="I1002">
        <v>71.624365602864998</v>
      </c>
      <c r="J1002">
        <f t="shared" si="90"/>
        <v>-3</v>
      </c>
      <c r="K1002" t="str">
        <f>VLOOKUP(B1002,Raw_Suppliers!$A$2:$G$101,2,FALSE)</f>
        <v>Gamma Nova Ltd</v>
      </c>
      <c r="L1002" t="str">
        <f>VLOOKUP(B1002,Raw_Suppliers!$A$2:$G$101,3,FALSE)</f>
        <v>USA</v>
      </c>
      <c r="M1002" t="str">
        <f>VLOOKUP(B1002,Raw_Suppliers!$A$2:$G$101,4,FALSE)</f>
        <v>North</v>
      </c>
      <c r="N1002" t="str">
        <f>VLOOKUP(B1002,Raw_Suppliers!$A$2:$G$101,6,FALSE)</f>
        <v>ISO 45001</v>
      </c>
      <c r="O1002">
        <f>VLOOKUP(B1002,Raw_Suppliers!$A$2:$G$101,7,FALSE)</f>
        <v>0</v>
      </c>
      <c r="P1002" t="str">
        <f t="shared" si="91"/>
        <v>No</v>
      </c>
      <c r="Q1002">
        <f t="shared" si="92"/>
        <v>1</v>
      </c>
      <c r="R1002" t="str">
        <f t="shared" si="93"/>
        <v>On Time</v>
      </c>
      <c r="S1002">
        <f t="shared" si="94"/>
        <v>2022</v>
      </c>
      <c r="T1002">
        <f t="shared" si="95"/>
        <v>8</v>
      </c>
    </row>
    <row r="1003" spans="1:20" x14ac:dyDescent="0.25">
      <c r="A1003" t="s">
        <v>1309</v>
      </c>
      <c r="B1003" t="s">
        <v>73</v>
      </c>
      <c r="C1003" t="s">
        <v>338</v>
      </c>
      <c r="D1003" s="1">
        <v>44294</v>
      </c>
      <c r="E1003">
        <v>6</v>
      </c>
      <c r="F1003">
        <v>62.285291743891399</v>
      </c>
      <c r="G1003" s="1">
        <v>44308</v>
      </c>
      <c r="H1003" s="1">
        <v>44306</v>
      </c>
      <c r="I1003">
        <v>373.71175046334798</v>
      </c>
      <c r="J1003">
        <f t="shared" si="90"/>
        <v>-2</v>
      </c>
      <c r="K1003" t="str">
        <f>VLOOKUP(B1003,Raw_Suppliers!$A$2:$G$101,2,FALSE)</f>
        <v>Gamma Quantum LLC</v>
      </c>
      <c r="L1003" t="str">
        <f>VLOOKUP(B1003,Raw_Suppliers!$A$2:$G$101,3,FALSE)</f>
        <v>Germany</v>
      </c>
      <c r="M1003" t="str">
        <f>VLOOKUP(B1003,Raw_Suppliers!$A$2:$G$101,4,FALSE)</f>
        <v>Central</v>
      </c>
      <c r="N1003" t="str">
        <f>VLOOKUP(B1003,Raw_Suppliers!$A$2:$G$101,6,FALSE)</f>
        <v>ISO 9001</v>
      </c>
      <c r="O1003">
        <f>VLOOKUP(B1003,Raw_Suppliers!$A$2:$G$101,7,FALSE)</f>
        <v>1</v>
      </c>
      <c r="P1003" t="str">
        <f t="shared" si="91"/>
        <v>Yes</v>
      </c>
      <c r="Q1003">
        <f t="shared" si="92"/>
        <v>1</v>
      </c>
      <c r="R1003" t="str">
        <f t="shared" si="93"/>
        <v>On Time</v>
      </c>
      <c r="S1003">
        <f t="shared" si="94"/>
        <v>2021</v>
      </c>
      <c r="T1003">
        <f t="shared" si="95"/>
        <v>4</v>
      </c>
    </row>
    <row r="1004" spans="1:20" x14ac:dyDescent="0.25">
      <c r="A1004" t="s">
        <v>1310</v>
      </c>
      <c r="B1004" t="s">
        <v>179</v>
      </c>
      <c r="C1004" t="s">
        <v>571</v>
      </c>
      <c r="D1004" s="1">
        <v>45271</v>
      </c>
      <c r="E1004">
        <v>12</v>
      </c>
      <c r="F1004">
        <v>9.0736348065530805</v>
      </c>
      <c r="G1004" s="1">
        <v>45289</v>
      </c>
      <c r="H1004" s="1">
        <v>45288</v>
      </c>
      <c r="I1004">
        <v>108.88361767863699</v>
      </c>
      <c r="J1004">
        <f t="shared" si="90"/>
        <v>-1</v>
      </c>
      <c r="K1004" t="str">
        <f>VLOOKUP(B1004,Raw_Suppliers!$A$2:$G$101,2,FALSE)</f>
        <v>Nova Gamma Ltd</v>
      </c>
      <c r="L1004" t="str">
        <f>VLOOKUP(B1004,Raw_Suppliers!$A$2:$G$101,3,FALSE)</f>
        <v>Denmark</v>
      </c>
      <c r="M1004" t="str">
        <f>VLOOKUP(B1004,Raw_Suppliers!$A$2:$G$101,4,FALSE)</f>
        <v>East</v>
      </c>
      <c r="N1004" t="str">
        <f>VLOOKUP(B1004,Raw_Suppliers!$A$2:$G$101,6,FALSE)</f>
        <v>ISO 9001</v>
      </c>
      <c r="O1004">
        <f>VLOOKUP(B1004,Raw_Suppliers!$A$2:$G$101,7,FALSE)</f>
        <v>0</v>
      </c>
      <c r="P1004" t="str">
        <f t="shared" si="91"/>
        <v>No</v>
      </c>
      <c r="Q1004">
        <f t="shared" si="92"/>
        <v>1</v>
      </c>
      <c r="R1004" t="str">
        <f t="shared" si="93"/>
        <v>On Time</v>
      </c>
      <c r="S1004">
        <f t="shared" si="94"/>
        <v>2023</v>
      </c>
      <c r="T1004">
        <f t="shared" si="95"/>
        <v>12</v>
      </c>
    </row>
    <row r="1005" spans="1:20" x14ac:dyDescent="0.25">
      <c r="A1005" t="s">
        <v>1311</v>
      </c>
      <c r="B1005" t="s">
        <v>52</v>
      </c>
      <c r="C1005" t="s">
        <v>270</v>
      </c>
      <c r="D1005" s="1">
        <v>44759</v>
      </c>
      <c r="E1005">
        <v>8</v>
      </c>
      <c r="F1005">
        <v>11.6338541868392</v>
      </c>
      <c r="G1005" s="1">
        <v>44782</v>
      </c>
      <c r="H1005" s="1">
        <v>44781</v>
      </c>
      <c r="I1005">
        <v>93.070833494713995</v>
      </c>
      <c r="J1005">
        <f t="shared" si="90"/>
        <v>-1</v>
      </c>
      <c r="K1005" t="str">
        <f>VLOOKUP(B1005,Raw_Suppliers!$A$2:$G$101,2,FALSE)</f>
        <v>Beta Nano Corp</v>
      </c>
      <c r="L1005" t="str">
        <f>VLOOKUP(B1005,Raw_Suppliers!$A$2:$G$101,3,FALSE)</f>
        <v>UK</v>
      </c>
      <c r="M1005" t="str">
        <f>VLOOKUP(B1005,Raw_Suppliers!$A$2:$G$101,4,FALSE)</f>
        <v>Central</v>
      </c>
      <c r="N1005" t="str">
        <f>VLOOKUP(B1005,Raw_Suppliers!$A$2:$G$101,6,FALSE)</f>
        <v>ISO 45001</v>
      </c>
      <c r="O1005">
        <f>VLOOKUP(B1005,Raw_Suppliers!$A$2:$G$101,7,FALSE)</f>
        <v>0</v>
      </c>
      <c r="P1005" t="str">
        <f t="shared" si="91"/>
        <v>No</v>
      </c>
      <c r="Q1005">
        <f t="shared" si="92"/>
        <v>1</v>
      </c>
      <c r="R1005" t="str">
        <f t="shared" si="93"/>
        <v>On Time</v>
      </c>
      <c r="S1005">
        <f t="shared" si="94"/>
        <v>2022</v>
      </c>
      <c r="T1005">
        <f t="shared" si="95"/>
        <v>7</v>
      </c>
    </row>
    <row r="1006" spans="1:20" x14ac:dyDescent="0.25">
      <c r="A1006" t="s">
        <v>1312</v>
      </c>
      <c r="B1006" t="s">
        <v>399</v>
      </c>
      <c r="C1006" t="s">
        <v>336</v>
      </c>
      <c r="D1006" s="1">
        <v>44850</v>
      </c>
      <c r="E1006">
        <v>9</v>
      </c>
      <c r="F1006">
        <v>73.245708258285902</v>
      </c>
      <c r="G1006" s="1">
        <v>44867</v>
      </c>
      <c r="H1006" s="1">
        <v>44867</v>
      </c>
      <c r="I1006">
        <v>659.21137432457294</v>
      </c>
      <c r="J1006">
        <f t="shared" si="90"/>
        <v>0</v>
      </c>
      <c r="K1006" t="str">
        <f>VLOOKUP(B1006,Raw_Suppliers!$A$2:$G$101,2,FALSE)</f>
        <v>Omega Nano Corp</v>
      </c>
      <c r="L1006" t="str">
        <f>VLOOKUP(B1006,Raw_Suppliers!$A$2:$G$101,3,FALSE)</f>
        <v>Brazil</v>
      </c>
      <c r="M1006" t="str">
        <f>VLOOKUP(B1006,Raw_Suppliers!$A$2:$G$101,4,FALSE)</f>
        <v>Central</v>
      </c>
      <c r="N1006" t="str">
        <f>VLOOKUP(B1006,Raw_Suppliers!$A$2:$G$101,6,FALSE)</f>
        <v>ISO 14001</v>
      </c>
      <c r="O1006">
        <f>VLOOKUP(B1006,Raw_Suppliers!$A$2:$G$101,7,FALSE)</f>
        <v>0</v>
      </c>
      <c r="P1006" t="str">
        <f t="shared" si="91"/>
        <v>No</v>
      </c>
      <c r="Q1006">
        <f t="shared" si="92"/>
        <v>1</v>
      </c>
      <c r="R1006" t="str">
        <f t="shared" si="93"/>
        <v>On Time</v>
      </c>
      <c r="S1006">
        <f t="shared" si="94"/>
        <v>2022</v>
      </c>
      <c r="T1006">
        <f t="shared" si="95"/>
        <v>10</v>
      </c>
    </row>
    <row r="1007" spans="1:20" x14ac:dyDescent="0.25">
      <c r="A1007" t="s">
        <v>1313</v>
      </c>
      <c r="B1007" t="s">
        <v>485</v>
      </c>
      <c r="C1007" t="s">
        <v>818</v>
      </c>
      <c r="D1007" s="1">
        <v>45324</v>
      </c>
      <c r="E1007">
        <v>14</v>
      </c>
      <c r="F1007">
        <v>32.437101445497099</v>
      </c>
      <c r="G1007" s="1">
        <v>45343</v>
      </c>
      <c r="H1007" s="1">
        <v>45347</v>
      </c>
      <c r="I1007">
        <v>454.11942023696002</v>
      </c>
      <c r="J1007">
        <f t="shared" si="90"/>
        <v>4</v>
      </c>
      <c r="K1007" t="str">
        <f>VLOOKUP(B1007,Raw_Suppliers!$A$2:$G$101,2,FALSE)</f>
        <v>Ultra Quantum Ltd</v>
      </c>
      <c r="L1007" t="str">
        <f>VLOOKUP(B1007,Raw_Suppliers!$A$2:$G$101,3,FALSE)</f>
        <v>Canada</v>
      </c>
      <c r="M1007" t="str">
        <f>VLOOKUP(B1007,Raw_Suppliers!$A$2:$G$101,4,FALSE)</f>
        <v>North</v>
      </c>
      <c r="N1007" t="str">
        <f>VLOOKUP(B1007,Raw_Suppliers!$A$2:$G$101,6,FALSE)</f>
        <v>ISO 14001</v>
      </c>
      <c r="O1007">
        <f>VLOOKUP(B1007,Raw_Suppliers!$A$2:$G$101,7,FALSE)</f>
        <v>0</v>
      </c>
      <c r="P1007" t="str">
        <f t="shared" si="91"/>
        <v>No</v>
      </c>
      <c r="Q1007">
        <f t="shared" si="92"/>
        <v>0</v>
      </c>
      <c r="R1007" t="str">
        <f t="shared" si="93"/>
        <v>Late</v>
      </c>
      <c r="S1007">
        <f t="shared" si="94"/>
        <v>2024</v>
      </c>
      <c r="T1007">
        <f t="shared" si="95"/>
        <v>2</v>
      </c>
    </row>
    <row r="1008" spans="1:20" x14ac:dyDescent="0.25">
      <c r="A1008" t="s">
        <v>1314</v>
      </c>
      <c r="B1008" t="s">
        <v>179</v>
      </c>
      <c r="C1008" t="s">
        <v>610</v>
      </c>
      <c r="D1008" s="1">
        <v>44513</v>
      </c>
      <c r="E1008">
        <v>12</v>
      </c>
      <c r="F1008">
        <v>79.195706651207701</v>
      </c>
      <c r="G1008" s="1">
        <v>44527</v>
      </c>
      <c r="H1008" s="1">
        <v>44530</v>
      </c>
      <c r="I1008">
        <v>950.34847981449195</v>
      </c>
      <c r="J1008">
        <f t="shared" si="90"/>
        <v>3</v>
      </c>
      <c r="K1008" t="str">
        <f>VLOOKUP(B1008,Raw_Suppliers!$A$2:$G$101,2,FALSE)</f>
        <v>Nova Gamma Ltd</v>
      </c>
      <c r="L1008" t="str">
        <f>VLOOKUP(B1008,Raw_Suppliers!$A$2:$G$101,3,FALSE)</f>
        <v>Denmark</v>
      </c>
      <c r="M1008" t="str">
        <f>VLOOKUP(B1008,Raw_Suppliers!$A$2:$G$101,4,FALSE)</f>
        <v>East</v>
      </c>
      <c r="N1008" t="str">
        <f>VLOOKUP(B1008,Raw_Suppliers!$A$2:$G$101,6,FALSE)</f>
        <v>ISO 9001</v>
      </c>
      <c r="O1008">
        <f>VLOOKUP(B1008,Raw_Suppliers!$A$2:$G$101,7,FALSE)</f>
        <v>0</v>
      </c>
      <c r="P1008" t="str">
        <f t="shared" si="91"/>
        <v>No</v>
      </c>
      <c r="Q1008">
        <f t="shared" si="92"/>
        <v>0</v>
      </c>
      <c r="R1008" t="str">
        <f t="shared" si="93"/>
        <v>Late</v>
      </c>
      <c r="S1008">
        <f t="shared" si="94"/>
        <v>2021</v>
      </c>
      <c r="T1008">
        <f t="shared" si="95"/>
        <v>11</v>
      </c>
    </row>
    <row r="1009" spans="1:20" x14ac:dyDescent="0.25">
      <c r="A1009" t="s">
        <v>1315</v>
      </c>
      <c r="B1009" t="s">
        <v>256</v>
      </c>
      <c r="C1009" t="s">
        <v>425</v>
      </c>
      <c r="D1009" s="1">
        <v>44883</v>
      </c>
      <c r="E1009">
        <v>13</v>
      </c>
      <c r="F1009">
        <v>56.739270729474597</v>
      </c>
      <c r="G1009" s="1">
        <v>44900</v>
      </c>
      <c r="H1009" s="1">
        <v>44900</v>
      </c>
      <c r="I1009">
        <v>737.61051948317004</v>
      </c>
      <c r="J1009">
        <f t="shared" si="90"/>
        <v>0</v>
      </c>
      <c r="K1009" t="str">
        <f>VLOOKUP(B1009,Raw_Suppliers!$A$2:$G$101,2,FALSE)</f>
        <v>Apex Eco Ltd</v>
      </c>
      <c r="L1009" t="str">
        <f>VLOOKUP(B1009,Raw_Suppliers!$A$2:$G$101,3,FALSE)</f>
        <v>USA</v>
      </c>
      <c r="M1009" t="str">
        <f>VLOOKUP(B1009,Raw_Suppliers!$A$2:$G$101,4,FALSE)</f>
        <v>North</v>
      </c>
      <c r="N1009" t="str">
        <f>VLOOKUP(B1009,Raw_Suppliers!$A$2:$G$101,6,FALSE)</f>
        <v>ISO 45001</v>
      </c>
      <c r="O1009">
        <f>VLOOKUP(B1009,Raw_Suppliers!$A$2:$G$101,7,FALSE)</f>
        <v>0</v>
      </c>
      <c r="P1009" t="str">
        <f t="shared" si="91"/>
        <v>No</v>
      </c>
      <c r="Q1009">
        <f t="shared" si="92"/>
        <v>1</v>
      </c>
      <c r="R1009" t="str">
        <f t="shared" si="93"/>
        <v>On Time</v>
      </c>
      <c r="S1009">
        <f t="shared" si="94"/>
        <v>2022</v>
      </c>
      <c r="T1009">
        <f t="shared" si="95"/>
        <v>11</v>
      </c>
    </row>
    <row r="1010" spans="1:20" x14ac:dyDescent="0.25">
      <c r="A1010" t="s">
        <v>1316</v>
      </c>
      <c r="B1010" t="s">
        <v>314</v>
      </c>
      <c r="C1010" t="s">
        <v>527</v>
      </c>
      <c r="D1010" s="1">
        <v>44478</v>
      </c>
      <c r="E1010">
        <v>12</v>
      </c>
      <c r="F1010">
        <v>54.467645190239402</v>
      </c>
      <c r="G1010" s="1">
        <v>44489</v>
      </c>
      <c r="H1010" s="1">
        <v>44487</v>
      </c>
      <c r="I1010">
        <v>653.611742282872</v>
      </c>
      <c r="J1010">
        <f t="shared" si="90"/>
        <v>-2</v>
      </c>
      <c r="K1010" t="str">
        <f>VLOOKUP(B1010,Raw_Suppliers!$A$2:$G$101,2,FALSE)</f>
        <v>Gamma Nova Ltd</v>
      </c>
      <c r="L1010" t="str">
        <f>VLOOKUP(B1010,Raw_Suppliers!$A$2:$G$101,3,FALSE)</f>
        <v>USA</v>
      </c>
      <c r="M1010" t="str">
        <f>VLOOKUP(B1010,Raw_Suppliers!$A$2:$G$101,4,FALSE)</f>
        <v>North</v>
      </c>
      <c r="N1010" t="str">
        <f>VLOOKUP(B1010,Raw_Suppliers!$A$2:$G$101,6,FALSE)</f>
        <v>ISO 45001</v>
      </c>
      <c r="O1010">
        <f>VLOOKUP(B1010,Raw_Suppliers!$A$2:$G$101,7,FALSE)</f>
        <v>0</v>
      </c>
      <c r="P1010" t="str">
        <f t="shared" si="91"/>
        <v>No</v>
      </c>
      <c r="Q1010">
        <f t="shared" si="92"/>
        <v>1</v>
      </c>
      <c r="R1010" t="str">
        <f t="shared" si="93"/>
        <v>On Time</v>
      </c>
      <c r="S1010">
        <f t="shared" si="94"/>
        <v>2021</v>
      </c>
      <c r="T1010">
        <f t="shared" si="95"/>
        <v>10</v>
      </c>
    </row>
    <row r="1011" spans="1:20" x14ac:dyDescent="0.25">
      <c r="A1011" t="s">
        <v>1317</v>
      </c>
      <c r="B1011" t="s">
        <v>314</v>
      </c>
      <c r="C1011" t="s">
        <v>110</v>
      </c>
      <c r="D1011" s="1">
        <v>44822</v>
      </c>
      <c r="E1011">
        <v>9</v>
      </c>
      <c r="F1011">
        <v>73.520917654635696</v>
      </c>
      <c r="G1011" s="1">
        <v>44839</v>
      </c>
      <c r="H1011" s="1">
        <v>44844</v>
      </c>
      <c r="I1011">
        <v>661.68825889172103</v>
      </c>
      <c r="J1011">
        <f t="shared" si="90"/>
        <v>5</v>
      </c>
      <c r="K1011" t="str">
        <f>VLOOKUP(B1011,Raw_Suppliers!$A$2:$G$101,2,FALSE)</f>
        <v>Gamma Nova Ltd</v>
      </c>
      <c r="L1011" t="str">
        <f>VLOOKUP(B1011,Raw_Suppliers!$A$2:$G$101,3,FALSE)</f>
        <v>USA</v>
      </c>
      <c r="M1011" t="str">
        <f>VLOOKUP(B1011,Raw_Suppliers!$A$2:$G$101,4,FALSE)</f>
        <v>North</v>
      </c>
      <c r="N1011" t="str">
        <f>VLOOKUP(B1011,Raw_Suppliers!$A$2:$G$101,6,FALSE)</f>
        <v>ISO 45001</v>
      </c>
      <c r="O1011">
        <f>VLOOKUP(B1011,Raw_Suppliers!$A$2:$G$101,7,FALSE)</f>
        <v>0</v>
      </c>
      <c r="P1011" t="str">
        <f t="shared" si="91"/>
        <v>No</v>
      </c>
      <c r="Q1011">
        <f t="shared" si="92"/>
        <v>0</v>
      </c>
      <c r="R1011" t="str">
        <f t="shared" si="93"/>
        <v>Late</v>
      </c>
      <c r="S1011">
        <f t="shared" si="94"/>
        <v>2022</v>
      </c>
      <c r="T1011">
        <f t="shared" si="95"/>
        <v>9</v>
      </c>
    </row>
    <row r="1012" spans="1:20" x14ac:dyDescent="0.25">
      <c r="A1012" t="s">
        <v>1318</v>
      </c>
      <c r="B1012" t="s">
        <v>482</v>
      </c>
      <c r="C1012" t="s">
        <v>110</v>
      </c>
      <c r="D1012" s="1">
        <v>45328</v>
      </c>
      <c r="E1012">
        <v>7</v>
      </c>
      <c r="F1012">
        <v>38.490440344193097</v>
      </c>
      <c r="G1012" s="1">
        <v>45339</v>
      </c>
      <c r="H1012" s="1">
        <v>45339</v>
      </c>
      <c r="I1012">
        <v>269.43308240935198</v>
      </c>
      <c r="J1012">
        <f t="shared" si="90"/>
        <v>0</v>
      </c>
      <c r="K1012" t="str">
        <f>VLOOKUP(B1012,Raw_Suppliers!$A$2:$G$101,2,FALSE)</f>
        <v>Eco Prime Corp</v>
      </c>
      <c r="L1012" t="str">
        <f>VLOOKUP(B1012,Raw_Suppliers!$A$2:$G$101,3,FALSE)</f>
        <v>China</v>
      </c>
      <c r="M1012" t="str">
        <f>VLOOKUP(B1012,Raw_Suppliers!$A$2:$G$101,4,FALSE)</f>
        <v>East</v>
      </c>
      <c r="N1012" t="str">
        <f>VLOOKUP(B1012,Raw_Suppliers!$A$2:$G$101,6,FALSE)</f>
        <v>ISO 45001</v>
      </c>
      <c r="O1012">
        <f>VLOOKUP(B1012,Raw_Suppliers!$A$2:$G$101,7,FALSE)</f>
        <v>1</v>
      </c>
      <c r="P1012" t="str">
        <f t="shared" si="91"/>
        <v>Yes</v>
      </c>
      <c r="Q1012">
        <f t="shared" si="92"/>
        <v>1</v>
      </c>
      <c r="R1012" t="str">
        <f t="shared" si="93"/>
        <v>On Time</v>
      </c>
      <c r="S1012">
        <f t="shared" si="94"/>
        <v>2024</v>
      </c>
      <c r="T1012">
        <f t="shared" si="95"/>
        <v>2</v>
      </c>
    </row>
    <row r="1013" spans="1:20" x14ac:dyDescent="0.25">
      <c r="A1013" t="s">
        <v>1319</v>
      </c>
      <c r="B1013" t="s">
        <v>52</v>
      </c>
      <c r="C1013" t="s">
        <v>138</v>
      </c>
      <c r="D1013" s="1">
        <v>45003</v>
      </c>
      <c r="E1013">
        <v>14</v>
      </c>
      <c r="F1013">
        <v>21.662963550628099</v>
      </c>
      <c r="G1013" s="1">
        <v>45018</v>
      </c>
      <c r="H1013" s="1">
        <v>45018</v>
      </c>
      <c r="I1013">
        <v>303.281489708793</v>
      </c>
      <c r="J1013">
        <f t="shared" si="90"/>
        <v>0</v>
      </c>
      <c r="K1013" t="str">
        <f>VLOOKUP(B1013,Raw_Suppliers!$A$2:$G$101,2,FALSE)</f>
        <v>Beta Nano Corp</v>
      </c>
      <c r="L1013" t="str">
        <f>VLOOKUP(B1013,Raw_Suppliers!$A$2:$G$101,3,FALSE)</f>
        <v>UK</v>
      </c>
      <c r="M1013" t="str">
        <f>VLOOKUP(B1013,Raw_Suppliers!$A$2:$G$101,4,FALSE)</f>
        <v>Central</v>
      </c>
      <c r="N1013" t="str">
        <f>VLOOKUP(B1013,Raw_Suppliers!$A$2:$G$101,6,FALSE)</f>
        <v>ISO 45001</v>
      </c>
      <c r="O1013">
        <f>VLOOKUP(B1013,Raw_Suppliers!$A$2:$G$101,7,FALSE)</f>
        <v>0</v>
      </c>
      <c r="P1013" t="str">
        <f t="shared" si="91"/>
        <v>No</v>
      </c>
      <c r="Q1013">
        <f t="shared" si="92"/>
        <v>1</v>
      </c>
      <c r="R1013" t="str">
        <f t="shared" si="93"/>
        <v>On Time</v>
      </c>
      <c r="S1013">
        <f t="shared" si="94"/>
        <v>2023</v>
      </c>
      <c r="T1013">
        <f t="shared" si="95"/>
        <v>3</v>
      </c>
    </row>
    <row r="1014" spans="1:20" x14ac:dyDescent="0.25">
      <c r="A1014" t="s">
        <v>1320</v>
      </c>
      <c r="B1014" t="s">
        <v>617</v>
      </c>
      <c r="C1014" t="s">
        <v>14</v>
      </c>
      <c r="D1014" s="1">
        <v>44791</v>
      </c>
      <c r="E1014">
        <v>11</v>
      </c>
      <c r="F1014">
        <v>52.570201010916499</v>
      </c>
      <c r="G1014" s="1">
        <v>44804</v>
      </c>
      <c r="H1014" s="1">
        <v>44805</v>
      </c>
      <c r="I1014">
        <v>578.27221112008101</v>
      </c>
      <c r="J1014">
        <f t="shared" si="90"/>
        <v>1</v>
      </c>
      <c r="K1014" t="str">
        <f>VLOOKUP(B1014,Raw_Suppliers!$A$2:$G$101,2,FALSE)</f>
        <v>Eco Vertex Ltd</v>
      </c>
      <c r="L1014" t="str">
        <f>VLOOKUP(B1014,Raw_Suppliers!$A$2:$G$101,3,FALSE)</f>
        <v>UK</v>
      </c>
      <c r="M1014" t="str">
        <f>VLOOKUP(B1014,Raw_Suppliers!$A$2:$G$101,4,FALSE)</f>
        <v>Central</v>
      </c>
      <c r="N1014" t="str">
        <f>VLOOKUP(B1014,Raw_Suppliers!$A$2:$G$101,6,FALSE)</f>
        <v>None</v>
      </c>
      <c r="O1014">
        <f>VLOOKUP(B1014,Raw_Suppliers!$A$2:$G$101,7,FALSE)</f>
        <v>0</v>
      </c>
      <c r="P1014" t="str">
        <f t="shared" si="91"/>
        <v>No</v>
      </c>
      <c r="Q1014">
        <f t="shared" si="92"/>
        <v>0</v>
      </c>
      <c r="R1014" t="str">
        <f t="shared" si="93"/>
        <v>Late</v>
      </c>
      <c r="S1014">
        <f t="shared" si="94"/>
        <v>2022</v>
      </c>
      <c r="T1014">
        <f t="shared" si="95"/>
        <v>8</v>
      </c>
    </row>
    <row r="1015" spans="1:20" x14ac:dyDescent="0.25">
      <c r="A1015" t="s">
        <v>1321</v>
      </c>
      <c r="B1015" t="s">
        <v>394</v>
      </c>
      <c r="C1015" t="s">
        <v>356</v>
      </c>
      <c r="D1015" s="1">
        <v>45318</v>
      </c>
      <c r="E1015">
        <v>13</v>
      </c>
      <c r="F1015">
        <v>19.052572528026801</v>
      </c>
      <c r="G1015" s="1">
        <v>45335</v>
      </c>
      <c r="H1015" s="1">
        <v>45339</v>
      </c>
      <c r="I1015">
        <v>247.68344286434899</v>
      </c>
      <c r="J1015">
        <f t="shared" si="90"/>
        <v>4</v>
      </c>
      <c r="K1015" t="str">
        <f>VLOOKUP(B1015,Raw_Suppliers!$A$2:$G$101,2,FALSE)</f>
        <v>Ultra Prime Inc</v>
      </c>
      <c r="L1015" t="str">
        <f>VLOOKUP(B1015,Raw_Suppliers!$A$2:$G$101,3,FALSE)</f>
        <v>Brazil</v>
      </c>
      <c r="M1015" t="str">
        <f>VLOOKUP(B1015,Raw_Suppliers!$A$2:$G$101,4,FALSE)</f>
        <v>West</v>
      </c>
      <c r="N1015" t="str">
        <f>VLOOKUP(B1015,Raw_Suppliers!$A$2:$G$101,6,FALSE)</f>
        <v>ISO 9001</v>
      </c>
      <c r="O1015">
        <f>VLOOKUP(B1015,Raw_Suppliers!$A$2:$G$101,7,FALSE)</f>
        <v>1</v>
      </c>
      <c r="P1015" t="str">
        <f t="shared" si="91"/>
        <v>Yes</v>
      </c>
      <c r="Q1015">
        <f t="shared" si="92"/>
        <v>0</v>
      </c>
      <c r="R1015" t="str">
        <f t="shared" si="93"/>
        <v>Late</v>
      </c>
      <c r="S1015">
        <f t="shared" si="94"/>
        <v>2024</v>
      </c>
      <c r="T1015">
        <f t="shared" si="95"/>
        <v>1</v>
      </c>
    </row>
    <row r="1016" spans="1:20" x14ac:dyDescent="0.25">
      <c r="A1016" t="s">
        <v>1322</v>
      </c>
      <c r="B1016" t="s">
        <v>539</v>
      </c>
      <c r="C1016" t="s">
        <v>77</v>
      </c>
      <c r="D1016" s="1">
        <v>44625</v>
      </c>
      <c r="E1016">
        <v>10</v>
      </c>
      <c r="F1016">
        <v>72.980732513689404</v>
      </c>
      <c r="G1016" s="1">
        <v>44642</v>
      </c>
      <c r="H1016" s="1">
        <v>44640</v>
      </c>
      <c r="I1016">
        <v>729.80732513689395</v>
      </c>
      <c r="J1016">
        <f t="shared" si="90"/>
        <v>-2</v>
      </c>
      <c r="K1016" t="str">
        <f>VLOOKUP(B1016,Raw_Suppliers!$A$2:$G$101,2,FALSE)</f>
        <v>Eco Eco Ltd</v>
      </c>
      <c r="L1016" t="str">
        <f>VLOOKUP(B1016,Raw_Suppliers!$A$2:$G$101,3,FALSE)</f>
        <v>USA</v>
      </c>
      <c r="M1016" t="str">
        <f>VLOOKUP(B1016,Raw_Suppliers!$A$2:$G$101,4,FALSE)</f>
        <v>South</v>
      </c>
      <c r="N1016" t="str">
        <f>VLOOKUP(B1016,Raw_Suppliers!$A$2:$G$101,6,FALSE)</f>
        <v>ISO 45001</v>
      </c>
      <c r="O1016">
        <f>VLOOKUP(B1016,Raw_Suppliers!$A$2:$G$101,7,FALSE)</f>
        <v>1</v>
      </c>
      <c r="P1016" t="str">
        <f t="shared" si="91"/>
        <v>Yes</v>
      </c>
      <c r="Q1016">
        <f t="shared" si="92"/>
        <v>1</v>
      </c>
      <c r="R1016" t="str">
        <f t="shared" si="93"/>
        <v>On Time</v>
      </c>
      <c r="S1016">
        <f t="shared" si="94"/>
        <v>2022</v>
      </c>
      <c r="T1016">
        <f t="shared" si="95"/>
        <v>3</v>
      </c>
    </row>
    <row r="1017" spans="1:20" x14ac:dyDescent="0.25">
      <c r="A1017" t="s">
        <v>1323</v>
      </c>
      <c r="B1017" t="s">
        <v>295</v>
      </c>
      <c r="C1017" t="s">
        <v>361</v>
      </c>
      <c r="D1017" s="1">
        <v>45270</v>
      </c>
      <c r="E1017">
        <v>9</v>
      </c>
      <c r="F1017">
        <v>41.935172974489298</v>
      </c>
      <c r="G1017" s="1">
        <v>45292</v>
      </c>
      <c r="H1017" s="1">
        <v>45297</v>
      </c>
      <c r="I1017">
        <v>377.41655677040399</v>
      </c>
      <c r="J1017">
        <f t="shared" si="90"/>
        <v>5</v>
      </c>
      <c r="K1017" t="str">
        <f>VLOOKUP(B1017,Raw_Suppliers!$A$2:$G$101,2,FALSE)</f>
        <v>Delta Quantum GmbH</v>
      </c>
      <c r="L1017" t="str">
        <f>VLOOKUP(B1017,Raw_Suppliers!$A$2:$G$101,3,FALSE)</f>
        <v>Brazil</v>
      </c>
      <c r="M1017" t="str">
        <f>VLOOKUP(B1017,Raw_Suppliers!$A$2:$G$101,4,FALSE)</f>
        <v>North</v>
      </c>
      <c r="N1017" t="str">
        <f>VLOOKUP(B1017,Raw_Suppliers!$A$2:$G$101,6,FALSE)</f>
        <v>ISO 9001</v>
      </c>
      <c r="O1017">
        <f>VLOOKUP(B1017,Raw_Suppliers!$A$2:$G$101,7,FALSE)</f>
        <v>1</v>
      </c>
      <c r="P1017" t="str">
        <f t="shared" si="91"/>
        <v>Yes</v>
      </c>
      <c r="Q1017">
        <f t="shared" si="92"/>
        <v>0</v>
      </c>
      <c r="R1017" t="str">
        <f t="shared" si="93"/>
        <v>Late</v>
      </c>
      <c r="S1017">
        <f t="shared" si="94"/>
        <v>2023</v>
      </c>
      <c r="T1017">
        <f t="shared" si="95"/>
        <v>12</v>
      </c>
    </row>
    <row r="1018" spans="1:20" x14ac:dyDescent="0.25">
      <c r="A1018" t="s">
        <v>1324</v>
      </c>
      <c r="B1018" t="s">
        <v>179</v>
      </c>
      <c r="C1018" t="s">
        <v>437</v>
      </c>
      <c r="D1018" s="1">
        <v>44684</v>
      </c>
      <c r="E1018">
        <v>16</v>
      </c>
      <c r="F1018">
        <v>50.081028330607197</v>
      </c>
      <c r="G1018" s="1">
        <v>44697</v>
      </c>
      <c r="H1018" s="1">
        <v>44696</v>
      </c>
      <c r="I1018">
        <v>801.29645328971503</v>
      </c>
      <c r="J1018">
        <f t="shared" si="90"/>
        <v>-1</v>
      </c>
      <c r="K1018" t="str">
        <f>VLOOKUP(B1018,Raw_Suppliers!$A$2:$G$101,2,FALSE)</f>
        <v>Nova Gamma Ltd</v>
      </c>
      <c r="L1018" t="str">
        <f>VLOOKUP(B1018,Raw_Suppliers!$A$2:$G$101,3,FALSE)</f>
        <v>Denmark</v>
      </c>
      <c r="M1018" t="str">
        <f>VLOOKUP(B1018,Raw_Suppliers!$A$2:$G$101,4,FALSE)</f>
        <v>East</v>
      </c>
      <c r="N1018" t="str">
        <f>VLOOKUP(B1018,Raw_Suppliers!$A$2:$G$101,6,FALSE)</f>
        <v>ISO 9001</v>
      </c>
      <c r="O1018">
        <f>VLOOKUP(B1018,Raw_Suppliers!$A$2:$G$101,7,FALSE)</f>
        <v>0</v>
      </c>
      <c r="P1018" t="str">
        <f t="shared" si="91"/>
        <v>No</v>
      </c>
      <c r="Q1018">
        <f t="shared" si="92"/>
        <v>1</v>
      </c>
      <c r="R1018" t="str">
        <f t="shared" si="93"/>
        <v>On Time</v>
      </c>
      <c r="S1018">
        <f t="shared" si="94"/>
        <v>2022</v>
      </c>
      <c r="T1018">
        <f t="shared" si="95"/>
        <v>5</v>
      </c>
    </row>
    <row r="1019" spans="1:20" x14ac:dyDescent="0.25">
      <c r="A1019" t="s">
        <v>1325</v>
      </c>
      <c r="B1019" t="s">
        <v>34</v>
      </c>
      <c r="C1019" t="s">
        <v>233</v>
      </c>
      <c r="D1019" s="1">
        <v>45222</v>
      </c>
      <c r="E1019">
        <v>14</v>
      </c>
      <c r="F1019">
        <v>50.520704104879101</v>
      </c>
      <c r="G1019" s="1">
        <v>45232</v>
      </c>
      <c r="H1019" s="1">
        <v>45233</v>
      </c>
      <c r="I1019">
        <v>707.28985746830801</v>
      </c>
      <c r="J1019">
        <f t="shared" si="90"/>
        <v>1</v>
      </c>
      <c r="K1019" t="str">
        <f>VLOOKUP(B1019,Raw_Suppliers!$A$2:$G$101,2,FALSE)</f>
        <v>Omega Alpha Corp</v>
      </c>
      <c r="L1019" t="str">
        <f>VLOOKUP(B1019,Raw_Suppliers!$A$2:$G$101,3,FALSE)</f>
        <v>UK</v>
      </c>
      <c r="M1019" t="str">
        <f>VLOOKUP(B1019,Raw_Suppliers!$A$2:$G$101,4,FALSE)</f>
        <v>West</v>
      </c>
      <c r="N1019" t="str">
        <f>VLOOKUP(B1019,Raw_Suppliers!$A$2:$G$101,6,FALSE)</f>
        <v>ISO 45001</v>
      </c>
      <c r="O1019">
        <f>VLOOKUP(B1019,Raw_Suppliers!$A$2:$G$101,7,FALSE)</f>
        <v>0</v>
      </c>
      <c r="P1019" t="str">
        <f t="shared" si="91"/>
        <v>No</v>
      </c>
      <c r="Q1019">
        <f t="shared" si="92"/>
        <v>0</v>
      </c>
      <c r="R1019" t="str">
        <f t="shared" si="93"/>
        <v>Late</v>
      </c>
      <c r="S1019">
        <f t="shared" si="94"/>
        <v>2023</v>
      </c>
      <c r="T1019">
        <f t="shared" si="95"/>
        <v>10</v>
      </c>
    </row>
    <row r="1020" spans="1:20" x14ac:dyDescent="0.25">
      <c r="A1020" t="s">
        <v>1326</v>
      </c>
      <c r="B1020" t="s">
        <v>43</v>
      </c>
      <c r="C1020" t="s">
        <v>356</v>
      </c>
      <c r="D1020" s="1">
        <v>44385</v>
      </c>
      <c r="E1020">
        <v>12</v>
      </c>
      <c r="F1020">
        <v>36.9791420886271</v>
      </c>
      <c r="G1020" s="1">
        <v>44401</v>
      </c>
      <c r="H1020" s="1">
        <v>44398</v>
      </c>
      <c r="I1020">
        <v>443.74970506352599</v>
      </c>
      <c r="J1020">
        <f t="shared" si="90"/>
        <v>-3</v>
      </c>
      <c r="K1020" t="str">
        <f>VLOOKUP(B1020,Raw_Suppliers!$A$2:$G$101,2,FALSE)</f>
        <v>Alpha Ultra Corp</v>
      </c>
      <c r="L1020" t="str">
        <f>VLOOKUP(B1020,Raw_Suppliers!$A$2:$G$101,3,FALSE)</f>
        <v>USA</v>
      </c>
      <c r="M1020" t="str">
        <f>VLOOKUP(B1020,Raw_Suppliers!$A$2:$G$101,4,FALSE)</f>
        <v>Central</v>
      </c>
      <c r="N1020" t="str">
        <f>VLOOKUP(B1020,Raw_Suppliers!$A$2:$G$101,6,FALSE)</f>
        <v>ISO 9001</v>
      </c>
      <c r="O1020">
        <f>VLOOKUP(B1020,Raw_Suppliers!$A$2:$G$101,7,FALSE)</f>
        <v>1</v>
      </c>
      <c r="P1020" t="str">
        <f t="shared" si="91"/>
        <v>Yes</v>
      </c>
      <c r="Q1020">
        <f t="shared" si="92"/>
        <v>1</v>
      </c>
      <c r="R1020" t="str">
        <f t="shared" si="93"/>
        <v>On Time</v>
      </c>
      <c r="S1020">
        <f t="shared" si="94"/>
        <v>2021</v>
      </c>
      <c r="T1020">
        <f t="shared" si="95"/>
        <v>7</v>
      </c>
    </row>
    <row r="1021" spans="1:20" x14ac:dyDescent="0.25">
      <c r="A1021" t="s">
        <v>1327</v>
      </c>
      <c r="B1021" t="s">
        <v>253</v>
      </c>
      <c r="C1021" t="s">
        <v>102</v>
      </c>
      <c r="D1021" s="1">
        <v>44783</v>
      </c>
      <c r="E1021">
        <v>8</v>
      </c>
      <c r="F1021">
        <v>50.437958199600502</v>
      </c>
      <c r="G1021" s="1">
        <v>44803</v>
      </c>
      <c r="H1021" s="1">
        <v>44805</v>
      </c>
      <c r="I1021">
        <v>403.50366559680401</v>
      </c>
      <c r="J1021">
        <f t="shared" si="90"/>
        <v>2</v>
      </c>
      <c r="K1021" t="str">
        <f>VLOOKUP(B1021,Raw_Suppliers!$A$2:$G$101,2,FALSE)</f>
        <v>Vertex Apex Ltd</v>
      </c>
      <c r="L1021" t="str">
        <f>VLOOKUP(B1021,Raw_Suppliers!$A$2:$G$101,3,FALSE)</f>
        <v>Brazil</v>
      </c>
      <c r="M1021" t="str">
        <f>VLOOKUP(B1021,Raw_Suppliers!$A$2:$G$101,4,FALSE)</f>
        <v>South</v>
      </c>
      <c r="N1021" t="str">
        <f>VLOOKUP(B1021,Raw_Suppliers!$A$2:$G$101,6,FALSE)</f>
        <v>None</v>
      </c>
      <c r="O1021">
        <f>VLOOKUP(B1021,Raw_Suppliers!$A$2:$G$101,7,FALSE)</f>
        <v>1</v>
      </c>
      <c r="P1021" t="str">
        <f t="shared" si="91"/>
        <v>Yes</v>
      </c>
      <c r="Q1021">
        <f t="shared" si="92"/>
        <v>0</v>
      </c>
      <c r="R1021" t="str">
        <f t="shared" si="93"/>
        <v>Late</v>
      </c>
      <c r="S1021">
        <f t="shared" si="94"/>
        <v>2022</v>
      </c>
      <c r="T1021">
        <f t="shared" si="95"/>
        <v>8</v>
      </c>
    </row>
    <row r="1022" spans="1:20" x14ac:dyDescent="0.25">
      <c r="A1022" t="s">
        <v>1328</v>
      </c>
      <c r="B1022" t="s">
        <v>293</v>
      </c>
      <c r="C1022" t="s">
        <v>53</v>
      </c>
      <c r="D1022" s="1">
        <v>44938</v>
      </c>
      <c r="E1022">
        <v>15</v>
      </c>
      <c r="F1022">
        <v>22.914609298590999</v>
      </c>
      <c r="G1022" s="1">
        <v>44950</v>
      </c>
      <c r="H1022" s="1">
        <v>44951</v>
      </c>
      <c r="I1022">
        <v>343.71913947886497</v>
      </c>
      <c r="J1022">
        <f t="shared" si="90"/>
        <v>1</v>
      </c>
      <c r="K1022" t="str">
        <f>VLOOKUP(B1022,Raw_Suppliers!$A$2:$G$101,2,FALSE)</f>
        <v>Fusion Apex LLC</v>
      </c>
      <c r="L1022" t="str">
        <f>VLOOKUP(B1022,Raw_Suppliers!$A$2:$G$101,3,FALSE)</f>
        <v>India</v>
      </c>
      <c r="M1022" t="str">
        <f>VLOOKUP(B1022,Raw_Suppliers!$A$2:$G$101,4,FALSE)</f>
        <v>Central</v>
      </c>
      <c r="N1022" t="str">
        <f>VLOOKUP(B1022,Raw_Suppliers!$A$2:$G$101,6,FALSE)</f>
        <v>ISO 14001</v>
      </c>
      <c r="O1022">
        <f>VLOOKUP(B1022,Raw_Suppliers!$A$2:$G$101,7,FALSE)</f>
        <v>1</v>
      </c>
      <c r="P1022" t="str">
        <f t="shared" si="91"/>
        <v>Yes</v>
      </c>
      <c r="Q1022">
        <f t="shared" si="92"/>
        <v>0</v>
      </c>
      <c r="R1022" t="str">
        <f t="shared" si="93"/>
        <v>Late</v>
      </c>
      <c r="S1022">
        <f t="shared" si="94"/>
        <v>2023</v>
      </c>
      <c r="T1022">
        <f t="shared" si="95"/>
        <v>1</v>
      </c>
    </row>
    <row r="1023" spans="1:20" x14ac:dyDescent="0.25">
      <c r="A1023" t="s">
        <v>1329</v>
      </c>
      <c r="B1023" t="s">
        <v>143</v>
      </c>
      <c r="C1023" t="s">
        <v>92</v>
      </c>
      <c r="D1023" s="1">
        <v>45233</v>
      </c>
      <c r="E1023">
        <v>11</v>
      </c>
      <c r="F1023">
        <v>68.655791990571501</v>
      </c>
      <c r="G1023" s="1">
        <v>45253</v>
      </c>
      <c r="H1023" s="1">
        <v>45256</v>
      </c>
      <c r="I1023">
        <v>755.21371189628701</v>
      </c>
      <c r="J1023">
        <f t="shared" si="90"/>
        <v>3</v>
      </c>
      <c r="K1023" t="str">
        <f>VLOOKUP(B1023,Raw_Suppliers!$A$2:$G$101,2,FALSE)</f>
        <v>Prime Gamma Inc</v>
      </c>
      <c r="L1023" t="str">
        <f>VLOOKUP(B1023,Raw_Suppliers!$A$2:$G$101,3,FALSE)</f>
        <v>China</v>
      </c>
      <c r="M1023" t="str">
        <f>VLOOKUP(B1023,Raw_Suppliers!$A$2:$G$101,4,FALSE)</f>
        <v>East</v>
      </c>
      <c r="N1023" t="str">
        <f>VLOOKUP(B1023,Raw_Suppliers!$A$2:$G$101,6,FALSE)</f>
        <v>ISO 14001</v>
      </c>
      <c r="O1023">
        <f>VLOOKUP(B1023,Raw_Suppliers!$A$2:$G$101,7,FALSE)</f>
        <v>0</v>
      </c>
      <c r="P1023" t="str">
        <f t="shared" si="91"/>
        <v>No</v>
      </c>
      <c r="Q1023">
        <f t="shared" si="92"/>
        <v>0</v>
      </c>
      <c r="R1023" t="str">
        <f t="shared" si="93"/>
        <v>Late</v>
      </c>
      <c r="S1023">
        <f t="shared" si="94"/>
        <v>2023</v>
      </c>
      <c r="T1023">
        <f t="shared" si="95"/>
        <v>11</v>
      </c>
    </row>
    <row r="1024" spans="1:20" x14ac:dyDescent="0.25">
      <c r="A1024" t="s">
        <v>1330</v>
      </c>
      <c r="B1024" t="s">
        <v>205</v>
      </c>
      <c r="C1024" t="s">
        <v>44</v>
      </c>
      <c r="D1024" s="1">
        <v>45214</v>
      </c>
      <c r="E1024">
        <v>8</v>
      </c>
      <c r="F1024">
        <v>48.715728849700596</v>
      </c>
      <c r="G1024" s="1">
        <v>45226</v>
      </c>
      <c r="H1024" s="1">
        <v>45231</v>
      </c>
      <c r="I1024">
        <v>389.725830797605</v>
      </c>
      <c r="J1024">
        <f t="shared" si="90"/>
        <v>5</v>
      </c>
      <c r="K1024" t="str">
        <f>VLOOKUP(B1024,Raw_Suppliers!$A$2:$G$101,2,FALSE)</f>
        <v>Ultra Eco LLC</v>
      </c>
      <c r="L1024" t="str">
        <f>VLOOKUP(B1024,Raw_Suppliers!$A$2:$G$101,3,FALSE)</f>
        <v>China</v>
      </c>
      <c r="M1024" t="str">
        <f>VLOOKUP(B1024,Raw_Suppliers!$A$2:$G$101,4,FALSE)</f>
        <v>South</v>
      </c>
      <c r="N1024" t="str">
        <f>VLOOKUP(B1024,Raw_Suppliers!$A$2:$G$101,6,FALSE)</f>
        <v>ISO 14001</v>
      </c>
      <c r="O1024">
        <f>VLOOKUP(B1024,Raw_Suppliers!$A$2:$G$101,7,FALSE)</f>
        <v>1</v>
      </c>
      <c r="P1024" t="str">
        <f t="shared" si="91"/>
        <v>Yes</v>
      </c>
      <c r="Q1024">
        <f t="shared" si="92"/>
        <v>0</v>
      </c>
      <c r="R1024" t="str">
        <f t="shared" si="93"/>
        <v>Late</v>
      </c>
      <c r="S1024">
        <f t="shared" si="94"/>
        <v>2023</v>
      </c>
      <c r="T1024">
        <f t="shared" si="95"/>
        <v>10</v>
      </c>
    </row>
    <row r="1025" spans="1:20" x14ac:dyDescent="0.25">
      <c r="A1025" t="s">
        <v>1331</v>
      </c>
      <c r="B1025" t="s">
        <v>99</v>
      </c>
      <c r="C1025" t="s">
        <v>161</v>
      </c>
      <c r="D1025" s="1">
        <v>44428</v>
      </c>
      <c r="E1025">
        <v>10</v>
      </c>
      <c r="F1025">
        <v>58.834138013801002</v>
      </c>
      <c r="G1025" s="1">
        <v>44450</v>
      </c>
      <c r="H1025" s="1">
        <v>44453</v>
      </c>
      <c r="I1025">
        <v>588.34138013800998</v>
      </c>
      <c r="J1025">
        <f t="shared" si="90"/>
        <v>3</v>
      </c>
      <c r="K1025" t="str">
        <f>VLOOKUP(B1025,Raw_Suppliers!$A$2:$G$101,2,FALSE)</f>
        <v>Gamma Nova LLC</v>
      </c>
      <c r="L1025" t="str">
        <f>VLOOKUP(B1025,Raw_Suppliers!$A$2:$G$101,3,FALSE)</f>
        <v>USA</v>
      </c>
      <c r="M1025" t="str">
        <f>VLOOKUP(B1025,Raw_Suppliers!$A$2:$G$101,4,FALSE)</f>
        <v>North</v>
      </c>
      <c r="N1025" t="str">
        <f>VLOOKUP(B1025,Raw_Suppliers!$A$2:$G$101,6,FALSE)</f>
        <v>ISO 9001</v>
      </c>
      <c r="O1025">
        <f>VLOOKUP(B1025,Raw_Suppliers!$A$2:$G$101,7,FALSE)</f>
        <v>0</v>
      </c>
      <c r="P1025" t="str">
        <f t="shared" si="91"/>
        <v>No</v>
      </c>
      <c r="Q1025">
        <f t="shared" si="92"/>
        <v>0</v>
      </c>
      <c r="R1025" t="str">
        <f t="shared" si="93"/>
        <v>Late</v>
      </c>
      <c r="S1025">
        <f t="shared" si="94"/>
        <v>2021</v>
      </c>
      <c r="T1025">
        <f t="shared" si="95"/>
        <v>8</v>
      </c>
    </row>
    <row r="1026" spans="1:20" x14ac:dyDescent="0.25">
      <c r="A1026" t="s">
        <v>1332</v>
      </c>
      <c r="B1026" t="s">
        <v>186</v>
      </c>
      <c r="C1026" t="s">
        <v>391</v>
      </c>
      <c r="D1026" s="1">
        <v>44480</v>
      </c>
      <c r="E1026">
        <v>11</v>
      </c>
      <c r="F1026">
        <v>34.616541820961103</v>
      </c>
      <c r="G1026" s="1">
        <v>44501</v>
      </c>
      <c r="H1026" s="1">
        <v>44499</v>
      </c>
      <c r="I1026">
        <v>380.78196003057201</v>
      </c>
      <c r="J1026">
        <f t="shared" si="90"/>
        <v>-2</v>
      </c>
      <c r="K1026" t="str">
        <f>VLOOKUP(B1026,Raw_Suppliers!$A$2:$G$101,2,FALSE)</f>
        <v>Omega Vertex Inc</v>
      </c>
      <c r="L1026" t="str">
        <f>VLOOKUP(B1026,Raw_Suppliers!$A$2:$G$101,3,FALSE)</f>
        <v>China</v>
      </c>
      <c r="M1026" t="str">
        <f>VLOOKUP(B1026,Raw_Suppliers!$A$2:$G$101,4,FALSE)</f>
        <v>West</v>
      </c>
      <c r="N1026" t="str">
        <f>VLOOKUP(B1026,Raw_Suppliers!$A$2:$G$101,6,FALSE)</f>
        <v>ISO 14001</v>
      </c>
      <c r="O1026">
        <f>VLOOKUP(B1026,Raw_Suppliers!$A$2:$G$101,7,FALSE)</f>
        <v>1</v>
      </c>
      <c r="P1026" t="str">
        <f t="shared" si="91"/>
        <v>Yes</v>
      </c>
      <c r="Q1026">
        <f t="shared" si="92"/>
        <v>1</v>
      </c>
      <c r="R1026" t="str">
        <f t="shared" si="93"/>
        <v>On Time</v>
      </c>
      <c r="S1026">
        <f t="shared" si="94"/>
        <v>2021</v>
      </c>
      <c r="T1026">
        <f t="shared" si="95"/>
        <v>10</v>
      </c>
    </row>
    <row r="1027" spans="1:20" x14ac:dyDescent="0.25">
      <c r="A1027" t="s">
        <v>1333</v>
      </c>
      <c r="B1027" t="s">
        <v>299</v>
      </c>
      <c r="C1027" t="s">
        <v>504</v>
      </c>
      <c r="D1027" s="1">
        <v>44447</v>
      </c>
      <c r="E1027">
        <v>14</v>
      </c>
      <c r="F1027">
        <v>69.081296136734096</v>
      </c>
      <c r="G1027" s="1">
        <v>44468</v>
      </c>
      <c r="H1027" s="1">
        <v>44472</v>
      </c>
      <c r="I1027">
        <v>967.13814591427797</v>
      </c>
      <c r="J1027">
        <f t="shared" ref="J1027:J1090" si="96">H1027-G1027</f>
        <v>4</v>
      </c>
      <c r="K1027" t="str">
        <f>VLOOKUP(B1027,Raw_Suppliers!$A$2:$G$101,2,FALSE)</f>
        <v>Nova Alpha Inc</v>
      </c>
      <c r="L1027" t="str">
        <f>VLOOKUP(B1027,Raw_Suppliers!$A$2:$G$101,3,FALSE)</f>
        <v>UK</v>
      </c>
      <c r="M1027" t="str">
        <f>VLOOKUP(B1027,Raw_Suppliers!$A$2:$G$101,4,FALSE)</f>
        <v>South</v>
      </c>
      <c r="N1027" t="str">
        <f>VLOOKUP(B1027,Raw_Suppliers!$A$2:$G$101,6,FALSE)</f>
        <v>None</v>
      </c>
      <c r="O1027">
        <f>VLOOKUP(B1027,Raw_Suppliers!$A$2:$G$101,7,FALSE)</f>
        <v>1</v>
      </c>
      <c r="P1027" t="str">
        <f t="shared" ref="P1027:P1090" si="97">IF(O1027=1,"Yes","No")</f>
        <v>Yes</v>
      </c>
      <c r="Q1027">
        <f t="shared" ref="Q1027:Q1090" si="98">IF(J1027&lt;=0,1,0)</f>
        <v>0</v>
      </c>
      <c r="R1027" t="str">
        <f t="shared" ref="R1027:R1090" si="99">IF(Q1027=1,"On Time","Late")</f>
        <v>Late</v>
      </c>
      <c r="S1027">
        <f t="shared" ref="S1027:S1090" si="100">YEAR(D1027)</f>
        <v>2021</v>
      </c>
      <c r="T1027">
        <f t="shared" ref="T1027:T1090" si="101">MONTH(D1027)</f>
        <v>9</v>
      </c>
    </row>
    <row r="1028" spans="1:20" x14ac:dyDescent="0.25">
      <c r="A1028" t="s">
        <v>1334</v>
      </c>
      <c r="B1028" t="s">
        <v>359</v>
      </c>
      <c r="C1028" t="s">
        <v>26</v>
      </c>
      <c r="D1028" s="1">
        <v>44468</v>
      </c>
      <c r="E1028">
        <v>8</v>
      </c>
      <c r="F1028">
        <v>69.693790772594895</v>
      </c>
      <c r="G1028" s="1">
        <v>44481</v>
      </c>
      <c r="H1028" s="1">
        <v>44485</v>
      </c>
      <c r="I1028">
        <v>557.55032618075904</v>
      </c>
      <c r="J1028">
        <f t="shared" si="96"/>
        <v>4</v>
      </c>
      <c r="K1028" t="str">
        <f>VLOOKUP(B1028,Raw_Suppliers!$A$2:$G$101,2,FALSE)</f>
        <v>Alpha Alpha Corp</v>
      </c>
      <c r="L1028" t="str">
        <f>VLOOKUP(B1028,Raw_Suppliers!$A$2:$G$101,3,FALSE)</f>
        <v>India</v>
      </c>
      <c r="M1028" t="str">
        <f>VLOOKUP(B1028,Raw_Suppliers!$A$2:$G$101,4,FALSE)</f>
        <v>North</v>
      </c>
      <c r="N1028" t="str">
        <f>VLOOKUP(B1028,Raw_Suppliers!$A$2:$G$101,6,FALSE)</f>
        <v>ISO 9001</v>
      </c>
      <c r="O1028">
        <f>VLOOKUP(B1028,Raw_Suppliers!$A$2:$G$101,7,FALSE)</f>
        <v>1</v>
      </c>
      <c r="P1028" t="str">
        <f t="shared" si="97"/>
        <v>Yes</v>
      </c>
      <c r="Q1028">
        <f t="shared" si="98"/>
        <v>0</v>
      </c>
      <c r="R1028" t="str">
        <f t="shared" si="99"/>
        <v>Late</v>
      </c>
      <c r="S1028">
        <f t="shared" si="100"/>
        <v>2021</v>
      </c>
      <c r="T1028">
        <f t="shared" si="101"/>
        <v>9</v>
      </c>
    </row>
    <row r="1029" spans="1:20" x14ac:dyDescent="0.25">
      <c r="A1029" t="s">
        <v>1335</v>
      </c>
      <c r="B1029" t="s">
        <v>256</v>
      </c>
      <c r="C1029" t="s">
        <v>270</v>
      </c>
      <c r="D1029" s="1">
        <v>44469</v>
      </c>
      <c r="E1029">
        <v>13</v>
      </c>
      <c r="F1029">
        <v>46.8171397767657</v>
      </c>
      <c r="G1029" s="1">
        <v>44490</v>
      </c>
      <c r="H1029" s="1">
        <v>44495</v>
      </c>
      <c r="I1029">
        <v>608.622817097954</v>
      </c>
      <c r="J1029">
        <f t="shared" si="96"/>
        <v>5</v>
      </c>
      <c r="K1029" t="str">
        <f>VLOOKUP(B1029,Raw_Suppliers!$A$2:$G$101,2,FALSE)</f>
        <v>Apex Eco Ltd</v>
      </c>
      <c r="L1029" t="str">
        <f>VLOOKUP(B1029,Raw_Suppliers!$A$2:$G$101,3,FALSE)</f>
        <v>USA</v>
      </c>
      <c r="M1029" t="str">
        <f>VLOOKUP(B1029,Raw_Suppliers!$A$2:$G$101,4,FALSE)</f>
        <v>North</v>
      </c>
      <c r="N1029" t="str">
        <f>VLOOKUP(B1029,Raw_Suppliers!$A$2:$G$101,6,FALSE)</f>
        <v>ISO 45001</v>
      </c>
      <c r="O1029">
        <f>VLOOKUP(B1029,Raw_Suppliers!$A$2:$G$101,7,FALSE)</f>
        <v>0</v>
      </c>
      <c r="P1029" t="str">
        <f t="shared" si="97"/>
        <v>No</v>
      </c>
      <c r="Q1029">
        <f t="shared" si="98"/>
        <v>0</v>
      </c>
      <c r="R1029" t="str">
        <f t="shared" si="99"/>
        <v>Late</v>
      </c>
      <c r="S1029">
        <f t="shared" si="100"/>
        <v>2021</v>
      </c>
      <c r="T1029">
        <f t="shared" si="101"/>
        <v>9</v>
      </c>
    </row>
    <row r="1030" spans="1:20" x14ac:dyDescent="0.25">
      <c r="A1030" t="s">
        <v>1336</v>
      </c>
      <c r="B1030" t="s">
        <v>205</v>
      </c>
      <c r="C1030" t="s">
        <v>141</v>
      </c>
      <c r="D1030" s="1">
        <v>45238</v>
      </c>
      <c r="E1030">
        <v>14</v>
      </c>
      <c r="F1030">
        <v>12.250083408894101</v>
      </c>
      <c r="G1030" s="1">
        <v>45249</v>
      </c>
      <c r="H1030" s="1">
        <v>45254</v>
      </c>
      <c r="I1030">
        <v>171.50116772451699</v>
      </c>
      <c r="J1030">
        <f t="shared" si="96"/>
        <v>5</v>
      </c>
      <c r="K1030" t="str">
        <f>VLOOKUP(B1030,Raw_Suppliers!$A$2:$G$101,2,FALSE)</f>
        <v>Ultra Eco LLC</v>
      </c>
      <c r="L1030" t="str">
        <f>VLOOKUP(B1030,Raw_Suppliers!$A$2:$G$101,3,FALSE)</f>
        <v>China</v>
      </c>
      <c r="M1030" t="str">
        <f>VLOOKUP(B1030,Raw_Suppliers!$A$2:$G$101,4,FALSE)</f>
        <v>South</v>
      </c>
      <c r="N1030" t="str">
        <f>VLOOKUP(B1030,Raw_Suppliers!$A$2:$G$101,6,FALSE)</f>
        <v>ISO 14001</v>
      </c>
      <c r="O1030">
        <f>VLOOKUP(B1030,Raw_Suppliers!$A$2:$G$101,7,FALSE)</f>
        <v>1</v>
      </c>
      <c r="P1030" t="str">
        <f t="shared" si="97"/>
        <v>Yes</v>
      </c>
      <c r="Q1030">
        <f t="shared" si="98"/>
        <v>0</v>
      </c>
      <c r="R1030" t="str">
        <f t="shared" si="99"/>
        <v>Late</v>
      </c>
      <c r="S1030">
        <f t="shared" si="100"/>
        <v>2023</v>
      </c>
      <c r="T1030">
        <f t="shared" si="101"/>
        <v>11</v>
      </c>
    </row>
    <row r="1031" spans="1:20" x14ac:dyDescent="0.25">
      <c r="A1031" t="s">
        <v>1337</v>
      </c>
      <c r="B1031" t="s">
        <v>104</v>
      </c>
      <c r="C1031" t="s">
        <v>654</v>
      </c>
      <c r="D1031" s="1">
        <v>44575</v>
      </c>
      <c r="E1031">
        <v>12</v>
      </c>
      <c r="F1031">
        <v>46.164681854894603</v>
      </c>
      <c r="G1031" s="1">
        <v>44592</v>
      </c>
      <c r="H1031" s="1">
        <v>44593</v>
      </c>
      <c r="I1031">
        <v>553.97618225873498</v>
      </c>
      <c r="J1031">
        <f t="shared" si="96"/>
        <v>1</v>
      </c>
      <c r="K1031" t="str">
        <f>VLOOKUP(B1031,Raw_Suppliers!$A$2:$G$101,2,FALSE)</f>
        <v>Prime Omega Corp</v>
      </c>
      <c r="L1031" t="str">
        <f>VLOOKUP(B1031,Raw_Suppliers!$A$2:$G$101,3,FALSE)</f>
        <v>India</v>
      </c>
      <c r="M1031" t="str">
        <f>VLOOKUP(B1031,Raw_Suppliers!$A$2:$G$101,4,FALSE)</f>
        <v>Central</v>
      </c>
      <c r="N1031" t="str">
        <f>VLOOKUP(B1031,Raw_Suppliers!$A$2:$G$101,6,FALSE)</f>
        <v>ISO 14001</v>
      </c>
      <c r="O1031">
        <f>VLOOKUP(B1031,Raw_Suppliers!$A$2:$G$101,7,FALSE)</f>
        <v>0</v>
      </c>
      <c r="P1031" t="str">
        <f t="shared" si="97"/>
        <v>No</v>
      </c>
      <c r="Q1031">
        <f t="shared" si="98"/>
        <v>0</v>
      </c>
      <c r="R1031" t="str">
        <f t="shared" si="99"/>
        <v>Late</v>
      </c>
      <c r="S1031">
        <f t="shared" si="100"/>
        <v>2022</v>
      </c>
      <c r="T1031">
        <f t="shared" si="101"/>
        <v>1</v>
      </c>
    </row>
    <row r="1032" spans="1:20" x14ac:dyDescent="0.25">
      <c r="A1032" t="s">
        <v>1338</v>
      </c>
      <c r="B1032" t="s">
        <v>46</v>
      </c>
      <c r="C1032" t="s">
        <v>668</v>
      </c>
      <c r="D1032" s="1">
        <v>45126</v>
      </c>
      <c r="E1032">
        <v>12</v>
      </c>
      <c r="F1032">
        <v>37.1983154653268</v>
      </c>
      <c r="G1032" s="1">
        <v>45144</v>
      </c>
      <c r="H1032" s="1">
        <v>45147</v>
      </c>
      <c r="I1032">
        <v>446.37978558392098</v>
      </c>
      <c r="J1032">
        <f t="shared" si="96"/>
        <v>3</v>
      </c>
      <c r="K1032" t="str">
        <f>VLOOKUP(B1032,Raw_Suppliers!$A$2:$G$101,2,FALSE)</f>
        <v>Prime Prime Inc</v>
      </c>
      <c r="L1032" t="str">
        <f>VLOOKUP(B1032,Raw_Suppliers!$A$2:$G$101,3,FALSE)</f>
        <v>UK</v>
      </c>
      <c r="M1032" t="str">
        <f>VLOOKUP(B1032,Raw_Suppliers!$A$2:$G$101,4,FALSE)</f>
        <v>South</v>
      </c>
      <c r="N1032" t="str">
        <f>VLOOKUP(B1032,Raw_Suppliers!$A$2:$G$101,6,FALSE)</f>
        <v>None</v>
      </c>
      <c r="O1032">
        <f>VLOOKUP(B1032,Raw_Suppliers!$A$2:$G$101,7,FALSE)</f>
        <v>1</v>
      </c>
      <c r="P1032" t="str">
        <f t="shared" si="97"/>
        <v>Yes</v>
      </c>
      <c r="Q1032">
        <f t="shared" si="98"/>
        <v>0</v>
      </c>
      <c r="R1032" t="str">
        <f t="shared" si="99"/>
        <v>Late</v>
      </c>
      <c r="S1032">
        <f t="shared" si="100"/>
        <v>2023</v>
      </c>
      <c r="T1032">
        <f t="shared" si="101"/>
        <v>7</v>
      </c>
    </row>
    <row r="1033" spans="1:20" x14ac:dyDescent="0.25">
      <c r="A1033" t="s">
        <v>1339</v>
      </c>
      <c r="B1033" t="s">
        <v>91</v>
      </c>
      <c r="C1033" t="s">
        <v>254</v>
      </c>
      <c r="D1033" s="1">
        <v>44305</v>
      </c>
      <c r="E1033">
        <v>3</v>
      </c>
      <c r="F1033">
        <v>46.381118688301299</v>
      </c>
      <c r="G1033" s="1">
        <v>44326</v>
      </c>
      <c r="H1033" s="1">
        <v>44324</v>
      </c>
      <c r="I1033">
        <v>139.143356064903</v>
      </c>
      <c r="J1033">
        <f t="shared" si="96"/>
        <v>-2</v>
      </c>
      <c r="K1033" t="str">
        <f>VLOOKUP(B1033,Raw_Suppliers!$A$2:$G$101,2,FALSE)</f>
        <v>Apex Prime Ltd</v>
      </c>
      <c r="L1033" t="str">
        <f>VLOOKUP(B1033,Raw_Suppliers!$A$2:$G$101,3,FALSE)</f>
        <v>India</v>
      </c>
      <c r="M1033" t="str">
        <f>VLOOKUP(B1033,Raw_Suppliers!$A$2:$G$101,4,FALSE)</f>
        <v>South</v>
      </c>
      <c r="N1033" t="str">
        <f>VLOOKUP(B1033,Raw_Suppliers!$A$2:$G$101,6,FALSE)</f>
        <v>ISO 9001</v>
      </c>
      <c r="O1033">
        <f>VLOOKUP(B1033,Raw_Suppliers!$A$2:$G$101,7,FALSE)</f>
        <v>0</v>
      </c>
      <c r="P1033" t="str">
        <f t="shared" si="97"/>
        <v>No</v>
      </c>
      <c r="Q1033">
        <f t="shared" si="98"/>
        <v>1</v>
      </c>
      <c r="R1033" t="str">
        <f t="shared" si="99"/>
        <v>On Time</v>
      </c>
      <c r="S1033">
        <f t="shared" si="100"/>
        <v>2021</v>
      </c>
      <c r="T1033">
        <f t="shared" si="101"/>
        <v>4</v>
      </c>
    </row>
    <row r="1034" spans="1:20" x14ac:dyDescent="0.25">
      <c r="A1034" t="s">
        <v>1340</v>
      </c>
      <c r="B1034" t="s">
        <v>143</v>
      </c>
      <c r="C1034" t="s">
        <v>254</v>
      </c>
      <c r="D1034" s="1">
        <v>45344</v>
      </c>
      <c r="E1034">
        <v>5</v>
      </c>
      <c r="F1034">
        <v>39.714297448289798</v>
      </c>
      <c r="G1034" s="1">
        <v>45358</v>
      </c>
      <c r="H1034" s="1">
        <v>45362</v>
      </c>
      <c r="I1034">
        <v>198.57148724144901</v>
      </c>
      <c r="J1034">
        <f t="shared" si="96"/>
        <v>4</v>
      </c>
      <c r="K1034" t="str">
        <f>VLOOKUP(B1034,Raw_Suppliers!$A$2:$G$101,2,FALSE)</f>
        <v>Prime Gamma Inc</v>
      </c>
      <c r="L1034" t="str">
        <f>VLOOKUP(B1034,Raw_Suppliers!$A$2:$G$101,3,FALSE)</f>
        <v>China</v>
      </c>
      <c r="M1034" t="str">
        <f>VLOOKUP(B1034,Raw_Suppliers!$A$2:$G$101,4,FALSE)</f>
        <v>East</v>
      </c>
      <c r="N1034" t="str">
        <f>VLOOKUP(B1034,Raw_Suppliers!$A$2:$G$101,6,FALSE)</f>
        <v>ISO 14001</v>
      </c>
      <c r="O1034">
        <f>VLOOKUP(B1034,Raw_Suppliers!$A$2:$G$101,7,FALSE)</f>
        <v>0</v>
      </c>
      <c r="P1034" t="str">
        <f t="shared" si="97"/>
        <v>No</v>
      </c>
      <c r="Q1034">
        <f t="shared" si="98"/>
        <v>0</v>
      </c>
      <c r="R1034" t="str">
        <f t="shared" si="99"/>
        <v>Late</v>
      </c>
      <c r="S1034">
        <f t="shared" si="100"/>
        <v>2024</v>
      </c>
      <c r="T1034">
        <f t="shared" si="101"/>
        <v>2</v>
      </c>
    </row>
    <row r="1035" spans="1:20" x14ac:dyDescent="0.25">
      <c r="A1035" t="s">
        <v>1341</v>
      </c>
      <c r="B1035" t="s">
        <v>174</v>
      </c>
      <c r="C1035" t="s">
        <v>396</v>
      </c>
      <c r="D1035" s="1">
        <v>45229</v>
      </c>
      <c r="E1035">
        <v>12</v>
      </c>
      <c r="F1035">
        <v>61.005516916972397</v>
      </c>
      <c r="G1035" s="1">
        <v>45241</v>
      </c>
      <c r="H1035" s="1">
        <v>45244</v>
      </c>
      <c r="I1035">
        <v>732.06620300366797</v>
      </c>
      <c r="J1035">
        <f t="shared" si="96"/>
        <v>3</v>
      </c>
      <c r="K1035" t="str">
        <f>VLOOKUP(B1035,Raw_Suppliers!$A$2:$G$101,2,FALSE)</f>
        <v>Quantum Eco LLC</v>
      </c>
      <c r="L1035" t="str">
        <f>VLOOKUP(B1035,Raw_Suppliers!$A$2:$G$101,3,FALSE)</f>
        <v>Denmark</v>
      </c>
      <c r="M1035" t="str">
        <f>VLOOKUP(B1035,Raw_Suppliers!$A$2:$G$101,4,FALSE)</f>
        <v>East</v>
      </c>
      <c r="N1035" t="str">
        <f>VLOOKUP(B1035,Raw_Suppliers!$A$2:$G$101,6,FALSE)</f>
        <v>ISO 9001</v>
      </c>
      <c r="O1035">
        <f>VLOOKUP(B1035,Raw_Suppliers!$A$2:$G$101,7,FALSE)</f>
        <v>1</v>
      </c>
      <c r="P1035" t="str">
        <f t="shared" si="97"/>
        <v>Yes</v>
      </c>
      <c r="Q1035">
        <f t="shared" si="98"/>
        <v>0</v>
      </c>
      <c r="R1035" t="str">
        <f t="shared" si="99"/>
        <v>Late</v>
      </c>
      <c r="S1035">
        <f t="shared" si="100"/>
        <v>2023</v>
      </c>
      <c r="T1035">
        <f t="shared" si="101"/>
        <v>10</v>
      </c>
    </row>
    <row r="1036" spans="1:20" x14ac:dyDescent="0.25">
      <c r="A1036" t="s">
        <v>1342</v>
      </c>
      <c r="B1036" t="s">
        <v>253</v>
      </c>
      <c r="C1036" t="s">
        <v>53</v>
      </c>
      <c r="D1036" s="1">
        <v>44672</v>
      </c>
      <c r="E1036">
        <v>5</v>
      </c>
      <c r="F1036">
        <v>63.363332176676103</v>
      </c>
      <c r="G1036" s="1">
        <v>44686</v>
      </c>
      <c r="H1036" s="1">
        <v>44686</v>
      </c>
      <c r="I1036">
        <v>316.81666088338</v>
      </c>
      <c r="J1036">
        <f t="shared" si="96"/>
        <v>0</v>
      </c>
      <c r="K1036" t="str">
        <f>VLOOKUP(B1036,Raw_Suppliers!$A$2:$G$101,2,FALSE)</f>
        <v>Vertex Apex Ltd</v>
      </c>
      <c r="L1036" t="str">
        <f>VLOOKUP(B1036,Raw_Suppliers!$A$2:$G$101,3,FALSE)</f>
        <v>Brazil</v>
      </c>
      <c r="M1036" t="str">
        <f>VLOOKUP(B1036,Raw_Suppliers!$A$2:$G$101,4,FALSE)</f>
        <v>South</v>
      </c>
      <c r="N1036" t="str">
        <f>VLOOKUP(B1036,Raw_Suppliers!$A$2:$G$101,6,FALSE)</f>
        <v>None</v>
      </c>
      <c r="O1036">
        <f>VLOOKUP(B1036,Raw_Suppliers!$A$2:$G$101,7,FALSE)</f>
        <v>1</v>
      </c>
      <c r="P1036" t="str">
        <f t="shared" si="97"/>
        <v>Yes</v>
      </c>
      <c r="Q1036">
        <f t="shared" si="98"/>
        <v>1</v>
      </c>
      <c r="R1036" t="str">
        <f t="shared" si="99"/>
        <v>On Time</v>
      </c>
      <c r="S1036">
        <f t="shared" si="100"/>
        <v>2022</v>
      </c>
      <c r="T1036">
        <f t="shared" si="101"/>
        <v>4</v>
      </c>
    </row>
    <row r="1037" spans="1:20" x14ac:dyDescent="0.25">
      <c r="A1037" t="s">
        <v>1343</v>
      </c>
      <c r="B1037" t="s">
        <v>124</v>
      </c>
      <c r="C1037" t="s">
        <v>192</v>
      </c>
      <c r="D1037" s="1">
        <v>44547</v>
      </c>
      <c r="E1037">
        <v>15</v>
      </c>
      <c r="F1037">
        <v>14.228721572560101</v>
      </c>
      <c r="G1037" s="1">
        <v>44565</v>
      </c>
      <c r="H1037" s="1">
        <v>44570</v>
      </c>
      <c r="I1037">
        <v>213.43082358840201</v>
      </c>
      <c r="J1037">
        <f t="shared" si="96"/>
        <v>5</v>
      </c>
      <c r="K1037" t="str">
        <f>VLOOKUP(B1037,Raw_Suppliers!$A$2:$G$101,2,FALSE)</f>
        <v>Vertex Delta Inc</v>
      </c>
      <c r="L1037" t="str">
        <f>VLOOKUP(B1037,Raw_Suppliers!$A$2:$G$101,3,FALSE)</f>
        <v>Germany</v>
      </c>
      <c r="M1037" t="str">
        <f>VLOOKUP(B1037,Raw_Suppliers!$A$2:$G$101,4,FALSE)</f>
        <v>South</v>
      </c>
      <c r="N1037" t="str">
        <f>VLOOKUP(B1037,Raw_Suppliers!$A$2:$G$101,6,FALSE)</f>
        <v>ISO 9001</v>
      </c>
      <c r="O1037">
        <f>VLOOKUP(B1037,Raw_Suppliers!$A$2:$G$101,7,FALSE)</f>
        <v>0</v>
      </c>
      <c r="P1037" t="str">
        <f t="shared" si="97"/>
        <v>No</v>
      </c>
      <c r="Q1037">
        <f t="shared" si="98"/>
        <v>0</v>
      </c>
      <c r="R1037" t="str">
        <f t="shared" si="99"/>
        <v>Late</v>
      </c>
      <c r="S1037">
        <f t="shared" si="100"/>
        <v>2021</v>
      </c>
      <c r="T1037">
        <f t="shared" si="101"/>
        <v>12</v>
      </c>
    </row>
    <row r="1038" spans="1:20" x14ac:dyDescent="0.25">
      <c r="A1038" t="s">
        <v>1344</v>
      </c>
      <c r="B1038" t="s">
        <v>242</v>
      </c>
      <c r="C1038" t="s">
        <v>26</v>
      </c>
      <c r="D1038" s="1">
        <v>44364</v>
      </c>
      <c r="E1038">
        <v>10</v>
      </c>
      <c r="F1038">
        <v>52.428927604441903</v>
      </c>
      <c r="G1038" s="1">
        <v>44388</v>
      </c>
      <c r="H1038" s="1">
        <v>44386</v>
      </c>
      <c r="I1038">
        <v>524.28927604441901</v>
      </c>
      <c r="J1038">
        <f t="shared" si="96"/>
        <v>-2</v>
      </c>
      <c r="K1038" t="str">
        <f>VLOOKUP(B1038,Raw_Suppliers!$A$2:$G$101,2,FALSE)</f>
        <v>Omega Nova GmbH</v>
      </c>
      <c r="L1038" t="str">
        <f>VLOOKUP(B1038,Raw_Suppliers!$A$2:$G$101,3,FALSE)</f>
        <v>Denmark</v>
      </c>
      <c r="M1038" t="str">
        <f>VLOOKUP(B1038,Raw_Suppliers!$A$2:$G$101,4,FALSE)</f>
        <v>East</v>
      </c>
      <c r="N1038" t="str">
        <f>VLOOKUP(B1038,Raw_Suppliers!$A$2:$G$101,6,FALSE)</f>
        <v>ISO 45001</v>
      </c>
      <c r="O1038">
        <f>VLOOKUP(B1038,Raw_Suppliers!$A$2:$G$101,7,FALSE)</f>
        <v>0</v>
      </c>
      <c r="P1038" t="str">
        <f t="shared" si="97"/>
        <v>No</v>
      </c>
      <c r="Q1038">
        <f t="shared" si="98"/>
        <v>1</v>
      </c>
      <c r="R1038" t="str">
        <f t="shared" si="99"/>
        <v>On Time</v>
      </c>
      <c r="S1038">
        <f t="shared" si="100"/>
        <v>2021</v>
      </c>
      <c r="T1038">
        <f t="shared" si="101"/>
        <v>6</v>
      </c>
    </row>
    <row r="1039" spans="1:20" x14ac:dyDescent="0.25">
      <c r="A1039" t="s">
        <v>1345</v>
      </c>
      <c r="B1039" t="s">
        <v>240</v>
      </c>
      <c r="C1039" t="s">
        <v>32</v>
      </c>
      <c r="D1039" s="1">
        <v>44789</v>
      </c>
      <c r="E1039">
        <v>9</v>
      </c>
      <c r="F1039">
        <v>17.827650350041701</v>
      </c>
      <c r="G1039" s="1">
        <v>44813</v>
      </c>
      <c r="H1039" s="1">
        <v>44813</v>
      </c>
      <c r="I1039">
        <v>160.44885315037499</v>
      </c>
      <c r="J1039">
        <f t="shared" si="96"/>
        <v>0</v>
      </c>
      <c r="K1039" t="str">
        <f>VLOOKUP(B1039,Raw_Suppliers!$A$2:$G$101,2,FALSE)</f>
        <v>Apex Omega LLC</v>
      </c>
      <c r="L1039" t="str">
        <f>VLOOKUP(B1039,Raw_Suppliers!$A$2:$G$101,3,FALSE)</f>
        <v>UK</v>
      </c>
      <c r="M1039" t="str">
        <f>VLOOKUP(B1039,Raw_Suppliers!$A$2:$G$101,4,FALSE)</f>
        <v>South</v>
      </c>
      <c r="N1039" t="str">
        <f>VLOOKUP(B1039,Raw_Suppliers!$A$2:$G$101,6,FALSE)</f>
        <v>ISO 9001</v>
      </c>
      <c r="O1039">
        <f>VLOOKUP(B1039,Raw_Suppliers!$A$2:$G$101,7,FALSE)</f>
        <v>0</v>
      </c>
      <c r="P1039" t="str">
        <f t="shared" si="97"/>
        <v>No</v>
      </c>
      <c r="Q1039">
        <f t="shared" si="98"/>
        <v>1</v>
      </c>
      <c r="R1039" t="str">
        <f t="shared" si="99"/>
        <v>On Time</v>
      </c>
      <c r="S1039">
        <f t="shared" si="100"/>
        <v>2022</v>
      </c>
      <c r="T1039">
        <f t="shared" si="101"/>
        <v>8</v>
      </c>
    </row>
    <row r="1040" spans="1:20" x14ac:dyDescent="0.25">
      <c r="A1040" t="s">
        <v>1346</v>
      </c>
      <c r="B1040" t="s">
        <v>394</v>
      </c>
      <c r="C1040" t="s">
        <v>629</v>
      </c>
      <c r="D1040" s="1">
        <v>44555</v>
      </c>
      <c r="E1040">
        <v>19</v>
      </c>
      <c r="F1040">
        <v>19.0991074496064</v>
      </c>
      <c r="G1040" s="1">
        <v>44579</v>
      </c>
      <c r="H1040" s="1">
        <v>44584</v>
      </c>
      <c r="I1040">
        <v>362.88304154252199</v>
      </c>
      <c r="J1040">
        <f t="shared" si="96"/>
        <v>5</v>
      </c>
      <c r="K1040" t="str">
        <f>VLOOKUP(B1040,Raw_Suppliers!$A$2:$G$101,2,FALSE)</f>
        <v>Ultra Prime Inc</v>
      </c>
      <c r="L1040" t="str">
        <f>VLOOKUP(B1040,Raw_Suppliers!$A$2:$G$101,3,FALSE)</f>
        <v>Brazil</v>
      </c>
      <c r="M1040" t="str">
        <f>VLOOKUP(B1040,Raw_Suppliers!$A$2:$G$101,4,FALSE)</f>
        <v>West</v>
      </c>
      <c r="N1040" t="str">
        <f>VLOOKUP(B1040,Raw_Suppliers!$A$2:$G$101,6,FALSE)</f>
        <v>ISO 9001</v>
      </c>
      <c r="O1040">
        <f>VLOOKUP(B1040,Raw_Suppliers!$A$2:$G$101,7,FALSE)</f>
        <v>1</v>
      </c>
      <c r="P1040" t="str">
        <f t="shared" si="97"/>
        <v>Yes</v>
      </c>
      <c r="Q1040">
        <f t="shared" si="98"/>
        <v>0</v>
      </c>
      <c r="R1040" t="str">
        <f t="shared" si="99"/>
        <v>Late</v>
      </c>
      <c r="S1040">
        <f t="shared" si="100"/>
        <v>2021</v>
      </c>
      <c r="T1040">
        <f t="shared" si="101"/>
        <v>12</v>
      </c>
    </row>
    <row r="1041" spans="1:20" x14ac:dyDescent="0.25">
      <c r="A1041" t="s">
        <v>1347</v>
      </c>
      <c r="B1041" t="s">
        <v>52</v>
      </c>
      <c r="C1041" t="s">
        <v>344</v>
      </c>
      <c r="D1041" s="1">
        <v>45141</v>
      </c>
      <c r="E1041">
        <v>13</v>
      </c>
      <c r="F1041">
        <v>8.6144822908506899</v>
      </c>
      <c r="G1041" s="1">
        <v>45164</v>
      </c>
      <c r="H1041" s="1">
        <v>45161</v>
      </c>
      <c r="I1041">
        <v>111.988269781059</v>
      </c>
      <c r="J1041">
        <f t="shared" si="96"/>
        <v>-3</v>
      </c>
      <c r="K1041" t="str">
        <f>VLOOKUP(B1041,Raw_Suppliers!$A$2:$G$101,2,FALSE)</f>
        <v>Beta Nano Corp</v>
      </c>
      <c r="L1041" t="str">
        <f>VLOOKUP(B1041,Raw_Suppliers!$A$2:$G$101,3,FALSE)</f>
        <v>UK</v>
      </c>
      <c r="M1041" t="str">
        <f>VLOOKUP(B1041,Raw_Suppliers!$A$2:$G$101,4,FALSE)</f>
        <v>Central</v>
      </c>
      <c r="N1041" t="str">
        <f>VLOOKUP(B1041,Raw_Suppliers!$A$2:$G$101,6,FALSE)</f>
        <v>ISO 45001</v>
      </c>
      <c r="O1041">
        <f>VLOOKUP(B1041,Raw_Suppliers!$A$2:$G$101,7,FALSE)</f>
        <v>0</v>
      </c>
      <c r="P1041" t="str">
        <f t="shared" si="97"/>
        <v>No</v>
      </c>
      <c r="Q1041">
        <f t="shared" si="98"/>
        <v>1</v>
      </c>
      <c r="R1041" t="str">
        <f t="shared" si="99"/>
        <v>On Time</v>
      </c>
      <c r="S1041">
        <f t="shared" si="100"/>
        <v>2023</v>
      </c>
      <c r="T1041">
        <f t="shared" si="101"/>
        <v>8</v>
      </c>
    </row>
    <row r="1042" spans="1:20" x14ac:dyDescent="0.25">
      <c r="A1042" t="s">
        <v>1348</v>
      </c>
      <c r="B1042" t="s">
        <v>295</v>
      </c>
      <c r="C1042" t="s">
        <v>763</v>
      </c>
      <c r="D1042" s="1">
        <v>44661</v>
      </c>
      <c r="E1042">
        <v>16</v>
      </c>
      <c r="F1042">
        <v>42.043868140421402</v>
      </c>
      <c r="G1042" s="1">
        <v>44685</v>
      </c>
      <c r="H1042" s="1">
        <v>44686</v>
      </c>
      <c r="I1042">
        <v>672.70189024674301</v>
      </c>
      <c r="J1042">
        <f t="shared" si="96"/>
        <v>1</v>
      </c>
      <c r="K1042" t="str">
        <f>VLOOKUP(B1042,Raw_Suppliers!$A$2:$G$101,2,FALSE)</f>
        <v>Delta Quantum GmbH</v>
      </c>
      <c r="L1042" t="str">
        <f>VLOOKUP(B1042,Raw_Suppliers!$A$2:$G$101,3,FALSE)</f>
        <v>Brazil</v>
      </c>
      <c r="M1042" t="str">
        <f>VLOOKUP(B1042,Raw_Suppliers!$A$2:$G$101,4,FALSE)</f>
        <v>North</v>
      </c>
      <c r="N1042" t="str">
        <f>VLOOKUP(B1042,Raw_Suppliers!$A$2:$G$101,6,FALSE)</f>
        <v>ISO 9001</v>
      </c>
      <c r="O1042">
        <f>VLOOKUP(B1042,Raw_Suppliers!$A$2:$G$101,7,FALSE)</f>
        <v>1</v>
      </c>
      <c r="P1042" t="str">
        <f t="shared" si="97"/>
        <v>Yes</v>
      </c>
      <c r="Q1042">
        <f t="shared" si="98"/>
        <v>0</v>
      </c>
      <c r="R1042" t="str">
        <f t="shared" si="99"/>
        <v>Late</v>
      </c>
      <c r="S1042">
        <f t="shared" si="100"/>
        <v>2022</v>
      </c>
      <c r="T1042">
        <f t="shared" si="101"/>
        <v>4</v>
      </c>
    </row>
    <row r="1043" spans="1:20" x14ac:dyDescent="0.25">
      <c r="A1043" t="s">
        <v>1349</v>
      </c>
      <c r="B1043" t="s">
        <v>34</v>
      </c>
      <c r="C1043" t="s">
        <v>795</v>
      </c>
      <c r="D1043" s="1">
        <v>45243</v>
      </c>
      <c r="E1043">
        <v>13</v>
      </c>
      <c r="F1043">
        <v>42.275468290097898</v>
      </c>
      <c r="G1043" s="1">
        <v>45264</v>
      </c>
      <c r="H1043" s="1">
        <v>45270</v>
      </c>
      <c r="I1043">
        <v>549.58108777127302</v>
      </c>
      <c r="J1043">
        <f t="shared" si="96"/>
        <v>6</v>
      </c>
      <c r="K1043" t="str">
        <f>VLOOKUP(B1043,Raw_Suppliers!$A$2:$G$101,2,FALSE)</f>
        <v>Omega Alpha Corp</v>
      </c>
      <c r="L1043" t="str">
        <f>VLOOKUP(B1043,Raw_Suppliers!$A$2:$G$101,3,FALSE)</f>
        <v>UK</v>
      </c>
      <c r="M1043" t="str">
        <f>VLOOKUP(B1043,Raw_Suppliers!$A$2:$G$101,4,FALSE)</f>
        <v>West</v>
      </c>
      <c r="N1043" t="str">
        <f>VLOOKUP(B1043,Raw_Suppliers!$A$2:$G$101,6,FALSE)</f>
        <v>ISO 45001</v>
      </c>
      <c r="O1043">
        <f>VLOOKUP(B1043,Raw_Suppliers!$A$2:$G$101,7,FALSE)</f>
        <v>0</v>
      </c>
      <c r="P1043" t="str">
        <f t="shared" si="97"/>
        <v>No</v>
      </c>
      <c r="Q1043">
        <f t="shared" si="98"/>
        <v>0</v>
      </c>
      <c r="R1043" t="str">
        <f t="shared" si="99"/>
        <v>Late</v>
      </c>
      <c r="S1043">
        <f t="shared" si="100"/>
        <v>2023</v>
      </c>
      <c r="T1043">
        <f t="shared" si="101"/>
        <v>11</v>
      </c>
    </row>
    <row r="1044" spans="1:20" x14ac:dyDescent="0.25">
      <c r="A1044" t="s">
        <v>1350</v>
      </c>
      <c r="B1044" t="s">
        <v>157</v>
      </c>
      <c r="C1044" t="s">
        <v>276</v>
      </c>
      <c r="D1044" s="1">
        <v>44243</v>
      </c>
      <c r="E1044">
        <v>13</v>
      </c>
      <c r="F1044">
        <v>48.121879711942697</v>
      </c>
      <c r="G1044" s="1">
        <v>44261</v>
      </c>
      <c r="H1044" s="1">
        <v>44259</v>
      </c>
      <c r="I1044">
        <v>625.58443625525501</v>
      </c>
      <c r="J1044">
        <f t="shared" si="96"/>
        <v>-2</v>
      </c>
      <c r="K1044" t="str">
        <f>VLOOKUP(B1044,Raw_Suppliers!$A$2:$G$101,2,FALSE)</f>
        <v>Pioneer Omega Ltd</v>
      </c>
      <c r="L1044" t="str">
        <f>VLOOKUP(B1044,Raw_Suppliers!$A$2:$G$101,3,FALSE)</f>
        <v>Brazil</v>
      </c>
      <c r="M1044" t="str">
        <f>VLOOKUP(B1044,Raw_Suppliers!$A$2:$G$101,4,FALSE)</f>
        <v>East</v>
      </c>
      <c r="N1044" t="str">
        <f>VLOOKUP(B1044,Raw_Suppliers!$A$2:$G$101,6,FALSE)</f>
        <v>None</v>
      </c>
      <c r="O1044">
        <f>VLOOKUP(B1044,Raw_Suppliers!$A$2:$G$101,7,FALSE)</f>
        <v>0</v>
      </c>
      <c r="P1044" t="str">
        <f t="shared" si="97"/>
        <v>No</v>
      </c>
      <c r="Q1044">
        <f t="shared" si="98"/>
        <v>1</v>
      </c>
      <c r="R1044" t="str">
        <f t="shared" si="99"/>
        <v>On Time</v>
      </c>
      <c r="S1044">
        <f t="shared" si="100"/>
        <v>2021</v>
      </c>
      <c r="T1044">
        <f t="shared" si="101"/>
        <v>2</v>
      </c>
    </row>
    <row r="1045" spans="1:20" x14ac:dyDescent="0.25">
      <c r="A1045" t="s">
        <v>1351</v>
      </c>
      <c r="B1045" t="s">
        <v>247</v>
      </c>
      <c r="C1045" t="s">
        <v>89</v>
      </c>
      <c r="D1045" s="1">
        <v>44886</v>
      </c>
      <c r="E1045">
        <v>7</v>
      </c>
      <c r="F1045">
        <v>19.209629733257799</v>
      </c>
      <c r="G1045" s="1">
        <v>44909</v>
      </c>
      <c r="H1045" s="1">
        <v>44911</v>
      </c>
      <c r="I1045">
        <v>134.467408132804</v>
      </c>
      <c r="J1045">
        <f t="shared" si="96"/>
        <v>2</v>
      </c>
      <c r="K1045" t="str">
        <f>VLOOKUP(B1045,Raw_Suppliers!$A$2:$G$101,2,FALSE)</f>
        <v>Ultra Apex LLC</v>
      </c>
      <c r="L1045" t="str">
        <f>VLOOKUP(B1045,Raw_Suppliers!$A$2:$G$101,3,FALSE)</f>
        <v>Germany</v>
      </c>
      <c r="M1045" t="str">
        <f>VLOOKUP(B1045,Raw_Suppliers!$A$2:$G$101,4,FALSE)</f>
        <v>West</v>
      </c>
      <c r="N1045" t="str">
        <f>VLOOKUP(B1045,Raw_Suppliers!$A$2:$G$101,6,FALSE)</f>
        <v>ISO 9001</v>
      </c>
      <c r="O1045">
        <f>VLOOKUP(B1045,Raw_Suppliers!$A$2:$G$101,7,FALSE)</f>
        <v>0</v>
      </c>
      <c r="P1045" t="str">
        <f t="shared" si="97"/>
        <v>No</v>
      </c>
      <c r="Q1045">
        <f t="shared" si="98"/>
        <v>0</v>
      </c>
      <c r="R1045" t="str">
        <f t="shared" si="99"/>
        <v>Late</v>
      </c>
      <c r="S1045">
        <f t="shared" si="100"/>
        <v>2022</v>
      </c>
      <c r="T1045">
        <f t="shared" si="101"/>
        <v>11</v>
      </c>
    </row>
    <row r="1046" spans="1:20" x14ac:dyDescent="0.25">
      <c r="A1046" t="s">
        <v>1352</v>
      </c>
      <c r="B1046" t="s">
        <v>242</v>
      </c>
      <c r="C1046" t="s">
        <v>437</v>
      </c>
      <c r="D1046" s="1">
        <v>44246</v>
      </c>
      <c r="E1046">
        <v>13</v>
      </c>
      <c r="F1046">
        <v>61.944148237717897</v>
      </c>
      <c r="G1046" s="1">
        <v>44270</v>
      </c>
      <c r="H1046" s="1">
        <v>44271</v>
      </c>
      <c r="I1046">
        <v>805.27392709033302</v>
      </c>
      <c r="J1046">
        <f t="shared" si="96"/>
        <v>1</v>
      </c>
      <c r="K1046" t="str">
        <f>VLOOKUP(B1046,Raw_Suppliers!$A$2:$G$101,2,FALSE)</f>
        <v>Omega Nova GmbH</v>
      </c>
      <c r="L1046" t="str">
        <f>VLOOKUP(B1046,Raw_Suppliers!$A$2:$G$101,3,FALSE)</f>
        <v>Denmark</v>
      </c>
      <c r="M1046" t="str">
        <f>VLOOKUP(B1046,Raw_Suppliers!$A$2:$G$101,4,FALSE)</f>
        <v>East</v>
      </c>
      <c r="N1046" t="str">
        <f>VLOOKUP(B1046,Raw_Suppliers!$A$2:$G$101,6,FALSE)</f>
        <v>ISO 45001</v>
      </c>
      <c r="O1046">
        <f>VLOOKUP(B1046,Raw_Suppliers!$A$2:$G$101,7,FALSE)</f>
        <v>0</v>
      </c>
      <c r="P1046" t="str">
        <f t="shared" si="97"/>
        <v>No</v>
      </c>
      <c r="Q1046">
        <f t="shared" si="98"/>
        <v>0</v>
      </c>
      <c r="R1046" t="str">
        <f t="shared" si="99"/>
        <v>Late</v>
      </c>
      <c r="S1046">
        <f t="shared" si="100"/>
        <v>2021</v>
      </c>
      <c r="T1046">
        <f t="shared" si="101"/>
        <v>2</v>
      </c>
    </row>
    <row r="1047" spans="1:20" x14ac:dyDescent="0.25">
      <c r="A1047" t="s">
        <v>1353</v>
      </c>
      <c r="B1047" t="s">
        <v>127</v>
      </c>
      <c r="C1047" t="s">
        <v>41</v>
      </c>
      <c r="D1047" s="1">
        <v>44602</v>
      </c>
      <c r="E1047">
        <v>15</v>
      </c>
      <c r="F1047">
        <v>19.6162439756894</v>
      </c>
      <c r="G1047" s="1">
        <v>44615</v>
      </c>
      <c r="H1047" s="1">
        <v>44615</v>
      </c>
      <c r="I1047">
        <v>294.24365963534098</v>
      </c>
      <c r="J1047">
        <f t="shared" si="96"/>
        <v>0</v>
      </c>
      <c r="K1047" t="str">
        <f>VLOOKUP(B1047,Raw_Suppliers!$A$2:$G$101,2,FALSE)</f>
        <v>Eco Gamma LLC</v>
      </c>
      <c r="L1047" t="str">
        <f>VLOOKUP(B1047,Raw_Suppliers!$A$2:$G$101,3,FALSE)</f>
        <v>Canada</v>
      </c>
      <c r="M1047" t="str">
        <f>VLOOKUP(B1047,Raw_Suppliers!$A$2:$G$101,4,FALSE)</f>
        <v>West</v>
      </c>
      <c r="N1047" t="str">
        <f>VLOOKUP(B1047,Raw_Suppliers!$A$2:$G$101,6,FALSE)</f>
        <v>ISO 9001</v>
      </c>
      <c r="O1047">
        <f>VLOOKUP(B1047,Raw_Suppliers!$A$2:$G$101,7,FALSE)</f>
        <v>1</v>
      </c>
      <c r="P1047" t="str">
        <f t="shared" si="97"/>
        <v>Yes</v>
      </c>
      <c r="Q1047">
        <f t="shared" si="98"/>
        <v>1</v>
      </c>
      <c r="R1047" t="str">
        <f t="shared" si="99"/>
        <v>On Time</v>
      </c>
      <c r="S1047">
        <f t="shared" si="100"/>
        <v>2022</v>
      </c>
      <c r="T1047">
        <f t="shared" si="101"/>
        <v>2</v>
      </c>
    </row>
    <row r="1048" spans="1:20" x14ac:dyDescent="0.25">
      <c r="A1048" t="s">
        <v>1354</v>
      </c>
      <c r="B1048" t="s">
        <v>267</v>
      </c>
      <c r="C1048" t="s">
        <v>664</v>
      </c>
      <c r="D1048" s="1">
        <v>44321</v>
      </c>
      <c r="E1048">
        <v>13</v>
      </c>
      <c r="F1048">
        <v>55.800938301358798</v>
      </c>
      <c r="G1048" s="1">
        <v>44345</v>
      </c>
      <c r="H1048" s="1">
        <v>44347</v>
      </c>
      <c r="I1048">
        <v>725.412197917664</v>
      </c>
      <c r="J1048">
        <f t="shared" si="96"/>
        <v>2</v>
      </c>
      <c r="K1048" t="str">
        <f>VLOOKUP(B1048,Raw_Suppliers!$A$2:$G$101,2,FALSE)</f>
        <v>Omega Nova Corp</v>
      </c>
      <c r="L1048" t="str">
        <f>VLOOKUP(B1048,Raw_Suppliers!$A$2:$G$101,3,FALSE)</f>
        <v>India</v>
      </c>
      <c r="M1048" t="str">
        <f>VLOOKUP(B1048,Raw_Suppliers!$A$2:$G$101,4,FALSE)</f>
        <v>West</v>
      </c>
      <c r="N1048" t="str">
        <f>VLOOKUP(B1048,Raw_Suppliers!$A$2:$G$101,6,FALSE)</f>
        <v>ISO 45001</v>
      </c>
      <c r="O1048">
        <f>VLOOKUP(B1048,Raw_Suppliers!$A$2:$G$101,7,FALSE)</f>
        <v>0</v>
      </c>
      <c r="P1048" t="str">
        <f t="shared" si="97"/>
        <v>No</v>
      </c>
      <c r="Q1048">
        <f t="shared" si="98"/>
        <v>0</v>
      </c>
      <c r="R1048" t="str">
        <f t="shared" si="99"/>
        <v>Late</v>
      </c>
      <c r="S1048">
        <f t="shared" si="100"/>
        <v>2021</v>
      </c>
      <c r="T1048">
        <f t="shared" si="101"/>
        <v>5</v>
      </c>
    </row>
    <row r="1049" spans="1:20" x14ac:dyDescent="0.25">
      <c r="A1049" t="s">
        <v>1355</v>
      </c>
      <c r="B1049" t="s">
        <v>10</v>
      </c>
      <c r="C1049" t="s">
        <v>334</v>
      </c>
      <c r="D1049" s="1">
        <v>44495</v>
      </c>
      <c r="E1049">
        <v>9</v>
      </c>
      <c r="F1049">
        <v>34.955766576384399</v>
      </c>
      <c r="G1049" s="1">
        <v>44515</v>
      </c>
      <c r="H1049" s="1">
        <v>44512</v>
      </c>
      <c r="I1049">
        <v>314.60189918745903</v>
      </c>
      <c r="J1049">
        <f t="shared" si="96"/>
        <v>-3</v>
      </c>
      <c r="K1049" t="str">
        <f>VLOOKUP(B1049,Raw_Suppliers!$A$2:$G$101,2,FALSE)</f>
        <v>Vertex Beta GmbH</v>
      </c>
      <c r="L1049" t="str">
        <f>VLOOKUP(B1049,Raw_Suppliers!$A$2:$G$101,3,FALSE)</f>
        <v>India</v>
      </c>
      <c r="M1049" t="str">
        <f>VLOOKUP(B1049,Raw_Suppliers!$A$2:$G$101,4,FALSE)</f>
        <v>North</v>
      </c>
      <c r="N1049" t="str">
        <f>VLOOKUP(B1049,Raw_Suppliers!$A$2:$G$101,6,FALSE)</f>
        <v>ISO 14001</v>
      </c>
      <c r="O1049">
        <f>VLOOKUP(B1049,Raw_Suppliers!$A$2:$G$101,7,FALSE)</f>
        <v>0</v>
      </c>
      <c r="P1049" t="str">
        <f t="shared" si="97"/>
        <v>No</v>
      </c>
      <c r="Q1049">
        <f t="shared" si="98"/>
        <v>1</v>
      </c>
      <c r="R1049" t="str">
        <f t="shared" si="99"/>
        <v>On Time</v>
      </c>
      <c r="S1049">
        <f t="shared" si="100"/>
        <v>2021</v>
      </c>
      <c r="T1049">
        <f t="shared" si="101"/>
        <v>10</v>
      </c>
    </row>
    <row r="1050" spans="1:20" x14ac:dyDescent="0.25">
      <c r="A1050" t="s">
        <v>1356</v>
      </c>
      <c r="B1050" t="s">
        <v>31</v>
      </c>
      <c r="C1050" t="s">
        <v>881</v>
      </c>
      <c r="D1050" s="1">
        <v>45143</v>
      </c>
      <c r="E1050">
        <v>7</v>
      </c>
      <c r="F1050">
        <v>13.759365528843</v>
      </c>
      <c r="G1050" s="1">
        <v>45163</v>
      </c>
      <c r="H1050" s="1">
        <v>45160</v>
      </c>
      <c r="I1050">
        <v>96.315558701901296</v>
      </c>
      <c r="J1050">
        <f t="shared" si="96"/>
        <v>-3</v>
      </c>
      <c r="K1050" t="str">
        <f>VLOOKUP(B1050,Raw_Suppliers!$A$2:$G$101,2,FALSE)</f>
        <v>Nova Nano GmbH</v>
      </c>
      <c r="L1050" t="str">
        <f>VLOOKUP(B1050,Raw_Suppliers!$A$2:$G$101,3,FALSE)</f>
        <v>Denmark</v>
      </c>
      <c r="M1050" t="str">
        <f>VLOOKUP(B1050,Raw_Suppliers!$A$2:$G$101,4,FALSE)</f>
        <v>South</v>
      </c>
      <c r="N1050" t="str">
        <f>VLOOKUP(B1050,Raw_Suppliers!$A$2:$G$101,6,FALSE)</f>
        <v>ISO 14001</v>
      </c>
      <c r="O1050">
        <f>VLOOKUP(B1050,Raw_Suppliers!$A$2:$G$101,7,FALSE)</f>
        <v>1</v>
      </c>
      <c r="P1050" t="str">
        <f t="shared" si="97"/>
        <v>Yes</v>
      </c>
      <c r="Q1050">
        <f t="shared" si="98"/>
        <v>1</v>
      </c>
      <c r="R1050" t="str">
        <f t="shared" si="99"/>
        <v>On Time</v>
      </c>
      <c r="S1050">
        <f t="shared" si="100"/>
        <v>2023</v>
      </c>
      <c r="T1050">
        <f t="shared" si="101"/>
        <v>8</v>
      </c>
    </row>
    <row r="1051" spans="1:20" x14ac:dyDescent="0.25">
      <c r="A1051" t="s">
        <v>1357</v>
      </c>
      <c r="B1051" t="s">
        <v>250</v>
      </c>
      <c r="C1051" t="s">
        <v>276</v>
      </c>
      <c r="D1051" s="1">
        <v>44753</v>
      </c>
      <c r="E1051">
        <v>9</v>
      </c>
      <c r="F1051">
        <v>57.644269041745702</v>
      </c>
      <c r="G1051" s="1">
        <v>44764</v>
      </c>
      <c r="H1051" s="1">
        <v>44766</v>
      </c>
      <c r="I1051">
        <v>518.79842137571097</v>
      </c>
      <c r="J1051">
        <f t="shared" si="96"/>
        <v>2</v>
      </c>
      <c r="K1051" t="str">
        <f>VLOOKUP(B1051,Raw_Suppliers!$A$2:$G$101,2,FALSE)</f>
        <v>Fusion Fusion Inc</v>
      </c>
      <c r="L1051" t="str">
        <f>VLOOKUP(B1051,Raw_Suppliers!$A$2:$G$101,3,FALSE)</f>
        <v>India</v>
      </c>
      <c r="M1051" t="str">
        <f>VLOOKUP(B1051,Raw_Suppliers!$A$2:$G$101,4,FALSE)</f>
        <v>South</v>
      </c>
      <c r="N1051" t="str">
        <f>VLOOKUP(B1051,Raw_Suppliers!$A$2:$G$101,6,FALSE)</f>
        <v>ISO 9001</v>
      </c>
      <c r="O1051">
        <f>VLOOKUP(B1051,Raw_Suppliers!$A$2:$G$101,7,FALSE)</f>
        <v>0</v>
      </c>
      <c r="P1051" t="str">
        <f t="shared" si="97"/>
        <v>No</v>
      </c>
      <c r="Q1051">
        <f t="shared" si="98"/>
        <v>0</v>
      </c>
      <c r="R1051" t="str">
        <f t="shared" si="99"/>
        <v>Late</v>
      </c>
      <c r="S1051">
        <f t="shared" si="100"/>
        <v>2022</v>
      </c>
      <c r="T1051">
        <f t="shared" si="101"/>
        <v>7</v>
      </c>
    </row>
    <row r="1052" spans="1:20" x14ac:dyDescent="0.25">
      <c r="A1052" t="s">
        <v>1358</v>
      </c>
      <c r="B1052" t="s">
        <v>751</v>
      </c>
      <c r="C1052" t="s">
        <v>222</v>
      </c>
      <c r="D1052" s="1">
        <v>44784</v>
      </c>
      <c r="E1052">
        <v>8</v>
      </c>
      <c r="F1052">
        <v>12.585273192662401</v>
      </c>
      <c r="G1052" s="1">
        <v>44802</v>
      </c>
      <c r="H1052" s="1">
        <v>44802</v>
      </c>
      <c r="I1052">
        <v>100.68218554129901</v>
      </c>
      <c r="J1052">
        <f t="shared" si="96"/>
        <v>0</v>
      </c>
      <c r="K1052" t="str">
        <f>VLOOKUP(B1052,Raw_Suppliers!$A$2:$G$101,2,FALSE)</f>
        <v>Nano Vertex LLC</v>
      </c>
      <c r="L1052" t="str">
        <f>VLOOKUP(B1052,Raw_Suppliers!$A$2:$G$101,3,FALSE)</f>
        <v>China</v>
      </c>
      <c r="M1052" t="str">
        <f>VLOOKUP(B1052,Raw_Suppliers!$A$2:$G$101,4,FALSE)</f>
        <v>North</v>
      </c>
      <c r="N1052" t="str">
        <f>VLOOKUP(B1052,Raw_Suppliers!$A$2:$G$101,6,FALSE)</f>
        <v>ISO 9001</v>
      </c>
      <c r="O1052">
        <f>VLOOKUP(B1052,Raw_Suppliers!$A$2:$G$101,7,FALSE)</f>
        <v>1</v>
      </c>
      <c r="P1052" t="str">
        <f t="shared" si="97"/>
        <v>Yes</v>
      </c>
      <c r="Q1052">
        <f t="shared" si="98"/>
        <v>1</v>
      </c>
      <c r="R1052" t="str">
        <f t="shared" si="99"/>
        <v>On Time</v>
      </c>
      <c r="S1052">
        <f t="shared" si="100"/>
        <v>2022</v>
      </c>
      <c r="T1052">
        <f t="shared" si="101"/>
        <v>8</v>
      </c>
    </row>
    <row r="1053" spans="1:20" x14ac:dyDescent="0.25">
      <c r="A1053" t="s">
        <v>1359</v>
      </c>
      <c r="B1053" t="s">
        <v>219</v>
      </c>
      <c r="C1053" t="s">
        <v>272</v>
      </c>
      <c r="D1053" s="1">
        <v>44376</v>
      </c>
      <c r="E1053">
        <v>8</v>
      </c>
      <c r="F1053">
        <v>23.155143066853899</v>
      </c>
      <c r="G1053" s="1">
        <v>44387</v>
      </c>
      <c r="H1053" s="1">
        <v>44390</v>
      </c>
      <c r="I1053">
        <v>185.24114453483099</v>
      </c>
      <c r="J1053">
        <f t="shared" si="96"/>
        <v>3</v>
      </c>
      <c r="K1053" t="str">
        <f>VLOOKUP(B1053,Raw_Suppliers!$A$2:$G$101,2,FALSE)</f>
        <v>Quantum Quantum Ltd</v>
      </c>
      <c r="L1053" t="str">
        <f>VLOOKUP(B1053,Raw_Suppliers!$A$2:$G$101,3,FALSE)</f>
        <v>USA</v>
      </c>
      <c r="M1053" t="str">
        <f>VLOOKUP(B1053,Raw_Suppliers!$A$2:$G$101,4,FALSE)</f>
        <v>South</v>
      </c>
      <c r="N1053" t="str">
        <f>VLOOKUP(B1053,Raw_Suppliers!$A$2:$G$101,6,FALSE)</f>
        <v>ISO 14001</v>
      </c>
      <c r="O1053">
        <f>VLOOKUP(B1053,Raw_Suppliers!$A$2:$G$101,7,FALSE)</f>
        <v>0</v>
      </c>
      <c r="P1053" t="str">
        <f t="shared" si="97"/>
        <v>No</v>
      </c>
      <c r="Q1053">
        <f t="shared" si="98"/>
        <v>0</v>
      </c>
      <c r="R1053" t="str">
        <f t="shared" si="99"/>
        <v>Late</v>
      </c>
      <c r="S1053">
        <f t="shared" si="100"/>
        <v>2021</v>
      </c>
      <c r="T1053">
        <f t="shared" si="101"/>
        <v>6</v>
      </c>
    </row>
    <row r="1054" spans="1:20" x14ac:dyDescent="0.25">
      <c r="A1054" t="s">
        <v>1360</v>
      </c>
      <c r="B1054" t="s">
        <v>114</v>
      </c>
      <c r="C1054" t="s">
        <v>161</v>
      </c>
      <c r="D1054" s="1">
        <v>45233</v>
      </c>
      <c r="E1054">
        <v>8</v>
      </c>
      <c r="F1054">
        <v>14.819663621212801</v>
      </c>
      <c r="G1054" s="1">
        <v>45244</v>
      </c>
      <c r="H1054" s="1">
        <v>45243</v>
      </c>
      <c r="I1054">
        <v>118.557308969703</v>
      </c>
      <c r="J1054">
        <f t="shared" si="96"/>
        <v>-1</v>
      </c>
      <c r="K1054" t="str">
        <f>VLOOKUP(B1054,Raw_Suppliers!$A$2:$G$101,2,FALSE)</f>
        <v>Fusion Fusion LLC</v>
      </c>
      <c r="L1054" t="str">
        <f>VLOOKUP(B1054,Raw_Suppliers!$A$2:$G$101,3,FALSE)</f>
        <v>China</v>
      </c>
      <c r="M1054" t="str">
        <f>VLOOKUP(B1054,Raw_Suppliers!$A$2:$G$101,4,FALSE)</f>
        <v>North</v>
      </c>
      <c r="N1054" t="str">
        <f>VLOOKUP(B1054,Raw_Suppliers!$A$2:$G$101,6,FALSE)</f>
        <v>ISO 45001</v>
      </c>
      <c r="O1054">
        <f>VLOOKUP(B1054,Raw_Suppliers!$A$2:$G$101,7,FALSE)</f>
        <v>1</v>
      </c>
      <c r="P1054" t="str">
        <f t="shared" si="97"/>
        <v>Yes</v>
      </c>
      <c r="Q1054">
        <f t="shared" si="98"/>
        <v>1</v>
      </c>
      <c r="R1054" t="str">
        <f t="shared" si="99"/>
        <v>On Time</v>
      </c>
      <c r="S1054">
        <f t="shared" si="100"/>
        <v>2023</v>
      </c>
      <c r="T1054">
        <f t="shared" si="101"/>
        <v>11</v>
      </c>
    </row>
    <row r="1055" spans="1:20" x14ac:dyDescent="0.25">
      <c r="A1055" t="s">
        <v>1361</v>
      </c>
      <c r="B1055" t="s">
        <v>114</v>
      </c>
      <c r="C1055" t="s">
        <v>1362</v>
      </c>
      <c r="D1055" s="1">
        <v>44735</v>
      </c>
      <c r="E1055">
        <v>8</v>
      </c>
      <c r="F1055">
        <v>36.907248334427003</v>
      </c>
      <c r="G1055" s="1">
        <v>44747</v>
      </c>
      <c r="H1055" s="1">
        <v>44745</v>
      </c>
      <c r="I1055">
        <v>295.25798667541602</v>
      </c>
      <c r="J1055">
        <f t="shared" si="96"/>
        <v>-2</v>
      </c>
      <c r="K1055" t="str">
        <f>VLOOKUP(B1055,Raw_Suppliers!$A$2:$G$101,2,FALSE)</f>
        <v>Fusion Fusion LLC</v>
      </c>
      <c r="L1055" t="str">
        <f>VLOOKUP(B1055,Raw_Suppliers!$A$2:$G$101,3,FALSE)</f>
        <v>China</v>
      </c>
      <c r="M1055" t="str">
        <f>VLOOKUP(B1055,Raw_Suppliers!$A$2:$G$101,4,FALSE)</f>
        <v>North</v>
      </c>
      <c r="N1055" t="str">
        <f>VLOOKUP(B1055,Raw_Suppliers!$A$2:$G$101,6,FALSE)</f>
        <v>ISO 45001</v>
      </c>
      <c r="O1055">
        <f>VLOOKUP(B1055,Raw_Suppliers!$A$2:$G$101,7,FALSE)</f>
        <v>1</v>
      </c>
      <c r="P1055" t="str">
        <f t="shared" si="97"/>
        <v>Yes</v>
      </c>
      <c r="Q1055">
        <f t="shared" si="98"/>
        <v>1</v>
      </c>
      <c r="R1055" t="str">
        <f t="shared" si="99"/>
        <v>On Time</v>
      </c>
      <c r="S1055">
        <f t="shared" si="100"/>
        <v>2022</v>
      </c>
      <c r="T1055">
        <f t="shared" si="101"/>
        <v>6</v>
      </c>
    </row>
    <row r="1056" spans="1:20" x14ac:dyDescent="0.25">
      <c r="A1056" t="s">
        <v>1363</v>
      </c>
      <c r="B1056" t="s">
        <v>751</v>
      </c>
      <c r="C1056" t="s">
        <v>110</v>
      </c>
      <c r="D1056" s="1">
        <v>44767</v>
      </c>
      <c r="E1056">
        <v>15</v>
      </c>
      <c r="F1056">
        <v>62.065033667480897</v>
      </c>
      <c r="G1056" s="1">
        <v>44791</v>
      </c>
      <c r="H1056" s="1">
        <v>44789</v>
      </c>
      <c r="I1056">
        <v>930.97550501221394</v>
      </c>
      <c r="J1056">
        <f t="shared" si="96"/>
        <v>-2</v>
      </c>
      <c r="K1056" t="str">
        <f>VLOOKUP(B1056,Raw_Suppliers!$A$2:$G$101,2,FALSE)</f>
        <v>Nano Vertex LLC</v>
      </c>
      <c r="L1056" t="str">
        <f>VLOOKUP(B1056,Raw_Suppliers!$A$2:$G$101,3,FALSE)</f>
        <v>China</v>
      </c>
      <c r="M1056" t="str">
        <f>VLOOKUP(B1056,Raw_Suppliers!$A$2:$G$101,4,FALSE)</f>
        <v>North</v>
      </c>
      <c r="N1056" t="str">
        <f>VLOOKUP(B1056,Raw_Suppliers!$A$2:$G$101,6,FALSE)</f>
        <v>ISO 9001</v>
      </c>
      <c r="O1056">
        <f>VLOOKUP(B1056,Raw_Suppliers!$A$2:$G$101,7,FALSE)</f>
        <v>1</v>
      </c>
      <c r="P1056" t="str">
        <f t="shared" si="97"/>
        <v>Yes</v>
      </c>
      <c r="Q1056">
        <f t="shared" si="98"/>
        <v>1</v>
      </c>
      <c r="R1056" t="str">
        <f t="shared" si="99"/>
        <v>On Time</v>
      </c>
      <c r="S1056">
        <f t="shared" si="100"/>
        <v>2022</v>
      </c>
      <c r="T1056">
        <f t="shared" si="101"/>
        <v>7</v>
      </c>
    </row>
    <row r="1057" spans="1:20" x14ac:dyDescent="0.25">
      <c r="A1057" t="s">
        <v>1364</v>
      </c>
      <c r="B1057" t="s">
        <v>564</v>
      </c>
      <c r="C1057" t="s">
        <v>268</v>
      </c>
      <c r="D1057" s="1">
        <v>44356</v>
      </c>
      <c r="E1057">
        <v>10</v>
      </c>
      <c r="F1057">
        <v>32.284738321237199</v>
      </c>
      <c r="G1057" s="1">
        <v>44369</v>
      </c>
      <c r="H1057" s="1">
        <v>44374</v>
      </c>
      <c r="I1057">
        <v>322.84738321237199</v>
      </c>
      <c r="J1057">
        <f t="shared" si="96"/>
        <v>5</v>
      </c>
      <c r="K1057" t="str">
        <f>VLOOKUP(B1057,Raw_Suppliers!$A$2:$G$101,2,FALSE)</f>
        <v>Ultra Ultra GmbH</v>
      </c>
      <c r="L1057" t="str">
        <f>VLOOKUP(B1057,Raw_Suppliers!$A$2:$G$101,3,FALSE)</f>
        <v>India</v>
      </c>
      <c r="M1057" t="str">
        <f>VLOOKUP(B1057,Raw_Suppliers!$A$2:$G$101,4,FALSE)</f>
        <v>Central</v>
      </c>
      <c r="N1057" t="str">
        <f>VLOOKUP(B1057,Raw_Suppliers!$A$2:$G$101,6,FALSE)</f>
        <v>ISO 14001</v>
      </c>
      <c r="O1057">
        <f>VLOOKUP(B1057,Raw_Suppliers!$A$2:$G$101,7,FALSE)</f>
        <v>1</v>
      </c>
      <c r="P1057" t="str">
        <f t="shared" si="97"/>
        <v>Yes</v>
      </c>
      <c r="Q1057">
        <f t="shared" si="98"/>
        <v>0</v>
      </c>
      <c r="R1057" t="str">
        <f t="shared" si="99"/>
        <v>Late</v>
      </c>
      <c r="S1057">
        <f t="shared" si="100"/>
        <v>2021</v>
      </c>
      <c r="T1057">
        <f t="shared" si="101"/>
        <v>6</v>
      </c>
    </row>
    <row r="1058" spans="1:20" x14ac:dyDescent="0.25">
      <c r="A1058" t="s">
        <v>1365</v>
      </c>
      <c r="B1058" t="s">
        <v>493</v>
      </c>
      <c r="C1058" t="s">
        <v>270</v>
      </c>
      <c r="D1058" s="1">
        <v>44317</v>
      </c>
      <c r="E1058">
        <v>10</v>
      </c>
      <c r="F1058">
        <v>27.233427911481201</v>
      </c>
      <c r="G1058" s="1">
        <v>44328</v>
      </c>
      <c r="H1058" s="1">
        <v>44329</v>
      </c>
      <c r="I1058">
        <v>272.33427911481198</v>
      </c>
      <c r="J1058">
        <f t="shared" si="96"/>
        <v>1</v>
      </c>
      <c r="K1058" t="str">
        <f>VLOOKUP(B1058,Raw_Suppliers!$A$2:$G$101,2,FALSE)</f>
        <v>Delta Vertex LLC</v>
      </c>
      <c r="L1058" t="str">
        <f>VLOOKUP(B1058,Raw_Suppliers!$A$2:$G$101,3,FALSE)</f>
        <v>China</v>
      </c>
      <c r="M1058" t="str">
        <f>VLOOKUP(B1058,Raw_Suppliers!$A$2:$G$101,4,FALSE)</f>
        <v>East</v>
      </c>
      <c r="N1058" t="str">
        <f>VLOOKUP(B1058,Raw_Suppliers!$A$2:$G$101,6,FALSE)</f>
        <v>None</v>
      </c>
      <c r="O1058">
        <f>VLOOKUP(B1058,Raw_Suppliers!$A$2:$G$101,7,FALSE)</f>
        <v>0</v>
      </c>
      <c r="P1058" t="str">
        <f t="shared" si="97"/>
        <v>No</v>
      </c>
      <c r="Q1058">
        <f t="shared" si="98"/>
        <v>0</v>
      </c>
      <c r="R1058" t="str">
        <f t="shared" si="99"/>
        <v>Late</v>
      </c>
      <c r="S1058">
        <f t="shared" si="100"/>
        <v>2021</v>
      </c>
      <c r="T1058">
        <f t="shared" si="101"/>
        <v>5</v>
      </c>
    </row>
    <row r="1059" spans="1:20" x14ac:dyDescent="0.25">
      <c r="A1059" t="s">
        <v>1366</v>
      </c>
      <c r="B1059" t="s">
        <v>295</v>
      </c>
      <c r="C1059" t="s">
        <v>214</v>
      </c>
      <c r="D1059" s="1">
        <v>44549</v>
      </c>
      <c r="E1059">
        <v>9</v>
      </c>
      <c r="F1059">
        <v>44.647223605560299</v>
      </c>
      <c r="G1059" s="1">
        <v>44565</v>
      </c>
      <c r="H1059" s="1">
        <v>44567</v>
      </c>
      <c r="I1059">
        <v>401.825012450043</v>
      </c>
      <c r="J1059">
        <f t="shared" si="96"/>
        <v>2</v>
      </c>
      <c r="K1059" t="str">
        <f>VLOOKUP(B1059,Raw_Suppliers!$A$2:$G$101,2,FALSE)</f>
        <v>Delta Quantum GmbH</v>
      </c>
      <c r="L1059" t="str">
        <f>VLOOKUP(B1059,Raw_Suppliers!$A$2:$G$101,3,FALSE)</f>
        <v>Brazil</v>
      </c>
      <c r="M1059" t="str">
        <f>VLOOKUP(B1059,Raw_Suppliers!$A$2:$G$101,4,FALSE)</f>
        <v>North</v>
      </c>
      <c r="N1059" t="str">
        <f>VLOOKUP(B1059,Raw_Suppliers!$A$2:$G$101,6,FALSE)</f>
        <v>ISO 9001</v>
      </c>
      <c r="O1059">
        <f>VLOOKUP(B1059,Raw_Suppliers!$A$2:$G$101,7,FALSE)</f>
        <v>1</v>
      </c>
      <c r="P1059" t="str">
        <f t="shared" si="97"/>
        <v>Yes</v>
      </c>
      <c r="Q1059">
        <f t="shared" si="98"/>
        <v>0</v>
      </c>
      <c r="R1059" t="str">
        <f t="shared" si="99"/>
        <v>Late</v>
      </c>
      <c r="S1059">
        <f t="shared" si="100"/>
        <v>2021</v>
      </c>
      <c r="T1059">
        <f t="shared" si="101"/>
        <v>12</v>
      </c>
    </row>
    <row r="1060" spans="1:20" x14ac:dyDescent="0.25">
      <c r="A1060" t="s">
        <v>1367</v>
      </c>
      <c r="B1060" t="s">
        <v>475</v>
      </c>
      <c r="C1060" t="s">
        <v>759</v>
      </c>
      <c r="D1060" s="1">
        <v>44917</v>
      </c>
      <c r="E1060">
        <v>12</v>
      </c>
      <c r="F1060">
        <v>46.222563535280898</v>
      </c>
      <c r="G1060" s="1">
        <v>44929</v>
      </c>
      <c r="H1060" s="1">
        <v>44935</v>
      </c>
      <c r="I1060">
        <v>554.670762423371</v>
      </c>
      <c r="J1060">
        <f t="shared" si="96"/>
        <v>6</v>
      </c>
      <c r="K1060" t="str">
        <f>VLOOKUP(B1060,Raw_Suppliers!$A$2:$G$101,2,FALSE)</f>
        <v>Ultra Delta LLC</v>
      </c>
      <c r="L1060" t="str">
        <f>VLOOKUP(B1060,Raw_Suppliers!$A$2:$G$101,3,FALSE)</f>
        <v>UK</v>
      </c>
      <c r="M1060" t="str">
        <f>VLOOKUP(B1060,Raw_Suppliers!$A$2:$G$101,4,FALSE)</f>
        <v>North</v>
      </c>
      <c r="N1060" t="str">
        <f>VLOOKUP(B1060,Raw_Suppliers!$A$2:$G$101,6,FALSE)</f>
        <v>None</v>
      </c>
      <c r="O1060">
        <f>VLOOKUP(B1060,Raw_Suppliers!$A$2:$G$101,7,FALSE)</f>
        <v>1</v>
      </c>
      <c r="P1060" t="str">
        <f t="shared" si="97"/>
        <v>Yes</v>
      </c>
      <c r="Q1060">
        <f t="shared" si="98"/>
        <v>0</v>
      </c>
      <c r="R1060" t="str">
        <f t="shared" si="99"/>
        <v>Late</v>
      </c>
      <c r="S1060">
        <f t="shared" si="100"/>
        <v>2022</v>
      </c>
      <c r="T1060">
        <f t="shared" si="101"/>
        <v>12</v>
      </c>
    </row>
    <row r="1061" spans="1:20" x14ac:dyDescent="0.25">
      <c r="A1061" t="s">
        <v>1368</v>
      </c>
      <c r="B1061" t="s">
        <v>472</v>
      </c>
      <c r="C1061" t="s">
        <v>89</v>
      </c>
      <c r="D1061" s="1">
        <v>44244</v>
      </c>
      <c r="E1061">
        <v>11</v>
      </c>
      <c r="F1061">
        <v>74.357636512725094</v>
      </c>
      <c r="G1061" s="1">
        <v>44257</v>
      </c>
      <c r="H1061" s="1">
        <v>44254</v>
      </c>
      <c r="I1061">
        <v>817.93400163997603</v>
      </c>
      <c r="J1061">
        <f t="shared" si="96"/>
        <v>-3</v>
      </c>
      <c r="K1061" t="str">
        <f>VLOOKUP(B1061,Raw_Suppliers!$A$2:$G$101,2,FALSE)</f>
        <v>Pioneer Alpha Corp</v>
      </c>
      <c r="L1061" t="str">
        <f>VLOOKUP(B1061,Raw_Suppliers!$A$2:$G$101,3,FALSE)</f>
        <v>Canada</v>
      </c>
      <c r="M1061" t="str">
        <f>VLOOKUP(B1061,Raw_Suppliers!$A$2:$G$101,4,FALSE)</f>
        <v>North</v>
      </c>
      <c r="N1061" t="str">
        <f>VLOOKUP(B1061,Raw_Suppliers!$A$2:$G$101,6,FALSE)</f>
        <v>None</v>
      </c>
      <c r="O1061">
        <f>VLOOKUP(B1061,Raw_Suppliers!$A$2:$G$101,7,FALSE)</f>
        <v>1</v>
      </c>
      <c r="P1061" t="str">
        <f t="shared" si="97"/>
        <v>Yes</v>
      </c>
      <c r="Q1061">
        <f t="shared" si="98"/>
        <v>1</v>
      </c>
      <c r="R1061" t="str">
        <f t="shared" si="99"/>
        <v>On Time</v>
      </c>
      <c r="S1061">
        <f t="shared" si="100"/>
        <v>2021</v>
      </c>
      <c r="T1061">
        <f t="shared" si="101"/>
        <v>2</v>
      </c>
    </row>
    <row r="1062" spans="1:20" x14ac:dyDescent="0.25">
      <c r="A1062" t="s">
        <v>1369</v>
      </c>
      <c r="B1062" t="s">
        <v>140</v>
      </c>
      <c r="C1062" t="s">
        <v>212</v>
      </c>
      <c r="D1062" s="1">
        <v>44377</v>
      </c>
      <c r="E1062">
        <v>9</v>
      </c>
      <c r="F1062">
        <v>18.815960989427399</v>
      </c>
      <c r="G1062" s="1">
        <v>44397</v>
      </c>
      <c r="H1062" s="1">
        <v>44396</v>
      </c>
      <c r="I1062">
        <v>169.34364890484599</v>
      </c>
      <c r="J1062">
        <f t="shared" si="96"/>
        <v>-1</v>
      </c>
      <c r="K1062" t="str">
        <f>VLOOKUP(B1062,Raw_Suppliers!$A$2:$G$101,2,FALSE)</f>
        <v>Gamma Quantum Inc</v>
      </c>
      <c r="L1062" t="str">
        <f>VLOOKUP(B1062,Raw_Suppliers!$A$2:$G$101,3,FALSE)</f>
        <v>Germany</v>
      </c>
      <c r="M1062" t="str">
        <f>VLOOKUP(B1062,Raw_Suppliers!$A$2:$G$101,4,FALSE)</f>
        <v>North</v>
      </c>
      <c r="N1062" t="str">
        <f>VLOOKUP(B1062,Raw_Suppliers!$A$2:$G$101,6,FALSE)</f>
        <v>None</v>
      </c>
      <c r="O1062">
        <f>VLOOKUP(B1062,Raw_Suppliers!$A$2:$G$101,7,FALSE)</f>
        <v>1</v>
      </c>
      <c r="P1062" t="str">
        <f t="shared" si="97"/>
        <v>Yes</v>
      </c>
      <c r="Q1062">
        <f t="shared" si="98"/>
        <v>1</v>
      </c>
      <c r="R1062" t="str">
        <f t="shared" si="99"/>
        <v>On Time</v>
      </c>
      <c r="S1062">
        <f t="shared" si="100"/>
        <v>2021</v>
      </c>
      <c r="T1062">
        <f t="shared" si="101"/>
        <v>6</v>
      </c>
    </row>
    <row r="1063" spans="1:20" x14ac:dyDescent="0.25">
      <c r="A1063" t="s">
        <v>1370</v>
      </c>
      <c r="B1063" t="s">
        <v>121</v>
      </c>
      <c r="C1063" t="s">
        <v>182</v>
      </c>
      <c r="D1063" s="1">
        <v>44767</v>
      </c>
      <c r="E1063">
        <v>8</v>
      </c>
      <c r="F1063">
        <v>35.270069964939502</v>
      </c>
      <c r="G1063" s="1">
        <v>44786</v>
      </c>
      <c r="H1063" s="1">
        <v>44787</v>
      </c>
      <c r="I1063">
        <v>282.16055971951602</v>
      </c>
      <c r="J1063">
        <f t="shared" si="96"/>
        <v>1</v>
      </c>
      <c r="K1063" t="str">
        <f>VLOOKUP(B1063,Raw_Suppliers!$A$2:$G$101,2,FALSE)</f>
        <v>Vertex Vertex Inc</v>
      </c>
      <c r="L1063" t="str">
        <f>VLOOKUP(B1063,Raw_Suppliers!$A$2:$G$101,3,FALSE)</f>
        <v>USA</v>
      </c>
      <c r="M1063" t="str">
        <f>VLOOKUP(B1063,Raw_Suppliers!$A$2:$G$101,4,FALSE)</f>
        <v>West</v>
      </c>
      <c r="N1063" t="str">
        <f>VLOOKUP(B1063,Raw_Suppliers!$A$2:$G$101,6,FALSE)</f>
        <v>None</v>
      </c>
      <c r="O1063">
        <f>VLOOKUP(B1063,Raw_Suppliers!$A$2:$G$101,7,FALSE)</f>
        <v>0</v>
      </c>
      <c r="P1063" t="str">
        <f t="shared" si="97"/>
        <v>No</v>
      </c>
      <c r="Q1063">
        <f t="shared" si="98"/>
        <v>0</v>
      </c>
      <c r="R1063" t="str">
        <f t="shared" si="99"/>
        <v>Late</v>
      </c>
      <c r="S1063">
        <f t="shared" si="100"/>
        <v>2022</v>
      </c>
      <c r="T1063">
        <f t="shared" si="101"/>
        <v>7</v>
      </c>
    </row>
    <row r="1064" spans="1:20" x14ac:dyDescent="0.25">
      <c r="A1064" t="s">
        <v>1371</v>
      </c>
      <c r="B1064" t="s">
        <v>127</v>
      </c>
      <c r="C1064" t="s">
        <v>199</v>
      </c>
      <c r="D1064" s="1">
        <v>44639</v>
      </c>
      <c r="E1064">
        <v>15</v>
      </c>
      <c r="F1064">
        <v>15.7811429522257</v>
      </c>
      <c r="G1064" s="1">
        <v>44660</v>
      </c>
      <c r="H1064" s="1">
        <v>44659</v>
      </c>
      <c r="I1064">
        <v>236.71714428338601</v>
      </c>
      <c r="J1064">
        <f t="shared" si="96"/>
        <v>-1</v>
      </c>
      <c r="K1064" t="str">
        <f>VLOOKUP(B1064,Raw_Suppliers!$A$2:$G$101,2,FALSE)</f>
        <v>Eco Gamma LLC</v>
      </c>
      <c r="L1064" t="str">
        <f>VLOOKUP(B1064,Raw_Suppliers!$A$2:$G$101,3,FALSE)</f>
        <v>Canada</v>
      </c>
      <c r="M1064" t="str">
        <f>VLOOKUP(B1064,Raw_Suppliers!$A$2:$G$101,4,FALSE)</f>
        <v>West</v>
      </c>
      <c r="N1064" t="str">
        <f>VLOOKUP(B1064,Raw_Suppliers!$A$2:$G$101,6,FALSE)</f>
        <v>ISO 9001</v>
      </c>
      <c r="O1064">
        <f>VLOOKUP(B1064,Raw_Suppliers!$A$2:$G$101,7,FALSE)</f>
        <v>1</v>
      </c>
      <c r="P1064" t="str">
        <f t="shared" si="97"/>
        <v>Yes</v>
      </c>
      <c r="Q1064">
        <f t="shared" si="98"/>
        <v>1</v>
      </c>
      <c r="R1064" t="str">
        <f t="shared" si="99"/>
        <v>On Time</v>
      </c>
      <c r="S1064">
        <f t="shared" si="100"/>
        <v>2022</v>
      </c>
      <c r="T1064">
        <f t="shared" si="101"/>
        <v>3</v>
      </c>
    </row>
    <row r="1065" spans="1:20" x14ac:dyDescent="0.25">
      <c r="A1065" t="s">
        <v>1372</v>
      </c>
      <c r="B1065" t="s">
        <v>176</v>
      </c>
      <c r="C1065" t="s">
        <v>437</v>
      </c>
      <c r="D1065" s="1">
        <v>44817</v>
      </c>
      <c r="E1065">
        <v>5</v>
      </c>
      <c r="F1065">
        <v>18.4857965986536</v>
      </c>
      <c r="G1065" s="1">
        <v>44841</v>
      </c>
      <c r="H1065" s="1">
        <v>44845</v>
      </c>
      <c r="I1065">
        <v>92.428982993268406</v>
      </c>
      <c r="J1065">
        <f t="shared" si="96"/>
        <v>4</v>
      </c>
      <c r="K1065" t="str">
        <f>VLOOKUP(B1065,Raw_Suppliers!$A$2:$G$101,2,FALSE)</f>
        <v>Nano Ultra Corp</v>
      </c>
      <c r="L1065" t="str">
        <f>VLOOKUP(B1065,Raw_Suppliers!$A$2:$G$101,3,FALSE)</f>
        <v>Canada</v>
      </c>
      <c r="M1065" t="str">
        <f>VLOOKUP(B1065,Raw_Suppliers!$A$2:$G$101,4,FALSE)</f>
        <v>Central</v>
      </c>
      <c r="N1065" t="str">
        <f>VLOOKUP(B1065,Raw_Suppliers!$A$2:$G$101,6,FALSE)</f>
        <v>ISO 9001</v>
      </c>
      <c r="O1065">
        <f>VLOOKUP(B1065,Raw_Suppliers!$A$2:$G$101,7,FALSE)</f>
        <v>0</v>
      </c>
      <c r="P1065" t="str">
        <f t="shared" si="97"/>
        <v>No</v>
      </c>
      <c r="Q1065">
        <f t="shared" si="98"/>
        <v>0</v>
      </c>
      <c r="R1065" t="str">
        <f t="shared" si="99"/>
        <v>Late</v>
      </c>
      <c r="S1065">
        <f t="shared" si="100"/>
        <v>2022</v>
      </c>
      <c r="T1065">
        <f t="shared" si="101"/>
        <v>9</v>
      </c>
    </row>
    <row r="1066" spans="1:20" x14ac:dyDescent="0.25">
      <c r="A1066" t="s">
        <v>1373</v>
      </c>
      <c r="B1066" t="s">
        <v>340</v>
      </c>
      <c r="C1066" t="s">
        <v>222</v>
      </c>
      <c r="D1066" s="1">
        <v>45201</v>
      </c>
      <c r="E1066">
        <v>10</v>
      </c>
      <c r="F1066">
        <v>19.390062946741001</v>
      </c>
      <c r="G1066" s="1">
        <v>45224</v>
      </c>
      <c r="H1066" s="1">
        <v>45222</v>
      </c>
      <c r="I1066">
        <v>193.90062946741</v>
      </c>
      <c r="J1066">
        <f t="shared" si="96"/>
        <v>-2</v>
      </c>
      <c r="K1066" t="str">
        <f>VLOOKUP(B1066,Raw_Suppliers!$A$2:$G$101,2,FALSE)</f>
        <v>Pioneer Ultra GmbH</v>
      </c>
      <c r="L1066" t="str">
        <f>VLOOKUP(B1066,Raw_Suppliers!$A$2:$G$101,3,FALSE)</f>
        <v>China</v>
      </c>
      <c r="M1066" t="str">
        <f>VLOOKUP(B1066,Raw_Suppliers!$A$2:$G$101,4,FALSE)</f>
        <v>Central</v>
      </c>
      <c r="N1066" t="str">
        <f>VLOOKUP(B1066,Raw_Suppliers!$A$2:$G$101,6,FALSE)</f>
        <v>ISO 9001</v>
      </c>
      <c r="O1066">
        <f>VLOOKUP(B1066,Raw_Suppliers!$A$2:$G$101,7,FALSE)</f>
        <v>0</v>
      </c>
      <c r="P1066" t="str">
        <f t="shared" si="97"/>
        <v>No</v>
      </c>
      <c r="Q1066">
        <f t="shared" si="98"/>
        <v>1</v>
      </c>
      <c r="R1066" t="str">
        <f t="shared" si="99"/>
        <v>On Time</v>
      </c>
      <c r="S1066">
        <f t="shared" si="100"/>
        <v>2023</v>
      </c>
      <c r="T1066">
        <f t="shared" si="101"/>
        <v>10</v>
      </c>
    </row>
    <row r="1067" spans="1:20" x14ac:dyDescent="0.25">
      <c r="A1067" t="s">
        <v>1374</v>
      </c>
      <c r="B1067" t="s">
        <v>314</v>
      </c>
      <c r="C1067" t="s">
        <v>338</v>
      </c>
      <c r="D1067" s="1">
        <v>44287</v>
      </c>
      <c r="E1067">
        <v>9</v>
      </c>
      <c r="F1067">
        <v>39.220517799154202</v>
      </c>
      <c r="G1067" s="1">
        <v>44310</v>
      </c>
      <c r="H1067" s="1">
        <v>44307</v>
      </c>
      <c r="I1067">
        <v>352.98466019238799</v>
      </c>
      <c r="J1067">
        <f t="shared" si="96"/>
        <v>-3</v>
      </c>
      <c r="K1067" t="str">
        <f>VLOOKUP(B1067,Raw_Suppliers!$A$2:$G$101,2,FALSE)</f>
        <v>Gamma Nova Ltd</v>
      </c>
      <c r="L1067" t="str">
        <f>VLOOKUP(B1067,Raw_Suppliers!$A$2:$G$101,3,FALSE)</f>
        <v>USA</v>
      </c>
      <c r="M1067" t="str">
        <f>VLOOKUP(B1067,Raw_Suppliers!$A$2:$G$101,4,FALSE)</f>
        <v>North</v>
      </c>
      <c r="N1067" t="str">
        <f>VLOOKUP(B1067,Raw_Suppliers!$A$2:$G$101,6,FALSE)</f>
        <v>ISO 45001</v>
      </c>
      <c r="O1067">
        <f>VLOOKUP(B1067,Raw_Suppliers!$A$2:$G$101,7,FALSE)</f>
        <v>0</v>
      </c>
      <c r="P1067" t="str">
        <f t="shared" si="97"/>
        <v>No</v>
      </c>
      <c r="Q1067">
        <f t="shared" si="98"/>
        <v>1</v>
      </c>
      <c r="R1067" t="str">
        <f t="shared" si="99"/>
        <v>On Time</v>
      </c>
      <c r="S1067">
        <f t="shared" si="100"/>
        <v>2021</v>
      </c>
      <c r="T1067">
        <f t="shared" si="101"/>
        <v>4</v>
      </c>
    </row>
    <row r="1068" spans="1:20" x14ac:dyDescent="0.25">
      <c r="A1068" t="s">
        <v>1375</v>
      </c>
      <c r="B1068" t="s">
        <v>288</v>
      </c>
      <c r="C1068" t="s">
        <v>495</v>
      </c>
      <c r="D1068" s="1">
        <v>44995</v>
      </c>
      <c r="E1068">
        <v>10</v>
      </c>
      <c r="F1068">
        <v>67.686963308426598</v>
      </c>
      <c r="G1068" s="1">
        <v>45018</v>
      </c>
      <c r="H1068" s="1">
        <v>45018</v>
      </c>
      <c r="I1068">
        <v>676.86963308426596</v>
      </c>
      <c r="J1068">
        <f t="shared" si="96"/>
        <v>0</v>
      </c>
      <c r="K1068" t="str">
        <f>VLOOKUP(B1068,Raw_Suppliers!$A$2:$G$101,2,FALSE)</f>
        <v>Alpha Beta LLC</v>
      </c>
      <c r="L1068" t="str">
        <f>VLOOKUP(B1068,Raw_Suppliers!$A$2:$G$101,3,FALSE)</f>
        <v>India</v>
      </c>
      <c r="M1068" t="str">
        <f>VLOOKUP(B1068,Raw_Suppliers!$A$2:$G$101,4,FALSE)</f>
        <v>West</v>
      </c>
      <c r="N1068" t="str">
        <f>VLOOKUP(B1068,Raw_Suppliers!$A$2:$G$101,6,FALSE)</f>
        <v>ISO 45001</v>
      </c>
      <c r="O1068">
        <f>VLOOKUP(B1068,Raw_Suppliers!$A$2:$G$101,7,FALSE)</f>
        <v>0</v>
      </c>
      <c r="P1068" t="str">
        <f t="shared" si="97"/>
        <v>No</v>
      </c>
      <c r="Q1068">
        <f t="shared" si="98"/>
        <v>1</v>
      </c>
      <c r="R1068" t="str">
        <f t="shared" si="99"/>
        <v>On Time</v>
      </c>
      <c r="S1068">
        <f t="shared" si="100"/>
        <v>2023</v>
      </c>
      <c r="T1068">
        <f t="shared" si="101"/>
        <v>3</v>
      </c>
    </row>
    <row r="1069" spans="1:20" x14ac:dyDescent="0.25">
      <c r="A1069" t="s">
        <v>1376</v>
      </c>
      <c r="B1069" t="s">
        <v>121</v>
      </c>
      <c r="C1069" t="s">
        <v>158</v>
      </c>
      <c r="D1069" s="1">
        <v>44368</v>
      </c>
      <c r="E1069">
        <v>16</v>
      </c>
      <c r="F1069">
        <v>77.979166505811193</v>
      </c>
      <c r="G1069" s="1">
        <v>44385</v>
      </c>
      <c r="H1069" s="1">
        <v>44389</v>
      </c>
      <c r="I1069">
        <v>1247.66666409297</v>
      </c>
      <c r="J1069">
        <f t="shared" si="96"/>
        <v>4</v>
      </c>
      <c r="K1069" t="str">
        <f>VLOOKUP(B1069,Raw_Suppliers!$A$2:$G$101,2,FALSE)</f>
        <v>Vertex Vertex Inc</v>
      </c>
      <c r="L1069" t="str">
        <f>VLOOKUP(B1069,Raw_Suppliers!$A$2:$G$101,3,FALSE)</f>
        <v>USA</v>
      </c>
      <c r="M1069" t="str">
        <f>VLOOKUP(B1069,Raw_Suppliers!$A$2:$G$101,4,FALSE)</f>
        <v>West</v>
      </c>
      <c r="N1069" t="str">
        <f>VLOOKUP(B1069,Raw_Suppliers!$A$2:$G$101,6,FALSE)</f>
        <v>None</v>
      </c>
      <c r="O1069">
        <f>VLOOKUP(B1069,Raw_Suppliers!$A$2:$G$101,7,FALSE)</f>
        <v>0</v>
      </c>
      <c r="P1069" t="str">
        <f t="shared" si="97"/>
        <v>No</v>
      </c>
      <c r="Q1069">
        <f t="shared" si="98"/>
        <v>0</v>
      </c>
      <c r="R1069" t="str">
        <f t="shared" si="99"/>
        <v>Late</v>
      </c>
      <c r="S1069">
        <f t="shared" si="100"/>
        <v>2021</v>
      </c>
      <c r="T1069">
        <f t="shared" si="101"/>
        <v>6</v>
      </c>
    </row>
    <row r="1070" spans="1:20" x14ac:dyDescent="0.25">
      <c r="A1070" t="s">
        <v>1377</v>
      </c>
      <c r="B1070" t="s">
        <v>411</v>
      </c>
      <c r="C1070" t="s">
        <v>74</v>
      </c>
      <c r="D1070" s="1">
        <v>45048</v>
      </c>
      <c r="E1070">
        <v>12</v>
      </c>
      <c r="F1070">
        <v>75.530664320554706</v>
      </c>
      <c r="G1070" s="1">
        <v>45059</v>
      </c>
      <c r="H1070" s="1">
        <v>45060</v>
      </c>
      <c r="I1070">
        <v>906.36797184665602</v>
      </c>
      <c r="J1070">
        <f t="shared" si="96"/>
        <v>1</v>
      </c>
      <c r="K1070" t="str">
        <f>VLOOKUP(B1070,Raw_Suppliers!$A$2:$G$101,2,FALSE)</f>
        <v>Gamma Nova LLC</v>
      </c>
      <c r="L1070" t="str">
        <f>VLOOKUP(B1070,Raw_Suppliers!$A$2:$G$101,3,FALSE)</f>
        <v>Brazil</v>
      </c>
      <c r="M1070" t="str">
        <f>VLOOKUP(B1070,Raw_Suppliers!$A$2:$G$101,4,FALSE)</f>
        <v>North</v>
      </c>
      <c r="N1070" t="str">
        <f>VLOOKUP(B1070,Raw_Suppliers!$A$2:$G$101,6,FALSE)</f>
        <v>ISO 14001</v>
      </c>
      <c r="O1070">
        <f>VLOOKUP(B1070,Raw_Suppliers!$A$2:$G$101,7,FALSE)</f>
        <v>1</v>
      </c>
      <c r="P1070" t="str">
        <f t="shared" si="97"/>
        <v>Yes</v>
      </c>
      <c r="Q1070">
        <f t="shared" si="98"/>
        <v>0</v>
      </c>
      <c r="R1070" t="str">
        <f t="shared" si="99"/>
        <v>Late</v>
      </c>
      <c r="S1070">
        <f t="shared" si="100"/>
        <v>2023</v>
      </c>
      <c r="T1070">
        <f t="shared" si="101"/>
        <v>5</v>
      </c>
    </row>
    <row r="1071" spans="1:20" x14ac:dyDescent="0.25">
      <c r="A1071" t="s">
        <v>1378</v>
      </c>
      <c r="B1071" t="s">
        <v>157</v>
      </c>
      <c r="C1071" t="s">
        <v>792</v>
      </c>
      <c r="D1071" s="1">
        <v>45065</v>
      </c>
      <c r="E1071">
        <v>10</v>
      </c>
      <c r="F1071">
        <v>48.308726031184698</v>
      </c>
      <c r="G1071" s="1">
        <v>45077</v>
      </c>
      <c r="H1071" s="1">
        <v>45082</v>
      </c>
      <c r="I1071">
        <v>483.08726031184699</v>
      </c>
      <c r="J1071">
        <f t="shared" si="96"/>
        <v>5</v>
      </c>
      <c r="K1071" t="str">
        <f>VLOOKUP(B1071,Raw_Suppliers!$A$2:$G$101,2,FALSE)</f>
        <v>Pioneer Omega Ltd</v>
      </c>
      <c r="L1071" t="str">
        <f>VLOOKUP(B1071,Raw_Suppliers!$A$2:$G$101,3,FALSE)</f>
        <v>Brazil</v>
      </c>
      <c r="M1071" t="str">
        <f>VLOOKUP(B1071,Raw_Suppliers!$A$2:$G$101,4,FALSE)</f>
        <v>East</v>
      </c>
      <c r="N1071" t="str">
        <f>VLOOKUP(B1071,Raw_Suppliers!$A$2:$G$101,6,FALSE)</f>
        <v>None</v>
      </c>
      <c r="O1071">
        <f>VLOOKUP(B1071,Raw_Suppliers!$A$2:$G$101,7,FALSE)</f>
        <v>0</v>
      </c>
      <c r="P1071" t="str">
        <f t="shared" si="97"/>
        <v>No</v>
      </c>
      <c r="Q1071">
        <f t="shared" si="98"/>
        <v>0</v>
      </c>
      <c r="R1071" t="str">
        <f t="shared" si="99"/>
        <v>Late</v>
      </c>
      <c r="S1071">
        <f t="shared" si="100"/>
        <v>2023</v>
      </c>
      <c r="T1071">
        <f t="shared" si="101"/>
        <v>5</v>
      </c>
    </row>
    <row r="1072" spans="1:20" x14ac:dyDescent="0.25">
      <c r="A1072" t="s">
        <v>1379</v>
      </c>
      <c r="B1072" t="s">
        <v>314</v>
      </c>
      <c r="C1072" t="s">
        <v>283</v>
      </c>
      <c r="D1072" s="1">
        <v>45202</v>
      </c>
      <c r="E1072">
        <v>14</v>
      </c>
      <c r="F1072">
        <v>69.390740308739296</v>
      </c>
      <c r="G1072" s="1">
        <v>45215</v>
      </c>
      <c r="H1072" s="1">
        <v>45215</v>
      </c>
      <c r="I1072">
        <v>971.47036432235097</v>
      </c>
      <c r="J1072">
        <f t="shared" si="96"/>
        <v>0</v>
      </c>
      <c r="K1072" t="str">
        <f>VLOOKUP(B1072,Raw_Suppliers!$A$2:$G$101,2,FALSE)</f>
        <v>Gamma Nova Ltd</v>
      </c>
      <c r="L1072" t="str">
        <f>VLOOKUP(B1072,Raw_Suppliers!$A$2:$G$101,3,FALSE)</f>
        <v>USA</v>
      </c>
      <c r="M1072" t="str">
        <f>VLOOKUP(B1072,Raw_Suppliers!$A$2:$G$101,4,FALSE)</f>
        <v>North</v>
      </c>
      <c r="N1072" t="str">
        <f>VLOOKUP(B1072,Raw_Suppliers!$A$2:$G$101,6,FALSE)</f>
        <v>ISO 45001</v>
      </c>
      <c r="O1072">
        <f>VLOOKUP(B1072,Raw_Suppliers!$A$2:$G$101,7,FALSE)</f>
        <v>0</v>
      </c>
      <c r="P1072" t="str">
        <f t="shared" si="97"/>
        <v>No</v>
      </c>
      <c r="Q1072">
        <f t="shared" si="98"/>
        <v>1</v>
      </c>
      <c r="R1072" t="str">
        <f t="shared" si="99"/>
        <v>On Time</v>
      </c>
      <c r="S1072">
        <f t="shared" si="100"/>
        <v>2023</v>
      </c>
      <c r="T1072">
        <f t="shared" si="101"/>
        <v>10</v>
      </c>
    </row>
    <row r="1073" spans="1:20" x14ac:dyDescent="0.25">
      <c r="A1073" t="s">
        <v>1380</v>
      </c>
      <c r="B1073" t="s">
        <v>216</v>
      </c>
      <c r="C1073" t="s">
        <v>765</v>
      </c>
      <c r="D1073" s="1">
        <v>45254</v>
      </c>
      <c r="E1073">
        <v>9</v>
      </c>
      <c r="F1073">
        <v>42.894187975604702</v>
      </c>
      <c r="G1073" s="1">
        <v>45265</v>
      </c>
      <c r="H1073" s="1">
        <v>45262</v>
      </c>
      <c r="I1073">
        <v>386.04769178044302</v>
      </c>
      <c r="J1073">
        <f t="shared" si="96"/>
        <v>-3</v>
      </c>
      <c r="K1073" t="str">
        <f>VLOOKUP(B1073,Raw_Suppliers!$A$2:$G$101,2,FALSE)</f>
        <v>Fusion Delta LLC</v>
      </c>
      <c r="L1073" t="str">
        <f>VLOOKUP(B1073,Raw_Suppliers!$A$2:$G$101,3,FALSE)</f>
        <v>Brazil</v>
      </c>
      <c r="M1073" t="str">
        <f>VLOOKUP(B1073,Raw_Suppliers!$A$2:$G$101,4,FALSE)</f>
        <v>Central</v>
      </c>
      <c r="N1073" t="str">
        <f>VLOOKUP(B1073,Raw_Suppliers!$A$2:$G$101,6,FALSE)</f>
        <v>ISO 14001</v>
      </c>
      <c r="O1073">
        <f>VLOOKUP(B1073,Raw_Suppliers!$A$2:$G$101,7,FALSE)</f>
        <v>0</v>
      </c>
      <c r="P1073" t="str">
        <f t="shared" si="97"/>
        <v>No</v>
      </c>
      <c r="Q1073">
        <f t="shared" si="98"/>
        <v>1</v>
      </c>
      <c r="R1073" t="str">
        <f t="shared" si="99"/>
        <v>On Time</v>
      </c>
      <c r="S1073">
        <f t="shared" si="100"/>
        <v>2023</v>
      </c>
      <c r="T1073">
        <f t="shared" si="101"/>
        <v>11</v>
      </c>
    </row>
    <row r="1074" spans="1:20" x14ac:dyDescent="0.25">
      <c r="A1074" t="s">
        <v>1381</v>
      </c>
      <c r="B1074" t="s">
        <v>205</v>
      </c>
      <c r="C1074" t="s">
        <v>272</v>
      </c>
      <c r="D1074" s="1">
        <v>45033</v>
      </c>
      <c r="E1074">
        <v>7</v>
      </c>
      <c r="F1074">
        <v>49.063338010266101</v>
      </c>
      <c r="G1074" s="1">
        <v>45048</v>
      </c>
      <c r="H1074" s="1">
        <v>45050</v>
      </c>
      <c r="I1074">
        <v>343.44336607186301</v>
      </c>
      <c r="J1074">
        <f t="shared" si="96"/>
        <v>2</v>
      </c>
      <c r="K1074" t="str">
        <f>VLOOKUP(B1074,Raw_Suppliers!$A$2:$G$101,2,FALSE)</f>
        <v>Ultra Eco LLC</v>
      </c>
      <c r="L1074" t="str">
        <f>VLOOKUP(B1074,Raw_Suppliers!$A$2:$G$101,3,FALSE)</f>
        <v>China</v>
      </c>
      <c r="M1074" t="str">
        <f>VLOOKUP(B1074,Raw_Suppliers!$A$2:$G$101,4,FALSE)</f>
        <v>South</v>
      </c>
      <c r="N1074" t="str">
        <f>VLOOKUP(B1074,Raw_Suppliers!$A$2:$G$101,6,FALSE)</f>
        <v>ISO 14001</v>
      </c>
      <c r="O1074">
        <f>VLOOKUP(B1074,Raw_Suppliers!$A$2:$G$101,7,FALSE)</f>
        <v>1</v>
      </c>
      <c r="P1074" t="str">
        <f t="shared" si="97"/>
        <v>Yes</v>
      </c>
      <c r="Q1074">
        <f t="shared" si="98"/>
        <v>0</v>
      </c>
      <c r="R1074" t="str">
        <f t="shared" si="99"/>
        <v>Late</v>
      </c>
      <c r="S1074">
        <f t="shared" si="100"/>
        <v>2023</v>
      </c>
      <c r="T1074">
        <f t="shared" si="101"/>
        <v>4</v>
      </c>
    </row>
    <row r="1075" spans="1:20" x14ac:dyDescent="0.25">
      <c r="A1075" t="s">
        <v>1382</v>
      </c>
      <c r="B1075" t="s">
        <v>91</v>
      </c>
      <c r="C1075" t="s">
        <v>589</v>
      </c>
      <c r="D1075" s="1">
        <v>44572</v>
      </c>
      <c r="E1075">
        <v>16</v>
      </c>
      <c r="F1075">
        <v>34.656643340391902</v>
      </c>
      <c r="G1075" s="1">
        <v>44582</v>
      </c>
      <c r="H1075" s="1">
        <v>44579</v>
      </c>
      <c r="I1075">
        <v>554.506293446271</v>
      </c>
      <c r="J1075">
        <f t="shared" si="96"/>
        <v>-3</v>
      </c>
      <c r="K1075" t="str">
        <f>VLOOKUP(B1075,Raw_Suppliers!$A$2:$G$101,2,FALSE)</f>
        <v>Apex Prime Ltd</v>
      </c>
      <c r="L1075" t="str">
        <f>VLOOKUP(B1075,Raw_Suppliers!$A$2:$G$101,3,FALSE)</f>
        <v>India</v>
      </c>
      <c r="M1075" t="str">
        <f>VLOOKUP(B1075,Raw_Suppliers!$A$2:$G$101,4,FALSE)</f>
        <v>South</v>
      </c>
      <c r="N1075" t="str">
        <f>VLOOKUP(B1075,Raw_Suppliers!$A$2:$G$101,6,FALSE)</f>
        <v>ISO 9001</v>
      </c>
      <c r="O1075">
        <f>VLOOKUP(B1075,Raw_Suppliers!$A$2:$G$101,7,FALSE)</f>
        <v>0</v>
      </c>
      <c r="P1075" t="str">
        <f t="shared" si="97"/>
        <v>No</v>
      </c>
      <c r="Q1075">
        <f t="shared" si="98"/>
        <v>1</v>
      </c>
      <c r="R1075" t="str">
        <f t="shared" si="99"/>
        <v>On Time</v>
      </c>
      <c r="S1075">
        <f t="shared" si="100"/>
        <v>2022</v>
      </c>
      <c r="T1075">
        <f t="shared" si="101"/>
        <v>1</v>
      </c>
    </row>
    <row r="1076" spans="1:20" x14ac:dyDescent="0.25">
      <c r="A1076" t="s">
        <v>1383</v>
      </c>
      <c r="B1076" t="s">
        <v>539</v>
      </c>
      <c r="C1076" t="s">
        <v>297</v>
      </c>
      <c r="D1076" s="1">
        <v>44927</v>
      </c>
      <c r="E1076">
        <v>9</v>
      </c>
      <c r="F1076">
        <v>6.3793509689642098</v>
      </c>
      <c r="G1076" s="1">
        <v>44939</v>
      </c>
      <c r="H1076" s="1">
        <v>44939</v>
      </c>
      <c r="I1076">
        <v>57.414158720677896</v>
      </c>
      <c r="J1076">
        <f t="shared" si="96"/>
        <v>0</v>
      </c>
      <c r="K1076" t="str">
        <f>VLOOKUP(B1076,Raw_Suppliers!$A$2:$G$101,2,FALSE)</f>
        <v>Eco Eco Ltd</v>
      </c>
      <c r="L1076" t="str">
        <f>VLOOKUP(B1076,Raw_Suppliers!$A$2:$G$101,3,FALSE)</f>
        <v>USA</v>
      </c>
      <c r="M1076" t="str">
        <f>VLOOKUP(B1076,Raw_Suppliers!$A$2:$G$101,4,FALSE)</f>
        <v>South</v>
      </c>
      <c r="N1076" t="str">
        <f>VLOOKUP(B1076,Raw_Suppliers!$A$2:$G$101,6,FALSE)</f>
        <v>ISO 45001</v>
      </c>
      <c r="O1076">
        <f>VLOOKUP(B1076,Raw_Suppliers!$A$2:$G$101,7,FALSE)</f>
        <v>1</v>
      </c>
      <c r="P1076" t="str">
        <f t="shared" si="97"/>
        <v>Yes</v>
      </c>
      <c r="Q1076">
        <f t="shared" si="98"/>
        <v>1</v>
      </c>
      <c r="R1076" t="str">
        <f t="shared" si="99"/>
        <v>On Time</v>
      </c>
      <c r="S1076">
        <f t="shared" si="100"/>
        <v>2023</v>
      </c>
      <c r="T1076">
        <f t="shared" si="101"/>
        <v>1</v>
      </c>
    </row>
    <row r="1077" spans="1:20" x14ac:dyDescent="0.25">
      <c r="A1077" t="s">
        <v>1384</v>
      </c>
      <c r="B1077" t="s">
        <v>369</v>
      </c>
      <c r="C1077" t="s">
        <v>230</v>
      </c>
      <c r="D1077" s="1">
        <v>44628</v>
      </c>
      <c r="E1077">
        <v>8</v>
      </c>
      <c r="F1077">
        <v>60.794569418120801</v>
      </c>
      <c r="G1077" s="1">
        <v>44646</v>
      </c>
      <c r="H1077" s="1">
        <v>44652</v>
      </c>
      <c r="I1077">
        <v>486.35655534496601</v>
      </c>
      <c r="J1077">
        <f t="shared" si="96"/>
        <v>6</v>
      </c>
      <c r="K1077" t="str">
        <f>VLOOKUP(B1077,Raw_Suppliers!$A$2:$G$101,2,FALSE)</f>
        <v>Beta Fusion GmbH</v>
      </c>
      <c r="L1077" t="str">
        <f>VLOOKUP(B1077,Raw_Suppliers!$A$2:$G$101,3,FALSE)</f>
        <v>China</v>
      </c>
      <c r="M1077" t="str">
        <f>VLOOKUP(B1077,Raw_Suppliers!$A$2:$G$101,4,FALSE)</f>
        <v>South</v>
      </c>
      <c r="N1077" t="str">
        <f>VLOOKUP(B1077,Raw_Suppliers!$A$2:$G$101,6,FALSE)</f>
        <v>ISO 9001</v>
      </c>
      <c r="O1077">
        <f>VLOOKUP(B1077,Raw_Suppliers!$A$2:$G$101,7,FALSE)</f>
        <v>0</v>
      </c>
      <c r="P1077" t="str">
        <f t="shared" si="97"/>
        <v>No</v>
      </c>
      <c r="Q1077">
        <f t="shared" si="98"/>
        <v>0</v>
      </c>
      <c r="R1077" t="str">
        <f t="shared" si="99"/>
        <v>Late</v>
      </c>
      <c r="S1077">
        <f t="shared" si="100"/>
        <v>2022</v>
      </c>
      <c r="T1077">
        <f t="shared" si="101"/>
        <v>3</v>
      </c>
    </row>
    <row r="1078" spans="1:20" x14ac:dyDescent="0.25">
      <c r="A1078" t="s">
        <v>1385</v>
      </c>
      <c r="B1078" t="s">
        <v>49</v>
      </c>
      <c r="C1078" t="s">
        <v>457</v>
      </c>
      <c r="D1078" s="1">
        <v>44254</v>
      </c>
      <c r="E1078">
        <v>9</v>
      </c>
      <c r="F1078">
        <v>48.848746518254302</v>
      </c>
      <c r="G1078" s="1">
        <v>44278</v>
      </c>
      <c r="H1078" s="1">
        <v>44279</v>
      </c>
      <c r="I1078">
        <v>439.63871866428798</v>
      </c>
      <c r="J1078">
        <f t="shared" si="96"/>
        <v>1</v>
      </c>
      <c r="K1078" t="str">
        <f>VLOOKUP(B1078,Raw_Suppliers!$A$2:$G$101,2,FALSE)</f>
        <v>Prime Prime Corp</v>
      </c>
      <c r="L1078" t="str">
        <f>VLOOKUP(B1078,Raw_Suppliers!$A$2:$G$101,3,FALSE)</f>
        <v>China</v>
      </c>
      <c r="M1078" t="str">
        <f>VLOOKUP(B1078,Raw_Suppliers!$A$2:$G$101,4,FALSE)</f>
        <v>North</v>
      </c>
      <c r="N1078" t="str">
        <f>VLOOKUP(B1078,Raw_Suppliers!$A$2:$G$101,6,FALSE)</f>
        <v>ISO 45001</v>
      </c>
      <c r="O1078">
        <f>VLOOKUP(B1078,Raw_Suppliers!$A$2:$G$101,7,FALSE)</f>
        <v>0</v>
      </c>
      <c r="P1078" t="str">
        <f t="shared" si="97"/>
        <v>No</v>
      </c>
      <c r="Q1078">
        <f t="shared" si="98"/>
        <v>0</v>
      </c>
      <c r="R1078" t="str">
        <f t="shared" si="99"/>
        <v>Late</v>
      </c>
      <c r="S1078">
        <f t="shared" si="100"/>
        <v>2021</v>
      </c>
      <c r="T1078">
        <f t="shared" si="101"/>
        <v>2</v>
      </c>
    </row>
    <row r="1079" spans="1:20" x14ac:dyDescent="0.25">
      <c r="A1079" t="s">
        <v>1386</v>
      </c>
      <c r="B1079" t="s">
        <v>140</v>
      </c>
      <c r="C1079" t="s">
        <v>331</v>
      </c>
      <c r="D1079" s="1">
        <v>44765</v>
      </c>
      <c r="E1079">
        <v>13</v>
      </c>
      <c r="F1079">
        <v>71.660450931500506</v>
      </c>
      <c r="G1079" s="1">
        <v>44789</v>
      </c>
      <c r="H1079" s="1">
        <v>44791</v>
      </c>
      <c r="I1079">
        <v>931.58586210950602</v>
      </c>
      <c r="J1079">
        <f t="shared" si="96"/>
        <v>2</v>
      </c>
      <c r="K1079" t="str">
        <f>VLOOKUP(B1079,Raw_Suppliers!$A$2:$G$101,2,FALSE)</f>
        <v>Gamma Quantum Inc</v>
      </c>
      <c r="L1079" t="str">
        <f>VLOOKUP(B1079,Raw_Suppliers!$A$2:$G$101,3,FALSE)</f>
        <v>Germany</v>
      </c>
      <c r="M1079" t="str">
        <f>VLOOKUP(B1079,Raw_Suppliers!$A$2:$G$101,4,FALSE)</f>
        <v>North</v>
      </c>
      <c r="N1079" t="str">
        <f>VLOOKUP(B1079,Raw_Suppliers!$A$2:$G$101,6,FALSE)</f>
        <v>None</v>
      </c>
      <c r="O1079">
        <f>VLOOKUP(B1079,Raw_Suppliers!$A$2:$G$101,7,FALSE)</f>
        <v>1</v>
      </c>
      <c r="P1079" t="str">
        <f t="shared" si="97"/>
        <v>Yes</v>
      </c>
      <c r="Q1079">
        <f t="shared" si="98"/>
        <v>0</v>
      </c>
      <c r="R1079" t="str">
        <f t="shared" si="99"/>
        <v>Late</v>
      </c>
      <c r="S1079">
        <f t="shared" si="100"/>
        <v>2022</v>
      </c>
      <c r="T1079">
        <f t="shared" si="101"/>
        <v>7</v>
      </c>
    </row>
    <row r="1080" spans="1:20" x14ac:dyDescent="0.25">
      <c r="A1080" t="s">
        <v>1387</v>
      </c>
      <c r="B1080" t="s">
        <v>314</v>
      </c>
      <c r="C1080" t="s">
        <v>308</v>
      </c>
      <c r="D1080" s="1">
        <v>44656</v>
      </c>
      <c r="E1080">
        <v>8</v>
      </c>
      <c r="F1080">
        <v>9.8921721826182498</v>
      </c>
      <c r="G1080" s="1">
        <v>44673</v>
      </c>
      <c r="H1080" s="1">
        <v>44679</v>
      </c>
      <c r="I1080">
        <v>79.137377460945999</v>
      </c>
      <c r="J1080">
        <f t="shared" si="96"/>
        <v>6</v>
      </c>
      <c r="K1080" t="str">
        <f>VLOOKUP(B1080,Raw_Suppliers!$A$2:$G$101,2,FALSE)</f>
        <v>Gamma Nova Ltd</v>
      </c>
      <c r="L1080" t="str">
        <f>VLOOKUP(B1080,Raw_Suppliers!$A$2:$G$101,3,FALSE)</f>
        <v>USA</v>
      </c>
      <c r="M1080" t="str">
        <f>VLOOKUP(B1080,Raw_Suppliers!$A$2:$G$101,4,FALSE)</f>
        <v>North</v>
      </c>
      <c r="N1080" t="str">
        <f>VLOOKUP(B1080,Raw_Suppliers!$A$2:$G$101,6,FALSE)</f>
        <v>ISO 45001</v>
      </c>
      <c r="O1080">
        <f>VLOOKUP(B1080,Raw_Suppliers!$A$2:$G$101,7,FALSE)</f>
        <v>0</v>
      </c>
      <c r="P1080" t="str">
        <f t="shared" si="97"/>
        <v>No</v>
      </c>
      <c r="Q1080">
        <f t="shared" si="98"/>
        <v>0</v>
      </c>
      <c r="R1080" t="str">
        <f t="shared" si="99"/>
        <v>Late</v>
      </c>
      <c r="S1080">
        <f t="shared" si="100"/>
        <v>2022</v>
      </c>
      <c r="T1080">
        <f t="shared" si="101"/>
        <v>4</v>
      </c>
    </row>
    <row r="1081" spans="1:20" x14ac:dyDescent="0.25">
      <c r="A1081" t="s">
        <v>1388</v>
      </c>
      <c r="B1081" t="s">
        <v>189</v>
      </c>
      <c r="C1081" t="s">
        <v>421</v>
      </c>
      <c r="D1081" s="1">
        <v>44329</v>
      </c>
      <c r="E1081">
        <v>7</v>
      </c>
      <c r="F1081">
        <v>20.447902291407399</v>
      </c>
      <c r="G1081" s="1">
        <v>44352</v>
      </c>
      <c r="H1081" s="1">
        <v>44353</v>
      </c>
      <c r="I1081">
        <v>143.135316039852</v>
      </c>
      <c r="J1081">
        <f t="shared" si="96"/>
        <v>1</v>
      </c>
      <c r="K1081" t="str">
        <f>VLOOKUP(B1081,Raw_Suppliers!$A$2:$G$101,2,FALSE)</f>
        <v>Apex Pioneer Ltd</v>
      </c>
      <c r="L1081" t="str">
        <f>VLOOKUP(B1081,Raw_Suppliers!$A$2:$G$101,3,FALSE)</f>
        <v>Canada</v>
      </c>
      <c r="M1081" t="str">
        <f>VLOOKUP(B1081,Raw_Suppliers!$A$2:$G$101,4,FALSE)</f>
        <v>South</v>
      </c>
      <c r="N1081" t="str">
        <f>VLOOKUP(B1081,Raw_Suppliers!$A$2:$G$101,6,FALSE)</f>
        <v>ISO 14001</v>
      </c>
      <c r="O1081">
        <f>VLOOKUP(B1081,Raw_Suppliers!$A$2:$G$101,7,FALSE)</f>
        <v>1</v>
      </c>
      <c r="P1081" t="str">
        <f t="shared" si="97"/>
        <v>Yes</v>
      </c>
      <c r="Q1081">
        <f t="shared" si="98"/>
        <v>0</v>
      </c>
      <c r="R1081" t="str">
        <f t="shared" si="99"/>
        <v>Late</v>
      </c>
      <c r="S1081">
        <f t="shared" si="100"/>
        <v>2021</v>
      </c>
      <c r="T1081">
        <f t="shared" si="101"/>
        <v>5</v>
      </c>
    </row>
    <row r="1082" spans="1:20" x14ac:dyDescent="0.25">
      <c r="A1082" t="s">
        <v>1389</v>
      </c>
      <c r="B1082" t="s">
        <v>76</v>
      </c>
      <c r="C1082" t="s">
        <v>627</v>
      </c>
      <c r="D1082" s="1">
        <v>44434</v>
      </c>
      <c r="E1082">
        <v>7</v>
      </c>
      <c r="F1082">
        <v>67.870185164270694</v>
      </c>
      <c r="G1082" s="1">
        <v>44451</v>
      </c>
      <c r="H1082" s="1">
        <v>44451</v>
      </c>
      <c r="I1082">
        <v>475.09129614989502</v>
      </c>
      <c r="J1082">
        <f t="shared" si="96"/>
        <v>0</v>
      </c>
      <c r="K1082" t="str">
        <f>VLOOKUP(B1082,Raw_Suppliers!$A$2:$G$101,2,FALSE)</f>
        <v>Alpha Beta Ltd</v>
      </c>
      <c r="L1082" t="str">
        <f>VLOOKUP(B1082,Raw_Suppliers!$A$2:$G$101,3,FALSE)</f>
        <v>UK</v>
      </c>
      <c r="M1082" t="str">
        <f>VLOOKUP(B1082,Raw_Suppliers!$A$2:$G$101,4,FALSE)</f>
        <v>South</v>
      </c>
      <c r="N1082" t="str">
        <f>VLOOKUP(B1082,Raw_Suppliers!$A$2:$G$101,6,FALSE)</f>
        <v>None</v>
      </c>
      <c r="O1082">
        <f>VLOOKUP(B1082,Raw_Suppliers!$A$2:$G$101,7,FALSE)</f>
        <v>1</v>
      </c>
      <c r="P1082" t="str">
        <f t="shared" si="97"/>
        <v>Yes</v>
      </c>
      <c r="Q1082">
        <f t="shared" si="98"/>
        <v>1</v>
      </c>
      <c r="R1082" t="str">
        <f t="shared" si="99"/>
        <v>On Time</v>
      </c>
      <c r="S1082">
        <f t="shared" si="100"/>
        <v>2021</v>
      </c>
      <c r="T1082">
        <f t="shared" si="101"/>
        <v>8</v>
      </c>
    </row>
    <row r="1083" spans="1:20" x14ac:dyDescent="0.25">
      <c r="A1083" t="s">
        <v>1390</v>
      </c>
      <c r="B1083" t="s">
        <v>46</v>
      </c>
      <c r="C1083" t="s">
        <v>718</v>
      </c>
      <c r="D1083" s="1">
        <v>44223</v>
      </c>
      <c r="E1083">
        <v>10</v>
      </c>
      <c r="F1083">
        <v>79.3796814573722</v>
      </c>
      <c r="G1083" s="1">
        <v>44247</v>
      </c>
      <c r="H1083" s="1">
        <v>44248</v>
      </c>
      <c r="I1083">
        <v>793.79681457372203</v>
      </c>
      <c r="J1083">
        <f t="shared" si="96"/>
        <v>1</v>
      </c>
      <c r="K1083" t="str">
        <f>VLOOKUP(B1083,Raw_Suppliers!$A$2:$G$101,2,FALSE)</f>
        <v>Prime Prime Inc</v>
      </c>
      <c r="L1083" t="str">
        <f>VLOOKUP(B1083,Raw_Suppliers!$A$2:$G$101,3,FALSE)</f>
        <v>UK</v>
      </c>
      <c r="M1083" t="str">
        <f>VLOOKUP(B1083,Raw_Suppliers!$A$2:$G$101,4,FALSE)</f>
        <v>South</v>
      </c>
      <c r="N1083" t="str">
        <f>VLOOKUP(B1083,Raw_Suppliers!$A$2:$G$101,6,FALSE)</f>
        <v>None</v>
      </c>
      <c r="O1083">
        <f>VLOOKUP(B1083,Raw_Suppliers!$A$2:$G$101,7,FALSE)</f>
        <v>1</v>
      </c>
      <c r="P1083" t="str">
        <f t="shared" si="97"/>
        <v>Yes</v>
      </c>
      <c r="Q1083">
        <f t="shared" si="98"/>
        <v>0</v>
      </c>
      <c r="R1083" t="str">
        <f t="shared" si="99"/>
        <v>Late</v>
      </c>
      <c r="S1083">
        <f t="shared" si="100"/>
        <v>2021</v>
      </c>
      <c r="T1083">
        <f t="shared" si="101"/>
        <v>1</v>
      </c>
    </row>
    <row r="1084" spans="1:20" x14ac:dyDescent="0.25">
      <c r="A1084" t="s">
        <v>1391</v>
      </c>
      <c r="B1084" t="s">
        <v>79</v>
      </c>
      <c r="C1084" t="s">
        <v>437</v>
      </c>
      <c r="D1084" s="1">
        <v>45010</v>
      </c>
      <c r="E1084">
        <v>11</v>
      </c>
      <c r="F1084">
        <v>73.926886751545197</v>
      </c>
      <c r="G1084" s="1">
        <v>45027</v>
      </c>
      <c r="H1084" s="1">
        <v>45030</v>
      </c>
      <c r="I1084">
        <v>813.19575426699703</v>
      </c>
      <c r="J1084">
        <f t="shared" si="96"/>
        <v>3</v>
      </c>
      <c r="K1084" t="str">
        <f>VLOOKUP(B1084,Raw_Suppliers!$A$2:$G$101,2,FALSE)</f>
        <v>Vertex Fusion Inc</v>
      </c>
      <c r="L1084" t="str">
        <f>VLOOKUP(B1084,Raw_Suppliers!$A$2:$G$101,3,FALSE)</f>
        <v>India</v>
      </c>
      <c r="M1084" t="str">
        <f>VLOOKUP(B1084,Raw_Suppliers!$A$2:$G$101,4,FALSE)</f>
        <v>Central</v>
      </c>
      <c r="N1084" t="str">
        <f>VLOOKUP(B1084,Raw_Suppliers!$A$2:$G$101,6,FALSE)</f>
        <v>ISO 9001</v>
      </c>
      <c r="O1084">
        <f>VLOOKUP(B1084,Raw_Suppliers!$A$2:$G$101,7,FALSE)</f>
        <v>0</v>
      </c>
      <c r="P1084" t="str">
        <f t="shared" si="97"/>
        <v>No</v>
      </c>
      <c r="Q1084">
        <f t="shared" si="98"/>
        <v>0</v>
      </c>
      <c r="R1084" t="str">
        <f t="shared" si="99"/>
        <v>Late</v>
      </c>
      <c r="S1084">
        <f t="shared" si="100"/>
        <v>2023</v>
      </c>
      <c r="T1084">
        <f t="shared" si="101"/>
        <v>3</v>
      </c>
    </row>
    <row r="1085" spans="1:20" x14ac:dyDescent="0.25">
      <c r="A1085" t="s">
        <v>1392</v>
      </c>
      <c r="B1085" t="s">
        <v>143</v>
      </c>
      <c r="C1085" t="s">
        <v>272</v>
      </c>
      <c r="D1085" s="1">
        <v>45053</v>
      </c>
      <c r="E1085">
        <v>10</v>
      </c>
      <c r="F1085">
        <v>68.787227886443802</v>
      </c>
      <c r="G1085" s="1">
        <v>45070</v>
      </c>
      <c r="H1085" s="1">
        <v>45069</v>
      </c>
      <c r="I1085">
        <v>687.87227886443804</v>
      </c>
      <c r="J1085">
        <f t="shared" si="96"/>
        <v>-1</v>
      </c>
      <c r="K1085" t="str">
        <f>VLOOKUP(B1085,Raw_Suppliers!$A$2:$G$101,2,FALSE)</f>
        <v>Prime Gamma Inc</v>
      </c>
      <c r="L1085" t="str">
        <f>VLOOKUP(B1085,Raw_Suppliers!$A$2:$G$101,3,FALSE)</f>
        <v>China</v>
      </c>
      <c r="M1085" t="str">
        <f>VLOOKUP(B1085,Raw_Suppliers!$A$2:$G$101,4,FALSE)</f>
        <v>East</v>
      </c>
      <c r="N1085" t="str">
        <f>VLOOKUP(B1085,Raw_Suppliers!$A$2:$G$101,6,FALSE)</f>
        <v>ISO 14001</v>
      </c>
      <c r="O1085">
        <f>VLOOKUP(B1085,Raw_Suppliers!$A$2:$G$101,7,FALSE)</f>
        <v>0</v>
      </c>
      <c r="P1085" t="str">
        <f t="shared" si="97"/>
        <v>No</v>
      </c>
      <c r="Q1085">
        <f t="shared" si="98"/>
        <v>1</v>
      </c>
      <c r="R1085" t="str">
        <f t="shared" si="99"/>
        <v>On Time</v>
      </c>
      <c r="S1085">
        <f t="shared" si="100"/>
        <v>2023</v>
      </c>
      <c r="T1085">
        <f t="shared" si="101"/>
        <v>5</v>
      </c>
    </row>
    <row r="1086" spans="1:20" x14ac:dyDescent="0.25">
      <c r="A1086" t="s">
        <v>1393</v>
      </c>
      <c r="B1086" t="s">
        <v>52</v>
      </c>
      <c r="C1086" t="s">
        <v>208</v>
      </c>
      <c r="D1086" s="1">
        <v>44557</v>
      </c>
      <c r="E1086">
        <v>7</v>
      </c>
      <c r="F1086">
        <v>78.219665831342994</v>
      </c>
      <c r="G1086" s="1">
        <v>44570</v>
      </c>
      <c r="H1086" s="1">
        <v>44573</v>
      </c>
      <c r="I1086">
        <v>547.5376608194</v>
      </c>
      <c r="J1086">
        <f t="shared" si="96"/>
        <v>3</v>
      </c>
      <c r="K1086" t="str">
        <f>VLOOKUP(B1086,Raw_Suppliers!$A$2:$G$101,2,FALSE)</f>
        <v>Beta Nano Corp</v>
      </c>
      <c r="L1086" t="str">
        <f>VLOOKUP(B1086,Raw_Suppliers!$A$2:$G$101,3,FALSE)</f>
        <v>UK</v>
      </c>
      <c r="M1086" t="str">
        <f>VLOOKUP(B1086,Raw_Suppliers!$A$2:$G$101,4,FALSE)</f>
        <v>Central</v>
      </c>
      <c r="N1086" t="str">
        <f>VLOOKUP(B1086,Raw_Suppliers!$A$2:$G$101,6,FALSE)</f>
        <v>ISO 45001</v>
      </c>
      <c r="O1086">
        <f>VLOOKUP(B1086,Raw_Suppliers!$A$2:$G$101,7,FALSE)</f>
        <v>0</v>
      </c>
      <c r="P1086" t="str">
        <f t="shared" si="97"/>
        <v>No</v>
      </c>
      <c r="Q1086">
        <f t="shared" si="98"/>
        <v>0</v>
      </c>
      <c r="R1086" t="str">
        <f t="shared" si="99"/>
        <v>Late</v>
      </c>
      <c r="S1086">
        <f t="shared" si="100"/>
        <v>2021</v>
      </c>
      <c r="T1086">
        <f t="shared" si="101"/>
        <v>12</v>
      </c>
    </row>
    <row r="1087" spans="1:20" x14ac:dyDescent="0.25">
      <c r="A1087" t="s">
        <v>1394</v>
      </c>
      <c r="B1087" t="s">
        <v>96</v>
      </c>
      <c r="C1087" t="s">
        <v>363</v>
      </c>
      <c r="D1087" s="1">
        <v>44413</v>
      </c>
      <c r="E1087">
        <v>13</v>
      </c>
      <c r="F1087">
        <v>18.413241119085001</v>
      </c>
      <c r="G1087" s="1">
        <v>44424</v>
      </c>
      <c r="H1087" s="1">
        <v>44423</v>
      </c>
      <c r="I1087">
        <v>239.372134548106</v>
      </c>
      <c r="J1087">
        <f t="shared" si="96"/>
        <v>-1</v>
      </c>
      <c r="K1087" t="str">
        <f>VLOOKUP(B1087,Raw_Suppliers!$A$2:$G$101,2,FALSE)</f>
        <v>Alpha Nova Ltd</v>
      </c>
      <c r="L1087" t="str">
        <f>VLOOKUP(B1087,Raw_Suppliers!$A$2:$G$101,3,FALSE)</f>
        <v>UK</v>
      </c>
      <c r="M1087" t="str">
        <f>VLOOKUP(B1087,Raw_Suppliers!$A$2:$G$101,4,FALSE)</f>
        <v>West</v>
      </c>
      <c r="N1087" t="str">
        <f>VLOOKUP(B1087,Raw_Suppliers!$A$2:$G$101,6,FALSE)</f>
        <v>ISO 14001</v>
      </c>
      <c r="O1087">
        <f>VLOOKUP(B1087,Raw_Suppliers!$A$2:$G$101,7,FALSE)</f>
        <v>0</v>
      </c>
      <c r="P1087" t="str">
        <f t="shared" si="97"/>
        <v>No</v>
      </c>
      <c r="Q1087">
        <f t="shared" si="98"/>
        <v>1</v>
      </c>
      <c r="R1087" t="str">
        <f t="shared" si="99"/>
        <v>On Time</v>
      </c>
      <c r="S1087">
        <f t="shared" si="100"/>
        <v>2021</v>
      </c>
      <c r="T1087">
        <f t="shared" si="101"/>
        <v>8</v>
      </c>
    </row>
    <row r="1088" spans="1:20" x14ac:dyDescent="0.25">
      <c r="A1088" t="s">
        <v>1395</v>
      </c>
      <c r="B1088" t="s">
        <v>219</v>
      </c>
      <c r="C1088" t="s">
        <v>881</v>
      </c>
      <c r="D1088" s="1">
        <v>44206</v>
      </c>
      <c r="E1088">
        <v>10</v>
      </c>
      <c r="F1088">
        <v>51.271703830924899</v>
      </c>
      <c r="G1088" s="1">
        <v>44218</v>
      </c>
      <c r="H1088" s="1">
        <v>44224</v>
      </c>
      <c r="I1088">
        <v>512.71703830924901</v>
      </c>
      <c r="J1088">
        <f t="shared" si="96"/>
        <v>6</v>
      </c>
      <c r="K1088" t="str">
        <f>VLOOKUP(B1088,Raw_Suppliers!$A$2:$G$101,2,FALSE)</f>
        <v>Quantum Quantum Ltd</v>
      </c>
      <c r="L1088" t="str">
        <f>VLOOKUP(B1088,Raw_Suppliers!$A$2:$G$101,3,FALSE)</f>
        <v>USA</v>
      </c>
      <c r="M1088" t="str">
        <f>VLOOKUP(B1088,Raw_Suppliers!$A$2:$G$101,4,FALSE)</f>
        <v>South</v>
      </c>
      <c r="N1088" t="str">
        <f>VLOOKUP(B1088,Raw_Suppliers!$A$2:$G$101,6,FALSE)</f>
        <v>ISO 14001</v>
      </c>
      <c r="O1088">
        <f>VLOOKUP(B1088,Raw_Suppliers!$A$2:$G$101,7,FALSE)</f>
        <v>0</v>
      </c>
      <c r="P1088" t="str">
        <f t="shared" si="97"/>
        <v>No</v>
      </c>
      <c r="Q1088">
        <f t="shared" si="98"/>
        <v>0</v>
      </c>
      <c r="R1088" t="str">
        <f t="shared" si="99"/>
        <v>Late</v>
      </c>
      <c r="S1088">
        <f t="shared" si="100"/>
        <v>2021</v>
      </c>
      <c r="T1088">
        <f t="shared" si="101"/>
        <v>1</v>
      </c>
    </row>
    <row r="1089" spans="1:20" x14ac:dyDescent="0.25">
      <c r="A1089" t="s">
        <v>1396</v>
      </c>
      <c r="B1089" t="s">
        <v>295</v>
      </c>
      <c r="C1089" t="s">
        <v>380</v>
      </c>
      <c r="D1089" s="1">
        <v>45016</v>
      </c>
      <c r="E1089">
        <v>10</v>
      </c>
      <c r="F1089">
        <v>60.507974160152699</v>
      </c>
      <c r="G1089" s="1">
        <v>45033</v>
      </c>
      <c r="H1089" s="1">
        <v>45032</v>
      </c>
      <c r="I1089">
        <v>605.07974160152696</v>
      </c>
      <c r="J1089">
        <f t="shared" si="96"/>
        <v>-1</v>
      </c>
      <c r="K1089" t="str">
        <f>VLOOKUP(B1089,Raw_Suppliers!$A$2:$G$101,2,FALSE)</f>
        <v>Delta Quantum GmbH</v>
      </c>
      <c r="L1089" t="str">
        <f>VLOOKUP(B1089,Raw_Suppliers!$A$2:$G$101,3,FALSE)</f>
        <v>Brazil</v>
      </c>
      <c r="M1089" t="str">
        <f>VLOOKUP(B1089,Raw_Suppliers!$A$2:$G$101,4,FALSE)</f>
        <v>North</v>
      </c>
      <c r="N1089" t="str">
        <f>VLOOKUP(B1089,Raw_Suppliers!$A$2:$G$101,6,FALSE)</f>
        <v>ISO 9001</v>
      </c>
      <c r="O1089">
        <f>VLOOKUP(B1089,Raw_Suppliers!$A$2:$G$101,7,FALSE)</f>
        <v>1</v>
      </c>
      <c r="P1089" t="str">
        <f t="shared" si="97"/>
        <v>Yes</v>
      </c>
      <c r="Q1089">
        <f t="shared" si="98"/>
        <v>1</v>
      </c>
      <c r="R1089" t="str">
        <f t="shared" si="99"/>
        <v>On Time</v>
      </c>
      <c r="S1089">
        <f t="shared" si="100"/>
        <v>2023</v>
      </c>
      <c r="T1089">
        <f t="shared" si="101"/>
        <v>3</v>
      </c>
    </row>
    <row r="1090" spans="1:20" x14ac:dyDescent="0.25">
      <c r="A1090" t="s">
        <v>1397</v>
      </c>
      <c r="B1090" t="s">
        <v>119</v>
      </c>
      <c r="C1090" t="s">
        <v>727</v>
      </c>
      <c r="D1090" s="1">
        <v>44928</v>
      </c>
      <c r="E1090">
        <v>13</v>
      </c>
      <c r="F1090">
        <v>32.308175967125401</v>
      </c>
      <c r="G1090" s="1">
        <v>44944</v>
      </c>
      <c r="H1090" s="1">
        <v>44949</v>
      </c>
      <c r="I1090">
        <v>420.00628757263001</v>
      </c>
      <c r="J1090">
        <f t="shared" si="96"/>
        <v>5</v>
      </c>
      <c r="K1090" t="str">
        <f>VLOOKUP(B1090,Raw_Suppliers!$A$2:$G$101,2,FALSE)</f>
        <v>Pioneer Apex Corp</v>
      </c>
      <c r="L1090" t="str">
        <f>VLOOKUP(B1090,Raw_Suppliers!$A$2:$G$101,3,FALSE)</f>
        <v>USA</v>
      </c>
      <c r="M1090" t="str">
        <f>VLOOKUP(B1090,Raw_Suppliers!$A$2:$G$101,4,FALSE)</f>
        <v>Central</v>
      </c>
      <c r="N1090" t="str">
        <f>VLOOKUP(B1090,Raw_Suppliers!$A$2:$G$101,6,FALSE)</f>
        <v>None</v>
      </c>
      <c r="O1090">
        <f>VLOOKUP(B1090,Raw_Suppliers!$A$2:$G$101,7,FALSE)</f>
        <v>0</v>
      </c>
      <c r="P1090" t="str">
        <f t="shared" si="97"/>
        <v>No</v>
      </c>
      <c r="Q1090">
        <f t="shared" si="98"/>
        <v>0</v>
      </c>
      <c r="R1090" t="str">
        <f t="shared" si="99"/>
        <v>Late</v>
      </c>
      <c r="S1090">
        <f t="shared" si="100"/>
        <v>2023</v>
      </c>
      <c r="T1090">
        <f t="shared" si="101"/>
        <v>1</v>
      </c>
    </row>
    <row r="1091" spans="1:20" x14ac:dyDescent="0.25">
      <c r="A1091" t="s">
        <v>1398</v>
      </c>
      <c r="B1091" t="s">
        <v>13</v>
      </c>
      <c r="C1091" t="s">
        <v>430</v>
      </c>
      <c r="D1091" s="1">
        <v>44343</v>
      </c>
      <c r="E1091">
        <v>9</v>
      </c>
      <c r="F1091">
        <v>41.2419481453515</v>
      </c>
      <c r="G1091" s="1">
        <v>44365</v>
      </c>
      <c r="H1091" s="1">
        <v>44362</v>
      </c>
      <c r="I1091">
        <v>371.17753330816299</v>
      </c>
      <c r="J1091">
        <f t="shared" ref="J1091:J1154" si="102">H1091-G1091</f>
        <v>-3</v>
      </c>
      <c r="K1091" t="str">
        <f>VLOOKUP(B1091,Raw_Suppliers!$A$2:$G$101,2,FALSE)</f>
        <v>Beta Delta LLC</v>
      </c>
      <c r="L1091" t="str">
        <f>VLOOKUP(B1091,Raw_Suppliers!$A$2:$G$101,3,FALSE)</f>
        <v>Germany</v>
      </c>
      <c r="M1091" t="str">
        <f>VLOOKUP(B1091,Raw_Suppliers!$A$2:$G$101,4,FALSE)</f>
        <v>Central</v>
      </c>
      <c r="N1091" t="str">
        <f>VLOOKUP(B1091,Raw_Suppliers!$A$2:$G$101,6,FALSE)</f>
        <v>ISO 9001</v>
      </c>
      <c r="O1091">
        <f>VLOOKUP(B1091,Raw_Suppliers!$A$2:$G$101,7,FALSE)</f>
        <v>1</v>
      </c>
      <c r="P1091" t="str">
        <f t="shared" ref="P1091:P1154" si="103">IF(O1091=1,"Yes","No")</f>
        <v>Yes</v>
      </c>
      <c r="Q1091">
        <f t="shared" ref="Q1091:Q1154" si="104">IF(J1091&lt;=0,1,0)</f>
        <v>1</v>
      </c>
      <c r="R1091" t="str">
        <f t="shared" ref="R1091:R1154" si="105">IF(Q1091=1,"On Time","Late")</f>
        <v>On Time</v>
      </c>
      <c r="S1091">
        <f t="shared" ref="S1091:S1154" si="106">YEAR(D1091)</f>
        <v>2021</v>
      </c>
      <c r="T1091">
        <f t="shared" ref="T1091:T1154" si="107">MONTH(D1091)</f>
        <v>5</v>
      </c>
    </row>
    <row r="1092" spans="1:20" x14ac:dyDescent="0.25">
      <c r="A1092" t="s">
        <v>1399</v>
      </c>
      <c r="B1092" t="s">
        <v>67</v>
      </c>
      <c r="C1092" t="s">
        <v>44</v>
      </c>
      <c r="D1092" s="1">
        <v>44552</v>
      </c>
      <c r="E1092">
        <v>8</v>
      </c>
      <c r="F1092">
        <v>9.9061421471210807</v>
      </c>
      <c r="G1092" s="1">
        <v>44565</v>
      </c>
      <c r="H1092" s="1">
        <v>44571</v>
      </c>
      <c r="I1092">
        <v>79.249137176968603</v>
      </c>
      <c r="J1092">
        <f t="shared" si="102"/>
        <v>6</v>
      </c>
      <c r="K1092" t="str">
        <f>VLOOKUP(B1092,Raw_Suppliers!$A$2:$G$101,2,FALSE)</f>
        <v>Nova Eco LLC</v>
      </c>
      <c r="L1092" t="str">
        <f>VLOOKUP(B1092,Raw_Suppliers!$A$2:$G$101,3,FALSE)</f>
        <v>Germany</v>
      </c>
      <c r="M1092" t="str">
        <f>VLOOKUP(B1092,Raw_Suppliers!$A$2:$G$101,4,FALSE)</f>
        <v>Central</v>
      </c>
      <c r="N1092" t="str">
        <f>VLOOKUP(B1092,Raw_Suppliers!$A$2:$G$101,6,FALSE)</f>
        <v>ISO 9001</v>
      </c>
      <c r="O1092">
        <f>VLOOKUP(B1092,Raw_Suppliers!$A$2:$G$101,7,FALSE)</f>
        <v>1</v>
      </c>
      <c r="P1092" t="str">
        <f t="shared" si="103"/>
        <v>Yes</v>
      </c>
      <c r="Q1092">
        <f t="shared" si="104"/>
        <v>0</v>
      </c>
      <c r="R1092" t="str">
        <f t="shared" si="105"/>
        <v>Late</v>
      </c>
      <c r="S1092">
        <f t="shared" si="106"/>
        <v>2021</v>
      </c>
      <c r="T1092">
        <f t="shared" si="107"/>
        <v>12</v>
      </c>
    </row>
    <row r="1093" spans="1:20" x14ac:dyDescent="0.25">
      <c r="A1093" t="s">
        <v>1400</v>
      </c>
      <c r="B1093" t="s">
        <v>350</v>
      </c>
      <c r="C1093" t="s">
        <v>65</v>
      </c>
      <c r="D1093" s="1">
        <v>44562</v>
      </c>
      <c r="E1093">
        <v>7</v>
      </c>
      <c r="F1093">
        <v>33.270854730425903</v>
      </c>
      <c r="G1093" s="1">
        <v>44578</v>
      </c>
      <c r="H1093" s="1">
        <v>44579</v>
      </c>
      <c r="I1093">
        <v>232.89598311298101</v>
      </c>
      <c r="J1093">
        <f t="shared" si="102"/>
        <v>1</v>
      </c>
      <c r="K1093" t="str">
        <f>VLOOKUP(B1093,Raw_Suppliers!$A$2:$G$101,2,FALSE)</f>
        <v>Prime Gamma GmbH</v>
      </c>
      <c r="L1093" t="str">
        <f>VLOOKUP(B1093,Raw_Suppliers!$A$2:$G$101,3,FALSE)</f>
        <v>Denmark</v>
      </c>
      <c r="M1093" t="str">
        <f>VLOOKUP(B1093,Raw_Suppliers!$A$2:$G$101,4,FALSE)</f>
        <v>West</v>
      </c>
      <c r="N1093" t="str">
        <f>VLOOKUP(B1093,Raw_Suppliers!$A$2:$G$101,6,FALSE)</f>
        <v>ISO 9001</v>
      </c>
      <c r="O1093">
        <f>VLOOKUP(B1093,Raw_Suppliers!$A$2:$G$101,7,FALSE)</f>
        <v>0</v>
      </c>
      <c r="P1093" t="str">
        <f t="shared" si="103"/>
        <v>No</v>
      </c>
      <c r="Q1093">
        <f t="shared" si="104"/>
        <v>0</v>
      </c>
      <c r="R1093" t="str">
        <f t="shared" si="105"/>
        <v>Late</v>
      </c>
      <c r="S1093">
        <f t="shared" si="106"/>
        <v>2022</v>
      </c>
      <c r="T1093">
        <f t="shared" si="107"/>
        <v>1</v>
      </c>
    </row>
    <row r="1094" spans="1:20" x14ac:dyDescent="0.25">
      <c r="A1094" t="s">
        <v>1401</v>
      </c>
      <c r="B1094" t="s">
        <v>135</v>
      </c>
      <c r="C1094" t="s">
        <v>881</v>
      </c>
      <c r="D1094" s="1">
        <v>44744</v>
      </c>
      <c r="E1094">
        <v>9</v>
      </c>
      <c r="F1094">
        <v>77.226742563151603</v>
      </c>
      <c r="G1094" s="1">
        <v>44768</v>
      </c>
      <c r="H1094" s="1">
        <v>44765</v>
      </c>
      <c r="I1094">
        <v>695.04068306836496</v>
      </c>
      <c r="J1094">
        <f t="shared" si="102"/>
        <v>-3</v>
      </c>
      <c r="K1094" t="str">
        <f>VLOOKUP(B1094,Raw_Suppliers!$A$2:$G$101,2,FALSE)</f>
        <v>Alpha Prime Ltd</v>
      </c>
      <c r="L1094" t="str">
        <f>VLOOKUP(B1094,Raw_Suppliers!$A$2:$G$101,3,FALSE)</f>
        <v>UK</v>
      </c>
      <c r="M1094" t="str">
        <f>VLOOKUP(B1094,Raw_Suppliers!$A$2:$G$101,4,FALSE)</f>
        <v>East</v>
      </c>
      <c r="N1094" t="str">
        <f>VLOOKUP(B1094,Raw_Suppliers!$A$2:$G$101,6,FALSE)</f>
        <v>None</v>
      </c>
      <c r="O1094">
        <f>VLOOKUP(B1094,Raw_Suppliers!$A$2:$G$101,7,FALSE)</f>
        <v>1</v>
      </c>
      <c r="P1094" t="str">
        <f t="shared" si="103"/>
        <v>Yes</v>
      </c>
      <c r="Q1094">
        <f t="shared" si="104"/>
        <v>1</v>
      </c>
      <c r="R1094" t="str">
        <f t="shared" si="105"/>
        <v>On Time</v>
      </c>
      <c r="S1094">
        <f t="shared" si="106"/>
        <v>2022</v>
      </c>
      <c r="T1094">
        <f t="shared" si="107"/>
        <v>7</v>
      </c>
    </row>
    <row r="1095" spans="1:20" x14ac:dyDescent="0.25">
      <c r="A1095" t="s">
        <v>1402</v>
      </c>
      <c r="B1095" t="s">
        <v>174</v>
      </c>
      <c r="C1095" t="s">
        <v>68</v>
      </c>
      <c r="D1095" s="1">
        <v>44446</v>
      </c>
      <c r="E1095">
        <v>16</v>
      </c>
      <c r="F1095">
        <v>28.9254474478643</v>
      </c>
      <c r="G1095" s="1">
        <v>44463</v>
      </c>
      <c r="H1095" s="1">
        <v>44463</v>
      </c>
      <c r="I1095">
        <v>462.80715916582898</v>
      </c>
      <c r="J1095">
        <f t="shared" si="102"/>
        <v>0</v>
      </c>
      <c r="K1095" t="str">
        <f>VLOOKUP(B1095,Raw_Suppliers!$A$2:$G$101,2,FALSE)</f>
        <v>Quantum Eco LLC</v>
      </c>
      <c r="L1095" t="str">
        <f>VLOOKUP(B1095,Raw_Suppliers!$A$2:$G$101,3,FALSE)</f>
        <v>Denmark</v>
      </c>
      <c r="M1095" t="str">
        <f>VLOOKUP(B1095,Raw_Suppliers!$A$2:$G$101,4,FALSE)</f>
        <v>East</v>
      </c>
      <c r="N1095" t="str">
        <f>VLOOKUP(B1095,Raw_Suppliers!$A$2:$G$101,6,FALSE)</f>
        <v>ISO 9001</v>
      </c>
      <c r="O1095">
        <f>VLOOKUP(B1095,Raw_Suppliers!$A$2:$G$101,7,FALSE)</f>
        <v>1</v>
      </c>
      <c r="P1095" t="str">
        <f t="shared" si="103"/>
        <v>Yes</v>
      </c>
      <c r="Q1095">
        <f t="shared" si="104"/>
        <v>1</v>
      </c>
      <c r="R1095" t="str">
        <f t="shared" si="105"/>
        <v>On Time</v>
      </c>
      <c r="S1095">
        <f t="shared" si="106"/>
        <v>2021</v>
      </c>
      <c r="T1095">
        <f t="shared" si="107"/>
        <v>9</v>
      </c>
    </row>
    <row r="1096" spans="1:20" x14ac:dyDescent="0.25">
      <c r="A1096" t="s">
        <v>1403</v>
      </c>
      <c r="B1096" t="s">
        <v>119</v>
      </c>
      <c r="C1096" t="s">
        <v>792</v>
      </c>
      <c r="D1096" s="1">
        <v>44993</v>
      </c>
      <c r="E1096">
        <v>15</v>
      </c>
      <c r="F1096">
        <v>14.992155530501799</v>
      </c>
      <c r="G1096" s="1">
        <v>45003</v>
      </c>
      <c r="H1096" s="1">
        <v>45003</v>
      </c>
      <c r="I1096">
        <v>224.88233295752801</v>
      </c>
      <c r="J1096">
        <f t="shared" si="102"/>
        <v>0</v>
      </c>
      <c r="K1096" t="str">
        <f>VLOOKUP(B1096,Raw_Suppliers!$A$2:$G$101,2,FALSE)</f>
        <v>Pioneer Apex Corp</v>
      </c>
      <c r="L1096" t="str">
        <f>VLOOKUP(B1096,Raw_Suppliers!$A$2:$G$101,3,FALSE)</f>
        <v>USA</v>
      </c>
      <c r="M1096" t="str">
        <f>VLOOKUP(B1096,Raw_Suppliers!$A$2:$G$101,4,FALSE)</f>
        <v>Central</v>
      </c>
      <c r="N1096" t="str">
        <f>VLOOKUP(B1096,Raw_Suppliers!$A$2:$G$101,6,FALSE)</f>
        <v>None</v>
      </c>
      <c r="O1096">
        <f>VLOOKUP(B1096,Raw_Suppliers!$A$2:$G$101,7,FALSE)</f>
        <v>0</v>
      </c>
      <c r="P1096" t="str">
        <f t="shared" si="103"/>
        <v>No</v>
      </c>
      <c r="Q1096">
        <f t="shared" si="104"/>
        <v>1</v>
      </c>
      <c r="R1096" t="str">
        <f t="shared" si="105"/>
        <v>On Time</v>
      </c>
      <c r="S1096">
        <f t="shared" si="106"/>
        <v>2023</v>
      </c>
      <c r="T1096">
        <f t="shared" si="107"/>
        <v>3</v>
      </c>
    </row>
    <row r="1097" spans="1:20" x14ac:dyDescent="0.25">
      <c r="A1097" t="s">
        <v>1404</v>
      </c>
      <c r="B1097" t="s">
        <v>109</v>
      </c>
      <c r="C1097" t="s">
        <v>125</v>
      </c>
      <c r="D1097" s="1">
        <v>45104</v>
      </c>
      <c r="E1097">
        <v>10</v>
      </c>
      <c r="F1097">
        <v>72.667403360309507</v>
      </c>
      <c r="G1097" s="1">
        <v>45125</v>
      </c>
      <c r="H1097" s="1">
        <v>45122</v>
      </c>
      <c r="I1097">
        <v>726.67403360309504</v>
      </c>
      <c r="J1097">
        <f t="shared" si="102"/>
        <v>-3</v>
      </c>
      <c r="K1097" t="str">
        <f>VLOOKUP(B1097,Raw_Suppliers!$A$2:$G$101,2,FALSE)</f>
        <v>Nano Fusion GmbH</v>
      </c>
      <c r="L1097" t="str">
        <f>VLOOKUP(B1097,Raw_Suppliers!$A$2:$G$101,3,FALSE)</f>
        <v>Denmark</v>
      </c>
      <c r="M1097" t="str">
        <f>VLOOKUP(B1097,Raw_Suppliers!$A$2:$G$101,4,FALSE)</f>
        <v>North</v>
      </c>
      <c r="N1097" t="str">
        <f>VLOOKUP(B1097,Raw_Suppliers!$A$2:$G$101,6,FALSE)</f>
        <v>ISO 9001</v>
      </c>
      <c r="O1097">
        <f>VLOOKUP(B1097,Raw_Suppliers!$A$2:$G$101,7,FALSE)</f>
        <v>0</v>
      </c>
      <c r="P1097" t="str">
        <f t="shared" si="103"/>
        <v>No</v>
      </c>
      <c r="Q1097">
        <f t="shared" si="104"/>
        <v>1</v>
      </c>
      <c r="R1097" t="str">
        <f t="shared" si="105"/>
        <v>On Time</v>
      </c>
      <c r="S1097">
        <f t="shared" si="106"/>
        <v>2023</v>
      </c>
      <c r="T1097">
        <f t="shared" si="107"/>
        <v>6</v>
      </c>
    </row>
    <row r="1098" spans="1:20" x14ac:dyDescent="0.25">
      <c r="A1098" t="s">
        <v>1405</v>
      </c>
      <c r="B1098" t="s">
        <v>242</v>
      </c>
      <c r="C1098" t="s">
        <v>83</v>
      </c>
      <c r="D1098" s="1">
        <v>44830</v>
      </c>
      <c r="E1098">
        <v>8</v>
      </c>
      <c r="F1098">
        <v>9.9780861972537096</v>
      </c>
      <c r="G1098" s="1">
        <v>44846</v>
      </c>
      <c r="H1098" s="1">
        <v>44852</v>
      </c>
      <c r="I1098">
        <v>79.824689578029705</v>
      </c>
      <c r="J1098">
        <f t="shared" si="102"/>
        <v>6</v>
      </c>
      <c r="K1098" t="str">
        <f>VLOOKUP(B1098,Raw_Suppliers!$A$2:$G$101,2,FALSE)</f>
        <v>Omega Nova GmbH</v>
      </c>
      <c r="L1098" t="str">
        <f>VLOOKUP(B1098,Raw_Suppliers!$A$2:$G$101,3,FALSE)</f>
        <v>Denmark</v>
      </c>
      <c r="M1098" t="str">
        <f>VLOOKUP(B1098,Raw_Suppliers!$A$2:$G$101,4,FALSE)</f>
        <v>East</v>
      </c>
      <c r="N1098" t="str">
        <f>VLOOKUP(B1098,Raw_Suppliers!$A$2:$G$101,6,FALSE)</f>
        <v>ISO 45001</v>
      </c>
      <c r="O1098">
        <f>VLOOKUP(B1098,Raw_Suppliers!$A$2:$G$101,7,FALSE)</f>
        <v>0</v>
      </c>
      <c r="P1098" t="str">
        <f t="shared" si="103"/>
        <v>No</v>
      </c>
      <c r="Q1098">
        <f t="shared" si="104"/>
        <v>0</v>
      </c>
      <c r="R1098" t="str">
        <f t="shared" si="105"/>
        <v>Late</v>
      </c>
      <c r="S1098">
        <f t="shared" si="106"/>
        <v>2022</v>
      </c>
      <c r="T1098">
        <f t="shared" si="107"/>
        <v>9</v>
      </c>
    </row>
    <row r="1099" spans="1:20" x14ac:dyDescent="0.25">
      <c r="A1099" t="s">
        <v>1406</v>
      </c>
      <c r="B1099" t="s">
        <v>61</v>
      </c>
      <c r="C1099" t="s">
        <v>274</v>
      </c>
      <c r="D1099" s="1">
        <v>44690</v>
      </c>
      <c r="E1099">
        <v>16</v>
      </c>
      <c r="F1099">
        <v>19.106383990611199</v>
      </c>
      <c r="G1099" s="1">
        <v>44703</v>
      </c>
      <c r="H1099" s="1">
        <v>44703</v>
      </c>
      <c r="I1099">
        <v>305.70214384977999</v>
      </c>
      <c r="J1099">
        <f t="shared" si="102"/>
        <v>0</v>
      </c>
      <c r="K1099" t="str">
        <f>VLOOKUP(B1099,Raw_Suppliers!$A$2:$G$101,2,FALSE)</f>
        <v>Ultra Gamma LLC</v>
      </c>
      <c r="L1099" t="str">
        <f>VLOOKUP(B1099,Raw_Suppliers!$A$2:$G$101,3,FALSE)</f>
        <v>Canada</v>
      </c>
      <c r="M1099" t="str">
        <f>VLOOKUP(B1099,Raw_Suppliers!$A$2:$G$101,4,FALSE)</f>
        <v>North</v>
      </c>
      <c r="N1099" t="str">
        <f>VLOOKUP(B1099,Raw_Suppliers!$A$2:$G$101,6,FALSE)</f>
        <v>ISO 9001</v>
      </c>
      <c r="O1099">
        <f>VLOOKUP(B1099,Raw_Suppliers!$A$2:$G$101,7,FALSE)</f>
        <v>1</v>
      </c>
      <c r="P1099" t="str">
        <f t="shared" si="103"/>
        <v>Yes</v>
      </c>
      <c r="Q1099">
        <f t="shared" si="104"/>
        <v>1</v>
      </c>
      <c r="R1099" t="str">
        <f t="shared" si="105"/>
        <v>On Time</v>
      </c>
      <c r="S1099">
        <f t="shared" si="106"/>
        <v>2022</v>
      </c>
      <c r="T1099">
        <f t="shared" si="107"/>
        <v>5</v>
      </c>
    </row>
    <row r="1100" spans="1:20" x14ac:dyDescent="0.25">
      <c r="A1100" t="s">
        <v>1407</v>
      </c>
      <c r="B1100" t="s">
        <v>539</v>
      </c>
      <c r="C1100" t="s">
        <v>400</v>
      </c>
      <c r="D1100" s="1">
        <v>44447</v>
      </c>
      <c r="E1100">
        <v>6</v>
      </c>
      <c r="F1100">
        <v>78.519401385638702</v>
      </c>
      <c r="G1100" s="1">
        <v>44461</v>
      </c>
      <c r="H1100" s="1">
        <v>44464</v>
      </c>
      <c r="I1100">
        <v>471.11640831383198</v>
      </c>
      <c r="J1100">
        <f t="shared" si="102"/>
        <v>3</v>
      </c>
      <c r="K1100" t="str">
        <f>VLOOKUP(B1100,Raw_Suppliers!$A$2:$G$101,2,FALSE)</f>
        <v>Eco Eco Ltd</v>
      </c>
      <c r="L1100" t="str">
        <f>VLOOKUP(B1100,Raw_Suppliers!$A$2:$G$101,3,FALSE)</f>
        <v>USA</v>
      </c>
      <c r="M1100" t="str">
        <f>VLOOKUP(B1100,Raw_Suppliers!$A$2:$G$101,4,FALSE)</f>
        <v>South</v>
      </c>
      <c r="N1100" t="str">
        <f>VLOOKUP(B1100,Raw_Suppliers!$A$2:$G$101,6,FALSE)</f>
        <v>ISO 45001</v>
      </c>
      <c r="O1100">
        <f>VLOOKUP(B1100,Raw_Suppliers!$A$2:$G$101,7,FALSE)</f>
        <v>1</v>
      </c>
      <c r="P1100" t="str">
        <f t="shared" si="103"/>
        <v>Yes</v>
      </c>
      <c r="Q1100">
        <f t="shared" si="104"/>
        <v>0</v>
      </c>
      <c r="R1100" t="str">
        <f t="shared" si="105"/>
        <v>Late</v>
      </c>
      <c r="S1100">
        <f t="shared" si="106"/>
        <v>2021</v>
      </c>
      <c r="T1100">
        <f t="shared" si="107"/>
        <v>9</v>
      </c>
    </row>
    <row r="1101" spans="1:20" x14ac:dyDescent="0.25">
      <c r="A1101" t="s">
        <v>1408</v>
      </c>
      <c r="B1101" t="s">
        <v>261</v>
      </c>
      <c r="C1101" t="s">
        <v>434</v>
      </c>
      <c r="D1101" s="1">
        <v>44738</v>
      </c>
      <c r="E1101">
        <v>10</v>
      </c>
      <c r="F1101">
        <v>55.157893617204799</v>
      </c>
      <c r="G1101" s="1">
        <v>44751</v>
      </c>
      <c r="H1101" s="1">
        <v>44753</v>
      </c>
      <c r="I1101">
        <v>551.57893617204797</v>
      </c>
      <c r="J1101">
        <f t="shared" si="102"/>
        <v>2</v>
      </c>
      <c r="K1101" t="str">
        <f>VLOOKUP(B1101,Raw_Suppliers!$A$2:$G$101,2,FALSE)</f>
        <v>Delta Fusion Corp</v>
      </c>
      <c r="L1101" t="str">
        <f>VLOOKUP(B1101,Raw_Suppliers!$A$2:$G$101,3,FALSE)</f>
        <v>Denmark</v>
      </c>
      <c r="M1101" t="str">
        <f>VLOOKUP(B1101,Raw_Suppliers!$A$2:$G$101,4,FALSE)</f>
        <v>West</v>
      </c>
      <c r="N1101" t="str">
        <f>VLOOKUP(B1101,Raw_Suppliers!$A$2:$G$101,6,FALSE)</f>
        <v>ISO 45001</v>
      </c>
      <c r="O1101">
        <f>VLOOKUP(B1101,Raw_Suppliers!$A$2:$G$101,7,FALSE)</f>
        <v>0</v>
      </c>
      <c r="P1101" t="str">
        <f t="shared" si="103"/>
        <v>No</v>
      </c>
      <c r="Q1101">
        <f t="shared" si="104"/>
        <v>0</v>
      </c>
      <c r="R1101" t="str">
        <f t="shared" si="105"/>
        <v>Late</v>
      </c>
      <c r="S1101">
        <f t="shared" si="106"/>
        <v>2022</v>
      </c>
      <c r="T1101">
        <f t="shared" si="107"/>
        <v>6</v>
      </c>
    </row>
    <row r="1102" spans="1:20" x14ac:dyDescent="0.25">
      <c r="A1102" t="s">
        <v>1409</v>
      </c>
      <c r="B1102" t="s">
        <v>340</v>
      </c>
      <c r="C1102" t="s">
        <v>100</v>
      </c>
      <c r="D1102" s="1">
        <v>45369</v>
      </c>
      <c r="E1102">
        <v>11</v>
      </c>
      <c r="F1102">
        <v>28.4182029282209</v>
      </c>
      <c r="G1102" s="1">
        <v>45381</v>
      </c>
      <c r="H1102" s="1">
        <v>45382</v>
      </c>
      <c r="I1102">
        <v>312.60023221043002</v>
      </c>
      <c r="J1102">
        <f t="shared" si="102"/>
        <v>1</v>
      </c>
      <c r="K1102" t="str">
        <f>VLOOKUP(B1102,Raw_Suppliers!$A$2:$G$101,2,FALSE)</f>
        <v>Pioneer Ultra GmbH</v>
      </c>
      <c r="L1102" t="str">
        <f>VLOOKUP(B1102,Raw_Suppliers!$A$2:$G$101,3,FALSE)</f>
        <v>China</v>
      </c>
      <c r="M1102" t="str">
        <f>VLOOKUP(B1102,Raw_Suppliers!$A$2:$G$101,4,FALSE)</f>
        <v>Central</v>
      </c>
      <c r="N1102" t="str">
        <f>VLOOKUP(B1102,Raw_Suppliers!$A$2:$G$101,6,FALSE)</f>
        <v>ISO 9001</v>
      </c>
      <c r="O1102">
        <f>VLOOKUP(B1102,Raw_Suppliers!$A$2:$G$101,7,FALSE)</f>
        <v>0</v>
      </c>
      <c r="P1102" t="str">
        <f t="shared" si="103"/>
        <v>No</v>
      </c>
      <c r="Q1102">
        <f t="shared" si="104"/>
        <v>0</v>
      </c>
      <c r="R1102" t="str">
        <f t="shared" si="105"/>
        <v>Late</v>
      </c>
      <c r="S1102">
        <f t="shared" si="106"/>
        <v>2024</v>
      </c>
      <c r="T1102">
        <f t="shared" si="107"/>
        <v>3</v>
      </c>
    </row>
    <row r="1103" spans="1:20" x14ac:dyDescent="0.25">
      <c r="A1103" t="s">
        <v>1410</v>
      </c>
      <c r="B1103" t="s">
        <v>96</v>
      </c>
      <c r="C1103" t="s">
        <v>1051</v>
      </c>
      <c r="D1103" s="1">
        <v>44612</v>
      </c>
      <c r="E1103">
        <v>11</v>
      </c>
      <c r="F1103">
        <v>53.681475226803997</v>
      </c>
      <c r="G1103" s="1">
        <v>44631</v>
      </c>
      <c r="H1103" s="1">
        <v>44633</v>
      </c>
      <c r="I1103">
        <v>590.49622749484399</v>
      </c>
      <c r="J1103">
        <f t="shared" si="102"/>
        <v>2</v>
      </c>
      <c r="K1103" t="str">
        <f>VLOOKUP(B1103,Raw_Suppliers!$A$2:$G$101,2,FALSE)</f>
        <v>Alpha Nova Ltd</v>
      </c>
      <c r="L1103" t="str">
        <f>VLOOKUP(B1103,Raw_Suppliers!$A$2:$G$101,3,FALSE)</f>
        <v>UK</v>
      </c>
      <c r="M1103" t="str">
        <f>VLOOKUP(B1103,Raw_Suppliers!$A$2:$G$101,4,FALSE)</f>
        <v>West</v>
      </c>
      <c r="N1103" t="str">
        <f>VLOOKUP(B1103,Raw_Suppliers!$A$2:$G$101,6,FALSE)</f>
        <v>ISO 14001</v>
      </c>
      <c r="O1103">
        <f>VLOOKUP(B1103,Raw_Suppliers!$A$2:$G$101,7,FALSE)</f>
        <v>0</v>
      </c>
      <c r="P1103" t="str">
        <f t="shared" si="103"/>
        <v>No</v>
      </c>
      <c r="Q1103">
        <f t="shared" si="104"/>
        <v>0</v>
      </c>
      <c r="R1103" t="str">
        <f t="shared" si="105"/>
        <v>Late</v>
      </c>
      <c r="S1103">
        <f t="shared" si="106"/>
        <v>2022</v>
      </c>
      <c r="T1103">
        <f t="shared" si="107"/>
        <v>2</v>
      </c>
    </row>
    <row r="1104" spans="1:20" x14ac:dyDescent="0.25">
      <c r="A1104" t="s">
        <v>1411</v>
      </c>
      <c r="B1104" t="s">
        <v>55</v>
      </c>
      <c r="C1104" t="s">
        <v>177</v>
      </c>
      <c r="D1104" s="1">
        <v>45368</v>
      </c>
      <c r="E1104">
        <v>9</v>
      </c>
      <c r="F1104">
        <v>60.8496048217688</v>
      </c>
      <c r="G1104" s="1">
        <v>45383</v>
      </c>
      <c r="H1104" s="1">
        <v>45381</v>
      </c>
      <c r="I1104">
        <v>547.64644339591905</v>
      </c>
      <c r="J1104">
        <f t="shared" si="102"/>
        <v>-2</v>
      </c>
      <c r="K1104" t="str">
        <f>VLOOKUP(B1104,Raw_Suppliers!$A$2:$G$101,2,FALSE)</f>
        <v>Prime Vertex Inc</v>
      </c>
      <c r="L1104" t="str">
        <f>VLOOKUP(B1104,Raw_Suppliers!$A$2:$G$101,3,FALSE)</f>
        <v>Germany</v>
      </c>
      <c r="M1104" t="str">
        <f>VLOOKUP(B1104,Raw_Suppliers!$A$2:$G$101,4,FALSE)</f>
        <v>South</v>
      </c>
      <c r="N1104" t="str">
        <f>VLOOKUP(B1104,Raw_Suppliers!$A$2:$G$101,6,FALSE)</f>
        <v>ISO 14001</v>
      </c>
      <c r="O1104">
        <f>VLOOKUP(B1104,Raw_Suppliers!$A$2:$G$101,7,FALSE)</f>
        <v>0</v>
      </c>
      <c r="P1104" t="str">
        <f t="shared" si="103"/>
        <v>No</v>
      </c>
      <c r="Q1104">
        <f t="shared" si="104"/>
        <v>1</v>
      </c>
      <c r="R1104" t="str">
        <f t="shared" si="105"/>
        <v>On Time</v>
      </c>
      <c r="S1104">
        <f t="shared" si="106"/>
        <v>2024</v>
      </c>
      <c r="T1104">
        <f t="shared" si="107"/>
        <v>3</v>
      </c>
    </row>
    <row r="1105" spans="1:20" x14ac:dyDescent="0.25">
      <c r="A1105" t="s">
        <v>1412</v>
      </c>
      <c r="B1105" t="s">
        <v>140</v>
      </c>
      <c r="C1105" t="s">
        <v>547</v>
      </c>
      <c r="D1105" s="1">
        <v>45226</v>
      </c>
      <c r="E1105">
        <v>7</v>
      </c>
      <c r="F1105">
        <v>23.2064525772015</v>
      </c>
      <c r="G1105" s="1">
        <v>45236</v>
      </c>
      <c r="H1105" s="1">
        <v>45235</v>
      </c>
      <c r="I1105">
        <v>162.44516804041001</v>
      </c>
      <c r="J1105">
        <f t="shared" si="102"/>
        <v>-1</v>
      </c>
      <c r="K1105" t="str">
        <f>VLOOKUP(B1105,Raw_Suppliers!$A$2:$G$101,2,FALSE)</f>
        <v>Gamma Quantum Inc</v>
      </c>
      <c r="L1105" t="str">
        <f>VLOOKUP(B1105,Raw_Suppliers!$A$2:$G$101,3,FALSE)</f>
        <v>Germany</v>
      </c>
      <c r="M1105" t="str">
        <f>VLOOKUP(B1105,Raw_Suppliers!$A$2:$G$101,4,FALSE)</f>
        <v>North</v>
      </c>
      <c r="N1105" t="str">
        <f>VLOOKUP(B1105,Raw_Suppliers!$A$2:$G$101,6,FALSE)</f>
        <v>None</v>
      </c>
      <c r="O1105">
        <f>VLOOKUP(B1105,Raw_Suppliers!$A$2:$G$101,7,FALSE)</f>
        <v>1</v>
      </c>
      <c r="P1105" t="str">
        <f t="shared" si="103"/>
        <v>Yes</v>
      </c>
      <c r="Q1105">
        <f t="shared" si="104"/>
        <v>1</v>
      </c>
      <c r="R1105" t="str">
        <f t="shared" si="105"/>
        <v>On Time</v>
      </c>
      <c r="S1105">
        <f t="shared" si="106"/>
        <v>2023</v>
      </c>
      <c r="T1105">
        <f t="shared" si="107"/>
        <v>10</v>
      </c>
    </row>
    <row r="1106" spans="1:20" x14ac:dyDescent="0.25">
      <c r="A1106" t="s">
        <v>1413</v>
      </c>
      <c r="B1106" t="s">
        <v>205</v>
      </c>
      <c r="C1106" t="s">
        <v>297</v>
      </c>
      <c r="D1106" s="1">
        <v>44330</v>
      </c>
      <c r="E1106">
        <v>7</v>
      </c>
      <c r="F1106">
        <v>50.443144127419203</v>
      </c>
      <c r="G1106" s="1">
        <v>44351</v>
      </c>
      <c r="H1106" s="1">
        <v>44349</v>
      </c>
      <c r="I1106">
        <v>353.10200889193402</v>
      </c>
      <c r="J1106">
        <f t="shared" si="102"/>
        <v>-2</v>
      </c>
      <c r="K1106" t="str">
        <f>VLOOKUP(B1106,Raw_Suppliers!$A$2:$G$101,2,FALSE)</f>
        <v>Ultra Eco LLC</v>
      </c>
      <c r="L1106" t="str">
        <f>VLOOKUP(B1106,Raw_Suppliers!$A$2:$G$101,3,FALSE)</f>
        <v>China</v>
      </c>
      <c r="M1106" t="str">
        <f>VLOOKUP(B1106,Raw_Suppliers!$A$2:$G$101,4,FALSE)</f>
        <v>South</v>
      </c>
      <c r="N1106" t="str">
        <f>VLOOKUP(B1106,Raw_Suppliers!$A$2:$G$101,6,FALSE)</f>
        <v>ISO 14001</v>
      </c>
      <c r="O1106">
        <f>VLOOKUP(B1106,Raw_Suppliers!$A$2:$G$101,7,FALSE)</f>
        <v>1</v>
      </c>
      <c r="P1106" t="str">
        <f t="shared" si="103"/>
        <v>Yes</v>
      </c>
      <c r="Q1106">
        <f t="shared" si="104"/>
        <v>1</v>
      </c>
      <c r="R1106" t="str">
        <f t="shared" si="105"/>
        <v>On Time</v>
      </c>
      <c r="S1106">
        <f t="shared" si="106"/>
        <v>2021</v>
      </c>
      <c r="T1106">
        <f t="shared" si="107"/>
        <v>5</v>
      </c>
    </row>
    <row r="1107" spans="1:20" x14ac:dyDescent="0.25">
      <c r="A1107" t="s">
        <v>1414</v>
      </c>
      <c r="B1107" t="s">
        <v>10</v>
      </c>
      <c r="C1107" t="s">
        <v>915</v>
      </c>
      <c r="D1107" s="1">
        <v>44337</v>
      </c>
      <c r="E1107">
        <v>15</v>
      </c>
      <c r="F1107">
        <v>60.472957819545599</v>
      </c>
      <c r="G1107" s="1">
        <v>44361</v>
      </c>
      <c r="H1107" s="1">
        <v>44362</v>
      </c>
      <c r="I1107">
        <v>907.09436729318395</v>
      </c>
      <c r="J1107">
        <f t="shared" si="102"/>
        <v>1</v>
      </c>
      <c r="K1107" t="str">
        <f>VLOOKUP(B1107,Raw_Suppliers!$A$2:$G$101,2,FALSE)</f>
        <v>Vertex Beta GmbH</v>
      </c>
      <c r="L1107" t="str">
        <f>VLOOKUP(B1107,Raw_Suppliers!$A$2:$G$101,3,FALSE)</f>
        <v>India</v>
      </c>
      <c r="M1107" t="str">
        <f>VLOOKUP(B1107,Raw_Suppliers!$A$2:$G$101,4,FALSE)</f>
        <v>North</v>
      </c>
      <c r="N1107" t="str">
        <f>VLOOKUP(B1107,Raw_Suppliers!$A$2:$G$101,6,FALSE)</f>
        <v>ISO 14001</v>
      </c>
      <c r="O1107">
        <f>VLOOKUP(B1107,Raw_Suppliers!$A$2:$G$101,7,FALSE)</f>
        <v>0</v>
      </c>
      <c r="P1107" t="str">
        <f t="shared" si="103"/>
        <v>No</v>
      </c>
      <c r="Q1107">
        <f t="shared" si="104"/>
        <v>0</v>
      </c>
      <c r="R1107" t="str">
        <f t="shared" si="105"/>
        <v>Late</v>
      </c>
      <c r="S1107">
        <f t="shared" si="106"/>
        <v>2021</v>
      </c>
      <c r="T1107">
        <f t="shared" si="107"/>
        <v>5</v>
      </c>
    </row>
    <row r="1108" spans="1:20" x14ac:dyDescent="0.25">
      <c r="A1108" t="s">
        <v>1415</v>
      </c>
      <c r="B1108" t="s">
        <v>22</v>
      </c>
      <c r="C1108" t="s">
        <v>623</v>
      </c>
      <c r="D1108" s="1">
        <v>44691</v>
      </c>
      <c r="E1108">
        <v>9</v>
      </c>
      <c r="F1108">
        <v>7.5818701797643397</v>
      </c>
      <c r="G1108" s="1">
        <v>44710</v>
      </c>
      <c r="H1108" s="1">
        <v>44712</v>
      </c>
      <c r="I1108">
        <v>68.236831617879105</v>
      </c>
      <c r="J1108">
        <f t="shared" si="102"/>
        <v>2</v>
      </c>
      <c r="K1108" t="str">
        <f>VLOOKUP(B1108,Raw_Suppliers!$A$2:$G$101,2,FALSE)</f>
        <v>Delta Gamma Corp</v>
      </c>
      <c r="L1108" t="str">
        <f>VLOOKUP(B1108,Raw_Suppliers!$A$2:$G$101,3,FALSE)</f>
        <v>Denmark</v>
      </c>
      <c r="M1108" t="str">
        <f>VLOOKUP(B1108,Raw_Suppliers!$A$2:$G$101,4,FALSE)</f>
        <v>West</v>
      </c>
      <c r="N1108" t="str">
        <f>VLOOKUP(B1108,Raw_Suppliers!$A$2:$G$101,6,FALSE)</f>
        <v>ISO 45001</v>
      </c>
      <c r="O1108">
        <f>VLOOKUP(B1108,Raw_Suppliers!$A$2:$G$101,7,FALSE)</f>
        <v>1</v>
      </c>
      <c r="P1108" t="str">
        <f t="shared" si="103"/>
        <v>Yes</v>
      </c>
      <c r="Q1108">
        <f t="shared" si="104"/>
        <v>0</v>
      </c>
      <c r="R1108" t="str">
        <f t="shared" si="105"/>
        <v>Late</v>
      </c>
      <c r="S1108">
        <f t="shared" si="106"/>
        <v>2022</v>
      </c>
      <c r="T1108">
        <f t="shared" si="107"/>
        <v>5</v>
      </c>
    </row>
    <row r="1109" spans="1:20" x14ac:dyDescent="0.25">
      <c r="A1109" t="s">
        <v>1416</v>
      </c>
      <c r="B1109" t="s">
        <v>43</v>
      </c>
      <c r="C1109" t="s">
        <v>210</v>
      </c>
      <c r="D1109" s="1">
        <v>45069</v>
      </c>
      <c r="E1109">
        <v>13</v>
      </c>
      <c r="F1109">
        <v>58.0202865933339</v>
      </c>
      <c r="G1109" s="1">
        <v>45088</v>
      </c>
      <c r="H1109" s="1">
        <v>45093</v>
      </c>
      <c r="I1109">
        <v>754.26372571334105</v>
      </c>
      <c r="J1109">
        <f t="shared" si="102"/>
        <v>5</v>
      </c>
      <c r="K1109" t="str">
        <f>VLOOKUP(B1109,Raw_Suppliers!$A$2:$G$101,2,FALSE)</f>
        <v>Alpha Ultra Corp</v>
      </c>
      <c r="L1109" t="str">
        <f>VLOOKUP(B1109,Raw_Suppliers!$A$2:$G$101,3,FALSE)</f>
        <v>USA</v>
      </c>
      <c r="M1109" t="str">
        <f>VLOOKUP(B1109,Raw_Suppliers!$A$2:$G$101,4,FALSE)</f>
        <v>Central</v>
      </c>
      <c r="N1109" t="str">
        <f>VLOOKUP(B1109,Raw_Suppliers!$A$2:$G$101,6,FALSE)</f>
        <v>ISO 9001</v>
      </c>
      <c r="O1109">
        <f>VLOOKUP(B1109,Raw_Suppliers!$A$2:$G$101,7,FALSE)</f>
        <v>1</v>
      </c>
      <c r="P1109" t="str">
        <f t="shared" si="103"/>
        <v>Yes</v>
      </c>
      <c r="Q1109">
        <f t="shared" si="104"/>
        <v>0</v>
      </c>
      <c r="R1109" t="str">
        <f t="shared" si="105"/>
        <v>Late</v>
      </c>
      <c r="S1109">
        <f t="shared" si="106"/>
        <v>2023</v>
      </c>
      <c r="T1109">
        <f t="shared" si="107"/>
        <v>5</v>
      </c>
    </row>
    <row r="1110" spans="1:20" x14ac:dyDescent="0.25">
      <c r="A1110" t="s">
        <v>1417</v>
      </c>
      <c r="B1110" t="s">
        <v>143</v>
      </c>
      <c r="C1110" t="s">
        <v>245</v>
      </c>
      <c r="D1110" s="1">
        <v>44614</v>
      </c>
      <c r="E1110">
        <v>11</v>
      </c>
      <c r="F1110">
        <v>68.435427161609795</v>
      </c>
      <c r="G1110" s="1">
        <v>44634</v>
      </c>
      <c r="H1110" s="1">
        <v>44639</v>
      </c>
      <c r="I1110">
        <v>752.78969877770703</v>
      </c>
      <c r="J1110">
        <f t="shared" si="102"/>
        <v>5</v>
      </c>
      <c r="K1110" t="str">
        <f>VLOOKUP(B1110,Raw_Suppliers!$A$2:$G$101,2,FALSE)</f>
        <v>Prime Gamma Inc</v>
      </c>
      <c r="L1110" t="str">
        <f>VLOOKUP(B1110,Raw_Suppliers!$A$2:$G$101,3,FALSE)</f>
        <v>China</v>
      </c>
      <c r="M1110" t="str">
        <f>VLOOKUP(B1110,Raw_Suppliers!$A$2:$G$101,4,FALSE)</f>
        <v>East</v>
      </c>
      <c r="N1110" t="str">
        <f>VLOOKUP(B1110,Raw_Suppliers!$A$2:$G$101,6,FALSE)</f>
        <v>ISO 14001</v>
      </c>
      <c r="O1110">
        <f>VLOOKUP(B1110,Raw_Suppliers!$A$2:$G$101,7,FALSE)</f>
        <v>0</v>
      </c>
      <c r="P1110" t="str">
        <f t="shared" si="103"/>
        <v>No</v>
      </c>
      <c r="Q1110">
        <f t="shared" si="104"/>
        <v>0</v>
      </c>
      <c r="R1110" t="str">
        <f t="shared" si="105"/>
        <v>Late</v>
      </c>
      <c r="S1110">
        <f t="shared" si="106"/>
        <v>2022</v>
      </c>
      <c r="T1110">
        <f t="shared" si="107"/>
        <v>2</v>
      </c>
    </row>
    <row r="1111" spans="1:20" x14ac:dyDescent="0.25">
      <c r="A1111" t="s">
        <v>1418</v>
      </c>
      <c r="B1111" t="s">
        <v>119</v>
      </c>
      <c r="C1111" t="s">
        <v>341</v>
      </c>
      <c r="D1111" s="1">
        <v>45017</v>
      </c>
      <c r="E1111">
        <v>8</v>
      </c>
      <c r="F1111">
        <v>44.148695376448302</v>
      </c>
      <c r="G1111" s="1">
        <v>45035</v>
      </c>
      <c r="H1111" s="1">
        <v>45041</v>
      </c>
      <c r="I1111">
        <v>353.18956301158602</v>
      </c>
      <c r="J1111">
        <f t="shared" si="102"/>
        <v>6</v>
      </c>
      <c r="K1111" t="str">
        <f>VLOOKUP(B1111,Raw_Suppliers!$A$2:$G$101,2,FALSE)</f>
        <v>Pioneer Apex Corp</v>
      </c>
      <c r="L1111" t="str">
        <f>VLOOKUP(B1111,Raw_Suppliers!$A$2:$G$101,3,FALSE)</f>
        <v>USA</v>
      </c>
      <c r="M1111" t="str">
        <f>VLOOKUP(B1111,Raw_Suppliers!$A$2:$G$101,4,FALSE)</f>
        <v>Central</v>
      </c>
      <c r="N1111" t="str">
        <f>VLOOKUP(B1111,Raw_Suppliers!$A$2:$G$101,6,FALSE)</f>
        <v>None</v>
      </c>
      <c r="O1111">
        <f>VLOOKUP(B1111,Raw_Suppliers!$A$2:$G$101,7,FALSE)</f>
        <v>0</v>
      </c>
      <c r="P1111" t="str">
        <f t="shared" si="103"/>
        <v>No</v>
      </c>
      <c r="Q1111">
        <f t="shared" si="104"/>
        <v>0</v>
      </c>
      <c r="R1111" t="str">
        <f t="shared" si="105"/>
        <v>Late</v>
      </c>
      <c r="S1111">
        <f t="shared" si="106"/>
        <v>2023</v>
      </c>
      <c r="T1111">
        <f t="shared" si="107"/>
        <v>4</v>
      </c>
    </row>
    <row r="1112" spans="1:20" x14ac:dyDescent="0.25">
      <c r="A1112" t="s">
        <v>1419</v>
      </c>
      <c r="B1112" t="s">
        <v>394</v>
      </c>
      <c r="C1112" t="s">
        <v>344</v>
      </c>
      <c r="D1112" s="1">
        <v>44813</v>
      </c>
      <c r="E1112">
        <v>10</v>
      </c>
      <c r="F1112">
        <v>72.549076928214504</v>
      </c>
      <c r="G1112" s="1">
        <v>44836</v>
      </c>
      <c r="H1112" s="1">
        <v>44842</v>
      </c>
      <c r="I1112">
        <v>725.49076928214504</v>
      </c>
      <c r="J1112">
        <f t="shared" si="102"/>
        <v>6</v>
      </c>
      <c r="K1112" t="str">
        <f>VLOOKUP(B1112,Raw_Suppliers!$A$2:$G$101,2,FALSE)</f>
        <v>Ultra Prime Inc</v>
      </c>
      <c r="L1112" t="str">
        <f>VLOOKUP(B1112,Raw_Suppliers!$A$2:$G$101,3,FALSE)</f>
        <v>Brazil</v>
      </c>
      <c r="M1112" t="str">
        <f>VLOOKUP(B1112,Raw_Suppliers!$A$2:$G$101,4,FALSE)</f>
        <v>West</v>
      </c>
      <c r="N1112" t="str">
        <f>VLOOKUP(B1112,Raw_Suppliers!$A$2:$G$101,6,FALSE)</f>
        <v>ISO 9001</v>
      </c>
      <c r="O1112">
        <f>VLOOKUP(B1112,Raw_Suppliers!$A$2:$G$101,7,FALSE)</f>
        <v>1</v>
      </c>
      <c r="P1112" t="str">
        <f t="shared" si="103"/>
        <v>Yes</v>
      </c>
      <c r="Q1112">
        <f t="shared" si="104"/>
        <v>0</v>
      </c>
      <c r="R1112" t="str">
        <f t="shared" si="105"/>
        <v>Late</v>
      </c>
      <c r="S1112">
        <f t="shared" si="106"/>
        <v>2022</v>
      </c>
      <c r="T1112">
        <f t="shared" si="107"/>
        <v>9</v>
      </c>
    </row>
    <row r="1113" spans="1:20" x14ac:dyDescent="0.25">
      <c r="A1113" t="s">
        <v>1420</v>
      </c>
      <c r="B1113" t="s">
        <v>617</v>
      </c>
      <c r="C1113" t="s">
        <v>105</v>
      </c>
      <c r="D1113" s="1">
        <v>44734</v>
      </c>
      <c r="E1113">
        <v>13</v>
      </c>
      <c r="F1113">
        <v>31.088519860356499</v>
      </c>
      <c r="G1113" s="1">
        <v>44747</v>
      </c>
      <c r="H1113" s="1">
        <v>44750</v>
      </c>
      <c r="I1113">
        <v>404.15075818463498</v>
      </c>
      <c r="J1113">
        <f t="shared" si="102"/>
        <v>3</v>
      </c>
      <c r="K1113" t="str">
        <f>VLOOKUP(B1113,Raw_Suppliers!$A$2:$G$101,2,FALSE)</f>
        <v>Eco Vertex Ltd</v>
      </c>
      <c r="L1113" t="str">
        <f>VLOOKUP(B1113,Raw_Suppliers!$A$2:$G$101,3,FALSE)</f>
        <v>UK</v>
      </c>
      <c r="M1113" t="str">
        <f>VLOOKUP(B1113,Raw_Suppliers!$A$2:$G$101,4,FALSE)</f>
        <v>Central</v>
      </c>
      <c r="N1113" t="str">
        <f>VLOOKUP(B1113,Raw_Suppliers!$A$2:$G$101,6,FALSE)</f>
        <v>None</v>
      </c>
      <c r="O1113">
        <f>VLOOKUP(B1113,Raw_Suppliers!$A$2:$G$101,7,FALSE)</f>
        <v>0</v>
      </c>
      <c r="P1113" t="str">
        <f t="shared" si="103"/>
        <v>No</v>
      </c>
      <c r="Q1113">
        <f t="shared" si="104"/>
        <v>0</v>
      </c>
      <c r="R1113" t="str">
        <f t="shared" si="105"/>
        <v>Late</v>
      </c>
      <c r="S1113">
        <f t="shared" si="106"/>
        <v>2022</v>
      </c>
      <c r="T1113">
        <f t="shared" si="107"/>
        <v>6</v>
      </c>
    </row>
    <row r="1114" spans="1:20" x14ac:dyDescent="0.25">
      <c r="A1114" t="s">
        <v>1421</v>
      </c>
      <c r="B1114" t="s">
        <v>219</v>
      </c>
      <c r="C1114" t="s">
        <v>543</v>
      </c>
      <c r="D1114" s="1">
        <v>45244</v>
      </c>
      <c r="E1114">
        <v>10</v>
      </c>
      <c r="F1114">
        <v>77.196195609856801</v>
      </c>
      <c r="G1114" s="1">
        <v>45263</v>
      </c>
      <c r="H1114" s="1">
        <v>45265</v>
      </c>
      <c r="I1114">
        <v>771.96195609856795</v>
      </c>
      <c r="J1114">
        <f t="shared" si="102"/>
        <v>2</v>
      </c>
      <c r="K1114" t="str">
        <f>VLOOKUP(B1114,Raw_Suppliers!$A$2:$G$101,2,FALSE)</f>
        <v>Quantum Quantum Ltd</v>
      </c>
      <c r="L1114" t="str">
        <f>VLOOKUP(B1114,Raw_Suppliers!$A$2:$G$101,3,FALSE)</f>
        <v>USA</v>
      </c>
      <c r="M1114" t="str">
        <f>VLOOKUP(B1114,Raw_Suppliers!$A$2:$G$101,4,FALSE)</f>
        <v>South</v>
      </c>
      <c r="N1114" t="str">
        <f>VLOOKUP(B1114,Raw_Suppliers!$A$2:$G$101,6,FALSE)</f>
        <v>ISO 14001</v>
      </c>
      <c r="O1114">
        <f>VLOOKUP(B1114,Raw_Suppliers!$A$2:$G$101,7,FALSE)</f>
        <v>0</v>
      </c>
      <c r="P1114" t="str">
        <f t="shared" si="103"/>
        <v>No</v>
      </c>
      <c r="Q1114">
        <f t="shared" si="104"/>
        <v>0</v>
      </c>
      <c r="R1114" t="str">
        <f t="shared" si="105"/>
        <v>Late</v>
      </c>
      <c r="S1114">
        <f t="shared" si="106"/>
        <v>2023</v>
      </c>
      <c r="T1114">
        <f t="shared" si="107"/>
        <v>11</v>
      </c>
    </row>
    <row r="1115" spans="1:20" x14ac:dyDescent="0.25">
      <c r="A1115" t="s">
        <v>1422</v>
      </c>
      <c r="B1115" t="s">
        <v>321</v>
      </c>
      <c r="C1115" t="s">
        <v>600</v>
      </c>
      <c r="D1115" s="1">
        <v>45073</v>
      </c>
      <c r="E1115">
        <v>10</v>
      </c>
      <c r="F1115">
        <v>51.274809582208597</v>
      </c>
      <c r="G1115" s="1">
        <v>45092</v>
      </c>
      <c r="H1115" s="1">
        <v>45091</v>
      </c>
      <c r="I1115">
        <v>512.74809582208604</v>
      </c>
      <c r="J1115">
        <f t="shared" si="102"/>
        <v>-1</v>
      </c>
      <c r="K1115" t="str">
        <f>VLOOKUP(B1115,Raw_Suppliers!$A$2:$G$101,2,FALSE)</f>
        <v>Vertex Delta LLC</v>
      </c>
      <c r="L1115" t="str">
        <f>VLOOKUP(B1115,Raw_Suppliers!$A$2:$G$101,3,FALSE)</f>
        <v>India</v>
      </c>
      <c r="M1115" t="str">
        <f>VLOOKUP(B1115,Raw_Suppliers!$A$2:$G$101,4,FALSE)</f>
        <v>South</v>
      </c>
      <c r="N1115" t="str">
        <f>VLOOKUP(B1115,Raw_Suppliers!$A$2:$G$101,6,FALSE)</f>
        <v>ISO 45001</v>
      </c>
      <c r="O1115">
        <f>VLOOKUP(B1115,Raw_Suppliers!$A$2:$G$101,7,FALSE)</f>
        <v>0</v>
      </c>
      <c r="P1115" t="str">
        <f t="shared" si="103"/>
        <v>No</v>
      </c>
      <c r="Q1115">
        <f t="shared" si="104"/>
        <v>1</v>
      </c>
      <c r="R1115" t="str">
        <f t="shared" si="105"/>
        <v>On Time</v>
      </c>
      <c r="S1115">
        <f t="shared" si="106"/>
        <v>2023</v>
      </c>
      <c r="T1115">
        <f t="shared" si="107"/>
        <v>5</v>
      </c>
    </row>
    <row r="1116" spans="1:20" x14ac:dyDescent="0.25">
      <c r="A1116" t="s">
        <v>1423</v>
      </c>
      <c r="B1116" t="s">
        <v>79</v>
      </c>
      <c r="C1116" t="s">
        <v>281</v>
      </c>
      <c r="D1116" s="1">
        <v>44732</v>
      </c>
      <c r="E1116">
        <v>18</v>
      </c>
      <c r="F1116">
        <v>53.224056402732003</v>
      </c>
      <c r="G1116" s="1">
        <v>44756</v>
      </c>
      <c r="H1116" s="1">
        <v>44760</v>
      </c>
      <c r="I1116">
        <v>958.03301524917595</v>
      </c>
      <c r="J1116">
        <f t="shared" si="102"/>
        <v>4</v>
      </c>
      <c r="K1116" t="str">
        <f>VLOOKUP(B1116,Raw_Suppliers!$A$2:$G$101,2,FALSE)</f>
        <v>Vertex Fusion Inc</v>
      </c>
      <c r="L1116" t="str">
        <f>VLOOKUP(B1116,Raw_Suppliers!$A$2:$G$101,3,FALSE)</f>
        <v>India</v>
      </c>
      <c r="M1116" t="str">
        <f>VLOOKUP(B1116,Raw_Suppliers!$A$2:$G$101,4,FALSE)</f>
        <v>Central</v>
      </c>
      <c r="N1116" t="str">
        <f>VLOOKUP(B1116,Raw_Suppliers!$A$2:$G$101,6,FALSE)</f>
        <v>ISO 9001</v>
      </c>
      <c r="O1116">
        <f>VLOOKUP(B1116,Raw_Suppliers!$A$2:$G$101,7,FALSE)</f>
        <v>0</v>
      </c>
      <c r="P1116" t="str">
        <f t="shared" si="103"/>
        <v>No</v>
      </c>
      <c r="Q1116">
        <f t="shared" si="104"/>
        <v>0</v>
      </c>
      <c r="R1116" t="str">
        <f t="shared" si="105"/>
        <v>Late</v>
      </c>
      <c r="S1116">
        <f t="shared" si="106"/>
        <v>2022</v>
      </c>
      <c r="T1116">
        <f t="shared" si="107"/>
        <v>6</v>
      </c>
    </row>
    <row r="1117" spans="1:20" x14ac:dyDescent="0.25">
      <c r="A1117" t="s">
        <v>1424</v>
      </c>
      <c r="B1117" t="s">
        <v>686</v>
      </c>
      <c r="C1117" t="s">
        <v>473</v>
      </c>
      <c r="D1117" s="1">
        <v>44997</v>
      </c>
      <c r="E1117">
        <v>12</v>
      </c>
      <c r="F1117">
        <v>73.3401603361947</v>
      </c>
      <c r="G1117" s="1">
        <v>45010</v>
      </c>
      <c r="H1117" s="1">
        <v>45009</v>
      </c>
      <c r="I1117">
        <v>880.08192403433702</v>
      </c>
      <c r="J1117">
        <f t="shared" si="102"/>
        <v>-1</v>
      </c>
      <c r="K1117" t="str">
        <f>VLOOKUP(B1117,Raw_Suppliers!$A$2:$G$101,2,FALSE)</f>
        <v>Eco Gamma GmbH</v>
      </c>
      <c r="L1117" t="str">
        <f>VLOOKUP(B1117,Raw_Suppliers!$A$2:$G$101,3,FALSE)</f>
        <v>China</v>
      </c>
      <c r="M1117" t="str">
        <f>VLOOKUP(B1117,Raw_Suppliers!$A$2:$G$101,4,FALSE)</f>
        <v>South</v>
      </c>
      <c r="N1117" t="str">
        <f>VLOOKUP(B1117,Raw_Suppliers!$A$2:$G$101,6,FALSE)</f>
        <v>ISO 9001</v>
      </c>
      <c r="O1117">
        <f>VLOOKUP(B1117,Raw_Suppliers!$A$2:$G$101,7,FALSE)</f>
        <v>0</v>
      </c>
      <c r="P1117" t="str">
        <f t="shared" si="103"/>
        <v>No</v>
      </c>
      <c r="Q1117">
        <f t="shared" si="104"/>
        <v>1</v>
      </c>
      <c r="R1117" t="str">
        <f t="shared" si="105"/>
        <v>On Time</v>
      </c>
      <c r="S1117">
        <f t="shared" si="106"/>
        <v>2023</v>
      </c>
      <c r="T1117">
        <f t="shared" si="107"/>
        <v>3</v>
      </c>
    </row>
    <row r="1118" spans="1:20" x14ac:dyDescent="0.25">
      <c r="A1118" t="s">
        <v>1425</v>
      </c>
      <c r="B1118" t="s">
        <v>109</v>
      </c>
      <c r="C1118" t="s">
        <v>413</v>
      </c>
      <c r="D1118" s="1">
        <v>45314</v>
      </c>
      <c r="E1118">
        <v>10</v>
      </c>
      <c r="F1118">
        <v>66.493898178368696</v>
      </c>
      <c r="G1118" s="1">
        <v>45329</v>
      </c>
      <c r="H1118" s="1">
        <v>45335</v>
      </c>
      <c r="I1118">
        <v>664.93898178368704</v>
      </c>
      <c r="J1118">
        <f t="shared" si="102"/>
        <v>6</v>
      </c>
      <c r="K1118" t="str">
        <f>VLOOKUP(B1118,Raw_Suppliers!$A$2:$G$101,2,FALSE)</f>
        <v>Nano Fusion GmbH</v>
      </c>
      <c r="L1118" t="str">
        <f>VLOOKUP(B1118,Raw_Suppliers!$A$2:$G$101,3,FALSE)</f>
        <v>Denmark</v>
      </c>
      <c r="M1118" t="str">
        <f>VLOOKUP(B1118,Raw_Suppliers!$A$2:$G$101,4,FALSE)</f>
        <v>North</v>
      </c>
      <c r="N1118" t="str">
        <f>VLOOKUP(B1118,Raw_Suppliers!$A$2:$G$101,6,FALSE)</f>
        <v>ISO 9001</v>
      </c>
      <c r="O1118">
        <f>VLOOKUP(B1118,Raw_Suppliers!$A$2:$G$101,7,FALSE)</f>
        <v>0</v>
      </c>
      <c r="P1118" t="str">
        <f t="shared" si="103"/>
        <v>No</v>
      </c>
      <c r="Q1118">
        <f t="shared" si="104"/>
        <v>0</v>
      </c>
      <c r="R1118" t="str">
        <f t="shared" si="105"/>
        <v>Late</v>
      </c>
      <c r="S1118">
        <f t="shared" si="106"/>
        <v>2024</v>
      </c>
      <c r="T1118">
        <f t="shared" si="107"/>
        <v>1</v>
      </c>
    </row>
    <row r="1119" spans="1:20" x14ac:dyDescent="0.25">
      <c r="A1119" t="s">
        <v>1426</v>
      </c>
      <c r="B1119" t="s">
        <v>326</v>
      </c>
      <c r="C1119" t="s">
        <v>312</v>
      </c>
      <c r="D1119" s="1">
        <v>45200</v>
      </c>
      <c r="E1119">
        <v>8</v>
      </c>
      <c r="F1119">
        <v>74.273662934555205</v>
      </c>
      <c r="G1119" s="1">
        <v>45212</v>
      </c>
      <c r="H1119" s="1">
        <v>45213</v>
      </c>
      <c r="I1119">
        <v>594.18930347644198</v>
      </c>
      <c r="J1119">
        <f t="shared" si="102"/>
        <v>1</v>
      </c>
      <c r="K1119" t="str">
        <f>VLOOKUP(B1119,Raw_Suppliers!$A$2:$G$101,2,FALSE)</f>
        <v>Ultra Fusion Corp</v>
      </c>
      <c r="L1119" t="str">
        <f>VLOOKUP(B1119,Raw_Suppliers!$A$2:$G$101,3,FALSE)</f>
        <v>Canada</v>
      </c>
      <c r="M1119" t="str">
        <f>VLOOKUP(B1119,Raw_Suppliers!$A$2:$G$101,4,FALSE)</f>
        <v>South</v>
      </c>
      <c r="N1119" t="str">
        <f>VLOOKUP(B1119,Raw_Suppliers!$A$2:$G$101,6,FALSE)</f>
        <v>None</v>
      </c>
      <c r="O1119">
        <f>VLOOKUP(B1119,Raw_Suppliers!$A$2:$G$101,7,FALSE)</f>
        <v>1</v>
      </c>
      <c r="P1119" t="str">
        <f t="shared" si="103"/>
        <v>Yes</v>
      </c>
      <c r="Q1119">
        <f t="shared" si="104"/>
        <v>0</v>
      </c>
      <c r="R1119" t="str">
        <f t="shared" si="105"/>
        <v>Late</v>
      </c>
      <c r="S1119">
        <f t="shared" si="106"/>
        <v>2023</v>
      </c>
      <c r="T1119">
        <f t="shared" si="107"/>
        <v>10</v>
      </c>
    </row>
    <row r="1120" spans="1:20" x14ac:dyDescent="0.25">
      <c r="A1120" t="s">
        <v>1427</v>
      </c>
      <c r="B1120" t="s">
        <v>207</v>
      </c>
      <c r="C1120" t="s">
        <v>308</v>
      </c>
      <c r="D1120" s="1">
        <v>44977</v>
      </c>
      <c r="E1120">
        <v>13</v>
      </c>
      <c r="F1120">
        <v>72.864217547825405</v>
      </c>
      <c r="G1120" s="1">
        <v>44989</v>
      </c>
      <c r="H1120" s="1">
        <v>44990</v>
      </c>
      <c r="I1120">
        <v>947.23482812173097</v>
      </c>
      <c r="J1120">
        <f t="shared" si="102"/>
        <v>1</v>
      </c>
      <c r="K1120" t="str">
        <f>VLOOKUP(B1120,Raw_Suppliers!$A$2:$G$101,2,FALSE)</f>
        <v>Nova Alpha Ltd</v>
      </c>
      <c r="L1120" t="str">
        <f>VLOOKUP(B1120,Raw_Suppliers!$A$2:$G$101,3,FALSE)</f>
        <v>India</v>
      </c>
      <c r="M1120" t="str">
        <f>VLOOKUP(B1120,Raw_Suppliers!$A$2:$G$101,4,FALSE)</f>
        <v>East</v>
      </c>
      <c r="N1120" t="str">
        <f>VLOOKUP(B1120,Raw_Suppliers!$A$2:$G$101,6,FALSE)</f>
        <v>ISO 9001</v>
      </c>
      <c r="O1120">
        <f>VLOOKUP(B1120,Raw_Suppliers!$A$2:$G$101,7,FALSE)</f>
        <v>0</v>
      </c>
      <c r="P1120" t="str">
        <f t="shared" si="103"/>
        <v>No</v>
      </c>
      <c r="Q1120">
        <f t="shared" si="104"/>
        <v>0</v>
      </c>
      <c r="R1120" t="str">
        <f t="shared" si="105"/>
        <v>Late</v>
      </c>
      <c r="S1120">
        <f t="shared" si="106"/>
        <v>2023</v>
      </c>
      <c r="T1120">
        <f t="shared" si="107"/>
        <v>2</v>
      </c>
    </row>
    <row r="1121" spans="1:20" x14ac:dyDescent="0.25">
      <c r="A1121" t="s">
        <v>1428</v>
      </c>
      <c r="B1121" t="s">
        <v>207</v>
      </c>
      <c r="C1121" t="s">
        <v>600</v>
      </c>
      <c r="D1121" s="1">
        <v>45314</v>
      </c>
      <c r="E1121">
        <v>9</v>
      </c>
      <c r="F1121">
        <v>40.036594753293699</v>
      </c>
      <c r="G1121" s="1">
        <v>45326</v>
      </c>
      <c r="H1121" s="1">
        <v>45328</v>
      </c>
      <c r="I1121">
        <v>360.32935277964299</v>
      </c>
      <c r="J1121">
        <f t="shared" si="102"/>
        <v>2</v>
      </c>
      <c r="K1121" t="str">
        <f>VLOOKUP(B1121,Raw_Suppliers!$A$2:$G$101,2,FALSE)</f>
        <v>Nova Alpha Ltd</v>
      </c>
      <c r="L1121" t="str">
        <f>VLOOKUP(B1121,Raw_Suppliers!$A$2:$G$101,3,FALSE)</f>
        <v>India</v>
      </c>
      <c r="M1121" t="str">
        <f>VLOOKUP(B1121,Raw_Suppliers!$A$2:$G$101,4,FALSE)</f>
        <v>East</v>
      </c>
      <c r="N1121" t="str">
        <f>VLOOKUP(B1121,Raw_Suppliers!$A$2:$G$101,6,FALSE)</f>
        <v>ISO 9001</v>
      </c>
      <c r="O1121">
        <f>VLOOKUP(B1121,Raw_Suppliers!$A$2:$G$101,7,FALSE)</f>
        <v>0</v>
      </c>
      <c r="P1121" t="str">
        <f t="shared" si="103"/>
        <v>No</v>
      </c>
      <c r="Q1121">
        <f t="shared" si="104"/>
        <v>0</v>
      </c>
      <c r="R1121" t="str">
        <f t="shared" si="105"/>
        <v>Late</v>
      </c>
      <c r="S1121">
        <f t="shared" si="106"/>
        <v>2024</v>
      </c>
      <c r="T1121">
        <f t="shared" si="107"/>
        <v>1</v>
      </c>
    </row>
    <row r="1122" spans="1:20" x14ac:dyDescent="0.25">
      <c r="A1122" t="s">
        <v>1429</v>
      </c>
      <c r="B1122" t="s">
        <v>46</v>
      </c>
      <c r="C1122" t="s">
        <v>353</v>
      </c>
      <c r="D1122" s="1">
        <v>44714</v>
      </c>
      <c r="E1122">
        <v>9</v>
      </c>
      <c r="F1122">
        <v>51.561320764280303</v>
      </c>
      <c r="G1122" s="1">
        <v>44735</v>
      </c>
      <c r="H1122" s="1">
        <v>44736</v>
      </c>
      <c r="I1122">
        <v>464.05188687852302</v>
      </c>
      <c r="J1122">
        <f t="shared" si="102"/>
        <v>1</v>
      </c>
      <c r="K1122" t="str">
        <f>VLOOKUP(B1122,Raw_Suppliers!$A$2:$G$101,2,FALSE)</f>
        <v>Prime Prime Inc</v>
      </c>
      <c r="L1122" t="str">
        <f>VLOOKUP(B1122,Raw_Suppliers!$A$2:$G$101,3,FALSE)</f>
        <v>UK</v>
      </c>
      <c r="M1122" t="str">
        <f>VLOOKUP(B1122,Raw_Suppliers!$A$2:$G$101,4,FALSE)</f>
        <v>South</v>
      </c>
      <c r="N1122" t="str">
        <f>VLOOKUP(B1122,Raw_Suppliers!$A$2:$G$101,6,FALSE)</f>
        <v>None</v>
      </c>
      <c r="O1122">
        <f>VLOOKUP(B1122,Raw_Suppliers!$A$2:$G$101,7,FALSE)</f>
        <v>1</v>
      </c>
      <c r="P1122" t="str">
        <f t="shared" si="103"/>
        <v>Yes</v>
      </c>
      <c r="Q1122">
        <f t="shared" si="104"/>
        <v>0</v>
      </c>
      <c r="R1122" t="str">
        <f t="shared" si="105"/>
        <v>Late</v>
      </c>
      <c r="S1122">
        <f t="shared" si="106"/>
        <v>2022</v>
      </c>
      <c r="T1122">
        <f t="shared" si="107"/>
        <v>6</v>
      </c>
    </row>
    <row r="1123" spans="1:20" x14ac:dyDescent="0.25">
      <c r="A1123" t="s">
        <v>1430</v>
      </c>
      <c r="B1123" t="s">
        <v>326</v>
      </c>
      <c r="C1123" t="s">
        <v>208</v>
      </c>
      <c r="D1123" s="1">
        <v>44458</v>
      </c>
      <c r="E1123">
        <v>9</v>
      </c>
      <c r="F1123">
        <v>6.4424196280159602</v>
      </c>
      <c r="G1123" s="1">
        <v>44482</v>
      </c>
      <c r="H1123" s="1">
        <v>44487</v>
      </c>
      <c r="I1123">
        <v>57.981776652143601</v>
      </c>
      <c r="J1123">
        <f t="shared" si="102"/>
        <v>5</v>
      </c>
      <c r="K1123" t="str">
        <f>VLOOKUP(B1123,Raw_Suppliers!$A$2:$G$101,2,FALSE)</f>
        <v>Ultra Fusion Corp</v>
      </c>
      <c r="L1123" t="str">
        <f>VLOOKUP(B1123,Raw_Suppliers!$A$2:$G$101,3,FALSE)</f>
        <v>Canada</v>
      </c>
      <c r="M1123" t="str">
        <f>VLOOKUP(B1123,Raw_Suppliers!$A$2:$G$101,4,FALSE)</f>
        <v>South</v>
      </c>
      <c r="N1123" t="str">
        <f>VLOOKUP(B1123,Raw_Suppliers!$A$2:$G$101,6,FALSE)</f>
        <v>None</v>
      </c>
      <c r="O1123">
        <f>VLOOKUP(B1123,Raw_Suppliers!$A$2:$G$101,7,FALSE)</f>
        <v>1</v>
      </c>
      <c r="P1123" t="str">
        <f t="shared" si="103"/>
        <v>Yes</v>
      </c>
      <c r="Q1123">
        <f t="shared" si="104"/>
        <v>0</v>
      </c>
      <c r="R1123" t="str">
        <f t="shared" si="105"/>
        <v>Late</v>
      </c>
      <c r="S1123">
        <f t="shared" si="106"/>
        <v>2021</v>
      </c>
      <c r="T1123">
        <f t="shared" si="107"/>
        <v>9</v>
      </c>
    </row>
    <row r="1124" spans="1:20" x14ac:dyDescent="0.25">
      <c r="A1124" t="s">
        <v>1431</v>
      </c>
      <c r="B1124" t="s">
        <v>91</v>
      </c>
      <c r="C1124" t="s">
        <v>408</v>
      </c>
      <c r="D1124" s="1">
        <v>45117</v>
      </c>
      <c r="E1124">
        <v>10</v>
      </c>
      <c r="F1124">
        <v>14.9991753798893</v>
      </c>
      <c r="G1124" s="1">
        <v>45141</v>
      </c>
      <c r="H1124" s="1">
        <v>45143</v>
      </c>
      <c r="I1124">
        <v>149.991753798893</v>
      </c>
      <c r="J1124">
        <f t="shared" si="102"/>
        <v>2</v>
      </c>
      <c r="K1124" t="str">
        <f>VLOOKUP(B1124,Raw_Suppliers!$A$2:$G$101,2,FALSE)</f>
        <v>Apex Prime Ltd</v>
      </c>
      <c r="L1124" t="str">
        <f>VLOOKUP(B1124,Raw_Suppliers!$A$2:$G$101,3,FALSE)</f>
        <v>India</v>
      </c>
      <c r="M1124" t="str">
        <f>VLOOKUP(B1124,Raw_Suppliers!$A$2:$G$101,4,FALSE)</f>
        <v>South</v>
      </c>
      <c r="N1124" t="str">
        <f>VLOOKUP(B1124,Raw_Suppliers!$A$2:$G$101,6,FALSE)</f>
        <v>ISO 9001</v>
      </c>
      <c r="O1124">
        <f>VLOOKUP(B1124,Raw_Suppliers!$A$2:$G$101,7,FALSE)</f>
        <v>0</v>
      </c>
      <c r="P1124" t="str">
        <f t="shared" si="103"/>
        <v>No</v>
      </c>
      <c r="Q1124">
        <f t="shared" si="104"/>
        <v>0</v>
      </c>
      <c r="R1124" t="str">
        <f t="shared" si="105"/>
        <v>Late</v>
      </c>
      <c r="S1124">
        <f t="shared" si="106"/>
        <v>2023</v>
      </c>
      <c r="T1124">
        <f t="shared" si="107"/>
        <v>7</v>
      </c>
    </row>
    <row r="1125" spans="1:20" x14ac:dyDescent="0.25">
      <c r="A1125" t="s">
        <v>1432</v>
      </c>
      <c r="B1125" t="s">
        <v>88</v>
      </c>
      <c r="C1125" t="s">
        <v>763</v>
      </c>
      <c r="D1125" s="1">
        <v>45304</v>
      </c>
      <c r="E1125">
        <v>9</v>
      </c>
      <c r="F1125">
        <v>53.379143044095798</v>
      </c>
      <c r="G1125" s="1">
        <v>45328</v>
      </c>
      <c r="H1125" s="1">
        <v>45325</v>
      </c>
      <c r="I1125">
        <v>480.41228739686198</v>
      </c>
      <c r="J1125">
        <f t="shared" si="102"/>
        <v>-3</v>
      </c>
      <c r="K1125" t="str">
        <f>VLOOKUP(B1125,Raw_Suppliers!$A$2:$G$101,2,FALSE)</f>
        <v>Eco Nano GmbH</v>
      </c>
      <c r="L1125" t="str">
        <f>VLOOKUP(B1125,Raw_Suppliers!$A$2:$G$101,3,FALSE)</f>
        <v>Denmark</v>
      </c>
      <c r="M1125" t="str">
        <f>VLOOKUP(B1125,Raw_Suppliers!$A$2:$G$101,4,FALSE)</f>
        <v>Central</v>
      </c>
      <c r="N1125" t="str">
        <f>VLOOKUP(B1125,Raw_Suppliers!$A$2:$G$101,6,FALSE)</f>
        <v>ISO 9001</v>
      </c>
      <c r="O1125">
        <f>VLOOKUP(B1125,Raw_Suppliers!$A$2:$G$101,7,FALSE)</f>
        <v>1</v>
      </c>
      <c r="P1125" t="str">
        <f t="shared" si="103"/>
        <v>Yes</v>
      </c>
      <c r="Q1125">
        <f t="shared" si="104"/>
        <v>1</v>
      </c>
      <c r="R1125" t="str">
        <f t="shared" si="105"/>
        <v>On Time</v>
      </c>
      <c r="S1125">
        <f t="shared" si="106"/>
        <v>2024</v>
      </c>
      <c r="T1125">
        <f t="shared" si="107"/>
        <v>1</v>
      </c>
    </row>
    <row r="1126" spans="1:20" x14ac:dyDescent="0.25">
      <c r="A1126" t="s">
        <v>1433</v>
      </c>
      <c r="B1126" t="s">
        <v>350</v>
      </c>
      <c r="C1126" t="s">
        <v>748</v>
      </c>
      <c r="D1126" s="1">
        <v>45213</v>
      </c>
      <c r="E1126">
        <v>8</v>
      </c>
      <c r="F1126">
        <v>35.145875889241303</v>
      </c>
      <c r="G1126" s="1">
        <v>45227</v>
      </c>
      <c r="H1126" s="1">
        <v>45224</v>
      </c>
      <c r="I1126">
        <v>281.16700711393003</v>
      </c>
      <c r="J1126">
        <f t="shared" si="102"/>
        <v>-3</v>
      </c>
      <c r="K1126" t="str">
        <f>VLOOKUP(B1126,Raw_Suppliers!$A$2:$G$101,2,FALSE)</f>
        <v>Prime Gamma GmbH</v>
      </c>
      <c r="L1126" t="str">
        <f>VLOOKUP(B1126,Raw_Suppliers!$A$2:$G$101,3,FALSE)</f>
        <v>Denmark</v>
      </c>
      <c r="M1126" t="str">
        <f>VLOOKUP(B1126,Raw_Suppliers!$A$2:$G$101,4,FALSE)</f>
        <v>West</v>
      </c>
      <c r="N1126" t="str">
        <f>VLOOKUP(B1126,Raw_Suppliers!$A$2:$G$101,6,FALSE)</f>
        <v>ISO 9001</v>
      </c>
      <c r="O1126">
        <f>VLOOKUP(B1126,Raw_Suppliers!$A$2:$G$101,7,FALSE)</f>
        <v>0</v>
      </c>
      <c r="P1126" t="str">
        <f t="shared" si="103"/>
        <v>No</v>
      </c>
      <c r="Q1126">
        <f t="shared" si="104"/>
        <v>1</v>
      </c>
      <c r="R1126" t="str">
        <f t="shared" si="105"/>
        <v>On Time</v>
      </c>
      <c r="S1126">
        <f t="shared" si="106"/>
        <v>2023</v>
      </c>
      <c r="T1126">
        <f t="shared" si="107"/>
        <v>10</v>
      </c>
    </row>
    <row r="1127" spans="1:20" x14ac:dyDescent="0.25">
      <c r="A1127" t="s">
        <v>1434</v>
      </c>
      <c r="B1127" t="s">
        <v>157</v>
      </c>
      <c r="C1127" t="s">
        <v>100</v>
      </c>
      <c r="D1127" s="1">
        <v>45181</v>
      </c>
      <c r="E1127">
        <v>13</v>
      </c>
      <c r="F1127">
        <v>62.088478374764797</v>
      </c>
      <c r="G1127" s="1">
        <v>45194</v>
      </c>
      <c r="H1127" s="1">
        <v>45199</v>
      </c>
      <c r="I1127">
        <v>807.150218871942</v>
      </c>
      <c r="J1127">
        <f t="shared" si="102"/>
        <v>5</v>
      </c>
      <c r="K1127" t="str">
        <f>VLOOKUP(B1127,Raw_Suppliers!$A$2:$G$101,2,FALSE)</f>
        <v>Pioneer Omega Ltd</v>
      </c>
      <c r="L1127" t="str">
        <f>VLOOKUP(B1127,Raw_Suppliers!$A$2:$G$101,3,FALSE)</f>
        <v>Brazil</v>
      </c>
      <c r="M1127" t="str">
        <f>VLOOKUP(B1127,Raw_Suppliers!$A$2:$G$101,4,FALSE)</f>
        <v>East</v>
      </c>
      <c r="N1127" t="str">
        <f>VLOOKUP(B1127,Raw_Suppliers!$A$2:$G$101,6,FALSE)</f>
        <v>None</v>
      </c>
      <c r="O1127">
        <f>VLOOKUP(B1127,Raw_Suppliers!$A$2:$G$101,7,FALSE)</f>
        <v>0</v>
      </c>
      <c r="P1127" t="str">
        <f t="shared" si="103"/>
        <v>No</v>
      </c>
      <c r="Q1127">
        <f t="shared" si="104"/>
        <v>0</v>
      </c>
      <c r="R1127" t="str">
        <f t="shared" si="105"/>
        <v>Late</v>
      </c>
      <c r="S1127">
        <f t="shared" si="106"/>
        <v>2023</v>
      </c>
      <c r="T1127">
        <f t="shared" si="107"/>
        <v>9</v>
      </c>
    </row>
    <row r="1128" spans="1:20" x14ac:dyDescent="0.25">
      <c r="A1128" t="s">
        <v>1435</v>
      </c>
      <c r="B1128" t="s">
        <v>43</v>
      </c>
      <c r="C1128" t="s">
        <v>47</v>
      </c>
      <c r="D1128" s="1">
        <v>45278</v>
      </c>
      <c r="E1128">
        <v>11</v>
      </c>
      <c r="F1128">
        <v>20.440397431864401</v>
      </c>
      <c r="G1128" s="1">
        <v>45289</v>
      </c>
      <c r="H1128" s="1">
        <v>45291</v>
      </c>
      <c r="I1128">
        <v>224.844371750508</v>
      </c>
      <c r="J1128">
        <f t="shared" si="102"/>
        <v>2</v>
      </c>
      <c r="K1128" t="str">
        <f>VLOOKUP(B1128,Raw_Suppliers!$A$2:$G$101,2,FALSE)</f>
        <v>Alpha Ultra Corp</v>
      </c>
      <c r="L1128" t="str">
        <f>VLOOKUP(B1128,Raw_Suppliers!$A$2:$G$101,3,FALSE)</f>
        <v>USA</v>
      </c>
      <c r="M1128" t="str">
        <f>VLOOKUP(B1128,Raw_Suppliers!$A$2:$G$101,4,FALSE)</f>
        <v>Central</v>
      </c>
      <c r="N1128" t="str">
        <f>VLOOKUP(B1128,Raw_Suppliers!$A$2:$G$101,6,FALSE)</f>
        <v>ISO 9001</v>
      </c>
      <c r="O1128">
        <f>VLOOKUP(B1128,Raw_Suppliers!$A$2:$G$101,7,FALSE)</f>
        <v>1</v>
      </c>
      <c r="P1128" t="str">
        <f t="shared" si="103"/>
        <v>Yes</v>
      </c>
      <c r="Q1128">
        <f t="shared" si="104"/>
        <v>0</v>
      </c>
      <c r="R1128" t="str">
        <f t="shared" si="105"/>
        <v>Late</v>
      </c>
      <c r="S1128">
        <f t="shared" si="106"/>
        <v>2023</v>
      </c>
      <c r="T1128">
        <f t="shared" si="107"/>
        <v>12</v>
      </c>
    </row>
    <row r="1129" spans="1:20" x14ac:dyDescent="0.25">
      <c r="A1129" t="s">
        <v>1436</v>
      </c>
      <c r="B1129" t="s">
        <v>22</v>
      </c>
      <c r="C1129" t="s">
        <v>571</v>
      </c>
      <c r="D1129" s="1">
        <v>45346</v>
      </c>
      <c r="E1129">
        <v>8</v>
      </c>
      <c r="F1129">
        <v>40.6457541321791</v>
      </c>
      <c r="G1129" s="1">
        <v>45359</v>
      </c>
      <c r="H1129" s="1">
        <v>45358</v>
      </c>
      <c r="I1129">
        <v>325.16603305743303</v>
      </c>
      <c r="J1129">
        <f t="shared" si="102"/>
        <v>-1</v>
      </c>
      <c r="K1129" t="str">
        <f>VLOOKUP(B1129,Raw_Suppliers!$A$2:$G$101,2,FALSE)</f>
        <v>Delta Gamma Corp</v>
      </c>
      <c r="L1129" t="str">
        <f>VLOOKUP(B1129,Raw_Suppliers!$A$2:$G$101,3,FALSE)</f>
        <v>Denmark</v>
      </c>
      <c r="M1129" t="str">
        <f>VLOOKUP(B1129,Raw_Suppliers!$A$2:$G$101,4,FALSE)</f>
        <v>West</v>
      </c>
      <c r="N1129" t="str">
        <f>VLOOKUP(B1129,Raw_Suppliers!$A$2:$G$101,6,FALSE)</f>
        <v>ISO 45001</v>
      </c>
      <c r="O1129">
        <f>VLOOKUP(B1129,Raw_Suppliers!$A$2:$G$101,7,FALSE)</f>
        <v>1</v>
      </c>
      <c r="P1129" t="str">
        <f t="shared" si="103"/>
        <v>Yes</v>
      </c>
      <c r="Q1129">
        <f t="shared" si="104"/>
        <v>1</v>
      </c>
      <c r="R1129" t="str">
        <f t="shared" si="105"/>
        <v>On Time</v>
      </c>
      <c r="S1129">
        <f t="shared" si="106"/>
        <v>2024</v>
      </c>
      <c r="T1129">
        <f t="shared" si="107"/>
        <v>2</v>
      </c>
    </row>
    <row r="1130" spans="1:20" x14ac:dyDescent="0.25">
      <c r="A1130" t="s">
        <v>1437</v>
      </c>
      <c r="B1130" t="s">
        <v>67</v>
      </c>
      <c r="C1130" t="s">
        <v>380</v>
      </c>
      <c r="D1130" s="1">
        <v>44636</v>
      </c>
      <c r="E1130">
        <v>9</v>
      </c>
      <c r="F1130">
        <v>53.149913125887302</v>
      </c>
      <c r="G1130" s="1">
        <v>44657</v>
      </c>
      <c r="H1130" s="1">
        <v>44658</v>
      </c>
      <c r="I1130">
        <v>478.34921813298502</v>
      </c>
      <c r="J1130">
        <f t="shared" si="102"/>
        <v>1</v>
      </c>
      <c r="K1130" t="str">
        <f>VLOOKUP(B1130,Raw_Suppliers!$A$2:$G$101,2,FALSE)</f>
        <v>Nova Eco LLC</v>
      </c>
      <c r="L1130" t="str">
        <f>VLOOKUP(B1130,Raw_Suppliers!$A$2:$G$101,3,FALSE)</f>
        <v>Germany</v>
      </c>
      <c r="M1130" t="str">
        <f>VLOOKUP(B1130,Raw_Suppliers!$A$2:$G$101,4,FALSE)</f>
        <v>Central</v>
      </c>
      <c r="N1130" t="str">
        <f>VLOOKUP(B1130,Raw_Suppliers!$A$2:$G$101,6,FALSE)</f>
        <v>ISO 9001</v>
      </c>
      <c r="O1130">
        <f>VLOOKUP(B1130,Raw_Suppliers!$A$2:$G$101,7,FALSE)</f>
        <v>1</v>
      </c>
      <c r="P1130" t="str">
        <f t="shared" si="103"/>
        <v>Yes</v>
      </c>
      <c r="Q1130">
        <f t="shared" si="104"/>
        <v>0</v>
      </c>
      <c r="R1130" t="str">
        <f t="shared" si="105"/>
        <v>Late</v>
      </c>
      <c r="S1130">
        <f t="shared" si="106"/>
        <v>2022</v>
      </c>
      <c r="T1130">
        <f t="shared" si="107"/>
        <v>3</v>
      </c>
    </row>
    <row r="1131" spans="1:20" x14ac:dyDescent="0.25">
      <c r="A1131" t="s">
        <v>1438</v>
      </c>
      <c r="B1131" t="s">
        <v>143</v>
      </c>
      <c r="C1131" t="s">
        <v>238</v>
      </c>
      <c r="D1131" s="1">
        <v>45369</v>
      </c>
      <c r="E1131">
        <v>10</v>
      </c>
      <c r="F1131">
        <v>47.921551250889102</v>
      </c>
      <c r="G1131" s="1">
        <v>45391</v>
      </c>
      <c r="H1131" s="1">
        <v>45391</v>
      </c>
      <c r="I1131">
        <v>479.21551250889098</v>
      </c>
      <c r="J1131">
        <f t="shared" si="102"/>
        <v>0</v>
      </c>
      <c r="K1131" t="str">
        <f>VLOOKUP(B1131,Raw_Suppliers!$A$2:$G$101,2,FALSE)</f>
        <v>Prime Gamma Inc</v>
      </c>
      <c r="L1131" t="str">
        <f>VLOOKUP(B1131,Raw_Suppliers!$A$2:$G$101,3,FALSE)</f>
        <v>China</v>
      </c>
      <c r="M1131" t="str">
        <f>VLOOKUP(B1131,Raw_Suppliers!$A$2:$G$101,4,FALSE)</f>
        <v>East</v>
      </c>
      <c r="N1131" t="str">
        <f>VLOOKUP(B1131,Raw_Suppliers!$A$2:$G$101,6,FALSE)</f>
        <v>ISO 14001</v>
      </c>
      <c r="O1131">
        <f>VLOOKUP(B1131,Raw_Suppliers!$A$2:$G$101,7,FALSE)</f>
        <v>0</v>
      </c>
      <c r="P1131" t="str">
        <f t="shared" si="103"/>
        <v>No</v>
      </c>
      <c r="Q1131">
        <f t="shared" si="104"/>
        <v>1</v>
      </c>
      <c r="R1131" t="str">
        <f t="shared" si="105"/>
        <v>On Time</v>
      </c>
      <c r="S1131">
        <f t="shared" si="106"/>
        <v>2024</v>
      </c>
      <c r="T1131">
        <f t="shared" si="107"/>
        <v>3</v>
      </c>
    </row>
    <row r="1132" spans="1:20" x14ac:dyDescent="0.25">
      <c r="A1132" t="s">
        <v>1439</v>
      </c>
      <c r="B1132" t="s">
        <v>49</v>
      </c>
      <c r="C1132" t="s">
        <v>413</v>
      </c>
      <c r="D1132" s="1">
        <v>44254</v>
      </c>
      <c r="E1132">
        <v>14</v>
      </c>
      <c r="F1132">
        <v>29.887210478360601</v>
      </c>
      <c r="G1132" s="1">
        <v>44269</v>
      </c>
      <c r="H1132" s="1">
        <v>44267</v>
      </c>
      <c r="I1132">
        <v>418.42094669704898</v>
      </c>
      <c r="J1132">
        <f t="shared" si="102"/>
        <v>-2</v>
      </c>
      <c r="K1132" t="str">
        <f>VLOOKUP(B1132,Raw_Suppliers!$A$2:$G$101,2,FALSE)</f>
        <v>Prime Prime Corp</v>
      </c>
      <c r="L1132" t="str">
        <f>VLOOKUP(B1132,Raw_Suppliers!$A$2:$G$101,3,FALSE)</f>
        <v>China</v>
      </c>
      <c r="M1132" t="str">
        <f>VLOOKUP(B1132,Raw_Suppliers!$A$2:$G$101,4,FALSE)</f>
        <v>North</v>
      </c>
      <c r="N1132" t="str">
        <f>VLOOKUP(B1132,Raw_Suppliers!$A$2:$G$101,6,FALSE)</f>
        <v>ISO 45001</v>
      </c>
      <c r="O1132">
        <f>VLOOKUP(B1132,Raw_Suppliers!$A$2:$G$101,7,FALSE)</f>
        <v>0</v>
      </c>
      <c r="P1132" t="str">
        <f t="shared" si="103"/>
        <v>No</v>
      </c>
      <c r="Q1132">
        <f t="shared" si="104"/>
        <v>1</v>
      </c>
      <c r="R1132" t="str">
        <f t="shared" si="105"/>
        <v>On Time</v>
      </c>
      <c r="S1132">
        <f t="shared" si="106"/>
        <v>2021</v>
      </c>
      <c r="T1132">
        <f t="shared" si="107"/>
        <v>2</v>
      </c>
    </row>
    <row r="1133" spans="1:20" x14ac:dyDescent="0.25">
      <c r="A1133" t="s">
        <v>1440</v>
      </c>
      <c r="B1133" t="s">
        <v>34</v>
      </c>
      <c r="C1133" t="s">
        <v>748</v>
      </c>
      <c r="D1133" s="1">
        <v>44329</v>
      </c>
      <c r="E1133">
        <v>11</v>
      </c>
      <c r="F1133">
        <v>25.356941314767401</v>
      </c>
      <c r="G1133" s="1">
        <v>44351</v>
      </c>
      <c r="H1133" s="1">
        <v>44348</v>
      </c>
      <c r="I1133">
        <v>278.926354462441</v>
      </c>
      <c r="J1133">
        <f t="shared" si="102"/>
        <v>-3</v>
      </c>
      <c r="K1133" t="str">
        <f>VLOOKUP(B1133,Raw_Suppliers!$A$2:$G$101,2,FALSE)</f>
        <v>Omega Alpha Corp</v>
      </c>
      <c r="L1133" t="str">
        <f>VLOOKUP(B1133,Raw_Suppliers!$A$2:$G$101,3,FALSE)</f>
        <v>UK</v>
      </c>
      <c r="M1133" t="str">
        <f>VLOOKUP(B1133,Raw_Suppliers!$A$2:$G$101,4,FALSE)</f>
        <v>West</v>
      </c>
      <c r="N1133" t="str">
        <f>VLOOKUP(B1133,Raw_Suppliers!$A$2:$G$101,6,FALSE)</f>
        <v>ISO 45001</v>
      </c>
      <c r="O1133">
        <f>VLOOKUP(B1133,Raw_Suppliers!$A$2:$G$101,7,FALSE)</f>
        <v>0</v>
      </c>
      <c r="P1133" t="str">
        <f t="shared" si="103"/>
        <v>No</v>
      </c>
      <c r="Q1133">
        <f t="shared" si="104"/>
        <v>1</v>
      </c>
      <c r="R1133" t="str">
        <f t="shared" si="105"/>
        <v>On Time</v>
      </c>
      <c r="S1133">
        <f t="shared" si="106"/>
        <v>2021</v>
      </c>
      <c r="T1133">
        <f t="shared" si="107"/>
        <v>5</v>
      </c>
    </row>
    <row r="1134" spans="1:20" x14ac:dyDescent="0.25">
      <c r="A1134" t="s">
        <v>1441</v>
      </c>
      <c r="B1134" t="s">
        <v>379</v>
      </c>
      <c r="C1134" t="s">
        <v>276</v>
      </c>
      <c r="D1134" s="1">
        <v>45248</v>
      </c>
      <c r="E1134">
        <v>16</v>
      </c>
      <c r="F1134">
        <v>5.0950674267580496</v>
      </c>
      <c r="G1134" s="1">
        <v>45271</v>
      </c>
      <c r="H1134" s="1">
        <v>45272</v>
      </c>
      <c r="I1134">
        <v>81.521078828128793</v>
      </c>
      <c r="J1134">
        <f t="shared" si="102"/>
        <v>1</v>
      </c>
      <c r="K1134" t="str">
        <f>VLOOKUP(B1134,Raw_Suppliers!$A$2:$G$101,2,FALSE)</f>
        <v>Apex Fusion Ltd</v>
      </c>
      <c r="L1134" t="str">
        <f>VLOOKUP(B1134,Raw_Suppliers!$A$2:$G$101,3,FALSE)</f>
        <v>USA</v>
      </c>
      <c r="M1134" t="str">
        <f>VLOOKUP(B1134,Raw_Suppliers!$A$2:$G$101,4,FALSE)</f>
        <v>East</v>
      </c>
      <c r="N1134" t="str">
        <f>VLOOKUP(B1134,Raw_Suppliers!$A$2:$G$101,6,FALSE)</f>
        <v>ISO 14001</v>
      </c>
      <c r="O1134">
        <f>VLOOKUP(B1134,Raw_Suppliers!$A$2:$G$101,7,FALSE)</f>
        <v>1</v>
      </c>
      <c r="P1134" t="str">
        <f t="shared" si="103"/>
        <v>Yes</v>
      </c>
      <c r="Q1134">
        <f t="shared" si="104"/>
        <v>0</v>
      </c>
      <c r="R1134" t="str">
        <f t="shared" si="105"/>
        <v>Late</v>
      </c>
      <c r="S1134">
        <f t="shared" si="106"/>
        <v>2023</v>
      </c>
      <c r="T1134">
        <f t="shared" si="107"/>
        <v>11</v>
      </c>
    </row>
    <row r="1135" spans="1:20" x14ac:dyDescent="0.25">
      <c r="A1135" t="s">
        <v>1442</v>
      </c>
      <c r="B1135" t="s">
        <v>143</v>
      </c>
      <c r="C1135" t="s">
        <v>77</v>
      </c>
      <c r="D1135" s="1">
        <v>44578</v>
      </c>
      <c r="E1135">
        <v>10</v>
      </c>
      <c r="F1135">
        <v>34.628588656280101</v>
      </c>
      <c r="G1135" s="1">
        <v>44596</v>
      </c>
      <c r="H1135" s="1">
        <v>44598</v>
      </c>
      <c r="I1135">
        <v>346.28588656280101</v>
      </c>
      <c r="J1135">
        <f t="shared" si="102"/>
        <v>2</v>
      </c>
      <c r="K1135" t="str">
        <f>VLOOKUP(B1135,Raw_Suppliers!$A$2:$G$101,2,FALSE)</f>
        <v>Prime Gamma Inc</v>
      </c>
      <c r="L1135" t="str">
        <f>VLOOKUP(B1135,Raw_Suppliers!$A$2:$G$101,3,FALSE)</f>
        <v>China</v>
      </c>
      <c r="M1135" t="str">
        <f>VLOOKUP(B1135,Raw_Suppliers!$A$2:$G$101,4,FALSE)</f>
        <v>East</v>
      </c>
      <c r="N1135" t="str">
        <f>VLOOKUP(B1135,Raw_Suppliers!$A$2:$G$101,6,FALSE)</f>
        <v>ISO 14001</v>
      </c>
      <c r="O1135">
        <f>VLOOKUP(B1135,Raw_Suppliers!$A$2:$G$101,7,FALSE)</f>
        <v>0</v>
      </c>
      <c r="P1135" t="str">
        <f t="shared" si="103"/>
        <v>No</v>
      </c>
      <c r="Q1135">
        <f t="shared" si="104"/>
        <v>0</v>
      </c>
      <c r="R1135" t="str">
        <f t="shared" si="105"/>
        <v>Late</v>
      </c>
      <c r="S1135">
        <f t="shared" si="106"/>
        <v>2022</v>
      </c>
      <c r="T1135">
        <f t="shared" si="107"/>
        <v>1</v>
      </c>
    </row>
    <row r="1136" spans="1:20" x14ac:dyDescent="0.25">
      <c r="A1136" t="s">
        <v>1443</v>
      </c>
      <c r="B1136" t="s">
        <v>324</v>
      </c>
      <c r="C1136" t="s">
        <v>214</v>
      </c>
      <c r="D1136" s="1">
        <v>44479</v>
      </c>
      <c r="E1136">
        <v>10</v>
      </c>
      <c r="F1136">
        <v>3.8478569823238802</v>
      </c>
      <c r="G1136" s="1">
        <v>44495</v>
      </c>
      <c r="H1136" s="1">
        <v>44496</v>
      </c>
      <c r="I1136">
        <v>38.4785698232388</v>
      </c>
      <c r="J1136">
        <f t="shared" si="102"/>
        <v>1</v>
      </c>
      <c r="K1136" t="str">
        <f>VLOOKUP(B1136,Raw_Suppliers!$A$2:$G$101,2,FALSE)</f>
        <v>Gamma Nano Corp</v>
      </c>
      <c r="L1136" t="str">
        <f>VLOOKUP(B1136,Raw_Suppliers!$A$2:$G$101,3,FALSE)</f>
        <v>Germany</v>
      </c>
      <c r="M1136" t="str">
        <f>VLOOKUP(B1136,Raw_Suppliers!$A$2:$G$101,4,FALSE)</f>
        <v>West</v>
      </c>
      <c r="N1136" t="str">
        <f>VLOOKUP(B1136,Raw_Suppliers!$A$2:$G$101,6,FALSE)</f>
        <v>ISO 9001</v>
      </c>
      <c r="O1136">
        <f>VLOOKUP(B1136,Raw_Suppliers!$A$2:$G$101,7,FALSE)</f>
        <v>0</v>
      </c>
      <c r="P1136" t="str">
        <f t="shared" si="103"/>
        <v>No</v>
      </c>
      <c r="Q1136">
        <f t="shared" si="104"/>
        <v>0</v>
      </c>
      <c r="R1136" t="str">
        <f t="shared" si="105"/>
        <v>Late</v>
      </c>
      <c r="S1136">
        <f t="shared" si="106"/>
        <v>2021</v>
      </c>
      <c r="T1136">
        <f t="shared" si="107"/>
        <v>10</v>
      </c>
    </row>
    <row r="1137" spans="1:20" x14ac:dyDescent="0.25">
      <c r="A1137" t="s">
        <v>1444</v>
      </c>
      <c r="B1137" t="s">
        <v>31</v>
      </c>
      <c r="C1137" t="s">
        <v>689</v>
      </c>
      <c r="D1137" s="1">
        <v>44641</v>
      </c>
      <c r="E1137">
        <v>9</v>
      </c>
      <c r="F1137">
        <v>23.5890046603466</v>
      </c>
      <c r="G1137" s="1">
        <v>44654</v>
      </c>
      <c r="H1137" s="1">
        <v>44659</v>
      </c>
      <c r="I1137">
        <v>212.301041943119</v>
      </c>
      <c r="J1137">
        <f t="shared" si="102"/>
        <v>5</v>
      </c>
      <c r="K1137" t="str">
        <f>VLOOKUP(B1137,Raw_Suppliers!$A$2:$G$101,2,FALSE)</f>
        <v>Nova Nano GmbH</v>
      </c>
      <c r="L1137" t="str">
        <f>VLOOKUP(B1137,Raw_Suppliers!$A$2:$G$101,3,FALSE)</f>
        <v>Denmark</v>
      </c>
      <c r="M1137" t="str">
        <f>VLOOKUP(B1137,Raw_Suppliers!$A$2:$G$101,4,FALSE)</f>
        <v>South</v>
      </c>
      <c r="N1137" t="str">
        <f>VLOOKUP(B1137,Raw_Suppliers!$A$2:$G$101,6,FALSE)</f>
        <v>ISO 14001</v>
      </c>
      <c r="O1137">
        <f>VLOOKUP(B1137,Raw_Suppliers!$A$2:$G$101,7,FALSE)</f>
        <v>1</v>
      </c>
      <c r="P1137" t="str">
        <f t="shared" si="103"/>
        <v>Yes</v>
      </c>
      <c r="Q1137">
        <f t="shared" si="104"/>
        <v>0</v>
      </c>
      <c r="R1137" t="str">
        <f t="shared" si="105"/>
        <v>Late</v>
      </c>
      <c r="S1137">
        <f t="shared" si="106"/>
        <v>2022</v>
      </c>
      <c r="T1137">
        <f t="shared" si="107"/>
        <v>3</v>
      </c>
    </row>
    <row r="1138" spans="1:20" x14ac:dyDescent="0.25">
      <c r="A1138" t="s">
        <v>1445</v>
      </c>
      <c r="B1138" t="s">
        <v>227</v>
      </c>
      <c r="C1138" t="s">
        <v>94</v>
      </c>
      <c r="D1138" s="1">
        <v>45212</v>
      </c>
      <c r="E1138">
        <v>7</v>
      </c>
      <c r="F1138">
        <v>71.043605938105003</v>
      </c>
      <c r="G1138" s="1">
        <v>45224</v>
      </c>
      <c r="H1138" s="1">
        <v>45228</v>
      </c>
      <c r="I1138">
        <v>497.30524156673499</v>
      </c>
      <c r="J1138">
        <f t="shared" si="102"/>
        <v>4</v>
      </c>
      <c r="K1138" t="str">
        <f>VLOOKUP(B1138,Raw_Suppliers!$A$2:$G$101,2,FALSE)</f>
        <v>Delta Prime Inc</v>
      </c>
      <c r="L1138" t="str">
        <f>VLOOKUP(B1138,Raw_Suppliers!$A$2:$G$101,3,FALSE)</f>
        <v>Denmark</v>
      </c>
      <c r="M1138" t="str">
        <f>VLOOKUP(B1138,Raw_Suppliers!$A$2:$G$101,4,FALSE)</f>
        <v>South</v>
      </c>
      <c r="N1138" t="str">
        <f>VLOOKUP(B1138,Raw_Suppliers!$A$2:$G$101,6,FALSE)</f>
        <v>ISO 14001</v>
      </c>
      <c r="O1138">
        <f>VLOOKUP(B1138,Raw_Suppliers!$A$2:$G$101,7,FALSE)</f>
        <v>0</v>
      </c>
      <c r="P1138" t="str">
        <f t="shared" si="103"/>
        <v>No</v>
      </c>
      <c r="Q1138">
        <f t="shared" si="104"/>
        <v>0</v>
      </c>
      <c r="R1138" t="str">
        <f t="shared" si="105"/>
        <v>Late</v>
      </c>
      <c r="S1138">
        <f t="shared" si="106"/>
        <v>2023</v>
      </c>
      <c r="T1138">
        <f t="shared" si="107"/>
        <v>10</v>
      </c>
    </row>
    <row r="1139" spans="1:20" x14ac:dyDescent="0.25">
      <c r="A1139" t="s">
        <v>1446</v>
      </c>
      <c r="B1139" t="s">
        <v>109</v>
      </c>
      <c r="C1139" t="s">
        <v>990</v>
      </c>
      <c r="D1139" s="1">
        <v>45223</v>
      </c>
      <c r="E1139">
        <v>15</v>
      </c>
      <c r="F1139">
        <v>3.0880389214510302</v>
      </c>
      <c r="G1139" s="1">
        <v>45241</v>
      </c>
      <c r="H1139" s="1">
        <v>45242</v>
      </c>
      <c r="I1139">
        <v>46.320583821765403</v>
      </c>
      <c r="J1139">
        <f t="shared" si="102"/>
        <v>1</v>
      </c>
      <c r="K1139" t="str">
        <f>VLOOKUP(B1139,Raw_Suppliers!$A$2:$G$101,2,FALSE)</f>
        <v>Nano Fusion GmbH</v>
      </c>
      <c r="L1139" t="str">
        <f>VLOOKUP(B1139,Raw_Suppliers!$A$2:$G$101,3,FALSE)</f>
        <v>Denmark</v>
      </c>
      <c r="M1139" t="str">
        <f>VLOOKUP(B1139,Raw_Suppliers!$A$2:$G$101,4,FALSE)</f>
        <v>North</v>
      </c>
      <c r="N1139" t="str">
        <f>VLOOKUP(B1139,Raw_Suppliers!$A$2:$G$101,6,FALSE)</f>
        <v>ISO 9001</v>
      </c>
      <c r="O1139">
        <f>VLOOKUP(B1139,Raw_Suppliers!$A$2:$G$101,7,FALSE)</f>
        <v>0</v>
      </c>
      <c r="P1139" t="str">
        <f t="shared" si="103"/>
        <v>No</v>
      </c>
      <c r="Q1139">
        <f t="shared" si="104"/>
        <v>0</v>
      </c>
      <c r="R1139" t="str">
        <f t="shared" si="105"/>
        <v>Late</v>
      </c>
      <c r="S1139">
        <f t="shared" si="106"/>
        <v>2023</v>
      </c>
      <c r="T1139">
        <f t="shared" si="107"/>
        <v>10</v>
      </c>
    </row>
    <row r="1140" spans="1:20" x14ac:dyDescent="0.25">
      <c r="A1140" t="s">
        <v>1447</v>
      </c>
      <c r="B1140" t="s">
        <v>186</v>
      </c>
      <c r="C1140" t="s">
        <v>11</v>
      </c>
      <c r="D1140" s="1">
        <v>44357</v>
      </c>
      <c r="E1140">
        <v>14</v>
      </c>
      <c r="F1140">
        <v>25.9547159537087</v>
      </c>
      <c r="G1140" s="1">
        <v>44378</v>
      </c>
      <c r="H1140" s="1">
        <v>44375</v>
      </c>
      <c r="I1140">
        <v>363.366023351921</v>
      </c>
      <c r="J1140">
        <f t="shared" si="102"/>
        <v>-3</v>
      </c>
      <c r="K1140" t="str">
        <f>VLOOKUP(B1140,Raw_Suppliers!$A$2:$G$101,2,FALSE)</f>
        <v>Omega Vertex Inc</v>
      </c>
      <c r="L1140" t="str">
        <f>VLOOKUP(B1140,Raw_Suppliers!$A$2:$G$101,3,FALSE)</f>
        <v>China</v>
      </c>
      <c r="M1140" t="str">
        <f>VLOOKUP(B1140,Raw_Suppliers!$A$2:$G$101,4,FALSE)</f>
        <v>West</v>
      </c>
      <c r="N1140" t="str">
        <f>VLOOKUP(B1140,Raw_Suppliers!$A$2:$G$101,6,FALSE)</f>
        <v>ISO 14001</v>
      </c>
      <c r="O1140">
        <f>VLOOKUP(B1140,Raw_Suppliers!$A$2:$G$101,7,FALSE)</f>
        <v>1</v>
      </c>
      <c r="P1140" t="str">
        <f t="shared" si="103"/>
        <v>Yes</v>
      </c>
      <c r="Q1140">
        <f t="shared" si="104"/>
        <v>1</v>
      </c>
      <c r="R1140" t="str">
        <f t="shared" si="105"/>
        <v>On Time</v>
      </c>
      <c r="S1140">
        <f t="shared" si="106"/>
        <v>2021</v>
      </c>
      <c r="T1140">
        <f t="shared" si="107"/>
        <v>6</v>
      </c>
    </row>
    <row r="1141" spans="1:20" x14ac:dyDescent="0.25">
      <c r="A1141" t="s">
        <v>1448</v>
      </c>
      <c r="B1141" t="s">
        <v>578</v>
      </c>
      <c r="C1141" t="s">
        <v>29</v>
      </c>
      <c r="D1141" s="1">
        <v>44821</v>
      </c>
      <c r="E1141">
        <v>15</v>
      </c>
      <c r="F1141">
        <v>38.4112742102513</v>
      </c>
      <c r="G1141" s="1">
        <v>44836</v>
      </c>
      <c r="H1141" s="1">
        <v>44833</v>
      </c>
      <c r="I1141">
        <v>576.16911315376899</v>
      </c>
      <c r="J1141">
        <f t="shared" si="102"/>
        <v>-3</v>
      </c>
      <c r="K1141" t="str">
        <f>VLOOKUP(B1141,Raw_Suppliers!$A$2:$G$101,2,FALSE)</f>
        <v>Beta Eco Ltd</v>
      </c>
      <c r="L1141" t="str">
        <f>VLOOKUP(B1141,Raw_Suppliers!$A$2:$G$101,3,FALSE)</f>
        <v>Canada</v>
      </c>
      <c r="M1141" t="str">
        <f>VLOOKUP(B1141,Raw_Suppliers!$A$2:$G$101,4,FALSE)</f>
        <v>East</v>
      </c>
      <c r="N1141" t="str">
        <f>VLOOKUP(B1141,Raw_Suppliers!$A$2:$G$101,6,FALSE)</f>
        <v>None</v>
      </c>
      <c r="O1141">
        <f>VLOOKUP(B1141,Raw_Suppliers!$A$2:$G$101,7,FALSE)</f>
        <v>0</v>
      </c>
      <c r="P1141" t="str">
        <f t="shared" si="103"/>
        <v>No</v>
      </c>
      <c r="Q1141">
        <f t="shared" si="104"/>
        <v>1</v>
      </c>
      <c r="R1141" t="str">
        <f t="shared" si="105"/>
        <v>On Time</v>
      </c>
      <c r="S1141">
        <f t="shared" si="106"/>
        <v>2022</v>
      </c>
      <c r="T1141">
        <f t="shared" si="107"/>
        <v>9</v>
      </c>
    </row>
    <row r="1142" spans="1:20" x14ac:dyDescent="0.25">
      <c r="A1142" t="s">
        <v>1449</v>
      </c>
      <c r="B1142" t="s">
        <v>79</v>
      </c>
      <c r="C1142" t="s">
        <v>41</v>
      </c>
      <c r="D1142" s="1">
        <v>44287</v>
      </c>
      <c r="E1142">
        <v>6</v>
      </c>
      <c r="F1142">
        <v>55.418365225126202</v>
      </c>
      <c r="G1142" s="1">
        <v>44309</v>
      </c>
      <c r="H1142" s="1">
        <v>44314</v>
      </c>
      <c r="I1142">
        <v>332.510191350757</v>
      </c>
      <c r="J1142">
        <f t="shared" si="102"/>
        <v>5</v>
      </c>
      <c r="K1142" t="str">
        <f>VLOOKUP(B1142,Raw_Suppliers!$A$2:$G$101,2,FALSE)</f>
        <v>Vertex Fusion Inc</v>
      </c>
      <c r="L1142" t="str">
        <f>VLOOKUP(B1142,Raw_Suppliers!$A$2:$G$101,3,FALSE)</f>
        <v>India</v>
      </c>
      <c r="M1142" t="str">
        <f>VLOOKUP(B1142,Raw_Suppliers!$A$2:$G$101,4,FALSE)</f>
        <v>Central</v>
      </c>
      <c r="N1142" t="str">
        <f>VLOOKUP(B1142,Raw_Suppliers!$A$2:$G$101,6,FALSE)</f>
        <v>ISO 9001</v>
      </c>
      <c r="O1142">
        <f>VLOOKUP(B1142,Raw_Suppliers!$A$2:$G$101,7,FALSE)</f>
        <v>0</v>
      </c>
      <c r="P1142" t="str">
        <f t="shared" si="103"/>
        <v>No</v>
      </c>
      <c r="Q1142">
        <f t="shared" si="104"/>
        <v>0</v>
      </c>
      <c r="R1142" t="str">
        <f t="shared" si="105"/>
        <v>Late</v>
      </c>
      <c r="S1142">
        <f t="shared" si="106"/>
        <v>2021</v>
      </c>
      <c r="T1142">
        <f t="shared" si="107"/>
        <v>4</v>
      </c>
    </row>
    <row r="1143" spans="1:20" x14ac:dyDescent="0.25">
      <c r="A1143" t="s">
        <v>1450</v>
      </c>
      <c r="B1143" t="s">
        <v>482</v>
      </c>
      <c r="C1143" t="s">
        <v>161</v>
      </c>
      <c r="D1143" s="1">
        <v>45008</v>
      </c>
      <c r="E1143">
        <v>7</v>
      </c>
      <c r="F1143">
        <v>38.1231309577622</v>
      </c>
      <c r="G1143" s="1">
        <v>45023</v>
      </c>
      <c r="H1143" s="1">
        <v>45028</v>
      </c>
      <c r="I1143">
        <v>266.86191670433499</v>
      </c>
      <c r="J1143">
        <f t="shared" si="102"/>
        <v>5</v>
      </c>
      <c r="K1143" t="str">
        <f>VLOOKUP(B1143,Raw_Suppliers!$A$2:$G$101,2,FALSE)</f>
        <v>Eco Prime Corp</v>
      </c>
      <c r="L1143" t="str">
        <f>VLOOKUP(B1143,Raw_Suppliers!$A$2:$G$101,3,FALSE)</f>
        <v>China</v>
      </c>
      <c r="M1143" t="str">
        <f>VLOOKUP(B1143,Raw_Suppliers!$A$2:$G$101,4,FALSE)</f>
        <v>East</v>
      </c>
      <c r="N1143" t="str">
        <f>VLOOKUP(B1143,Raw_Suppliers!$A$2:$G$101,6,FALSE)</f>
        <v>ISO 45001</v>
      </c>
      <c r="O1143">
        <f>VLOOKUP(B1143,Raw_Suppliers!$A$2:$G$101,7,FALSE)</f>
        <v>1</v>
      </c>
      <c r="P1143" t="str">
        <f t="shared" si="103"/>
        <v>Yes</v>
      </c>
      <c r="Q1143">
        <f t="shared" si="104"/>
        <v>0</v>
      </c>
      <c r="R1143" t="str">
        <f t="shared" si="105"/>
        <v>Late</v>
      </c>
      <c r="S1143">
        <f t="shared" si="106"/>
        <v>2023</v>
      </c>
      <c r="T1143">
        <f t="shared" si="107"/>
        <v>3</v>
      </c>
    </row>
    <row r="1144" spans="1:20" x14ac:dyDescent="0.25">
      <c r="A1144" t="s">
        <v>1451</v>
      </c>
      <c r="B1144" t="s">
        <v>219</v>
      </c>
      <c r="C1144" t="s">
        <v>689</v>
      </c>
      <c r="D1144" s="1">
        <v>44904</v>
      </c>
      <c r="E1144">
        <v>14</v>
      </c>
      <c r="F1144">
        <v>58.244083211637502</v>
      </c>
      <c r="G1144" s="1">
        <v>44917</v>
      </c>
      <c r="H1144" s="1">
        <v>44918</v>
      </c>
      <c r="I1144">
        <v>815.41716496292497</v>
      </c>
      <c r="J1144">
        <f t="shared" si="102"/>
        <v>1</v>
      </c>
      <c r="K1144" t="str">
        <f>VLOOKUP(B1144,Raw_Suppliers!$A$2:$G$101,2,FALSE)</f>
        <v>Quantum Quantum Ltd</v>
      </c>
      <c r="L1144" t="str">
        <f>VLOOKUP(B1144,Raw_Suppliers!$A$2:$G$101,3,FALSE)</f>
        <v>USA</v>
      </c>
      <c r="M1144" t="str">
        <f>VLOOKUP(B1144,Raw_Suppliers!$A$2:$G$101,4,FALSE)</f>
        <v>South</v>
      </c>
      <c r="N1144" t="str">
        <f>VLOOKUP(B1144,Raw_Suppliers!$A$2:$G$101,6,FALSE)</f>
        <v>ISO 14001</v>
      </c>
      <c r="O1144">
        <f>VLOOKUP(B1144,Raw_Suppliers!$A$2:$G$101,7,FALSE)</f>
        <v>0</v>
      </c>
      <c r="P1144" t="str">
        <f t="shared" si="103"/>
        <v>No</v>
      </c>
      <c r="Q1144">
        <f t="shared" si="104"/>
        <v>0</v>
      </c>
      <c r="R1144" t="str">
        <f t="shared" si="105"/>
        <v>Late</v>
      </c>
      <c r="S1144">
        <f t="shared" si="106"/>
        <v>2022</v>
      </c>
      <c r="T1144">
        <f t="shared" si="107"/>
        <v>12</v>
      </c>
    </row>
    <row r="1145" spans="1:20" x14ac:dyDescent="0.25">
      <c r="A1145" t="s">
        <v>1452</v>
      </c>
      <c r="B1145" t="s">
        <v>237</v>
      </c>
      <c r="C1145" t="s">
        <v>693</v>
      </c>
      <c r="D1145" s="1">
        <v>45098</v>
      </c>
      <c r="E1145">
        <v>12</v>
      </c>
      <c r="F1145">
        <v>37.614023951230102</v>
      </c>
      <c r="G1145" s="1">
        <v>45116</v>
      </c>
      <c r="H1145" s="1">
        <v>45118</v>
      </c>
      <c r="I1145">
        <v>451.36828741476103</v>
      </c>
      <c r="J1145">
        <f t="shared" si="102"/>
        <v>2</v>
      </c>
      <c r="K1145" t="str">
        <f>VLOOKUP(B1145,Raw_Suppliers!$A$2:$G$101,2,FALSE)</f>
        <v>Eco Beta Inc</v>
      </c>
      <c r="L1145" t="str">
        <f>VLOOKUP(B1145,Raw_Suppliers!$A$2:$G$101,3,FALSE)</f>
        <v>Germany</v>
      </c>
      <c r="M1145" t="str">
        <f>VLOOKUP(B1145,Raw_Suppliers!$A$2:$G$101,4,FALSE)</f>
        <v>North</v>
      </c>
      <c r="N1145" t="str">
        <f>VLOOKUP(B1145,Raw_Suppliers!$A$2:$G$101,6,FALSE)</f>
        <v>ISO 14001</v>
      </c>
      <c r="O1145">
        <f>VLOOKUP(B1145,Raw_Suppliers!$A$2:$G$101,7,FALSE)</f>
        <v>0</v>
      </c>
      <c r="P1145" t="str">
        <f t="shared" si="103"/>
        <v>No</v>
      </c>
      <c r="Q1145">
        <f t="shared" si="104"/>
        <v>0</v>
      </c>
      <c r="R1145" t="str">
        <f t="shared" si="105"/>
        <v>Late</v>
      </c>
      <c r="S1145">
        <f t="shared" si="106"/>
        <v>2023</v>
      </c>
      <c r="T1145">
        <f t="shared" si="107"/>
        <v>6</v>
      </c>
    </row>
    <row r="1146" spans="1:20" x14ac:dyDescent="0.25">
      <c r="A1146" t="s">
        <v>1453</v>
      </c>
      <c r="B1146" t="s">
        <v>91</v>
      </c>
      <c r="C1146" t="s">
        <v>268</v>
      </c>
      <c r="D1146" s="1">
        <v>44465</v>
      </c>
      <c r="E1146">
        <v>15</v>
      </c>
      <c r="F1146">
        <v>59.668716165914098</v>
      </c>
      <c r="G1146" s="1">
        <v>44480</v>
      </c>
      <c r="H1146" s="1">
        <v>44478</v>
      </c>
      <c r="I1146">
        <v>895.03074248871201</v>
      </c>
      <c r="J1146">
        <f t="shared" si="102"/>
        <v>-2</v>
      </c>
      <c r="K1146" t="str">
        <f>VLOOKUP(B1146,Raw_Suppliers!$A$2:$G$101,2,FALSE)</f>
        <v>Apex Prime Ltd</v>
      </c>
      <c r="L1146" t="str">
        <f>VLOOKUP(B1146,Raw_Suppliers!$A$2:$G$101,3,FALSE)</f>
        <v>India</v>
      </c>
      <c r="M1146" t="str">
        <f>VLOOKUP(B1146,Raw_Suppliers!$A$2:$G$101,4,FALSE)</f>
        <v>South</v>
      </c>
      <c r="N1146" t="str">
        <f>VLOOKUP(B1146,Raw_Suppliers!$A$2:$G$101,6,FALSE)</f>
        <v>ISO 9001</v>
      </c>
      <c r="O1146">
        <f>VLOOKUP(B1146,Raw_Suppliers!$A$2:$G$101,7,FALSE)</f>
        <v>0</v>
      </c>
      <c r="P1146" t="str">
        <f t="shared" si="103"/>
        <v>No</v>
      </c>
      <c r="Q1146">
        <f t="shared" si="104"/>
        <v>1</v>
      </c>
      <c r="R1146" t="str">
        <f t="shared" si="105"/>
        <v>On Time</v>
      </c>
      <c r="S1146">
        <f t="shared" si="106"/>
        <v>2021</v>
      </c>
      <c r="T1146">
        <f t="shared" si="107"/>
        <v>9</v>
      </c>
    </row>
    <row r="1147" spans="1:20" x14ac:dyDescent="0.25">
      <c r="A1147" t="s">
        <v>1454</v>
      </c>
      <c r="B1147" t="s">
        <v>256</v>
      </c>
      <c r="C1147" t="s">
        <v>527</v>
      </c>
      <c r="D1147" s="1">
        <v>44397</v>
      </c>
      <c r="E1147">
        <v>17</v>
      </c>
      <c r="F1147">
        <v>19.233283220199901</v>
      </c>
      <c r="G1147" s="1">
        <v>44409</v>
      </c>
      <c r="H1147" s="1">
        <v>44411</v>
      </c>
      <c r="I1147">
        <v>326.96581474339899</v>
      </c>
      <c r="J1147">
        <f t="shared" si="102"/>
        <v>2</v>
      </c>
      <c r="K1147" t="str">
        <f>VLOOKUP(B1147,Raw_Suppliers!$A$2:$G$101,2,FALSE)</f>
        <v>Apex Eco Ltd</v>
      </c>
      <c r="L1147" t="str">
        <f>VLOOKUP(B1147,Raw_Suppliers!$A$2:$G$101,3,FALSE)</f>
        <v>USA</v>
      </c>
      <c r="M1147" t="str">
        <f>VLOOKUP(B1147,Raw_Suppliers!$A$2:$G$101,4,FALSE)</f>
        <v>North</v>
      </c>
      <c r="N1147" t="str">
        <f>VLOOKUP(B1147,Raw_Suppliers!$A$2:$G$101,6,FALSE)</f>
        <v>ISO 45001</v>
      </c>
      <c r="O1147">
        <f>VLOOKUP(B1147,Raw_Suppliers!$A$2:$G$101,7,FALSE)</f>
        <v>0</v>
      </c>
      <c r="P1147" t="str">
        <f t="shared" si="103"/>
        <v>No</v>
      </c>
      <c r="Q1147">
        <f t="shared" si="104"/>
        <v>0</v>
      </c>
      <c r="R1147" t="str">
        <f t="shared" si="105"/>
        <v>Late</v>
      </c>
      <c r="S1147">
        <f t="shared" si="106"/>
        <v>2021</v>
      </c>
      <c r="T1147">
        <f t="shared" si="107"/>
        <v>7</v>
      </c>
    </row>
    <row r="1148" spans="1:20" x14ac:dyDescent="0.25">
      <c r="A1148" t="s">
        <v>1455</v>
      </c>
      <c r="B1148" t="s">
        <v>350</v>
      </c>
      <c r="C1148" t="s">
        <v>693</v>
      </c>
      <c r="D1148" s="1">
        <v>45057</v>
      </c>
      <c r="E1148">
        <v>11</v>
      </c>
      <c r="F1148">
        <v>16.664456921197999</v>
      </c>
      <c r="G1148" s="1">
        <v>45077</v>
      </c>
      <c r="H1148" s="1">
        <v>45076</v>
      </c>
      <c r="I1148">
        <v>183.30902613317801</v>
      </c>
      <c r="J1148">
        <f t="shared" si="102"/>
        <v>-1</v>
      </c>
      <c r="K1148" t="str">
        <f>VLOOKUP(B1148,Raw_Suppliers!$A$2:$G$101,2,FALSE)</f>
        <v>Prime Gamma GmbH</v>
      </c>
      <c r="L1148" t="str">
        <f>VLOOKUP(B1148,Raw_Suppliers!$A$2:$G$101,3,FALSE)</f>
        <v>Denmark</v>
      </c>
      <c r="M1148" t="str">
        <f>VLOOKUP(B1148,Raw_Suppliers!$A$2:$G$101,4,FALSE)</f>
        <v>West</v>
      </c>
      <c r="N1148" t="str">
        <f>VLOOKUP(B1148,Raw_Suppliers!$A$2:$G$101,6,FALSE)</f>
        <v>ISO 9001</v>
      </c>
      <c r="O1148">
        <f>VLOOKUP(B1148,Raw_Suppliers!$A$2:$G$101,7,FALSE)</f>
        <v>0</v>
      </c>
      <c r="P1148" t="str">
        <f t="shared" si="103"/>
        <v>No</v>
      </c>
      <c r="Q1148">
        <f t="shared" si="104"/>
        <v>1</v>
      </c>
      <c r="R1148" t="str">
        <f t="shared" si="105"/>
        <v>On Time</v>
      </c>
      <c r="S1148">
        <f t="shared" si="106"/>
        <v>2023</v>
      </c>
      <c r="T1148">
        <f t="shared" si="107"/>
        <v>5</v>
      </c>
    </row>
    <row r="1149" spans="1:20" x14ac:dyDescent="0.25">
      <c r="A1149" t="s">
        <v>1456</v>
      </c>
      <c r="B1149" t="s">
        <v>242</v>
      </c>
      <c r="C1149" t="s">
        <v>559</v>
      </c>
      <c r="D1149" s="1">
        <v>44791</v>
      </c>
      <c r="E1149">
        <v>9</v>
      </c>
      <c r="F1149">
        <v>9.9562569845692206</v>
      </c>
      <c r="G1149" s="1">
        <v>44804</v>
      </c>
      <c r="H1149" s="1">
        <v>44809</v>
      </c>
      <c r="I1149">
        <v>89.606312861123001</v>
      </c>
      <c r="J1149">
        <f t="shared" si="102"/>
        <v>5</v>
      </c>
      <c r="K1149" t="str">
        <f>VLOOKUP(B1149,Raw_Suppliers!$A$2:$G$101,2,FALSE)</f>
        <v>Omega Nova GmbH</v>
      </c>
      <c r="L1149" t="str">
        <f>VLOOKUP(B1149,Raw_Suppliers!$A$2:$G$101,3,FALSE)</f>
        <v>Denmark</v>
      </c>
      <c r="M1149" t="str">
        <f>VLOOKUP(B1149,Raw_Suppliers!$A$2:$G$101,4,FALSE)</f>
        <v>East</v>
      </c>
      <c r="N1149" t="str">
        <f>VLOOKUP(B1149,Raw_Suppliers!$A$2:$G$101,6,FALSE)</f>
        <v>ISO 45001</v>
      </c>
      <c r="O1149">
        <f>VLOOKUP(B1149,Raw_Suppliers!$A$2:$G$101,7,FALSE)</f>
        <v>0</v>
      </c>
      <c r="P1149" t="str">
        <f t="shared" si="103"/>
        <v>No</v>
      </c>
      <c r="Q1149">
        <f t="shared" si="104"/>
        <v>0</v>
      </c>
      <c r="R1149" t="str">
        <f t="shared" si="105"/>
        <v>Late</v>
      </c>
      <c r="S1149">
        <f t="shared" si="106"/>
        <v>2022</v>
      </c>
      <c r="T1149">
        <f t="shared" si="107"/>
        <v>8</v>
      </c>
    </row>
    <row r="1150" spans="1:20" x14ac:dyDescent="0.25">
      <c r="A1150" t="s">
        <v>1457</v>
      </c>
      <c r="B1150" t="s">
        <v>350</v>
      </c>
      <c r="C1150" t="s">
        <v>600</v>
      </c>
      <c r="D1150" s="1">
        <v>44957</v>
      </c>
      <c r="E1150">
        <v>8</v>
      </c>
      <c r="F1150">
        <v>44.000597014069797</v>
      </c>
      <c r="G1150" s="1">
        <v>44975</v>
      </c>
      <c r="H1150" s="1">
        <v>44978</v>
      </c>
      <c r="I1150">
        <v>352.004776112559</v>
      </c>
      <c r="J1150">
        <f t="shared" si="102"/>
        <v>3</v>
      </c>
      <c r="K1150" t="str">
        <f>VLOOKUP(B1150,Raw_Suppliers!$A$2:$G$101,2,FALSE)</f>
        <v>Prime Gamma GmbH</v>
      </c>
      <c r="L1150" t="str">
        <f>VLOOKUP(B1150,Raw_Suppliers!$A$2:$G$101,3,FALSE)</f>
        <v>Denmark</v>
      </c>
      <c r="M1150" t="str">
        <f>VLOOKUP(B1150,Raw_Suppliers!$A$2:$G$101,4,FALSE)</f>
        <v>West</v>
      </c>
      <c r="N1150" t="str">
        <f>VLOOKUP(B1150,Raw_Suppliers!$A$2:$G$101,6,FALSE)</f>
        <v>ISO 9001</v>
      </c>
      <c r="O1150">
        <f>VLOOKUP(B1150,Raw_Suppliers!$A$2:$G$101,7,FALSE)</f>
        <v>0</v>
      </c>
      <c r="P1150" t="str">
        <f t="shared" si="103"/>
        <v>No</v>
      </c>
      <c r="Q1150">
        <f t="shared" si="104"/>
        <v>0</v>
      </c>
      <c r="R1150" t="str">
        <f t="shared" si="105"/>
        <v>Late</v>
      </c>
      <c r="S1150">
        <f t="shared" si="106"/>
        <v>2023</v>
      </c>
      <c r="T1150">
        <f t="shared" si="107"/>
        <v>1</v>
      </c>
    </row>
    <row r="1151" spans="1:20" x14ac:dyDescent="0.25">
      <c r="A1151" t="s">
        <v>1458</v>
      </c>
      <c r="B1151" t="s">
        <v>121</v>
      </c>
      <c r="C1151" t="s">
        <v>158</v>
      </c>
      <c r="D1151" s="1">
        <v>44432</v>
      </c>
      <c r="E1151">
        <v>14</v>
      </c>
      <c r="F1151">
        <v>15.744419465422901</v>
      </c>
      <c r="G1151" s="1">
        <v>44442</v>
      </c>
      <c r="H1151" s="1">
        <v>44442</v>
      </c>
      <c r="I1151">
        <v>220.42187251592</v>
      </c>
      <c r="J1151">
        <f t="shared" si="102"/>
        <v>0</v>
      </c>
      <c r="K1151" t="str">
        <f>VLOOKUP(B1151,Raw_Suppliers!$A$2:$G$101,2,FALSE)</f>
        <v>Vertex Vertex Inc</v>
      </c>
      <c r="L1151" t="str">
        <f>VLOOKUP(B1151,Raw_Suppliers!$A$2:$G$101,3,FALSE)</f>
        <v>USA</v>
      </c>
      <c r="M1151" t="str">
        <f>VLOOKUP(B1151,Raw_Suppliers!$A$2:$G$101,4,FALSE)</f>
        <v>West</v>
      </c>
      <c r="N1151" t="str">
        <f>VLOOKUP(B1151,Raw_Suppliers!$A$2:$G$101,6,FALSE)</f>
        <v>None</v>
      </c>
      <c r="O1151">
        <f>VLOOKUP(B1151,Raw_Suppliers!$A$2:$G$101,7,FALSE)</f>
        <v>0</v>
      </c>
      <c r="P1151" t="str">
        <f t="shared" si="103"/>
        <v>No</v>
      </c>
      <c r="Q1151">
        <f t="shared" si="104"/>
        <v>1</v>
      </c>
      <c r="R1151" t="str">
        <f t="shared" si="105"/>
        <v>On Time</v>
      </c>
      <c r="S1151">
        <f t="shared" si="106"/>
        <v>2021</v>
      </c>
      <c r="T1151">
        <f t="shared" si="107"/>
        <v>8</v>
      </c>
    </row>
    <row r="1152" spans="1:20" x14ac:dyDescent="0.25">
      <c r="A1152" t="s">
        <v>1459</v>
      </c>
      <c r="B1152" t="s">
        <v>169</v>
      </c>
      <c r="C1152" t="s">
        <v>391</v>
      </c>
      <c r="D1152" s="1">
        <v>45065</v>
      </c>
      <c r="E1152">
        <v>10</v>
      </c>
      <c r="F1152">
        <v>11.0976617084313</v>
      </c>
      <c r="G1152" s="1">
        <v>45077</v>
      </c>
      <c r="H1152" s="1">
        <v>45075</v>
      </c>
      <c r="I1152">
        <v>110.97661708431301</v>
      </c>
      <c r="J1152">
        <f t="shared" si="102"/>
        <v>-2</v>
      </c>
      <c r="K1152" t="str">
        <f>VLOOKUP(B1152,Raw_Suppliers!$A$2:$G$101,2,FALSE)</f>
        <v>Vertex Beta LLC</v>
      </c>
      <c r="L1152" t="str">
        <f>VLOOKUP(B1152,Raw_Suppliers!$A$2:$G$101,3,FALSE)</f>
        <v>China</v>
      </c>
      <c r="M1152" t="str">
        <f>VLOOKUP(B1152,Raw_Suppliers!$A$2:$G$101,4,FALSE)</f>
        <v>South</v>
      </c>
      <c r="N1152" t="str">
        <f>VLOOKUP(B1152,Raw_Suppliers!$A$2:$G$101,6,FALSE)</f>
        <v>ISO 14001</v>
      </c>
      <c r="O1152">
        <f>VLOOKUP(B1152,Raw_Suppliers!$A$2:$G$101,7,FALSE)</f>
        <v>0</v>
      </c>
      <c r="P1152" t="str">
        <f t="shared" si="103"/>
        <v>No</v>
      </c>
      <c r="Q1152">
        <f t="shared" si="104"/>
        <v>1</v>
      </c>
      <c r="R1152" t="str">
        <f t="shared" si="105"/>
        <v>On Time</v>
      </c>
      <c r="S1152">
        <f t="shared" si="106"/>
        <v>2023</v>
      </c>
      <c r="T1152">
        <f t="shared" si="107"/>
        <v>5</v>
      </c>
    </row>
    <row r="1153" spans="1:20" x14ac:dyDescent="0.25">
      <c r="A1153" t="s">
        <v>1460</v>
      </c>
      <c r="B1153" t="s">
        <v>124</v>
      </c>
      <c r="C1153" t="s">
        <v>437</v>
      </c>
      <c r="D1153" s="1">
        <v>44338</v>
      </c>
      <c r="E1153">
        <v>11</v>
      </c>
      <c r="F1153">
        <v>52.474596979124698</v>
      </c>
      <c r="G1153" s="1">
        <v>44353</v>
      </c>
      <c r="H1153" s="1">
        <v>44358</v>
      </c>
      <c r="I1153">
        <v>577.22056677037199</v>
      </c>
      <c r="J1153">
        <f t="shared" si="102"/>
        <v>5</v>
      </c>
      <c r="K1153" t="str">
        <f>VLOOKUP(B1153,Raw_Suppliers!$A$2:$G$101,2,FALSE)</f>
        <v>Vertex Delta Inc</v>
      </c>
      <c r="L1153" t="str">
        <f>VLOOKUP(B1153,Raw_Suppliers!$A$2:$G$101,3,FALSE)</f>
        <v>Germany</v>
      </c>
      <c r="M1153" t="str">
        <f>VLOOKUP(B1153,Raw_Suppliers!$A$2:$G$101,4,FALSE)</f>
        <v>South</v>
      </c>
      <c r="N1153" t="str">
        <f>VLOOKUP(B1153,Raw_Suppliers!$A$2:$G$101,6,FALSE)</f>
        <v>ISO 9001</v>
      </c>
      <c r="O1153">
        <f>VLOOKUP(B1153,Raw_Suppliers!$A$2:$G$101,7,FALSE)</f>
        <v>0</v>
      </c>
      <c r="P1153" t="str">
        <f t="shared" si="103"/>
        <v>No</v>
      </c>
      <c r="Q1153">
        <f t="shared" si="104"/>
        <v>0</v>
      </c>
      <c r="R1153" t="str">
        <f t="shared" si="105"/>
        <v>Late</v>
      </c>
      <c r="S1153">
        <f t="shared" si="106"/>
        <v>2021</v>
      </c>
      <c r="T1153">
        <f t="shared" si="107"/>
        <v>5</v>
      </c>
    </row>
    <row r="1154" spans="1:20" x14ac:dyDescent="0.25">
      <c r="A1154" t="s">
        <v>1461</v>
      </c>
      <c r="B1154" t="s">
        <v>76</v>
      </c>
      <c r="C1154" t="s">
        <v>425</v>
      </c>
      <c r="D1154" s="1">
        <v>45201</v>
      </c>
      <c r="E1154">
        <v>12</v>
      </c>
      <c r="F1154">
        <v>17.128522593001101</v>
      </c>
      <c r="G1154" s="1">
        <v>45218</v>
      </c>
      <c r="H1154" s="1">
        <v>45221</v>
      </c>
      <c r="I1154">
        <v>205.54227111601401</v>
      </c>
      <c r="J1154">
        <f t="shared" si="102"/>
        <v>3</v>
      </c>
      <c r="K1154" t="str">
        <f>VLOOKUP(B1154,Raw_Suppliers!$A$2:$G$101,2,FALSE)</f>
        <v>Alpha Beta Ltd</v>
      </c>
      <c r="L1154" t="str">
        <f>VLOOKUP(B1154,Raw_Suppliers!$A$2:$G$101,3,FALSE)</f>
        <v>UK</v>
      </c>
      <c r="M1154" t="str">
        <f>VLOOKUP(B1154,Raw_Suppliers!$A$2:$G$101,4,FALSE)</f>
        <v>South</v>
      </c>
      <c r="N1154" t="str">
        <f>VLOOKUP(B1154,Raw_Suppliers!$A$2:$G$101,6,FALSE)</f>
        <v>None</v>
      </c>
      <c r="O1154">
        <f>VLOOKUP(B1154,Raw_Suppliers!$A$2:$G$101,7,FALSE)</f>
        <v>1</v>
      </c>
      <c r="P1154" t="str">
        <f t="shared" si="103"/>
        <v>Yes</v>
      </c>
      <c r="Q1154">
        <f t="shared" si="104"/>
        <v>0</v>
      </c>
      <c r="R1154" t="str">
        <f t="shared" si="105"/>
        <v>Late</v>
      </c>
      <c r="S1154">
        <f t="shared" si="106"/>
        <v>2023</v>
      </c>
      <c r="T1154">
        <f t="shared" si="107"/>
        <v>10</v>
      </c>
    </row>
    <row r="1155" spans="1:20" x14ac:dyDescent="0.25">
      <c r="A1155" t="s">
        <v>1462</v>
      </c>
      <c r="B1155" t="s">
        <v>64</v>
      </c>
      <c r="C1155" t="s">
        <v>391</v>
      </c>
      <c r="D1155" s="1">
        <v>44635</v>
      </c>
      <c r="E1155">
        <v>15</v>
      </c>
      <c r="F1155">
        <v>40.991858971995597</v>
      </c>
      <c r="G1155" s="1">
        <v>44646</v>
      </c>
      <c r="H1155" s="1">
        <v>44650</v>
      </c>
      <c r="I1155">
        <v>614.87788457993395</v>
      </c>
      <c r="J1155">
        <f t="shared" ref="J1155:J1218" si="108">H1155-G1155</f>
        <v>4</v>
      </c>
      <c r="K1155" t="str">
        <f>VLOOKUP(B1155,Raw_Suppliers!$A$2:$G$101,2,FALSE)</f>
        <v>Apex Quantum Inc</v>
      </c>
      <c r="L1155" t="str">
        <f>VLOOKUP(B1155,Raw_Suppliers!$A$2:$G$101,3,FALSE)</f>
        <v>India</v>
      </c>
      <c r="M1155" t="str">
        <f>VLOOKUP(B1155,Raw_Suppliers!$A$2:$G$101,4,FALSE)</f>
        <v>North</v>
      </c>
      <c r="N1155" t="str">
        <f>VLOOKUP(B1155,Raw_Suppliers!$A$2:$G$101,6,FALSE)</f>
        <v>ISO 45001</v>
      </c>
      <c r="O1155">
        <f>VLOOKUP(B1155,Raw_Suppliers!$A$2:$G$101,7,FALSE)</f>
        <v>1</v>
      </c>
      <c r="P1155" t="str">
        <f t="shared" ref="P1155:P1218" si="109">IF(O1155=1,"Yes","No")</f>
        <v>Yes</v>
      </c>
      <c r="Q1155">
        <f t="shared" ref="Q1155:Q1218" si="110">IF(J1155&lt;=0,1,0)</f>
        <v>0</v>
      </c>
      <c r="R1155" t="str">
        <f t="shared" ref="R1155:R1218" si="111">IF(Q1155=1,"On Time","Late")</f>
        <v>Late</v>
      </c>
      <c r="S1155">
        <f t="shared" ref="S1155:S1218" si="112">YEAR(D1155)</f>
        <v>2022</v>
      </c>
      <c r="T1155">
        <f t="shared" ref="T1155:T1218" si="113">MONTH(D1155)</f>
        <v>3</v>
      </c>
    </row>
    <row r="1156" spans="1:20" x14ac:dyDescent="0.25">
      <c r="A1156" t="s">
        <v>1463</v>
      </c>
      <c r="B1156" t="s">
        <v>493</v>
      </c>
      <c r="C1156" t="s">
        <v>581</v>
      </c>
      <c r="D1156" s="1">
        <v>45159</v>
      </c>
      <c r="E1156">
        <v>12</v>
      </c>
      <c r="F1156">
        <v>37.036179499662197</v>
      </c>
      <c r="G1156" s="1">
        <v>45181</v>
      </c>
      <c r="H1156" s="1">
        <v>45183</v>
      </c>
      <c r="I1156">
        <v>444.43415399594699</v>
      </c>
      <c r="J1156">
        <f t="shared" si="108"/>
        <v>2</v>
      </c>
      <c r="K1156" t="str">
        <f>VLOOKUP(B1156,Raw_Suppliers!$A$2:$G$101,2,FALSE)</f>
        <v>Delta Vertex LLC</v>
      </c>
      <c r="L1156" t="str">
        <f>VLOOKUP(B1156,Raw_Suppliers!$A$2:$G$101,3,FALSE)</f>
        <v>China</v>
      </c>
      <c r="M1156" t="str">
        <f>VLOOKUP(B1156,Raw_Suppliers!$A$2:$G$101,4,FALSE)</f>
        <v>East</v>
      </c>
      <c r="N1156" t="str">
        <f>VLOOKUP(B1156,Raw_Suppliers!$A$2:$G$101,6,FALSE)</f>
        <v>None</v>
      </c>
      <c r="O1156">
        <f>VLOOKUP(B1156,Raw_Suppliers!$A$2:$G$101,7,FALSE)</f>
        <v>0</v>
      </c>
      <c r="P1156" t="str">
        <f t="shared" si="109"/>
        <v>No</v>
      </c>
      <c r="Q1156">
        <f t="shared" si="110"/>
        <v>0</v>
      </c>
      <c r="R1156" t="str">
        <f t="shared" si="111"/>
        <v>Late</v>
      </c>
      <c r="S1156">
        <f t="shared" si="112"/>
        <v>2023</v>
      </c>
      <c r="T1156">
        <f t="shared" si="113"/>
        <v>8</v>
      </c>
    </row>
    <row r="1157" spans="1:20" x14ac:dyDescent="0.25">
      <c r="A1157" t="s">
        <v>1464</v>
      </c>
      <c r="B1157" t="s">
        <v>288</v>
      </c>
      <c r="C1157" t="s">
        <v>421</v>
      </c>
      <c r="D1157" s="1">
        <v>44473</v>
      </c>
      <c r="E1157">
        <v>8</v>
      </c>
      <c r="F1157">
        <v>35.280625900839297</v>
      </c>
      <c r="G1157" s="1">
        <v>44493</v>
      </c>
      <c r="H1157" s="1">
        <v>44499</v>
      </c>
      <c r="I1157">
        <v>282.24500720671398</v>
      </c>
      <c r="J1157">
        <f t="shared" si="108"/>
        <v>6</v>
      </c>
      <c r="K1157" t="str">
        <f>VLOOKUP(B1157,Raw_Suppliers!$A$2:$G$101,2,FALSE)</f>
        <v>Alpha Beta LLC</v>
      </c>
      <c r="L1157" t="str">
        <f>VLOOKUP(B1157,Raw_Suppliers!$A$2:$G$101,3,FALSE)</f>
        <v>India</v>
      </c>
      <c r="M1157" t="str">
        <f>VLOOKUP(B1157,Raw_Suppliers!$A$2:$G$101,4,FALSE)</f>
        <v>West</v>
      </c>
      <c r="N1157" t="str">
        <f>VLOOKUP(B1157,Raw_Suppliers!$A$2:$G$101,6,FALSE)</f>
        <v>ISO 45001</v>
      </c>
      <c r="O1157">
        <f>VLOOKUP(B1157,Raw_Suppliers!$A$2:$G$101,7,FALSE)</f>
        <v>0</v>
      </c>
      <c r="P1157" t="str">
        <f t="shared" si="109"/>
        <v>No</v>
      </c>
      <c r="Q1157">
        <f t="shared" si="110"/>
        <v>0</v>
      </c>
      <c r="R1157" t="str">
        <f t="shared" si="111"/>
        <v>Late</v>
      </c>
      <c r="S1157">
        <f t="shared" si="112"/>
        <v>2021</v>
      </c>
      <c r="T1157">
        <f t="shared" si="113"/>
        <v>10</v>
      </c>
    </row>
    <row r="1158" spans="1:20" x14ac:dyDescent="0.25">
      <c r="A1158" t="s">
        <v>1465</v>
      </c>
      <c r="B1158" t="s">
        <v>43</v>
      </c>
      <c r="C1158" t="s">
        <v>65</v>
      </c>
      <c r="D1158" s="1">
        <v>44881</v>
      </c>
      <c r="E1158">
        <v>10</v>
      </c>
      <c r="F1158">
        <v>15.8027879612074</v>
      </c>
      <c r="G1158" s="1">
        <v>44900</v>
      </c>
      <c r="H1158" s="1">
        <v>44903</v>
      </c>
      <c r="I1158">
        <v>158.027879612074</v>
      </c>
      <c r="J1158">
        <f t="shared" si="108"/>
        <v>3</v>
      </c>
      <c r="K1158" t="str">
        <f>VLOOKUP(B1158,Raw_Suppliers!$A$2:$G$101,2,FALSE)</f>
        <v>Alpha Ultra Corp</v>
      </c>
      <c r="L1158" t="str">
        <f>VLOOKUP(B1158,Raw_Suppliers!$A$2:$G$101,3,FALSE)</f>
        <v>USA</v>
      </c>
      <c r="M1158" t="str">
        <f>VLOOKUP(B1158,Raw_Suppliers!$A$2:$G$101,4,FALSE)</f>
        <v>Central</v>
      </c>
      <c r="N1158" t="str">
        <f>VLOOKUP(B1158,Raw_Suppliers!$A$2:$G$101,6,FALSE)</f>
        <v>ISO 9001</v>
      </c>
      <c r="O1158">
        <f>VLOOKUP(B1158,Raw_Suppliers!$A$2:$G$101,7,FALSE)</f>
        <v>1</v>
      </c>
      <c r="P1158" t="str">
        <f t="shared" si="109"/>
        <v>Yes</v>
      </c>
      <c r="Q1158">
        <f t="shared" si="110"/>
        <v>0</v>
      </c>
      <c r="R1158" t="str">
        <f t="shared" si="111"/>
        <v>Late</v>
      </c>
      <c r="S1158">
        <f t="shared" si="112"/>
        <v>2022</v>
      </c>
      <c r="T1158">
        <f t="shared" si="113"/>
        <v>11</v>
      </c>
    </row>
    <row r="1159" spans="1:20" x14ac:dyDescent="0.25">
      <c r="A1159" t="s">
        <v>1466</v>
      </c>
      <c r="B1159" t="s">
        <v>174</v>
      </c>
      <c r="C1159" t="s">
        <v>1108</v>
      </c>
      <c r="D1159" s="1">
        <v>44772</v>
      </c>
      <c r="E1159">
        <v>11</v>
      </c>
      <c r="F1159">
        <v>39.005884149739003</v>
      </c>
      <c r="G1159" s="1">
        <v>44789</v>
      </c>
      <c r="H1159" s="1">
        <v>44788</v>
      </c>
      <c r="I1159">
        <v>429.06472564712902</v>
      </c>
      <c r="J1159">
        <f t="shared" si="108"/>
        <v>-1</v>
      </c>
      <c r="K1159" t="str">
        <f>VLOOKUP(B1159,Raw_Suppliers!$A$2:$G$101,2,FALSE)</f>
        <v>Quantum Eco LLC</v>
      </c>
      <c r="L1159" t="str">
        <f>VLOOKUP(B1159,Raw_Suppliers!$A$2:$G$101,3,FALSE)</f>
        <v>Denmark</v>
      </c>
      <c r="M1159" t="str">
        <f>VLOOKUP(B1159,Raw_Suppliers!$A$2:$G$101,4,FALSE)</f>
        <v>East</v>
      </c>
      <c r="N1159" t="str">
        <f>VLOOKUP(B1159,Raw_Suppliers!$A$2:$G$101,6,FALSE)</f>
        <v>ISO 9001</v>
      </c>
      <c r="O1159">
        <f>VLOOKUP(B1159,Raw_Suppliers!$A$2:$G$101,7,FALSE)</f>
        <v>1</v>
      </c>
      <c r="P1159" t="str">
        <f t="shared" si="109"/>
        <v>Yes</v>
      </c>
      <c r="Q1159">
        <f t="shared" si="110"/>
        <v>1</v>
      </c>
      <c r="R1159" t="str">
        <f t="shared" si="111"/>
        <v>On Time</v>
      </c>
      <c r="S1159">
        <f t="shared" si="112"/>
        <v>2022</v>
      </c>
      <c r="T1159">
        <f t="shared" si="113"/>
        <v>7</v>
      </c>
    </row>
    <row r="1160" spans="1:20" x14ac:dyDescent="0.25">
      <c r="A1160" t="s">
        <v>1467</v>
      </c>
      <c r="B1160" t="s">
        <v>46</v>
      </c>
      <c r="C1160" t="s">
        <v>11</v>
      </c>
      <c r="D1160" s="1">
        <v>44677</v>
      </c>
      <c r="E1160">
        <v>12</v>
      </c>
      <c r="F1160">
        <v>77.612573997385795</v>
      </c>
      <c r="G1160" s="1">
        <v>44690</v>
      </c>
      <c r="H1160" s="1">
        <v>44694</v>
      </c>
      <c r="I1160">
        <v>931.35088796862999</v>
      </c>
      <c r="J1160">
        <f t="shared" si="108"/>
        <v>4</v>
      </c>
      <c r="K1160" t="str">
        <f>VLOOKUP(B1160,Raw_Suppliers!$A$2:$G$101,2,FALSE)</f>
        <v>Prime Prime Inc</v>
      </c>
      <c r="L1160" t="str">
        <f>VLOOKUP(B1160,Raw_Suppliers!$A$2:$G$101,3,FALSE)</f>
        <v>UK</v>
      </c>
      <c r="M1160" t="str">
        <f>VLOOKUP(B1160,Raw_Suppliers!$A$2:$G$101,4,FALSE)</f>
        <v>South</v>
      </c>
      <c r="N1160" t="str">
        <f>VLOOKUP(B1160,Raw_Suppliers!$A$2:$G$101,6,FALSE)</f>
        <v>None</v>
      </c>
      <c r="O1160">
        <f>VLOOKUP(B1160,Raw_Suppliers!$A$2:$G$101,7,FALSE)</f>
        <v>1</v>
      </c>
      <c r="P1160" t="str">
        <f t="shared" si="109"/>
        <v>Yes</v>
      </c>
      <c r="Q1160">
        <f t="shared" si="110"/>
        <v>0</v>
      </c>
      <c r="R1160" t="str">
        <f t="shared" si="111"/>
        <v>Late</v>
      </c>
      <c r="S1160">
        <f t="shared" si="112"/>
        <v>2022</v>
      </c>
      <c r="T1160">
        <f t="shared" si="113"/>
        <v>4</v>
      </c>
    </row>
    <row r="1161" spans="1:20" x14ac:dyDescent="0.25">
      <c r="A1161" t="s">
        <v>1468</v>
      </c>
      <c r="B1161" t="s">
        <v>52</v>
      </c>
      <c r="C1161" t="s">
        <v>310</v>
      </c>
      <c r="D1161" s="1">
        <v>44461</v>
      </c>
      <c r="E1161">
        <v>11</v>
      </c>
      <c r="F1161">
        <v>64.690572415060402</v>
      </c>
      <c r="G1161" s="1">
        <v>44472</v>
      </c>
      <c r="H1161" s="1">
        <v>44470</v>
      </c>
      <c r="I1161">
        <v>711.59629656566403</v>
      </c>
      <c r="J1161">
        <f t="shared" si="108"/>
        <v>-2</v>
      </c>
      <c r="K1161" t="str">
        <f>VLOOKUP(B1161,Raw_Suppliers!$A$2:$G$101,2,FALSE)</f>
        <v>Beta Nano Corp</v>
      </c>
      <c r="L1161" t="str">
        <f>VLOOKUP(B1161,Raw_Suppliers!$A$2:$G$101,3,FALSE)</f>
        <v>UK</v>
      </c>
      <c r="M1161" t="str">
        <f>VLOOKUP(B1161,Raw_Suppliers!$A$2:$G$101,4,FALSE)</f>
        <v>Central</v>
      </c>
      <c r="N1161" t="str">
        <f>VLOOKUP(B1161,Raw_Suppliers!$A$2:$G$101,6,FALSE)</f>
        <v>ISO 45001</v>
      </c>
      <c r="O1161">
        <f>VLOOKUP(B1161,Raw_Suppliers!$A$2:$G$101,7,FALSE)</f>
        <v>0</v>
      </c>
      <c r="P1161" t="str">
        <f t="shared" si="109"/>
        <v>No</v>
      </c>
      <c r="Q1161">
        <f t="shared" si="110"/>
        <v>1</v>
      </c>
      <c r="R1161" t="str">
        <f t="shared" si="111"/>
        <v>On Time</v>
      </c>
      <c r="S1161">
        <f t="shared" si="112"/>
        <v>2021</v>
      </c>
      <c r="T1161">
        <f t="shared" si="113"/>
        <v>9</v>
      </c>
    </row>
    <row r="1162" spans="1:20" x14ac:dyDescent="0.25">
      <c r="A1162" t="s">
        <v>1469</v>
      </c>
      <c r="B1162" t="s">
        <v>169</v>
      </c>
      <c r="C1162" t="s">
        <v>290</v>
      </c>
      <c r="D1162" s="1">
        <v>44204</v>
      </c>
      <c r="E1162">
        <v>12</v>
      </c>
      <c r="F1162">
        <v>6.06392884456932</v>
      </c>
      <c r="G1162" s="1">
        <v>44225</v>
      </c>
      <c r="H1162" s="1">
        <v>44229</v>
      </c>
      <c r="I1162">
        <v>72.767146134831805</v>
      </c>
      <c r="J1162">
        <f t="shared" si="108"/>
        <v>4</v>
      </c>
      <c r="K1162" t="str">
        <f>VLOOKUP(B1162,Raw_Suppliers!$A$2:$G$101,2,FALSE)</f>
        <v>Vertex Beta LLC</v>
      </c>
      <c r="L1162" t="str">
        <f>VLOOKUP(B1162,Raw_Suppliers!$A$2:$G$101,3,FALSE)</f>
        <v>China</v>
      </c>
      <c r="M1162" t="str">
        <f>VLOOKUP(B1162,Raw_Suppliers!$A$2:$G$101,4,FALSE)</f>
        <v>South</v>
      </c>
      <c r="N1162" t="str">
        <f>VLOOKUP(B1162,Raw_Suppliers!$A$2:$G$101,6,FALSE)</f>
        <v>ISO 14001</v>
      </c>
      <c r="O1162">
        <f>VLOOKUP(B1162,Raw_Suppliers!$A$2:$G$101,7,FALSE)</f>
        <v>0</v>
      </c>
      <c r="P1162" t="str">
        <f t="shared" si="109"/>
        <v>No</v>
      </c>
      <c r="Q1162">
        <f t="shared" si="110"/>
        <v>0</v>
      </c>
      <c r="R1162" t="str">
        <f t="shared" si="111"/>
        <v>Late</v>
      </c>
      <c r="S1162">
        <f t="shared" si="112"/>
        <v>2021</v>
      </c>
      <c r="T1162">
        <f t="shared" si="113"/>
        <v>1</v>
      </c>
    </row>
    <row r="1163" spans="1:20" x14ac:dyDescent="0.25">
      <c r="A1163" t="s">
        <v>1470</v>
      </c>
      <c r="B1163" t="s">
        <v>127</v>
      </c>
      <c r="C1163" t="s">
        <v>547</v>
      </c>
      <c r="D1163" s="1">
        <v>44623</v>
      </c>
      <c r="E1163">
        <v>8</v>
      </c>
      <c r="F1163">
        <v>13.552297165799001</v>
      </c>
      <c r="G1163" s="1">
        <v>44635</v>
      </c>
      <c r="H1163" s="1">
        <v>44636</v>
      </c>
      <c r="I1163">
        <v>108.418377326392</v>
      </c>
      <c r="J1163">
        <f t="shared" si="108"/>
        <v>1</v>
      </c>
      <c r="K1163" t="str">
        <f>VLOOKUP(B1163,Raw_Suppliers!$A$2:$G$101,2,FALSE)</f>
        <v>Eco Gamma LLC</v>
      </c>
      <c r="L1163" t="str">
        <f>VLOOKUP(B1163,Raw_Suppliers!$A$2:$G$101,3,FALSE)</f>
        <v>Canada</v>
      </c>
      <c r="M1163" t="str">
        <f>VLOOKUP(B1163,Raw_Suppliers!$A$2:$G$101,4,FALSE)</f>
        <v>West</v>
      </c>
      <c r="N1163" t="str">
        <f>VLOOKUP(B1163,Raw_Suppliers!$A$2:$G$101,6,FALSE)</f>
        <v>ISO 9001</v>
      </c>
      <c r="O1163">
        <f>VLOOKUP(B1163,Raw_Suppliers!$A$2:$G$101,7,FALSE)</f>
        <v>1</v>
      </c>
      <c r="P1163" t="str">
        <f t="shared" si="109"/>
        <v>Yes</v>
      </c>
      <c r="Q1163">
        <f t="shared" si="110"/>
        <v>0</v>
      </c>
      <c r="R1163" t="str">
        <f t="shared" si="111"/>
        <v>Late</v>
      </c>
      <c r="S1163">
        <f t="shared" si="112"/>
        <v>2022</v>
      </c>
      <c r="T1163">
        <f t="shared" si="113"/>
        <v>3</v>
      </c>
    </row>
    <row r="1164" spans="1:20" x14ac:dyDescent="0.25">
      <c r="A1164" t="s">
        <v>1471</v>
      </c>
      <c r="B1164" t="s">
        <v>157</v>
      </c>
      <c r="C1164" t="s">
        <v>661</v>
      </c>
      <c r="D1164" s="1">
        <v>45179</v>
      </c>
      <c r="E1164">
        <v>9</v>
      </c>
      <c r="F1164">
        <v>16.329817855320901</v>
      </c>
      <c r="G1164" s="1">
        <v>45201</v>
      </c>
      <c r="H1164" s="1">
        <v>45202</v>
      </c>
      <c r="I1164">
        <v>146.96836069788799</v>
      </c>
      <c r="J1164">
        <f t="shared" si="108"/>
        <v>1</v>
      </c>
      <c r="K1164" t="str">
        <f>VLOOKUP(B1164,Raw_Suppliers!$A$2:$G$101,2,FALSE)</f>
        <v>Pioneer Omega Ltd</v>
      </c>
      <c r="L1164" t="str">
        <f>VLOOKUP(B1164,Raw_Suppliers!$A$2:$G$101,3,FALSE)</f>
        <v>Brazil</v>
      </c>
      <c r="M1164" t="str">
        <f>VLOOKUP(B1164,Raw_Suppliers!$A$2:$G$101,4,FALSE)</f>
        <v>East</v>
      </c>
      <c r="N1164" t="str">
        <f>VLOOKUP(B1164,Raw_Suppliers!$A$2:$G$101,6,FALSE)</f>
        <v>None</v>
      </c>
      <c r="O1164">
        <f>VLOOKUP(B1164,Raw_Suppliers!$A$2:$G$101,7,FALSE)</f>
        <v>0</v>
      </c>
      <c r="P1164" t="str">
        <f t="shared" si="109"/>
        <v>No</v>
      </c>
      <c r="Q1164">
        <f t="shared" si="110"/>
        <v>0</v>
      </c>
      <c r="R1164" t="str">
        <f t="shared" si="111"/>
        <v>Late</v>
      </c>
      <c r="S1164">
        <f t="shared" si="112"/>
        <v>2023</v>
      </c>
      <c r="T1164">
        <f t="shared" si="113"/>
        <v>9</v>
      </c>
    </row>
    <row r="1165" spans="1:20" x14ac:dyDescent="0.25">
      <c r="A1165" t="s">
        <v>1472</v>
      </c>
      <c r="B1165" t="s">
        <v>186</v>
      </c>
      <c r="C1165" t="s">
        <v>363</v>
      </c>
      <c r="D1165" s="1">
        <v>45148</v>
      </c>
      <c r="E1165">
        <v>9</v>
      </c>
      <c r="F1165">
        <v>9.3916367604198694</v>
      </c>
      <c r="G1165" s="1">
        <v>45163</v>
      </c>
      <c r="H1165" s="1">
        <v>45161</v>
      </c>
      <c r="I1165">
        <v>84.524730843778798</v>
      </c>
      <c r="J1165">
        <f t="shared" si="108"/>
        <v>-2</v>
      </c>
      <c r="K1165" t="str">
        <f>VLOOKUP(B1165,Raw_Suppliers!$A$2:$G$101,2,FALSE)</f>
        <v>Omega Vertex Inc</v>
      </c>
      <c r="L1165" t="str">
        <f>VLOOKUP(B1165,Raw_Suppliers!$A$2:$G$101,3,FALSE)</f>
        <v>China</v>
      </c>
      <c r="M1165" t="str">
        <f>VLOOKUP(B1165,Raw_Suppliers!$A$2:$G$101,4,FALSE)</f>
        <v>West</v>
      </c>
      <c r="N1165" t="str">
        <f>VLOOKUP(B1165,Raw_Suppliers!$A$2:$G$101,6,FALSE)</f>
        <v>ISO 14001</v>
      </c>
      <c r="O1165">
        <f>VLOOKUP(B1165,Raw_Suppliers!$A$2:$G$101,7,FALSE)</f>
        <v>1</v>
      </c>
      <c r="P1165" t="str">
        <f t="shared" si="109"/>
        <v>Yes</v>
      </c>
      <c r="Q1165">
        <f t="shared" si="110"/>
        <v>1</v>
      </c>
      <c r="R1165" t="str">
        <f t="shared" si="111"/>
        <v>On Time</v>
      </c>
      <c r="S1165">
        <f t="shared" si="112"/>
        <v>2023</v>
      </c>
      <c r="T1165">
        <f t="shared" si="113"/>
        <v>8</v>
      </c>
    </row>
    <row r="1166" spans="1:20" x14ac:dyDescent="0.25">
      <c r="A1166" t="s">
        <v>1473</v>
      </c>
      <c r="B1166" t="s">
        <v>253</v>
      </c>
      <c r="C1166" t="s">
        <v>243</v>
      </c>
      <c r="D1166" s="1">
        <v>44547</v>
      </c>
      <c r="E1166">
        <v>9</v>
      </c>
      <c r="F1166">
        <v>54.0254361865777</v>
      </c>
      <c r="G1166" s="1">
        <v>44568</v>
      </c>
      <c r="H1166" s="1">
        <v>44572</v>
      </c>
      <c r="I1166">
        <v>486.22892567919899</v>
      </c>
      <c r="J1166">
        <f t="shared" si="108"/>
        <v>4</v>
      </c>
      <c r="K1166" t="str">
        <f>VLOOKUP(B1166,Raw_Suppliers!$A$2:$G$101,2,FALSE)</f>
        <v>Vertex Apex Ltd</v>
      </c>
      <c r="L1166" t="str">
        <f>VLOOKUP(B1166,Raw_Suppliers!$A$2:$G$101,3,FALSE)</f>
        <v>Brazil</v>
      </c>
      <c r="M1166" t="str">
        <f>VLOOKUP(B1166,Raw_Suppliers!$A$2:$G$101,4,FALSE)</f>
        <v>South</v>
      </c>
      <c r="N1166" t="str">
        <f>VLOOKUP(B1166,Raw_Suppliers!$A$2:$G$101,6,FALSE)</f>
        <v>None</v>
      </c>
      <c r="O1166">
        <f>VLOOKUP(B1166,Raw_Suppliers!$A$2:$G$101,7,FALSE)</f>
        <v>1</v>
      </c>
      <c r="P1166" t="str">
        <f t="shared" si="109"/>
        <v>Yes</v>
      </c>
      <c r="Q1166">
        <f t="shared" si="110"/>
        <v>0</v>
      </c>
      <c r="R1166" t="str">
        <f t="shared" si="111"/>
        <v>Late</v>
      </c>
      <c r="S1166">
        <f t="shared" si="112"/>
        <v>2021</v>
      </c>
      <c r="T1166">
        <f t="shared" si="113"/>
        <v>12</v>
      </c>
    </row>
    <row r="1167" spans="1:20" x14ac:dyDescent="0.25">
      <c r="A1167" t="s">
        <v>1474</v>
      </c>
      <c r="B1167" t="s">
        <v>203</v>
      </c>
      <c r="C1167" t="s">
        <v>136</v>
      </c>
      <c r="D1167" s="1">
        <v>44991</v>
      </c>
      <c r="E1167">
        <v>10</v>
      </c>
      <c r="F1167">
        <v>6.6948299775411897</v>
      </c>
      <c r="G1167" s="1">
        <v>45002</v>
      </c>
      <c r="H1167" s="1">
        <v>45004</v>
      </c>
      <c r="I1167">
        <v>66.948299775411897</v>
      </c>
      <c r="J1167">
        <f t="shared" si="108"/>
        <v>2</v>
      </c>
      <c r="K1167" t="str">
        <f>VLOOKUP(B1167,Raw_Suppliers!$A$2:$G$101,2,FALSE)</f>
        <v>Nova Eco LLC</v>
      </c>
      <c r="L1167" t="str">
        <f>VLOOKUP(B1167,Raw_Suppliers!$A$2:$G$101,3,FALSE)</f>
        <v>Denmark</v>
      </c>
      <c r="M1167" t="str">
        <f>VLOOKUP(B1167,Raw_Suppliers!$A$2:$G$101,4,FALSE)</f>
        <v>South</v>
      </c>
      <c r="N1167" t="str">
        <f>VLOOKUP(B1167,Raw_Suppliers!$A$2:$G$101,6,FALSE)</f>
        <v>ISO 14001</v>
      </c>
      <c r="O1167">
        <f>VLOOKUP(B1167,Raw_Suppliers!$A$2:$G$101,7,FALSE)</f>
        <v>0</v>
      </c>
      <c r="P1167" t="str">
        <f t="shared" si="109"/>
        <v>No</v>
      </c>
      <c r="Q1167">
        <f t="shared" si="110"/>
        <v>0</v>
      </c>
      <c r="R1167" t="str">
        <f t="shared" si="111"/>
        <v>Late</v>
      </c>
      <c r="S1167">
        <f t="shared" si="112"/>
        <v>2023</v>
      </c>
      <c r="T1167">
        <f t="shared" si="113"/>
        <v>3</v>
      </c>
    </row>
    <row r="1168" spans="1:20" x14ac:dyDescent="0.25">
      <c r="A1168" t="s">
        <v>1475</v>
      </c>
      <c r="B1168" t="s">
        <v>19</v>
      </c>
      <c r="C1168" t="s">
        <v>290</v>
      </c>
      <c r="D1168" s="1">
        <v>45189</v>
      </c>
      <c r="E1168">
        <v>11</v>
      </c>
      <c r="F1168">
        <v>79.797278151538606</v>
      </c>
      <c r="G1168" s="1">
        <v>45200</v>
      </c>
      <c r="H1168" s="1">
        <v>45198</v>
      </c>
      <c r="I1168">
        <v>877.77005966692502</v>
      </c>
      <c r="J1168">
        <f t="shared" si="108"/>
        <v>-2</v>
      </c>
      <c r="K1168" t="str">
        <f>VLOOKUP(B1168,Raw_Suppliers!$A$2:$G$101,2,FALSE)</f>
        <v>Nova Beta Corp</v>
      </c>
      <c r="L1168" t="str">
        <f>VLOOKUP(B1168,Raw_Suppliers!$A$2:$G$101,3,FALSE)</f>
        <v>Brazil</v>
      </c>
      <c r="M1168" t="str">
        <f>VLOOKUP(B1168,Raw_Suppliers!$A$2:$G$101,4,FALSE)</f>
        <v>South</v>
      </c>
      <c r="N1168" t="str">
        <f>VLOOKUP(B1168,Raw_Suppliers!$A$2:$G$101,6,FALSE)</f>
        <v>ISO 14001</v>
      </c>
      <c r="O1168">
        <f>VLOOKUP(B1168,Raw_Suppliers!$A$2:$G$101,7,FALSE)</f>
        <v>1</v>
      </c>
      <c r="P1168" t="str">
        <f t="shared" si="109"/>
        <v>Yes</v>
      </c>
      <c r="Q1168">
        <f t="shared" si="110"/>
        <v>1</v>
      </c>
      <c r="R1168" t="str">
        <f t="shared" si="111"/>
        <v>On Time</v>
      </c>
      <c r="S1168">
        <f t="shared" si="112"/>
        <v>2023</v>
      </c>
      <c r="T1168">
        <f t="shared" si="113"/>
        <v>9</v>
      </c>
    </row>
    <row r="1169" spans="1:20" x14ac:dyDescent="0.25">
      <c r="A1169" t="s">
        <v>1476</v>
      </c>
      <c r="B1169" t="s">
        <v>70</v>
      </c>
      <c r="C1169" t="s">
        <v>283</v>
      </c>
      <c r="D1169" s="1">
        <v>44382</v>
      </c>
      <c r="E1169">
        <v>17</v>
      </c>
      <c r="F1169">
        <v>40.876541890506999</v>
      </c>
      <c r="G1169" s="1">
        <v>44401</v>
      </c>
      <c r="H1169" s="1">
        <v>44406</v>
      </c>
      <c r="I1169">
        <v>694.90121213861903</v>
      </c>
      <c r="J1169">
        <f t="shared" si="108"/>
        <v>5</v>
      </c>
      <c r="K1169" t="str">
        <f>VLOOKUP(B1169,Raw_Suppliers!$A$2:$G$101,2,FALSE)</f>
        <v>Prime Nano Ltd</v>
      </c>
      <c r="L1169" t="str">
        <f>VLOOKUP(B1169,Raw_Suppliers!$A$2:$G$101,3,FALSE)</f>
        <v>USA</v>
      </c>
      <c r="M1169" t="str">
        <f>VLOOKUP(B1169,Raw_Suppliers!$A$2:$G$101,4,FALSE)</f>
        <v>Central</v>
      </c>
      <c r="N1169" t="str">
        <f>VLOOKUP(B1169,Raw_Suppliers!$A$2:$G$101,6,FALSE)</f>
        <v>ISO 45001</v>
      </c>
      <c r="O1169">
        <f>VLOOKUP(B1169,Raw_Suppliers!$A$2:$G$101,7,FALSE)</f>
        <v>0</v>
      </c>
      <c r="P1169" t="str">
        <f t="shared" si="109"/>
        <v>No</v>
      </c>
      <c r="Q1169">
        <f t="shared" si="110"/>
        <v>0</v>
      </c>
      <c r="R1169" t="str">
        <f t="shared" si="111"/>
        <v>Late</v>
      </c>
      <c r="S1169">
        <f t="shared" si="112"/>
        <v>2021</v>
      </c>
      <c r="T1169">
        <f t="shared" si="113"/>
        <v>7</v>
      </c>
    </row>
    <row r="1170" spans="1:20" x14ac:dyDescent="0.25">
      <c r="A1170" t="s">
        <v>1477</v>
      </c>
      <c r="B1170" t="s">
        <v>124</v>
      </c>
      <c r="C1170" t="s">
        <v>187</v>
      </c>
      <c r="D1170" s="1">
        <v>44693</v>
      </c>
      <c r="E1170">
        <v>19</v>
      </c>
      <c r="F1170">
        <v>40.340214684562099</v>
      </c>
      <c r="G1170" s="1">
        <v>44710</v>
      </c>
      <c r="H1170" s="1">
        <v>44712</v>
      </c>
      <c r="I1170">
        <v>766.46407900667998</v>
      </c>
      <c r="J1170">
        <f t="shared" si="108"/>
        <v>2</v>
      </c>
      <c r="K1170" t="str">
        <f>VLOOKUP(B1170,Raw_Suppliers!$A$2:$G$101,2,FALSE)</f>
        <v>Vertex Delta Inc</v>
      </c>
      <c r="L1170" t="str">
        <f>VLOOKUP(B1170,Raw_Suppliers!$A$2:$G$101,3,FALSE)</f>
        <v>Germany</v>
      </c>
      <c r="M1170" t="str">
        <f>VLOOKUP(B1170,Raw_Suppliers!$A$2:$G$101,4,FALSE)</f>
        <v>South</v>
      </c>
      <c r="N1170" t="str">
        <f>VLOOKUP(B1170,Raw_Suppliers!$A$2:$G$101,6,FALSE)</f>
        <v>ISO 9001</v>
      </c>
      <c r="O1170">
        <f>VLOOKUP(B1170,Raw_Suppliers!$A$2:$G$101,7,FALSE)</f>
        <v>0</v>
      </c>
      <c r="P1170" t="str">
        <f t="shared" si="109"/>
        <v>No</v>
      </c>
      <c r="Q1170">
        <f t="shared" si="110"/>
        <v>0</v>
      </c>
      <c r="R1170" t="str">
        <f t="shared" si="111"/>
        <v>Late</v>
      </c>
      <c r="S1170">
        <f t="shared" si="112"/>
        <v>2022</v>
      </c>
      <c r="T1170">
        <f t="shared" si="113"/>
        <v>5</v>
      </c>
    </row>
    <row r="1171" spans="1:20" x14ac:dyDescent="0.25">
      <c r="A1171" t="s">
        <v>1478</v>
      </c>
      <c r="B1171" t="s">
        <v>130</v>
      </c>
      <c r="C1171" t="s">
        <v>254</v>
      </c>
      <c r="D1171" s="1">
        <v>44593</v>
      </c>
      <c r="E1171">
        <v>12</v>
      </c>
      <c r="F1171">
        <v>15.7234969850802</v>
      </c>
      <c r="G1171" s="1">
        <v>44606</v>
      </c>
      <c r="H1171" s="1">
        <v>44606</v>
      </c>
      <c r="I1171">
        <v>188.68196382096301</v>
      </c>
      <c r="J1171">
        <f t="shared" si="108"/>
        <v>0</v>
      </c>
      <c r="K1171" t="str">
        <f>VLOOKUP(B1171,Raw_Suppliers!$A$2:$G$101,2,FALSE)</f>
        <v>Beta Gamma Corp</v>
      </c>
      <c r="L1171" t="str">
        <f>VLOOKUP(B1171,Raw_Suppliers!$A$2:$G$101,3,FALSE)</f>
        <v>USA</v>
      </c>
      <c r="M1171" t="str">
        <f>VLOOKUP(B1171,Raw_Suppliers!$A$2:$G$101,4,FALSE)</f>
        <v>West</v>
      </c>
      <c r="N1171" t="str">
        <f>VLOOKUP(B1171,Raw_Suppliers!$A$2:$G$101,6,FALSE)</f>
        <v>None</v>
      </c>
      <c r="O1171">
        <f>VLOOKUP(B1171,Raw_Suppliers!$A$2:$G$101,7,FALSE)</f>
        <v>0</v>
      </c>
      <c r="P1171" t="str">
        <f t="shared" si="109"/>
        <v>No</v>
      </c>
      <c r="Q1171">
        <f t="shared" si="110"/>
        <v>1</v>
      </c>
      <c r="R1171" t="str">
        <f t="shared" si="111"/>
        <v>On Time</v>
      </c>
      <c r="S1171">
        <f t="shared" si="112"/>
        <v>2022</v>
      </c>
      <c r="T1171">
        <f t="shared" si="113"/>
        <v>2</v>
      </c>
    </row>
    <row r="1172" spans="1:20" x14ac:dyDescent="0.25">
      <c r="A1172" t="s">
        <v>1479</v>
      </c>
      <c r="B1172" t="s">
        <v>37</v>
      </c>
      <c r="C1172" t="s">
        <v>383</v>
      </c>
      <c r="D1172" s="1">
        <v>44687</v>
      </c>
      <c r="E1172">
        <v>12</v>
      </c>
      <c r="F1172">
        <v>18.721015347875198</v>
      </c>
      <c r="G1172" s="1">
        <v>44700</v>
      </c>
      <c r="H1172" s="1">
        <v>44705</v>
      </c>
      <c r="I1172">
        <v>224.652184174502</v>
      </c>
      <c r="J1172">
        <f t="shared" si="108"/>
        <v>5</v>
      </c>
      <c r="K1172" t="str">
        <f>VLOOKUP(B1172,Raw_Suppliers!$A$2:$G$101,2,FALSE)</f>
        <v>Apex Apex Ltd</v>
      </c>
      <c r="L1172" t="str">
        <f>VLOOKUP(B1172,Raw_Suppliers!$A$2:$G$101,3,FALSE)</f>
        <v>Canada</v>
      </c>
      <c r="M1172" t="str">
        <f>VLOOKUP(B1172,Raw_Suppliers!$A$2:$G$101,4,FALSE)</f>
        <v>East</v>
      </c>
      <c r="N1172" t="str">
        <f>VLOOKUP(B1172,Raw_Suppliers!$A$2:$G$101,6,FALSE)</f>
        <v>ISO 9001</v>
      </c>
      <c r="O1172">
        <f>VLOOKUP(B1172,Raw_Suppliers!$A$2:$G$101,7,FALSE)</f>
        <v>1</v>
      </c>
      <c r="P1172" t="str">
        <f t="shared" si="109"/>
        <v>Yes</v>
      </c>
      <c r="Q1172">
        <f t="shared" si="110"/>
        <v>0</v>
      </c>
      <c r="R1172" t="str">
        <f t="shared" si="111"/>
        <v>Late</v>
      </c>
      <c r="S1172">
        <f t="shared" si="112"/>
        <v>2022</v>
      </c>
      <c r="T1172">
        <f t="shared" si="113"/>
        <v>5</v>
      </c>
    </row>
    <row r="1173" spans="1:20" x14ac:dyDescent="0.25">
      <c r="A1173" t="s">
        <v>1480</v>
      </c>
      <c r="B1173" t="s">
        <v>261</v>
      </c>
      <c r="C1173" t="s">
        <v>228</v>
      </c>
      <c r="D1173" s="1">
        <v>44737</v>
      </c>
      <c r="E1173">
        <v>16</v>
      </c>
      <c r="F1173">
        <v>24.7473687385977</v>
      </c>
      <c r="G1173" s="1">
        <v>44753</v>
      </c>
      <c r="H1173" s="1">
        <v>44754</v>
      </c>
      <c r="I1173">
        <v>395.95789981756297</v>
      </c>
      <c r="J1173">
        <f t="shared" si="108"/>
        <v>1</v>
      </c>
      <c r="K1173" t="str">
        <f>VLOOKUP(B1173,Raw_Suppliers!$A$2:$G$101,2,FALSE)</f>
        <v>Delta Fusion Corp</v>
      </c>
      <c r="L1173" t="str">
        <f>VLOOKUP(B1173,Raw_Suppliers!$A$2:$G$101,3,FALSE)</f>
        <v>Denmark</v>
      </c>
      <c r="M1173" t="str">
        <f>VLOOKUP(B1173,Raw_Suppliers!$A$2:$G$101,4,FALSE)</f>
        <v>West</v>
      </c>
      <c r="N1173" t="str">
        <f>VLOOKUP(B1173,Raw_Suppliers!$A$2:$G$101,6,FALSE)</f>
        <v>ISO 45001</v>
      </c>
      <c r="O1173">
        <f>VLOOKUP(B1173,Raw_Suppliers!$A$2:$G$101,7,FALSE)</f>
        <v>0</v>
      </c>
      <c r="P1173" t="str">
        <f t="shared" si="109"/>
        <v>No</v>
      </c>
      <c r="Q1173">
        <f t="shared" si="110"/>
        <v>0</v>
      </c>
      <c r="R1173" t="str">
        <f t="shared" si="111"/>
        <v>Late</v>
      </c>
      <c r="S1173">
        <f t="shared" si="112"/>
        <v>2022</v>
      </c>
      <c r="T1173">
        <f t="shared" si="113"/>
        <v>6</v>
      </c>
    </row>
    <row r="1174" spans="1:20" x14ac:dyDescent="0.25">
      <c r="A1174" t="s">
        <v>1481</v>
      </c>
      <c r="B1174" t="s">
        <v>686</v>
      </c>
      <c r="C1174" t="s">
        <v>53</v>
      </c>
      <c r="D1174" s="1">
        <v>44346</v>
      </c>
      <c r="E1174">
        <v>17</v>
      </c>
      <c r="F1174">
        <v>74.212131074353096</v>
      </c>
      <c r="G1174" s="1">
        <v>44362</v>
      </c>
      <c r="H1174" s="1">
        <v>44360</v>
      </c>
      <c r="I1174">
        <v>1261.606228264</v>
      </c>
      <c r="J1174">
        <f t="shared" si="108"/>
        <v>-2</v>
      </c>
      <c r="K1174" t="str">
        <f>VLOOKUP(B1174,Raw_Suppliers!$A$2:$G$101,2,FALSE)</f>
        <v>Eco Gamma GmbH</v>
      </c>
      <c r="L1174" t="str">
        <f>VLOOKUP(B1174,Raw_Suppliers!$A$2:$G$101,3,FALSE)</f>
        <v>China</v>
      </c>
      <c r="M1174" t="str">
        <f>VLOOKUP(B1174,Raw_Suppliers!$A$2:$G$101,4,FALSE)</f>
        <v>South</v>
      </c>
      <c r="N1174" t="str">
        <f>VLOOKUP(B1174,Raw_Suppliers!$A$2:$G$101,6,FALSE)</f>
        <v>ISO 9001</v>
      </c>
      <c r="O1174">
        <f>VLOOKUP(B1174,Raw_Suppliers!$A$2:$G$101,7,FALSE)</f>
        <v>0</v>
      </c>
      <c r="P1174" t="str">
        <f t="shared" si="109"/>
        <v>No</v>
      </c>
      <c r="Q1174">
        <f t="shared" si="110"/>
        <v>1</v>
      </c>
      <c r="R1174" t="str">
        <f t="shared" si="111"/>
        <v>On Time</v>
      </c>
      <c r="S1174">
        <f t="shared" si="112"/>
        <v>2021</v>
      </c>
      <c r="T1174">
        <f t="shared" si="113"/>
        <v>5</v>
      </c>
    </row>
    <row r="1175" spans="1:20" x14ac:dyDescent="0.25">
      <c r="A1175" t="s">
        <v>1482</v>
      </c>
      <c r="B1175" t="s">
        <v>205</v>
      </c>
      <c r="C1175" t="s">
        <v>32</v>
      </c>
      <c r="D1175" s="1">
        <v>44788</v>
      </c>
      <c r="E1175">
        <v>11</v>
      </c>
      <c r="F1175">
        <v>36.606625998270601</v>
      </c>
      <c r="G1175" s="1">
        <v>44805</v>
      </c>
      <c r="H1175" s="1">
        <v>44808</v>
      </c>
      <c r="I1175">
        <v>402.67288598097701</v>
      </c>
      <c r="J1175">
        <f t="shared" si="108"/>
        <v>3</v>
      </c>
      <c r="K1175" t="str">
        <f>VLOOKUP(B1175,Raw_Suppliers!$A$2:$G$101,2,FALSE)</f>
        <v>Ultra Eco LLC</v>
      </c>
      <c r="L1175" t="str">
        <f>VLOOKUP(B1175,Raw_Suppliers!$A$2:$G$101,3,FALSE)</f>
        <v>China</v>
      </c>
      <c r="M1175" t="str">
        <f>VLOOKUP(B1175,Raw_Suppliers!$A$2:$G$101,4,FALSE)</f>
        <v>South</v>
      </c>
      <c r="N1175" t="str">
        <f>VLOOKUP(B1175,Raw_Suppliers!$A$2:$G$101,6,FALSE)</f>
        <v>ISO 14001</v>
      </c>
      <c r="O1175">
        <f>VLOOKUP(B1175,Raw_Suppliers!$A$2:$G$101,7,FALSE)</f>
        <v>1</v>
      </c>
      <c r="P1175" t="str">
        <f t="shared" si="109"/>
        <v>Yes</v>
      </c>
      <c r="Q1175">
        <f t="shared" si="110"/>
        <v>0</v>
      </c>
      <c r="R1175" t="str">
        <f t="shared" si="111"/>
        <v>Late</v>
      </c>
      <c r="S1175">
        <f t="shared" si="112"/>
        <v>2022</v>
      </c>
      <c r="T1175">
        <f t="shared" si="113"/>
        <v>8</v>
      </c>
    </row>
    <row r="1176" spans="1:20" x14ac:dyDescent="0.25">
      <c r="A1176" t="s">
        <v>1483</v>
      </c>
      <c r="B1176" t="s">
        <v>82</v>
      </c>
      <c r="C1176" t="s">
        <v>594</v>
      </c>
      <c r="D1176" s="1">
        <v>45097</v>
      </c>
      <c r="E1176">
        <v>13</v>
      </c>
      <c r="F1176">
        <v>54.591936609088201</v>
      </c>
      <c r="G1176" s="1">
        <v>45111</v>
      </c>
      <c r="H1176" s="1">
        <v>45110</v>
      </c>
      <c r="I1176">
        <v>709.69517591814702</v>
      </c>
      <c r="J1176">
        <f t="shared" si="108"/>
        <v>-1</v>
      </c>
      <c r="K1176" t="str">
        <f>VLOOKUP(B1176,Raw_Suppliers!$A$2:$G$101,2,FALSE)</f>
        <v>Gamma Quantum LLC</v>
      </c>
      <c r="L1176" t="str">
        <f>VLOOKUP(B1176,Raw_Suppliers!$A$2:$G$101,3,FALSE)</f>
        <v>Canada</v>
      </c>
      <c r="M1176" t="str">
        <f>VLOOKUP(B1176,Raw_Suppliers!$A$2:$G$101,4,FALSE)</f>
        <v>Central</v>
      </c>
      <c r="N1176" t="str">
        <f>VLOOKUP(B1176,Raw_Suppliers!$A$2:$G$101,6,FALSE)</f>
        <v>None</v>
      </c>
      <c r="O1176">
        <f>VLOOKUP(B1176,Raw_Suppliers!$A$2:$G$101,7,FALSE)</f>
        <v>1</v>
      </c>
      <c r="P1176" t="str">
        <f t="shared" si="109"/>
        <v>Yes</v>
      </c>
      <c r="Q1176">
        <f t="shared" si="110"/>
        <v>1</v>
      </c>
      <c r="R1176" t="str">
        <f t="shared" si="111"/>
        <v>On Time</v>
      </c>
      <c r="S1176">
        <f t="shared" si="112"/>
        <v>2023</v>
      </c>
      <c r="T1176">
        <f t="shared" si="113"/>
        <v>6</v>
      </c>
    </row>
    <row r="1177" spans="1:20" x14ac:dyDescent="0.25">
      <c r="A1177" t="s">
        <v>1484</v>
      </c>
      <c r="B1177" t="s">
        <v>295</v>
      </c>
      <c r="C1177" t="s">
        <v>136</v>
      </c>
      <c r="D1177" s="1">
        <v>44634</v>
      </c>
      <c r="E1177">
        <v>10</v>
      </c>
      <c r="F1177">
        <v>22.1592969595116</v>
      </c>
      <c r="G1177" s="1">
        <v>44654</v>
      </c>
      <c r="H1177" s="1">
        <v>44656</v>
      </c>
      <c r="I1177">
        <v>221.59296959511599</v>
      </c>
      <c r="J1177">
        <f t="shared" si="108"/>
        <v>2</v>
      </c>
      <c r="K1177" t="str">
        <f>VLOOKUP(B1177,Raw_Suppliers!$A$2:$G$101,2,FALSE)</f>
        <v>Delta Quantum GmbH</v>
      </c>
      <c r="L1177" t="str">
        <f>VLOOKUP(B1177,Raw_Suppliers!$A$2:$G$101,3,FALSE)</f>
        <v>Brazil</v>
      </c>
      <c r="M1177" t="str">
        <f>VLOOKUP(B1177,Raw_Suppliers!$A$2:$G$101,4,FALSE)</f>
        <v>North</v>
      </c>
      <c r="N1177" t="str">
        <f>VLOOKUP(B1177,Raw_Suppliers!$A$2:$G$101,6,FALSE)</f>
        <v>ISO 9001</v>
      </c>
      <c r="O1177">
        <f>VLOOKUP(B1177,Raw_Suppliers!$A$2:$G$101,7,FALSE)</f>
        <v>1</v>
      </c>
      <c r="P1177" t="str">
        <f t="shared" si="109"/>
        <v>Yes</v>
      </c>
      <c r="Q1177">
        <f t="shared" si="110"/>
        <v>0</v>
      </c>
      <c r="R1177" t="str">
        <f t="shared" si="111"/>
        <v>Late</v>
      </c>
      <c r="S1177">
        <f t="shared" si="112"/>
        <v>2022</v>
      </c>
      <c r="T1177">
        <f t="shared" si="113"/>
        <v>3</v>
      </c>
    </row>
    <row r="1178" spans="1:20" x14ac:dyDescent="0.25">
      <c r="A1178" t="s">
        <v>1485</v>
      </c>
      <c r="B1178" t="s">
        <v>104</v>
      </c>
      <c r="C1178" t="s">
        <v>421</v>
      </c>
      <c r="D1178" s="1">
        <v>45388</v>
      </c>
      <c r="E1178">
        <v>6</v>
      </c>
      <c r="F1178">
        <v>32.657749876910202</v>
      </c>
      <c r="G1178" s="1">
        <v>45401</v>
      </c>
      <c r="H1178" s="1">
        <v>45400</v>
      </c>
      <c r="I1178">
        <v>195.94649926146101</v>
      </c>
      <c r="J1178">
        <f t="shared" si="108"/>
        <v>-1</v>
      </c>
      <c r="K1178" t="str">
        <f>VLOOKUP(B1178,Raw_Suppliers!$A$2:$G$101,2,FALSE)</f>
        <v>Prime Omega Corp</v>
      </c>
      <c r="L1178" t="str">
        <f>VLOOKUP(B1178,Raw_Suppliers!$A$2:$G$101,3,FALSE)</f>
        <v>India</v>
      </c>
      <c r="M1178" t="str">
        <f>VLOOKUP(B1178,Raw_Suppliers!$A$2:$G$101,4,FALSE)</f>
        <v>Central</v>
      </c>
      <c r="N1178" t="str">
        <f>VLOOKUP(B1178,Raw_Suppliers!$A$2:$G$101,6,FALSE)</f>
        <v>ISO 14001</v>
      </c>
      <c r="O1178">
        <f>VLOOKUP(B1178,Raw_Suppliers!$A$2:$G$101,7,FALSE)</f>
        <v>0</v>
      </c>
      <c r="P1178" t="str">
        <f t="shared" si="109"/>
        <v>No</v>
      </c>
      <c r="Q1178">
        <f t="shared" si="110"/>
        <v>1</v>
      </c>
      <c r="R1178" t="str">
        <f t="shared" si="111"/>
        <v>On Time</v>
      </c>
      <c r="S1178">
        <f t="shared" si="112"/>
        <v>2024</v>
      </c>
      <c r="T1178">
        <f t="shared" si="113"/>
        <v>4</v>
      </c>
    </row>
    <row r="1179" spans="1:20" x14ac:dyDescent="0.25">
      <c r="A1179" t="s">
        <v>1486</v>
      </c>
      <c r="B1179" t="s">
        <v>96</v>
      </c>
      <c r="C1179" t="s">
        <v>100</v>
      </c>
      <c r="D1179" s="1">
        <v>44889</v>
      </c>
      <c r="E1179">
        <v>10</v>
      </c>
      <c r="F1179">
        <v>8.3506137361375803</v>
      </c>
      <c r="G1179" s="1">
        <v>44905</v>
      </c>
      <c r="H1179" s="1">
        <v>44904</v>
      </c>
      <c r="I1179">
        <v>83.506137361375806</v>
      </c>
      <c r="J1179">
        <f t="shared" si="108"/>
        <v>-1</v>
      </c>
      <c r="K1179" t="str">
        <f>VLOOKUP(B1179,Raw_Suppliers!$A$2:$G$101,2,FALSE)</f>
        <v>Alpha Nova Ltd</v>
      </c>
      <c r="L1179" t="str">
        <f>VLOOKUP(B1179,Raw_Suppliers!$A$2:$G$101,3,FALSE)</f>
        <v>UK</v>
      </c>
      <c r="M1179" t="str">
        <f>VLOOKUP(B1179,Raw_Suppliers!$A$2:$G$101,4,FALSE)</f>
        <v>West</v>
      </c>
      <c r="N1179" t="str">
        <f>VLOOKUP(B1179,Raw_Suppliers!$A$2:$G$101,6,FALSE)</f>
        <v>ISO 14001</v>
      </c>
      <c r="O1179">
        <f>VLOOKUP(B1179,Raw_Suppliers!$A$2:$G$101,7,FALSE)</f>
        <v>0</v>
      </c>
      <c r="P1179" t="str">
        <f t="shared" si="109"/>
        <v>No</v>
      </c>
      <c r="Q1179">
        <f t="shared" si="110"/>
        <v>1</v>
      </c>
      <c r="R1179" t="str">
        <f t="shared" si="111"/>
        <v>On Time</v>
      </c>
      <c r="S1179">
        <f t="shared" si="112"/>
        <v>2022</v>
      </c>
      <c r="T1179">
        <f t="shared" si="113"/>
        <v>11</v>
      </c>
    </row>
    <row r="1180" spans="1:20" x14ac:dyDescent="0.25">
      <c r="A1180" t="s">
        <v>1487</v>
      </c>
      <c r="B1180" t="s">
        <v>686</v>
      </c>
      <c r="C1180" t="s">
        <v>396</v>
      </c>
      <c r="D1180" s="1">
        <v>44596</v>
      </c>
      <c r="E1180">
        <v>9</v>
      </c>
      <c r="F1180">
        <v>73.941827150674499</v>
      </c>
      <c r="G1180" s="1">
        <v>44611</v>
      </c>
      <c r="H1180" s="1">
        <v>44614</v>
      </c>
      <c r="I1180">
        <v>665.47644435607106</v>
      </c>
      <c r="J1180">
        <f t="shared" si="108"/>
        <v>3</v>
      </c>
      <c r="K1180" t="str">
        <f>VLOOKUP(B1180,Raw_Suppliers!$A$2:$G$101,2,FALSE)</f>
        <v>Eco Gamma GmbH</v>
      </c>
      <c r="L1180" t="str">
        <f>VLOOKUP(B1180,Raw_Suppliers!$A$2:$G$101,3,FALSE)</f>
        <v>China</v>
      </c>
      <c r="M1180" t="str">
        <f>VLOOKUP(B1180,Raw_Suppliers!$A$2:$G$101,4,FALSE)</f>
        <v>South</v>
      </c>
      <c r="N1180" t="str">
        <f>VLOOKUP(B1180,Raw_Suppliers!$A$2:$G$101,6,FALSE)</f>
        <v>ISO 9001</v>
      </c>
      <c r="O1180">
        <f>VLOOKUP(B1180,Raw_Suppliers!$A$2:$G$101,7,FALSE)</f>
        <v>0</v>
      </c>
      <c r="P1180" t="str">
        <f t="shared" si="109"/>
        <v>No</v>
      </c>
      <c r="Q1180">
        <f t="shared" si="110"/>
        <v>0</v>
      </c>
      <c r="R1180" t="str">
        <f t="shared" si="111"/>
        <v>Late</v>
      </c>
      <c r="S1180">
        <f t="shared" si="112"/>
        <v>2022</v>
      </c>
      <c r="T1180">
        <f t="shared" si="113"/>
        <v>2</v>
      </c>
    </row>
    <row r="1181" spans="1:20" x14ac:dyDescent="0.25">
      <c r="A1181" t="s">
        <v>1488</v>
      </c>
      <c r="B1181" t="s">
        <v>179</v>
      </c>
      <c r="C1181" t="s">
        <v>155</v>
      </c>
      <c r="D1181" s="1">
        <v>44816</v>
      </c>
      <c r="E1181">
        <v>12</v>
      </c>
      <c r="F1181">
        <v>53.672544115136198</v>
      </c>
      <c r="G1181" s="1">
        <v>44833</v>
      </c>
      <c r="H1181" s="1">
        <v>44839</v>
      </c>
      <c r="I1181">
        <v>644.07052938163497</v>
      </c>
      <c r="J1181">
        <f t="shared" si="108"/>
        <v>6</v>
      </c>
      <c r="K1181" t="str">
        <f>VLOOKUP(B1181,Raw_Suppliers!$A$2:$G$101,2,FALSE)</f>
        <v>Nova Gamma Ltd</v>
      </c>
      <c r="L1181" t="str">
        <f>VLOOKUP(B1181,Raw_Suppliers!$A$2:$G$101,3,FALSE)</f>
        <v>Denmark</v>
      </c>
      <c r="M1181" t="str">
        <f>VLOOKUP(B1181,Raw_Suppliers!$A$2:$G$101,4,FALSE)</f>
        <v>East</v>
      </c>
      <c r="N1181" t="str">
        <f>VLOOKUP(B1181,Raw_Suppliers!$A$2:$G$101,6,FALSE)</f>
        <v>ISO 9001</v>
      </c>
      <c r="O1181">
        <f>VLOOKUP(B1181,Raw_Suppliers!$A$2:$G$101,7,FALSE)</f>
        <v>0</v>
      </c>
      <c r="P1181" t="str">
        <f t="shared" si="109"/>
        <v>No</v>
      </c>
      <c r="Q1181">
        <f t="shared" si="110"/>
        <v>0</v>
      </c>
      <c r="R1181" t="str">
        <f t="shared" si="111"/>
        <v>Late</v>
      </c>
      <c r="S1181">
        <f t="shared" si="112"/>
        <v>2022</v>
      </c>
      <c r="T1181">
        <f t="shared" si="113"/>
        <v>9</v>
      </c>
    </row>
    <row r="1182" spans="1:20" x14ac:dyDescent="0.25">
      <c r="A1182" t="s">
        <v>1489</v>
      </c>
      <c r="B1182" t="s">
        <v>411</v>
      </c>
      <c r="C1182" t="s">
        <v>92</v>
      </c>
      <c r="D1182" s="1">
        <v>44783</v>
      </c>
      <c r="E1182">
        <v>10</v>
      </c>
      <c r="F1182">
        <v>3.0479058126465999</v>
      </c>
      <c r="G1182" s="1">
        <v>44804</v>
      </c>
      <c r="H1182" s="1">
        <v>44808</v>
      </c>
      <c r="I1182">
        <v>30.479058126466001</v>
      </c>
      <c r="J1182">
        <f t="shared" si="108"/>
        <v>4</v>
      </c>
      <c r="K1182" t="str">
        <f>VLOOKUP(B1182,Raw_Suppliers!$A$2:$G$101,2,FALSE)</f>
        <v>Gamma Nova LLC</v>
      </c>
      <c r="L1182" t="str">
        <f>VLOOKUP(B1182,Raw_Suppliers!$A$2:$G$101,3,FALSE)</f>
        <v>Brazil</v>
      </c>
      <c r="M1182" t="str">
        <f>VLOOKUP(B1182,Raw_Suppliers!$A$2:$G$101,4,FALSE)</f>
        <v>North</v>
      </c>
      <c r="N1182" t="str">
        <f>VLOOKUP(B1182,Raw_Suppliers!$A$2:$G$101,6,FALSE)</f>
        <v>ISO 14001</v>
      </c>
      <c r="O1182">
        <f>VLOOKUP(B1182,Raw_Suppliers!$A$2:$G$101,7,FALSE)</f>
        <v>1</v>
      </c>
      <c r="P1182" t="str">
        <f t="shared" si="109"/>
        <v>Yes</v>
      </c>
      <c r="Q1182">
        <f t="shared" si="110"/>
        <v>0</v>
      </c>
      <c r="R1182" t="str">
        <f t="shared" si="111"/>
        <v>Late</v>
      </c>
      <c r="S1182">
        <f t="shared" si="112"/>
        <v>2022</v>
      </c>
      <c r="T1182">
        <f t="shared" si="113"/>
        <v>8</v>
      </c>
    </row>
    <row r="1183" spans="1:20" x14ac:dyDescent="0.25">
      <c r="A1183" t="s">
        <v>1490</v>
      </c>
      <c r="B1183" t="s">
        <v>340</v>
      </c>
      <c r="C1183" t="s">
        <v>353</v>
      </c>
      <c r="D1183" s="1">
        <v>45303</v>
      </c>
      <c r="E1183">
        <v>15</v>
      </c>
      <c r="F1183">
        <v>49.124843797526701</v>
      </c>
      <c r="G1183" s="1">
        <v>45320</v>
      </c>
      <c r="H1183" s="1">
        <v>45323</v>
      </c>
      <c r="I1183">
        <v>736.87265696290001</v>
      </c>
      <c r="J1183">
        <f t="shared" si="108"/>
        <v>3</v>
      </c>
      <c r="K1183" t="str">
        <f>VLOOKUP(B1183,Raw_Suppliers!$A$2:$G$101,2,FALSE)</f>
        <v>Pioneer Ultra GmbH</v>
      </c>
      <c r="L1183" t="str">
        <f>VLOOKUP(B1183,Raw_Suppliers!$A$2:$G$101,3,FALSE)</f>
        <v>China</v>
      </c>
      <c r="M1183" t="str">
        <f>VLOOKUP(B1183,Raw_Suppliers!$A$2:$G$101,4,FALSE)</f>
        <v>Central</v>
      </c>
      <c r="N1183" t="str">
        <f>VLOOKUP(B1183,Raw_Suppliers!$A$2:$G$101,6,FALSE)</f>
        <v>ISO 9001</v>
      </c>
      <c r="O1183">
        <f>VLOOKUP(B1183,Raw_Suppliers!$A$2:$G$101,7,FALSE)</f>
        <v>0</v>
      </c>
      <c r="P1183" t="str">
        <f t="shared" si="109"/>
        <v>No</v>
      </c>
      <c r="Q1183">
        <f t="shared" si="110"/>
        <v>0</v>
      </c>
      <c r="R1183" t="str">
        <f t="shared" si="111"/>
        <v>Late</v>
      </c>
      <c r="S1183">
        <f t="shared" si="112"/>
        <v>2024</v>
      </c>
      <c r="T1183">
        <f t="shared" si="113"/>
        <v>1</v>
      </c>
    </row>
    <row r="1184" spans="1:20" x14ac:dyDescent="0.25">
      <c r="A1184" t="s">
        <v>1491</v>
      </c>
      <c r="B1184" t="s">
        <v>751</v>
      </c>
      <c r="C1184" t="s">
        <v>380</v>
      </c>
      <c r="D1184" s="1">
        <v>45330</v>
      </c>
      <c r="E1184">
        <v>14</v>
      </c>
      <c r="F1184">
        <v>12.8595876764279</v>
      </c>
      <c r="G1184" s="1">
        <v>45340</v>
      </c>
      <c r="H1184" s="1">
        <v>45346</v>
      </c>
      <c r="I1184">
        <v>180.03422746998999</v>
      </c>
      <c r="J1184">
        <f t="shared" si="108"/>
        <v>6</v>
      </c>
      <c r="K1184" t="str">
        <f>VLOOKUP(B1184,Raw_Suppliers!$A$2:$G$101,2,FALSE)</f>
        <v>Nano Vertex LLC</v>
      </c>
      <c r="L1184" t="str">
        <f>VLOOKUP(B1184,Raw_Suppliers!$A$2:$G$101,3,FALSE)</f>
        <v>China</v>
      </c>
      <c r="M1184" t="str">
        <f>VLOOKUP(B1184,Raw_Suppliers!$A$2:$G$101,4,FALSE)</f>
        <v>North</v>
      </c>
      <c r="N1184" t="str">
        <f>VLOOKUP(B1184,Raw_Suppliers!$A$2:$G$101,6,FALSE)</f>
        <v>ISO 9001</v>
      </c>
      <c r="O1184">
        <f>VLOOKUP(B1184,Raw_Suppliers!$A$2:$G$101,7,FALSE)</f>
        <v>1</v>
      </c>
      <c r="P1184" t="str">
        <f t="shared" si="109"/>
        <v>Yes</v>
      </c>
      <c r="Q1184">
        <f t="shared" si="110"/>
        <v>0</v>
      </c>
      <c r="R1184" t="str">
        <f t="shared" si="111"/>
        <v>Late</v>
      </c>
      <c r="S1184">
        <f t="shared" si="112"/>
        <v>2024</v>
      </c>
      <c r="T1184">
        <f t="shared" si="113"/>
        <v>2</v>
      </c>
    </row>
    <row r="1185" spans="1:20" x14ac:dyDescent="0.25">
      <c r="A1185" t="s">
        <v>1492</v>
      </c>
      <c r="B1185" t="s">
        <v>67</v>
      </c>
      <c r="C1185" t="s">
        <v>110</v>
      </c>
      <c r="D1185" s="1">
        <v>44233</v>
      </c>
      <c r="E1185">
        <v>11</v>
      </c>
      <c r="F1185">
        <v>66.712734200092996</v>
      </c>
      <c r="G1185" s="1">
        <v>44245</v>
      </c>
      <c r="H1185" s="1">
        <v>44245</v>
      </c>
      <c r="I1185">
        <v>733.84007620102295</v>
      </c>
      <c r="J1185">
        <f t="shared" si="108"/>
        <v>0</v>
      </c>
      <c r="K1185" t="str">
        <f>VLOOKUP(B1185,Raw_Suppliers!$A$2:$G$101,2,FALSE)</f>
        <v>Nova Eco LLC</v>
      </c>
      <c r="L1185" t="str">
        <f>VLOOKUP(B1185,Raw_Suppliers!$A$2:$G$101,3,FALSE)</f>
        <v>Germany</v>
      </c>
      <c r="M1185" t="str">
        <f>VLOOKUP(B1185,Raw_Suppliers!$A$2:$G$101,4,FALSE)</f>
        <v>Central</v>
      </c>
      <c r="N1185" t="str">
        <f>VLOOKUP(B1185,Raw_Suppliers!$A$2:$G$101,6,FALSE)</f>
        <v>ISO 9001</v>
      </c>
      <c r="O1185">
        <f>VLOOKUP(B1185,Raw_Suppliers!$A$2:$G$101,7,FALSE)</f>
        <v>1</v>
      </c>
      <c r="P1185" t="str">
        <f t="shared" si="109"/>
        <v>Yes</v>
      </c>
      <c r="Q1185">
        <f t="shared" si="110"/>
        <v>1</v>
      </c>
      <c r="R1185" t="str">
        <f t="shared" si="111"/>
        <v>On Time</v>
      </c>
      <c r="S1185">
        <f t="shared" si="112"/>
        <v>2021</v>
      </c>
      <c r="T1185">
        <f t="shared" si="113"/>
        <v>2</v>
      </c>
    </row>
    <row r="1186" spans="1:20" x14ac:dyDescent="0.25">
      <c r="A1186" t="s">
        <v>1493</v>
      </c>
      <c r="B1186" t="s">
        <v>96</v>
      </c>
      <c r="C1186" t="s">
        <v>80</v>
      </c>
      <c r="D1186" s="1">
        <v>44267</v>
      </c>
      <c r="E1186">
        <v>3</v>
      </c>
      <c r="F1186">
        <v>40.490329606607801</v>
      </c>
      <c r="G1186" s="1">
        <v>44278</v>
      </c>
      <c r="H1186" s="1">
        <v>44283</v>
      </c>
      <c r="I1186">
        <v>121.47098881982301</v>
      </c>
      <c r="J1186">
        <f t="shared" si="108"/>
        <v>5</v>
      </c>
      <c r="K1186" t="str">
        <f>VLOOKUP(B1186,Raw_Suppliers!$A$2:$G$101,2,FALSE)</f>
        <v>Alpha Nova Ltd</v>
      </c>
      <c r="L1186" t="str">
        <f>VLOOKUP(B1186,Raw_Suppliers!$A$2:$G$101,3,FALSE)</f>
        <v>UK</v>
      </c>
      <c r="M1186" t="str">
        <f>VLOOKUP(B1186,Raw_Suppliers!$A$2:$G$101,4,FALSE)</f>
        <v>West</v>
      </c>
      <c r="N1186" t="str">
        <f>VLOOKUP(B1186,Raw_Suppliers!$A$2:$G$101,6,FALSE)</f>
        <v>ISO 14001</v>
      </c>
      <c r="O1186">
        <f>VLOOKUP(B1186,Raw_Suppliers!$A$2:$G$101,7,FALSE)</f>
        <v>0</v>
      </c>
      <c r="P1186" t="str">
        <f t="shared" si="109"/>
        <v>No</v>
      </c>
      <c r="Q1186">
        <f t="shared" si="110"/>
        <v>0</v>
      </c>
      <c r="R1186" t="str">
        <f t="shared" si="111"/>
        <v>Late</v>
      </c>
      <c r="S1186">
        <f t="shared" si="112"/>
        <v>2021</v>
      </c>
      <c r="T1186">
        <f t="shared" si="113"/>
        <v>3</v>
      </c>
    </row>
    <row r="1187" spans="1:20" x14ac:dyDescent="0.25">
      <c r="A1187" t="s">
        <v>1494</v>
      </c>
      <c r="B1187" t="s">
        <v>79</v>
      </c>
      <c r="C1187" t="s">
        <v>86</v>
      </c>
      <c r="D1187" s="1">
        <v>44528</v>
      </c>
      <c r="E1187">
        <v>12</v>
      </c>
      <c r="F1187">
        <v>16.953590460409199</v>
      </c>
      <c r="G1187" s="1">
        <v>44550</v>
      </c>
      <c r="H1187" s="1">
        <v>44555</v>
      </c>
      <c r="I1187">
        <v>203.443085524911</v>
      </c>
      <c r="J1187">
        <f t="shared" si="108"/>
        <v>5</v>
      </c>
      <c r="K1187" t="str">
        <f>VLOOKUP(B1187,Raw_Suppliers!$A$2:$G$101,2,FALSE)</f>
        <v>Vertex Fusion Inc</v>
      </c>
      <c r="L1187" t="str">
        <f>VLOOKUP(B1187,Raw_Suppliers!$A$2:$G$101,3,FALSE)</f>
        <v>India</v>
      </c>
      <c r="M1187" t="str">
        <f>VLOOKUP(B1187,Raw_Suppliers!$A$2:$G$101,4,FALSE)</f>
        <v>Central</v>
      </c>
      <c r="N1187" t="str">
        <f>VLOOKUP(B1187,Raw_Suppliers!$A$2:$G$101,6,FALSE)</f>
        <v>ISO 9001</v>
      </c>
      <c r="O1187">
        <f>VLOOKUP(B1187,Raw_Suppliers!$A$2:$G$101,7,FALSE)</f>
        <v>0</v>
      </c>
      <c r="P1187" t="str">
        <f t="shared" si="109"/>
        <v>No</v>
      </c>
      <c r="Q1187">
        <f t="shared" si="110"/>
        <v>0</v>
      </c>
      <c r="R1187" t="str">
        <f t="shared" si="111"/>
        <v>Late</v>
      </c>
      <c r="S1187">
        <f t="shared" si="112"/>
        <v>2021</v>
      </c>
      <c r="T1187">
        <f t="shared" si="113"/>
        <v>11</v>
      </c>
    </row>
    <row r="1188" spans="1:20" x14ac:dyDescent="0.25">
      <c r="A1188" t="s">
        <v>1495</v>
      </c>
      <c r="B1188" t="s">
        <v>154</v>
      </c>
      <c r="C1188" t="s">
        <v>187</v>
      </c>
      <c r="D1188" s="1">
        <v>44460</v>
      </c>
      <c r="E1188">
        <v>6</v>
      </c>
      <c r="F1188">
        <v>3.2362247800969</v>
      </c>
      <c r="G1188" s="1">
        <v>44478</v>
      </c>
      <c r="H1188" s="1">
        <v>44480</v>
      </c>
      <c r="I1188">
        <v>19.417348680581402</v>
      </c>
      <c r="J1188">
        <f t="shared" si="108"/>
        <v>2</v>
      </c>
      <c r="K1188" t="str">
        <f>VLOOKUP(B1188,Raw_Suppliers!$A$2:$G$101,2,FALSE)</f>
        <v>Apex Ultra Ltd</v>
      </c>
      <c r="L1188" t="str">
        <f>VLOOKUP(B1188,Raw_Suppliers!$A$2:$G$101,3,FALSE)</f>
        <v>Canada</v>
      </c>
      <c r="M1188" t="str">
        <f>VLOOKUP(B1188,Raw_Suppliers!$A$2:$G$101,4,FALSE)</f>
        <v>West</v>
      </c>
      <c r="N1188" t="str">
        <f>VLOOKUP(B1188,Raw_Suppliers!$A$2:$G$101,6,FALSE)</f>
        <v>None</v>
      </c>
      <c r="O1188">
        <f>VLOOKUP(B1188,Raw_Suppliers!$A$2:$G$101,7,FALSE)</f>
        <v>1</v>
      </c>
      <c r="P1188" t="str">
        <f t="shared" si="109"/>
        <v>Yes</v>
      </c>
      <c r="Q1188">
        <f t="shared" si="110"/>
        <v>0</v>
      </c>
      <c r="R1188" t="str">
        <f t="shared" si="111"/>
        <v>Late</v>
      </c>
      <c r="S1188">
        <f t="shared" si="112"/>
        <v>2021</v>
      </c>
      <c r="T1188">
        <f t="shared" si="113"/>
        <v>9</v>
      </c>
    </row>
    <row r="1189" spans="1:20" x14ac:dyDescent="0.25">
      <c r="A1189" t="s">
        <v>1496</v>
      </c>
      <c r="B1189" t="s">
        <v>411</v>
      </c>
      <c r="C1189" t="s">
        <v>83</v>
      </c>
      <c r="D1189" s="1">
        <v>44236</v>
      </c>
      <c r="E1189">
        <v>10</v>
      </c>
      <c r="F1189">
        <v>63.601378683407198</v>
      </c>
      <c r="G1189" s="1">
        <v>44251</v>
      </c>
      <c r="H1189" s="1">
        <v>44250</v>
      </c>
      <c r="I1189">
        <v>636.01378683407199</v>
      </c>
      <c r="J1189">
        <f t="shared" si="108"/>
        <v>-1</v>
      </c>
      <c r="K1189" t="str">
        <f>VLOOKUP(B1189,Raw_Suppliers!$A$2:$G$101,2,FALSE)</f>
        <v>Gamma Nova LLC</v>
      </c>
      <c r="L1189" t="str">
        <f>VLOOKUP(B1189,Raw_Suppliers!$A$2:$G$101,3,FALSE)</f>
        <v>Brazil</v>
      </c>
      <c r="M1189" t="str">
        <f>VLOOKUP(B1189,Raw_Suppliers!$A$2:$G$101,4,FALSE)</f>
        <v>North</v>
      </c>
      <c r="N1189" t="str">
        <f>VLOOKUP(B1189,Raw_Suppliers!$A$2:$G$101,6,FALSE)</f>
        <v>ISO 14001</v>
      </c>
      <c r="O1189">
        <f>VLOOKUP(B1189,Raw_Suppliers!$A$2:$G$101,7,FALSE)</f>
        <v>1</v>
      </c>
      <c r="P1189" t="str">
        <f t="shared" si="109"/>
        <v>Yes</v>
      </c>
      <c r="Q1189">
        <f t="shared" si="110"/>
        <v>1</v>
      </c>
      <c r="R1189" t="str">
        <f t="shared" si="111"/>
        <v>On Time</v>
      </c>
      <c r="S1189">
        <f t="shared" si="112"/>
        <v>2021</v>
      </c>
      <c r="T1189">
        <f t="shared" si="113"/>
        <v>2</v>
      </c>
    </row>
    <row r="1190" spans="1:20" x14ac:dyDescent="0.25">
      <c r="A1190" t="s">
        <v>1497</v>
      </c>
      <c r="B1190" t="s">
        <v>539</v>
      </c>
      <c r="C1190" t="s">
        <v>466</v>
      </c>
      <c r="D1190" s="1">
        <v>45040</v>
      </c>
      <c r="E1190">
        <v>9</v>
      </c>
      <c r="F1190">
        <v>63.155606970870501</v>
      </c>
      <c r="G1190" s="1">
        <v>45054</v>
      </c>
      <c r="H1190" s="1">
        <v>45060</v>
      </c>
      <c r="I1190">
        <v>568.40046273783503</v>
      </c>
      <c r="J1190">
        <f t="shared" si="108"/>
        <v>6</v>
      </c>
      <c r="K1190" t="str">
        <f>VLOOKUP(B1190,Raw_Suppliers!$A$2:$G$101,2,FALSE)</f>
        <v>Eco Eco Ltd</v>
      </c>
      <c r="L1190" t="str">
        <f>VLOOKUP(B1190,Raw_Suppliers!$A$2:$G$101,3,FALSE)</f>
        <v>USA</v>
      </c>
      <c r="M1190" t="str">
        <f>VLOOKUP(B1190,Raw_Suppliers!$A$2:$G$101,4,FALSE)</f>
        <v>South</v>
      </c>
      <c r="N1190" t="str">
        <f>VLOOKUP(B1190,Raw_Suppliers!$A$2:$G$101,6,FALSE)</f>
        <v>ISO 45001</v>
      </c>
      <c r="O1190">
        <f>VLOOKUP(B1190,Raw_Suppliers!$A$2:$G$101,7,FALSE)</f>
        <v>1</v>
      </c>
      <c r="P1190" t="str">
        <f t="shared" si="109"/>
        <v>Yes</v>
      </c>
      <c r="Q1190">
        <f t="shared" si="110"/>
        <v>0</v>
      </c>
      <c r="R1190" t="str">
        <f t="shared" si="111"/>
        <v>Late</v>
      </c>
      <c r="S1190">
        <f t="shared" si="112"/>
        <v>2023</v>
      </c>
      <c r="T1190">
        <f t="shared" si="113"/>
        <v>4</v>
      </c>
    </row>
    <row r="1191" spans="1:20" x14ac:dyDescent="0.25">
      <c r="A1191" t="s">
        <v>1498</v>
      </c>
      <c r="B1191" t="s">
        <v>261</v>
      </c>
      <c r="C1191" t="s">
        <v>161</v>
      </c>
      <c r="D1191" s="1">
        <v>44712</v>
      </c>
      <c r="E1191">
        <v>10</v>
      </c>
      <c r="F1191">
        <v>8.0569052450018592</v>
      </c>
      <c r="G1191" s="1">
        <v>44728</v>
      </c>
      <c r="H1191" s="1">
        <v>44731</v>
      </c>
      <c r="I1191">
        <v>80.569052450018603</v>
      </c>
      <c r="J1191">
        <f t="shared" si="108"/>
        <v>3</v>
      </c>
      <c r="K1191" t="str">
        <f>VLOOKUP(B1191,Raw_Suppliers!$A$2:$G$101,2,FALSE)</f>
        <v>Delta Fusion Corp</v>
      </c>
      <c r="L1191" t="str">
        <f>VLOOKUP(B1191,Raw_Suppliers!$A$2:$G$101,3,FALSE)</f>
        <v>Denmark</v>
      </c>
      <c r="M1191" t="str">
        <f>VLOOKUP(B1191,Raw_Suppliers!$A$2:$G$101,4,FALSE)</f>
        <v>West</v>
      </c>
      <c r="N1191" t="str">
        <f>VLOOKUP(B1191,Raw_Suppliers!$A$2:$G$101,6,FALSE)</f>
        <v>ISO 45001</v>
      </c>
      <c r="O1191">
        <f>VLOOKUP(B1191,Raw_Suppliers!$A$2:$G$101,7,FALSE)</f>
        <v>0</v>
      </c>
      <c r="P1191" t="str">
        <f t="shared" si="109"/>
        <v>No</v>
      </c>
      <c r="Q1191">
        <f t="shared" si="110"/>
        <v>0</v>
      </c>
      <c r="R1191" t="str">
        <f t="shared" si="111"/>
        <v>Late</v>
      </c>
      <c r="S1191">
        <f t="shared" si="112"/>
        <v>2022</v>
      </c>
      <c r="T1191">
        <f t="shared" si="113"/>
        <v>5</v>
      </c>
    </row>
    <row r="1192" spans="1:20" x14ac:dyDescent="0.25">
      <c r="A1192" t="s">
        <v>1499</v>
      </c>
      <c r="B1192" t="s">
        <v>10</v>
      </c>
      <c r="C1192" t="s">
        <v>668</v>
      </c>
      <c r="D1192" s="1">
        <v>45192</v>
      </c>
      <c r="E1192">
        <v>15</v>
      </c>
      <c r="F1192">
        <v>42.1489672816979</v>
      </c>
      <c r="G1192" s="1">
        <v>45203</v>
      </c>
      <c r="H1192" s="1">
        <v>45204</v>
      </c>
      <c r="I1192">
        <v>632.23450922546897</v>
      </c>
      <c r="J1192">
        <f t="shared" si="108"/>
        <v>1</v>
      </c>
      <c r="K1192" t="str">
        <f>VLOOKUP(B1192,Raw_Suppliers!$A$2:$G$101,2,FALSE)</f>
        <v>Vertex Beta GmbH</v>
      </c>
      <c r="L1192" t="str">
        <f>VLOOKUP(B1192,Raw_Suppliers!$A$2:$G$101,3,FALSE)</f>
        <v>India</v>
      </c>
      <c r="M1192" t="str">
        <f>VLOOKUP(B1192,Raw_Suppliers!$A$2:$G$101,4,FALSE)</f>
        <v>North</v>
      </c>
      <c r="N1192" t="str">
        <f>VLOOKUP(B1192,Raw_Suppliers!$A$2:$G$101,6,FALSE)</f>
        <v>ISO 14001</v>
      </c>
      <c r="O1192">
        <f>VLOOKUP(B1192,Raw_Suppliers!$A$2:$G$101,7,FALSE)</f>
        <v>0</v>
      </c>
      <c r="P1192" t="str">
        <f t="shared" si="109"/>
        <v>No</v>
      </c>
      <c r="Q1192">
        <f t="shared" si="110"/>
        <v>0</v>
      </c>
      <c r="R1192" t="str">
        <f t="shared" si="111"/>
        <v>Late</v>
      </c>
      <c r="S1192">
        <f t="shared" si="112"/>
        <v>2023</v>
      </c>
      <c r="T1192">
        <f t="shared" si="113"/>
        <v>9</v>
      </c>
    </row>
    <row r="1193" spans="1:20" x14ac:dyDescent="0.25">
      <c r="A1193" t="s">
        <v>1500</v>
      </c>
      <c r="B1193" t="s">
        <v>19</v>
      </c>
      <c r="C1193" t="s">
        <v>370</v>
      </c>
      <c r="D1193" s="1">
        <v>44842</v>
      </c>
      <c r="E1193">
        <v>14</v>
      </c>
      <c r="F1193">
        <v>66.5642351977353</v>
      </c>
      <c r="G1193" s="1">
        <v>44860</v>
      </c>
      <c r="H1193" s="1">
        <v>44866</v>
      </c>
      <c r="I1193">
        <v>931.89929276829503</v>
      </c>
      <c r="J1193">
        <f t="shared" si="108"/>
        <v>6</v>
      </c>
      <c r="K1193" t="str">
        <f>VLOOKUP(B1193,Raw_Suppliers!$A$2:$G$101,2,FALSE)</f>
        <v>Nova Beta Corp</v>
      </c>
      <c r="L1193" t="str">
        <f>VLOOKUP(B1193,Raw_Suppliers!$A$2:$G$101,3,FALSE)</f>
        <v>Brazil</v>
      </c>
      <c r="M1193" t="str">
        <f>VLOOKUP(B1193,Raw_Suppliers!$A$2:$G$101,4,FALSE)</f>
        <v>South</v>
      </c>
      <c r="N1193" t="str">
        <f>VLOOKUP(B1193,Raw_Suppliers!$A$2:$G$101,6,FALSE)</f>
        <v>ISO 14001</v>
      </c>
      <c r="O1193">
        <f>VLOOKUP(B1193,Raw_Suppliers!$A$2:$G$101,7,FALSE)</f>
        <v>1</v>
      </c>
      <c r="P1193" t="str">
        <f t="shared" si="109"/>
        <v>Yes</v>
      </c>
      <c r="Q1193">
        <f t="shared" si="110"/>
        <v>0</v>
      </c>
      <c r="R1193" t="str">
        <f t="shared" si="111"/>
        <v>Late</v>
      </c>
      <c r="S1193">
        <f t="shared" si="112"/>
        <v>2022</v>
      </c>
      <c r="T1193">
        <f t="shared" si="113"/>
        <v>10</v>
      </c>
    </row>
    <row r="1194" spans="1:20" x14ac:dyDescent="0.25">
      <c r="A1194" t="s">
        <v>1501</v>
      </c>
      <c r="B1194" t="s">
        <v>379</v>
      </c>
      <c r="C1194" t="s">
        <v>489</v>
      </c>
      <c r="D1194" s="1">
        <v>44983</v>
      </c>
      <c r="E1194">
        <v>12</v>
      </c>
      <c r="F1194">
        <v>21.849057973472799</v>
      </c>
      <c r="G1194" s="1">
        <v>45005</v>
      </c>
      <c r="H1194" s="1">
        <v>45004</v>
      </c>
      <c r="I1194">
        <v>262.18869568167401</v>
      </c>
      <c r="J1194">
        <f t="shared" si="108"/>
        <v>-1</v>
      </c>
      <c r="K1194" t="str">
        <f>VLOOKUP(B1194,Raw_Suppliers!$A$2:$G$101,2,FALSE)</f>
        <v>Apex Fusion Ltd</v>
      </c>
      <c r="L1194" t="str">
        <f>VLOOKUP(B1194,Raw_Suppliers!$A$2:$G$101,3,FALSE)</f>
        <v>USA</v>
      </c>
      <c r="M1194" t="str">
        <f>VLOOKUP(B1194,Raw_Suppliers!$A$2:$G$101,4,FALSE)</f>
        <v>East</v>
      </c>
      <c r="N1194" t="str">
        <f>VLOOKUP(B1194,Raw_Suppliers!$A$2:$G$101,6,FALSE)</f>
        <v>ISO 14001</v>
      </c>
      <c r="O1194">
        <f>VLOOKUP(B1194,Raw_Suppliers!$A$2:$G$101,7,FALSE)</f>
        <v>1</v>
      </c>
      <c r="P1194" t="str">
        <f t="shared" si="109"/>
        <v>Yes</v>
      </c>
      <c r="Q1194">
        <f t="shared" si="110"/>
        <v>1</v>
      </c>
      <c r="R1194" t="str">
        <f t="shared" si="111"/>
        <v>On Time</v>
      </c>
      <c r="S1194">
        <f t="shared" si="112"/>
        <v>2023</v>
      </c>
      <c r="T1194">
        <f t="shared" si="113"/>
        <v>2</v>
      </c>
    </row>
    <row r="1195" spans="1:20" x14ac:dyDescent="0.25">
      <c r="A1195" t="s">
        <v>1502</v>
      </c>
      <c r="B1195" t="s">
        <v>216</v>
      </c>
      <c r="C1195" t="s">
        <v>765</v>
      </c>
      <c r="D1195" s="1">
        <v>44967</v>
      </c>
      <c r="E1195">
        <v>12</v>
      </c>
      <c r="F1195">
        <v>17.9575130194415</v>
      </c>
      <c r="G1195" s="1">
        <v>44981</v>
      </c>
      <c r="H1195" s="1">
        <v>44982</v>
      </c>
      <c r="I1195">
        <v>215.49015623329799</v>
      </c>
      <c r="J1195">
        <f t="shared" si="108"/>
        <v>1</v>
      </c>
      <c r="K1195" t="str">
        <f>VLOOKUP(B1195,Raw_Suppliers!$A$2:$G$101,2,FALSE)</f>
        <v>Fusion Delta LLC</v>
      </c>
      <c r="L1195" t="str">
        <f>VLOOKUP(B1195,Raw_Suppliers!$A$2:$G$101,3,FALSE)</f>
        <v>Brazil</v>
      </c>
      <c r="M1195" t="str">
        <f>VLOOKUP(B1195,Raw_Suppliers!$A$2:$G$101,4,FALSE)</f>
        <v>Central</v>
      </c>
      <c r="N1195" t="str">
        <f>VLOOKUP(B1195,Raw_Suppliers!$A$2:$G$101,6,FALSE)</f>
        <v>ISO 14001</v>
      </c>
      <c r="O1195">
        <f>VLOOKUP(B1195,Raw_Suppliers!$A$2:$G$101,7,FALSE)</f>
        <v>0</v>
      </c>
      <c r="P1195" t="str">
        <f t="shared" si="109"/>
        <v>No</v>
      </c>
      <c r="Q1195">
        <f t="shared" si="110"/>
        <v>0</v>
      </c>
      <c r="R1195" t="str">
        <f t="shared" si="111"/>
        <v>Late</v>
      </c>
      <c r="S1195">
        <f t="shared" si="112"/>
        <v>2023</v>
      </c>
      <c r="T1195">
        <f t="shared" si="113"/>
        <v>2</v>
      </c>
    </row>
    <row r="1196" spans="1:20" x14ac:dyDescent="0.25">
      <c r="A1196" t="s">
        <v>1503</v>
      </c>
      <c r="B1196" t="s">
        <v>617</v>
      </c>
      <c r="C1196" t="s">
        <v>748</v>
      </c>
      <c r="D1196" s="1">
        <v>44211</v>
      </c>
      <c r="E1196">
        <v>16</v>
      </c>
      <c r="F1196">
        <v>32.309280856139203</v>
      </c>
      <c r="G1196" s="1">
        <v>44229</v>
      </c>
      <c r="H1196" s="1">
        <v>44228</v>
      </c>
      <c r="I1196">
        <v>516.94849369822703</v>
      </c>
      <c r="J1196">
        <f t="shared" si="108"/>
        <v>-1</v>
      </c>
      <c r="K1196" t="str">
        <f>VLOOKUP(B1196,Raw_Suppliers!$A$2:$G$101,2,FALSE)</f>
        <v>Eco Vertex Ltd</v>
      </c>
      <c r="L1196" t="str">
        <f>VLOOKUP(B1196,Raw_Suppliers!$A$2:$G$101,3,FALSE)</f>
        <v>UK</v>
      </c>
      <c r="M1196" t="str">
        <f>VLOOKUP(B1196,Raw_Suppliers!$A$2:$G$101,4,FALSE)</f>
        <v>Central</v>
      </c>
      <c r="N1196" t="str">
        <f>VLOOKUP(B1196,Raw_Suppliers!$A$2:$G$101,6,FALSE)</f>
        <v>None</v>
      </c>
      <c r="O1196">
        <f>VLOOKUP(B1196,Raw_Suppliers!$A$2:$G$101,7,FALSE)</f>
        <v>0</v>
      </c>
      <c r="P1196" t="str">
        <f t="shared" si="109"/>
        <v>No</v>
      </c>
      <c r="Q1196">
        <f t="shared" si="110"/>
        <v>1</v>
      </c>
      <c r="R1196" t="str">
        <f t="shared" si="111"/>
        <v>On Time</v>
      </c>
      <c r="S1196">
        <f t="shared" si="112"/>
        <v>2021</v>
      </c>
      <c r="T1196">
        <f t="shared" si="113"/>
        <v>1</v>
      </c>
    </row>
    <row r="1197" spans="1:20" x14ac:dyDescent="0.25">
      <c r="A1197" t="s">
        <v>1504</v>
      </c>
      <c r="B1197" t="s">
        <v>76</v>
      </c>
      <c r="C1197" t="s">
        <v>281</v>
      </c>
      <c r="D1197" s="1">
        <v>44300</v>
      </c>
      <c r="E1197">
        <v>12</v>
      </c>
      <c r="F1197">
        <v>19.929219864458702</v>
      </c>
      <c r="G1197" s="1">
        <v>44320</v>
      </c>
      <c r="H1197" s="1">
        <v>44318</v>
      </c>
      <c r="I1197">
        <v>239.15063837350499</v>
      </c>
      <c r="J1197">
        <f t="shared" si="108"/>
        <v>-2</v>
      </c>
      <c r="K1197" t="str">
        <f>VLOOKUP(B1197,Raw_Suppliers!$A$2:$G$101,2,FALSE)</f>
        <v>Alpha Beta Ltd</v>
      </c>
      <c r="L1197" t="str">
        <f>VLOOKUP(B1197,Raw_Suppliers!$A$2:$G$101,3,FALSE)</f>
        <v>UK</v>
      </c>
      <c r="M1197" t="str">
        <f>VLOOKUP(B1197,Raw_Suppliers!$A$2:$G$101,4,FALSE)</f>
        <v>South</v>
      </c>
      <c r="N1197" t="str">
        <f>VLOOKUP(B1197,Raw_Suppliers!$A$2:$G$101,6,FALSE)</f>
        <v>None</v>
      </c>
      <c r="O1197">
        <f>VLOOKUP(B1197,Raw_Suppliers!$A$2:$G$101,7,FALSE)</f>
        <v>1</v>
      </c>
      <c r="P1197" t="str">
        <f t="shared" si="109"/>
        <v>Yes</v>
      </c>
      <c r="Q1197">
        <f t="shared" si="110"/>
        <v>1</v>
      </c>
      <c r="R1197" t="str">
        <f t="shared" si="111"/>
        <v>On Time</v>
      </c>
      <c r="S1197">
        <f t="shared" si="112"/>
        <v>2021</v>
      </c>
      <c r="T1197">
        <f t="shared" si="113"/>
        <v>4</v>
      </c>
    </row>
    <row r="1198" spans="1:20" x14ac:dyDescent="0.25">
      <c r="A1198" t="s">
        <v>1505</v>
      </c>
      <c r="B1198" t="s">
        <v>194</v>
      </c>
      <c r="C1198" t="s">
        <v>217</v>
      </c>
      <c r="D1198" s="1">
        <v>44205</v>
      </c>
      <c r="E1198">
        <v>5</v>
      </c>
      <c r="F1198">
        <v>50.011031040354403</v>
      </c>
      <c r="G1198" s="1">
        <v>44222</v>
      </c>
      <c r="H1198" s="1">
        <v>44225</v>
      </c>
      <c r="I1198">
        <v>250.05515520177201</v>
      </c>
      <c r="J1198">
        <f t="shared" si="108"/>
        <v>3</v>
      </c>
      <c r="K1198" t="str">
        <f>VLOOKUP(B1198,Raw_Suppliers!$A$2:$G$101,2,FALSE)</f>
        <v>Eco Pioneer Corp</v>
      </c>
      <c r="L1198" t="str">
        <f>VLOOKUP(B1198,Raw_Suppliers!$A$2:$G$101,3,FALSE)</f>
        <v>China</v>
      </c>
      <c r="M1198" t="str">
        <f>VLOOKUP(B1198,Raw_Suppliers!$A$2:$G$101,4,FALSE)</f>
        <v>East</v>
      </c>
      <c r="N1198" t="str">
        <f>VLOOKUP(B1198,Raw_Suppliers!$A$2:$G$101,6,FALSE)</f>
        <v>ISO 14001</v>
      </c>
      <c r="O1198">
        <f>VLOOKUP(B1198,Raw_Suppliers!$A$2:$G$101,7,FALSE)</f>
        <v>1</v>
      </c>
      <c r="P1198" t="str">
        <f t="shared" si="109"/>
        <v>Yes</v>
      </c>
      <c r="Q1198">
        <f t="shared" si="110"/>
        <v>0</v>
      </c>
      <c r="R1198" t="str">
        <f t="shared" si="111"/>
        <v>Late</v>
      </c>
      <c r="S1198">
        <f t="shared" si="112"/>
        <v>2021</v>
      </c>
      <c r="T1198">
        <f t="shared" si="113"/>
        <v>1</v>
      </c>
    </row>
    <row r="1199" spans="1:20" x14ac:dyDescent="0.25">
      <c r="A1199" t="s">
        <v>1506</v>
      </c>
      <c r="B1199" t="s">
        <v>301</v>
      </c>
      <c r="C1199" t="s">
        <v>718</v>
      </c>
      <c r="D1199" s="1">
        <v>45311</v>
      </c>
      <c r="E1199">
        <v>6</v>
      </c>
      <c r="F1199">
        <v>69.235403612393995</v>
      </c>
      <c r="G1199" s="1">
        <v>45322</v>
      </c>
      <c r="H1199" s="1">
        <v>45319</v>
      </c>
      <c r="I1199">
        <v>415.41242167436297</v>
      </c>
      <c r="J1199">
        <f t="shared" si="108"/>
        <v>-3</v>
      </c>
      <c r="K1199" t="str">
        <f>VLOOKUP(B1199,Raw_Suppliers!$A$2:$G$101,2,FALSE)</f>
        <v>Beta Eco Inc</v>
      </c>
      <c r="L1199" t="str">
        <f>VLOOKUP(B1199,Raw_Suppliers!$A$2:$G$101,3,FALSE)</f>
        <v>Denmark</v>
      </c>
      <c r="M1199" t="str">
        <f>VLOOKUP(B1199,Raw_Suppliers!$A$2:$G$101,4,FALSE)</f>
        <v>South</v>
      </c>
      <c r="N1199" t="str">
        <f>VLOOKUP(B1199,Raw_Suppliers!$A$2:$G$101,6,FALSE)</f>
        <v>ISO 14001</v>
      </c>
      <c r="O1199">
        <f>VLOOKUP(B1199,Raw_Suppliers!$A$2:$G$101,7,FALSE)</f>
        <v>1</v>
      </c>
      <c r="P1199" t="str">
        <f t="shared" si="109"/>
        <v>Yes</v>
      </c>
      <c r="Q1199">
        <f t="shared" si="110"/>
        <v>1</v>
      </c>
      <c r="R1199" t="str">
        <f t="shared" si="111"/>
        <v>On Time</v>
      </c>
      <c r="S1199">
        <f t="shared" si="112"/>
        <v>2024</v>
      </c>
      <c r="T1199">
        <f t="shared" si="113"/>
        <v>1</v>
      </c>
    </row>
    <row r="1200" spans="1:20" x14ac:dyDescent="0.25">
      <c r="A1200" t="s">
        <v>1507</v>
      </c>
      <c r="B1200" t="s">
        <v>326</v>
      </c>
      <c r="C1200" t="s">
        <v>623</v>
      </c>
      <c r="D1200" s="1">
        <v>45187</v>
      </c>
      <c r="E1200">
        <v>9</v>
      </c>
      <c r="F1200">
        <v>43.704897971002602</v>
      </c>
      <c r="G1200" s="1">
        <v>45203</v>
      </c>
      <c r="H1200" s="1">
        <v>45209</v>
      </c>
      <c r="I1200">
        <v>393.34408173902301</v>
      </c>
      <c r="J1200">
        <f t="shared" si="108"/>
        <v>6</v>
      </c>
      <c r="K1200" t="str">
        <f>VLOOKUP(B1200,Raw_Suppliers!$A$2:$G$101,2,FALSE)</f>
        <v>Ultra Fusion Corp</v>
      </c>
      <c r="L1200" t="str">
        <f>VLOOKUP(B1200,Raw_Suppliers!$A$2:$G$101,3,FALSE)</f>
        <v>Canada</v>
      </c>
      <c r="M1200" t="str">
        <f>VLOOKUP(B1200,Raw_Suppliers!$A$2:$G$101,4,FALSE)</f>
        <v>South</v>
      </c>
      <c r="N1200" t="str">
        <f>VLOOKUP(B1200,Raw_Suppliers!$A$2:$G$101,6,FALSE)</f>
        <v>None</v>
      </c>
      <c r="O1200">
        <f>VLOOKUP(B1200,Raw_Suppliers!$A$2:$G$101,7,FALSE)</f>
        <v>1</v>
      </c>
      <c r="P1200" t="str">
        <f t="shared" si="109"/>
        <v>Yes</v>
      </c>
      <c r="Q1200">
        <f t="shared" si="110"/>
        <v>0</v>
      </c>
      <c r="R1200" t="str">
        <f t="shared" si="111"/>
        <v>Late</v>
      </c>
      <c r="S1200">
        <f t="shared" si="112"/>
        <v>2023</v>
      </c>
      <c r="T1200">
        <f t="shared" si="113"/>
        <v>9</v>
      </c>
    </row>
    <row r="1201" spans="1:20" x14ac:dyDescent="0.25">
      <c r="A1201" t="s">
        <v>1508</v>
      </c>
      <c r="B1201" t="s">
        <v>10</v>
      </c>
      <c r="C1201" t="s">
        <v>107</v>
      </c>
      <c r="D1201" s="1">
        <v>45192</v>
      </c>
      <c r="E1201">
        <v>10</v>
      </c>
      <c r="F1201">
        <v>26.1193426387184</v>
      </c>
      <c r="G1201" s="1">
        <v>45209</v>
      </c>
      <c r="H1201" s="1">
        <v>45213</v>
      </c>
      <c r="I1201">
        <v>261.19342638718399</v>
      </c>
      <c r="J1201">
        <f t="shared" si="108"/>
        <v>4</v>
      </c>
      <c r="K1201" t="str">
        <f>VLOOKUP(B1201,Raw_Suppliers!$A$2:$G$101,2,FALSE)</f>
        <v>Vertex Beta GmbH</v>
      </c>
      <c r="L1201" t="str">
        <f>VLOOKUP(B1201,Raw_Suppliers!$A$2:$G$101,3,FALSE)</f>
        <v>India</v>
      </c>
      <c r="M1201" t="str">
        <f>VLOOKUP(B1201,Raw_Suppliers!$A$2:$G$101,4,FALSE)</f>
        <v>North</v>
      </c>
      <c r="N1201" t="str">
        <f>VLOOKUP(B1201,Raw_Suppliers!$A$2:$G$101,6,FALSE)</f>
        <v>ISO 14001</v>
      </c>
      <c r="O1201">
        <f>VLOOKUP(B1201,Raw_Suppliers!$A$2:$G$101,7,FALSE)</f>
        <v>0</v>
      </c>
      <c r="P1201" t="str">
        <f t="shared" si="109"/>
        <v>No</v>
      </c>
      <c r="Q1201">
        <f t="shared" si="110"/>
        <v>0</v>
      </c>
      <c r="R1201" t="str">
        <f t="shared" si="111"/>
        <v>Late</v>
      </c>
      <c r="S1201">
        <f t="shared" si="112"/>
        <v>2023</v>
      </c>
      <c r="T1201">
        <f t="shared" si="113"/>
        <v>9</v>
      </c>
    </row>
    <row r="1202" spans="1:20" x14ac:dyDescent="0.25">
      <c r="A1202" t="s">
        <v>1509</v>
      </c>
      <c r="B1202" t="s">
        <v>189</v>
      </c>
      <c r="C1202" t="s">
        <v>208</v>
      </c>
      <c r="D1202" s="1">
        <v>44986</v>
      </c>
      <c r="E1202">
        <v>10</v>
      </c>
      <c r="F1202">
        <v>4.1078171044251102</v>
      </c>
      <c r="G1202" s="1">
        <v>44997</v>
      </c>
      <c r="H1202" s="1">
        <v>45002</v>
      </c>
      <c r="I1202">
        <v>41.0781710442511</v>
      </c>
      <c r="J1202">
        <f t="shared" si="108"/>
        <v>5</v>
      </c>
      <c r="K1202" t="str">
        <f>VLOOKUP(B1202,Raw_Suppliers!$A$2:$G$101,2,FALSE)</f>
        <v>Apex Pioneer Ltd</v>
      </c>
      <c r="L1202" t="str">
        <f>VLOOKUP(B1202,Raw_Suppliers!$A$2:$G$101,3,FALSE)</f>
        <v>Canada</v>
      </c>
      <c r="M1202" t="str">
        <f>VLOOKUP(B1202,Raw_Suppliers!$A$2:$G$101,4,FALSE)</f>
        <v>South</v>
      </c>
      <c r="N1202" t="str">
        <f>VLOOKUP(B1202,Raw_Suppliers!$A$2:$G$101,6,FALSE)</f>
        <v>ISO 14001</v>
      </c>
      <c r="O1202">
        <f>VLOOKUP(B1202,Raw_Suppliers!$A$2:$G$101,7,FALSE)</f>
        <v>1</v>
      </c>
      <c r="P1202" t="str">
        <f t="shared" si="109"/>
        <v>Yes</v>
      </c>
      <c r="Q1202">
        <f t="shared" si="110"/>
        <v>0</v>
      </c>
      <c r="R1202" t="str">
        <f t="shared" si="111"/>
        <v>Late</v>
      </c>
      <c r="S1202">
        <f t="shared" si="112"/>
        <v>2023</v>
      </c>
      <c r="T1202">
        <f t="shared" si="113"/>
        <v>3</v>
      </c>
    </row>
    <row r="1203" spans="1:20" x14ac:dyDescent="0.25">
      <c r="A1203" t="s">
        <v>1510</v>
      </c>
      <c r="B1203" t="s">
        <v>564</v>
      </c>
      <c r="C1203" t="s">
        <v>462</v>
      </c>
      <c r="D1203" s="1">
        <v>44471</v>
      </c>
      <c r="E1203">
        <v>12</v>
      </c>
      <c r="F1203">
        <v>30.484638119086501</v>
      </c>
      <c r="G1203" s="1">
        <v>44484</v>
      </c>
      <c r="H1203" s="1">
        <v>44486</v>
      </c>
      <c r="I1203">
        <v>365.81565742903803</v>
      </c>
      <c r="J1203">
        <f t="shared" si="108"/>
        <v>2</v>
      </c>
      <c r="K1203" t="str">
        <f>VLOOKUP(B1203,Raw_Suppliers!$A$2:$G$101,2,FALSE)</f>
        <v>Ultra Ultra GmbH</v>
      </c>
      <c r="L1203" t="str">
        <f>VLOOKUP(B1203,Raw_Suppliers!$A$2:$G$101,3,FALSE)</f>
        <v>India</v>
      </c>
      <c r="M1203" t="str">
        <f>VLOOKUP(B1203,Raw_Suppliers!$A$2:$G$101,4,FALSE)</f>
        <v>Central</v>
      </c>
      <c r="N1203" t="str">
        <f>VLOOKUP(B1203,Raw_Suppliers!$A$2:$G$101,6,FALSE)</f>
        <v>ISO 14001</v>
      </c>
      <c r="O1203">
        <f>VLOOKUP(B1203,Raw_Suppliers!$A$2:$G$101,7,FALSE)</f>
        <v>1</v>
      </c>
      <c r="P1203" t="str">
        <f t="shared" si="109"/>
        <v>Yes</v>
      </c>
      <c r="Q1203">
        <f t="shared" si="110"/>
        <v>0</v>
      </c>
      <c r="R1203" t="str">
        <f t="shared" si="111"/>
        <v>Late</v>
      </c>
      <c r="S1203">
        <f t="shared" si="112"/>
        <v>2021</v>
      </c>
      <c r="T1203">
        <f t="shared" si="113"/>
        <v>10</v>
      </c>
    </row>
    <row r="1204" spans="1:20" x14ac:dyDescent="0.25">
      <c r="A1204" t="s">
        <v>1511</v>
      </c>
      <c r="B1204" t="s">
        <v>293</v>
      </c>
      <c r="C1204" t="s">
        <v>177</v>
      </c>
      <c r="D1204" s="1">
        <v>45102</v>
      </c>
      <c r="E1204">
        <v>11</v>
      </c>
      <c r="F1204">
        <v>53.299813604122498</v>
      </c>
      <c r="G1204" s="1">
        <v>45118</v>
      </c>
      <c r="H1204" s="1">
        <v>45119</v>
      </c>
      <c r="I1204">
        <v>586.29794964534801</v>
      </c>
      <c r="J1204">
        <f t="shared" si="108"/>
        <v>1</v>
      </c>
      <c r="K1204" t="str">
        <f>VLOOKUP(B1204,Raw_Suppliers!$A$2:$G$101,2,FALSE)</f>
        <v>Fusion Apex LLC</v>
      </c>
      <c r="L1204" t="str">
        <f>VLOOKUP(B1204,Raw_Suppliers!$A$2:$G$101,3,FALSE)</f>
        <v>India</v>
      </c>
      <c r="M1204" t="str">
        <f>VLOOKUP(B1204,Raw_Suppliers!$A$2:$G$101,4,FALSE)</f>
        <v>Central</v>
      </c>
      <c r="N1204" t="str">
        <f>VLOOKUP(B1204,Raw_Suppliers!$A$2:$G$101,6,FALSE)</f>
        <v>ISO 14001</v>
      </c>
      <c r="O1204">
        <f>VLOOKUP(B1204,Raw_Suppliers!$A$2:$G$101,7,FALSE)</f>
        <v>1</v>
      </c>
      <c r="P1204" t="str">
        <f t="shared" si="109"/>
        <v>Yes</v>
      </c>
      <c r="Q1204">
        <f t="shared" si="110"/>
        <v>0</v>
      </c>
      <c r="R1204" t="str">
        <f t="shared" si="111"/>
        <v>Late</v>
      </c>
      <c r="S1204">
        <f t="shared" si="112"/>
        <v>2023</v>
      </c>
      <c r="T1204">
        <f t="shared" si="113"/>
        <v>6</v>
      </c>
    </row>
    <row r="1205" spans="1:20" x14ac:dyDescent="0.25">
      <c r="A1205" t="s">
        <v>1512</v>
      </c>
      <c r="B1205" t="s">
        <v>219</v>
      </c>
      <c r="C1205" t="s">
        <v>228</v>
      </c>
      <c r="D1205" s="1">
        <v>44952</v>
      </c>
      <c r="E1205">
        <v>14</v>
      </c>
      <c r="F1205">
        <v>74.260050175564103</v>
      </c>
      <c r="G1205" s="1">
        <v>44975</v>
      </c>
      <c r="H1205" s="1">
        <v>44980</v>
      </c>
      <c r="I1205">
        <v>1039.64070245789</v>
      </c>
      <c r="J1205">
        <f t="shared" si="108"/>
        <v>5</v>
      </c>
      <c r="K1205" t="str">
        <f>VLOOKUP(B1205,Raw_Suppliers!$A$2:$G$101,2,FALSE)</f>
        <v>Quantum Quantum Ltd</v>
      </c>
      <c r="L1205" t="str">
        <f>VLOOKUP(B1205,Raw_Suppliers!$A$2:$G$101,3,FALSE)</f>
        <v>USA</v>
      </c>
      <c r="M1205" t="str">
        <f>VLOOKUP(B1205,Raw_Suppliers!$A$2:$G$101,4,FALSE)</f>
        <v>South</v>
      </c>
      <c r="N1205" t="str">
        <f>VLOOKUP(B1205,Raw_Suppliers!$A$2:$G$101,6,FALSE)</f>
        <v>ISO 14001</v>
      </c>
      <c r="O1205">
        <f>VLOOKUP(B1205,Raw_Suppliers!$A$2:$G$101,7,FALSE)</f>
        <v>0</v>
      </c>
      <c r="P1205" t="str">
        <f t="shared" si="109"/>
        <v>No</v>
      </c>
      <c r="Q1205">
        <f t="shared" si="110"/>
        <v>0</v>
      </c>
      <c r="R1205" t="str">
        <f t="shared" si="111"/>
        <v>Late</v>
      </c>
      <c r="S1205">
        <f t="shared" si="112"/>
        <v>2023</v>
      </c>
      <c r="T1205">
        <f t="shared" si="113"/>
        <v>1</v>
      </c>
    </row>
    <row r="1206" spans="1:20" x14ac:dyDescent="0.25">
      <c r="A1206" t="s">
        <v>1513</v>
      </c>
      <c r="B1206" t="s">
        <v>207</v>
      </c>
      <c r="C1206" t="s">
        <v>100</v>
      </c>
      <c r="D1206" s="1">
        <v>45356</v>
      </c>
      <c r="E1206">
        <v>8</v>
      </c>
      <c r="F1206">
        <v>66.7997209378901</v>
      </c>
      <c r="G1206" s="1">
        <v>45367</v>
      </c>
      <c r="H1206" s="1">
        <v>45367</v>
      </c>
      <c r="I1206">
        <v>534.39776750312001</v>
      </c>
      <c r="J1206">
        <f t="shared" si="108"/>
        <v>0</v>
      </c>
      <c r="K1206" t="str">
        <f>VLOOKUP(B1206,Raw_Suppliers!$A$2:$G$101,2,FALSE)</f>
        <v>Nova Alpha Ltd</v>
      </c>
      <c r="L1206" t="str">
        <f>VLOOKUP(B1206,Raw_Suppliers!$A$2:$G$101,3,FALSE)</f>
        <v>India</v>
      </c>
      <c r="M1206" t="str">
        <f>VLOOKUP(B1206,Raw_Suppliers!$A$2:$G$101,4,FALSE)</f>
        <v>East</v>
      </c>
      <c r="N1206" t="str">
        <f>VLOOKUP(B1206,Raw_Suppliers!$A$2:$G$101,6,FALSE)</f>
        <v>ISO 9001</v>
      </c>
      <c r="O1206">
        <f>VLOOKUP(B1206,Raw_Suppliers!$A$2:$G$101,7,FALSE)</f>
        <v>0</v>
      </c>
      <c r="P1206" t="str">
        <f t="shared" si="109"/>
        <v>No</v>
      </c>
      <c r="Q1206">
        <f t="shared" si="110"/>
        <v>1</v>
      </c>
      <c r="R1206" t="str">
        <f t="shared" si="111"/>
        <v>On Time</v>
      </c>
      <c r="S1206">
        <f t="shared" si="112"/>
        <v>2024</v>
      </c>
      <c r="T1206">
        <f t="shared" si="113"/>
        <v>3</v>
      </c>
    </row>
    <row r="1207" spans="1:20" x14ac:dyDescent="0.25">
      <c r="A1207" t="s">
        <v>1514</v>
      </c>
      <c r="B1207" t="s">
        <v>237</v>
      </c>
      <c r="C1207" t="s">
        <v>748</v>
      </c>
      <c r="D1207" s="1">
        <v>44354</v>
      </c>
      <c r="E1207">
        <v>8</v>
      </c>
      <c r="F1207">
        <v>15.939703510510499</v>
      </c>
      <c r="G1207" s="1">
        <v>44374</v>
      </c>
      <c r="H1207" s="1">
        <v>44372</v>
      </c>
      <c r="I1207">
        <v>127.517628084084</v>
      </c>
      <c r="J1207">
        <f t="shared" si="108"/>
        <v>-2</v>
      </c>
      <c r="K1207" t="str">
        <f>VLOOKUP(B1207,Raw_Suppliers!$A$2:$G$101,2,FALSE)</f>
        <v>Eco Beta Inc</v>
      </c>
      <c r="L1207" t="str">
        <f>VLOOKUP(B1207,Raw_Suppliers!$A$2:$G$101,3,FALSE)</f>
        <v>Germany</v>
      </c>
      <c r="M1207" t="str">
        <f>VLOOKUP(B1207,Raw_Suppliers!$A$2:$G$101,4,FALSE)</f>
        <v>North</v>
      </c>
      <c r="N1207" t="str">
        <f>VLOOKUP(B1207,Raw_Suppliers!$A$2:$G$101,6,FALSE)</f>
        <v>ISO 14001</v>
      </c>
      <c r="O1207">
        <f>VLOOKUP(B1207,Raw_Suppliers!$A$2:$G$101,7,FALSE)</f>
        <v>0</v>
      </c>
      <c r="P1207" t="str">
        <f t="shared" si="109"/>
        <v>No</v>
      </c>
      <c r="Q1207">
        <f t="shared" si="110"/>
        <v>1</v>
      </c>
      <c r="R1207" t="str">
        <f t="shared" si="111"/>
        <v>On Time</v>
      </c>
      <c r="S1207">
        <f t="shared" si="112"/>
        <v>2021</v>
      </c>
      <c r="T1207">
        <f t="shared" si="113"/>
        <v>6</v>
      </c>
    </row>
    <row r="1208" spans="1:20" x14ac:dyDescent="0.25">
      <c r="A1208" t="s">
        <v>1515</v>
      </c>
      <c r="B1208" t="s">
        <v>40</v>
      </c>
      <c r="C1208" t="s">
        <v>112</v>
      </c>
      <c r="D1208" s="1">
        <v>44611</v>
      </c>
      <c r="E1208">
        <v>12</v>
      </c>
      <c r="F1208">
        <v>35.741358321095902</v>
      </c>
      <c r="G1208" s="1">
        <v>44630</v>
      </c>
      <c r="H1208" s="1">
        <v>44630</v>
      </c>
      <c r="I1208">
        <v>428.89629985315099</v>
      </c>
      <c r="J1208">
        <f t="shared" si="108"/>
        <v>0</v>
      </c>
      <c r="K1208" t="str">
        <f>VLOOKUP(B1208,Raw_Suppliers!$A$2:$G$101,2,FALSE)</f>
        <v>Ultra Apex Inc</v>
      </c>
      <c r="L1208" t="str">
        <f>VLOOKUP(B1208,Raw_Suppliers!$A$2:$G$101,3,FALSE)</f>
        <v>India</v>
      </c>
      <c r="M1208" t="str">
        <f>VLOOKUP(B1208,Raw_Suppliers!$A$2:$G$101,4,FALSE)</f>
        <v>West</v>
      </c>
      <c r="N1208" t="str">
        <f>VLOOKUP(B1208,Raw_Suppliers!$A$2:$G$101,6,FALSE)</f>
        <v>ISO 9001</v>
      </c>
      <c r="O1208">
        <f>VLOOKUP(B1208,Raw_Suppliers!$A$2:$G$101,7,FALSE)</f>
        <v>0</v>
      </c>
      <c r="P1208" t="str">
        <f t="shared" si="109"/>
        <v>No</v>
      </c>
      <c r="Q1208">
        <f t="shared" si="110"/>
        <v>1</v>
      </c>
      <c r="R1208" t="str">
        <f t="shared" si="111"/>
        <v>On Time</v>
      </c>
      <c r="S1208">
        <f t="shared" si="112"/>
        <v>2022</v>
      </c>
      <c r="T1208">
        <f t="shared" si="113"/>
        <v>2</v>
      </c>
    </row>
    <row r="1209" spans="1:20" x14ac:dyDescent="0.25">
      <c r="A1209" t="s">
        <v>1516</v>
      </c>
      <c r="B1209" t="s">
        <v>475</v>
      </c>
      <c r="C1209" t="s">
        <v>654</v>
      </c>
      <c r="D1209" s="1">
        <v>45391</v>
      </c>
      <c r="E1209">
        <v>14</v>
      </c>
      <c r="F1209">
        <v>60.372341447688598</v>
      </c>
      <c r="G1209" s="1">
        <v>45406</v>
      </c>
      <c r="H1209" s="1">
        <v>45408</v>
      </c>
      <c r="I1209">
        <v>845.21278026764105</v>
      </c>
      <c r="J1209">
        <f t="shared" si="108"/>
        <v>2</v>
      </c>
      <c r="K1209" t="str">
        <f>VLOOKUP(B1209,Raw_Suppliers!$A$2:$G$101,2,FALSE)</f>
        <v>Ultra Delta LLC</v>
      </c>
      <c r="L1209" t="str">
        <f>VLOOKUP(B1209,Raw_Suppliers!$A$2:$G$101,3,FALSE)</f>
        <v>UK</v>
      </c>
      <c r="M1209" t="str">
        <f>VLOOKUP(B1209,Raw_Suppliers!$A$2:$G$101,4,FALSE)</f>
        <v>North</v>
      </c>
      <c r="N1209" t="str">
        <f>VLOOKUP(B1209,Raw_Suppliers!$A$2:$G$101,6,FALSE)</f>
        <v>None</v>
      </c>
      <c r="O1209">
        <f>VLOOKUP(B1209,Raw_Suppliers!$A$2:$G$101,7,FALSE)</f>
        <v>1</v>
      </c>
      <c r="P1209" t="str">
        <f t="shared" si="109"/>
        <v>Yes</v>
      </c>
      <c r="Q1209">
        <f t="shared" si="110"/>
        <v>0</v>
      </c>
      <c r="R1209" t="str">
        <f t="shared" si="111"/>
        <v>Late</v>
      </c>
      <c r="S1209">
        <f t="shared" si="112"/>
        <v>2024</v>
      </c>
      <c r="T1209">
        <f t="shared" si="113"/>
        <v>4</v>
      </c>
    </row>
    <row r="1210" spans="1:20" x14ac:dyDescent="0.25">
      <c r="A1210" t="s">
        <v>1517</v>
      </c>
      <c r="B1210" t="s">
        <v>70</v>
      </c>
      <c r="C1210" t="s">
        <v>29</v>
      </c>
      <c r="D1210" s="1">
        <v>45007</v>
      </c>
      <c r="E1210">
        <v>11</v>
      </c>
      <c r="F1210">
        <v>17.5379781383153</v>
      </c>
      <c r="G1210" s="1">
        <v>45024</v>
      </c>
      <c r="H1210" s="1">
        <v>45027</v>
      </c>
      <c r="I1210">
        <v>192.91775952146801</v>
      </c>
      <c r="J1210">
        <f t="shared" si="108"/>
        <v>3</v>
      </c>
      <c r="K1210" t="str">
        <f>VLOOKUP(B1210,Raw_Suppliers!$A$2:$G$101,2,FALSE)</f>
        <v>Prime Nano Ltd</v>
      </c>
      <c r="L1210" t="str">
        <f>VLOOKUP(B1210,Raw_Suppliers!$A$2:$G$101,3,FALSE)</f>
        <v>USA</v>
      </c>
      <c r="M1210" t="str">
        <f>VLOOKUP(B1210,Raw_Suppliers!$A$2:$G$101,4,FALSE)</f>
        <v>Central</v>
      </c>
      <c r="N1210" t="str">
        <f>VLOOKUP(B1210,Raw_Suppliers!$A$2:$G$101,6,FALSE)</f>
        <v>ISO 45001</v>
      </c>
      <c r="O1210">
        <f>VLOOKUP(B1210,Raw_Suppliers!$A$2:$G$101,7,FALSE)</f>
        <v>0</v>
      </c>
      <c r="P1210" t="str">
        <f t="shared" si="109"/>
        <v>No</v>
      </c>
      <c r="Q1210">
        <f t="shared" si="110"/>
        <v>0</v>
      </c>
      <c r="R1210" t="str">
        <f t="shared" si="111"/>
        <v>Late</v>
      </c>
      <c r="S1210">
        <f t="shared" si="112"/>
        <v>2023</v>
      </c>
      <c r="T1210">
        <f t="shared" si="113"/>
        <v>3</v>
      </c>
    </row>
    <row r="1211" spans="1:20" x14ac:dyDescent="0.25">
      <c r="A1211" t="s">
        <v>1518</v>
      </c>
      <c r="B1211" t="s">
        <v>247</v>
      </c>
      <c r="C1211" t="s">
        <v>233</v>
      </c>
      <c r="D1211" s="1">
        <v>44888</v>
      </c>
      <c r="E1211">
        <v>6</v>
      </c>
      <c r="F1211">
        <v>49.595615294231202</v>
      </c>
      <c r="G1211" s="1">
        <v>44905</v>
      </c>
      <c r="H1211" s="1">
        <v>44909</v>
      </c>
      <c r="I1211">
        <v>297.57369176538703</v>
      </c>
      <c r="J1211">
        <f t="shared" si="108"/>
        <v>4</v>
      </c>
      <c r="K1211" t="str">
        <f>VLOOKUP(B1211,Raw_Suppliers!$A$2:$G$101,2,FALSE)</f>
        <v>Ultra Apex LLC</v>
      </c>
      <c r="L1211" t="str">
        <f>VLOOKUP(B1211,Raw_Suppliers!$A$2:$G$101,3,FALSE)</f>
        <v>Germany</v>
      </c>
      <c r="M1211" t="str">
        <f>VLOOKUP(B1211,Raw_Suppliers!$A$2:$G$101,4,FALSE)</f>
        <v>West</v>
      </c>
      <c r="N1211" t="str">
        <f>VLOOKUP(B1211,Raw_Suppliers!$A$2:$G$101,6,FALSE)</f>
        <v>ISO 9001</v>
      </c>
      <c r="O1211">
        <f>VLOOKUP(B1211,Raw_Suppliers!$A$2:$G$101,7,FALSE)</f>
        <v>0</v>
      </c>
      <c r="P1211" t="str">
        <f t="shared" si="109"/>
        <v>No</v>
      </c>
      <c r="Q1211">
        <f t="shared" si="110"/>
        <v>0</v>
      </c>
      <c r="R1211" t="str">
        <f t="shared" si="111"/>
        <v>Late</v>
      </c>
      <c r="S1211">
        <f t="shared" si="112"/>
        <v>2022</v>
      </c>
      <c r="T1211">
        <f t="shared" si="113"/>
        <v>11</v>
      </c>
    </row>
    <row r="1212" spans="1:20" x14ac:dyDescent="0.25">
      <c r="A1212" t="s">
        <v>1519</v>
      </c>
      <c r="B1212" t="s">
        <v>382</v>
      </c>
      <c r="C1212" t="s">
        <v>527</v>
      </c>
      <c r="D1212" s="1">
        <v>44304</v>
      </c>
      <c r="E1212">
        <v>11</v>
      </c>
      <c r="F1212">
        <v>34.719485552320201</v>
      </c>
      <c r="G1212" s="1">
        <v>44322</v>
      </c>
      <c r="H1212" s="1">
        <v>44325</v>
      </c>
      <c r="I1212">
        <v>381.91434107552197</v>
      </c>
      <c r="J1212">
        <f t="shared" si="108"/>
        <v>3</v>
      </c>
      <c r="K1212" t="str">
        <f>VLOOKUP(B1212,Raw_Suppliers!$A$2:$G$101,2,FALSE)</f>
        <v>Omega Gamma Ltd</v>
      </c>
      <c r="L1212" t="str">
        <f>VLOOKUP(B1212,Raw_Suppliers!$A$2:$G$101,3,FALSE)</f>
        <v>USA</v>
      </c>
      <c r="M1212" t="str">
        <f>VLOOKUP(B1212,Raw_Suppliers!$A$2:$G$101,4,FALSE)</f>
        <v>Central</v>
      </c>
      <c r="N1212" t="str">
        <f>VLOOKUP(B1212,Raw_Suppliers!$A$2:$G$101,6,FALSE)</f>
        <v>None</v>
      </c>
      <c r="O1212">
        <f>VLOOKUP(B1212,Raw_Suppliers!$A$2:$G$101,7,FALSE)</f>
        <v>0</v>
      </c>
      <c r="P1212" t="str">
        <f t="shared" si="109"/>
        <v>No</v>
      </c>
      <c r="Q1212">
        <f t="shared" si="110"/>
        <v>0</v>
      </c>
      <c r="R1212" t="str">
        <f t="shared" si="111"/>
        <v>Late</v>
      </c>
      <c r="S1212">
        <f t="shared" si="112"/>
        <v>2021</v>
      </c>
      <c r="T1212">
        <f t="shared" si="113"/>
        <v>4</v>
      </c>
    </row>
    <row r="1213" spans="1:20" x14ac:dyDescent="0.25">
      <c r="A1213" t="s">
        <v>1520</v>
      </c>
      <c r="B1213" t="s">
        <v>104</v>
      </c>
      <c r="C1213" t="s">
        <v>1362</v>
      </c>
      <c r="D1213" s="1">
        <v>45391</v>
      </c>
      <c r="E1213">
        <v>16</v>
      </c>
      <c r="F1213">
        <v>17.6817434472736</v>
      </c>
      <c r="G1213" s="1">
        <v>45415</v>
      </c>
      <c r="H1213" s="1">
        <v>45420</v>
      </c>
      <c r="I1213">
        <v>282.907895156378</v>
      </c>
      <c r="J1213">
        <f t="shared" si="108"/>
        <v>5</v>
      </c>
      <c r="K1213" t="str">
        <f>VLOOKUP(B1213,Raw_Suppliers!$A$2:$G$101,2,FALSE)</f>
        <v>Prime Omega Corp</v>
      </c>
      <c r="L1213" t="str">
        <f>VLOOKUP(B1213,Raw_Suppliers!$A$2:$G$101,3,FALSE)</f>
        <v>India</v>
      </c>
      <c r="M1213" t="str">
        <f>VLOOKUP(B1213,Raw_Suppliers!$A$2:$G$101,4,FALSE)</f>
        <v>Central</v>
      </c>
      <c r="N1213" t="str">
        <f>VLOOKUP(B1213,Raw_Suppliers!$A$2:$G$101,6,FALSE)</f>
        <v>ISO 14001</v>
      </c>
      <c r="O1213">
        <f>VLOOKUP(B1213,Raw_Suppliers!$A$2:$G$101,7,FALSE)</f>
        <v>0</v>
      </c>
      <c r="P1213" t="str">
        <f t="shared" si="109"/>
        <v>No</v>
      </c>
      <c r="Q1213">
        <f t="shared" si="110"/>
        <v>0</v>
      </c>
      <c r="R1213" t="str">
        <f t="shared" si="111"/>
        <v>Late</v>
      </c>
      <c r="S1213">
        <f t="shared" si="112"/>
        <v>2024</v>
      </c>
      <c r="T1213">
        <f t="shared" si="113"/>
        <v>4</v>
      </c>
    </row>
    <row r="1214" spans="1:20" x14ac:dyDescent="0.25">
      <c r="A1214" t="s">
        <v>1521</v>
      </c>
      <c r="B1214" t="s">
        <v>176</v>
      </c>
      <c r="C1214" t="s">
        <v>158</v>
      </c>
      <c r="D1214" s="1">
        <v>44261</v>
      </c>
      <c r="E1214">
        <v>9</v>
      </c>
      <c r="F1214">
        <v>22.523986668211599</v>
      </c>
      <c r="G1214" s="1">
        <v>44271</v>
      </c>
      <c r="H1214" s="1">
        <v>44275</v>
      </c>
      <c r="I1214">
        <v>202.71588001390401</v>
      </c>
      <c r="J1214">
        <f t="shared" si="108"/>
        <v>4</v>
      </c>
      <c r="K1214" t="str">
        <f>VLOOKUP(B1214,Raw_Suppliers!$A$2:$G$101,2,FALSE)</f>
        <v>Nano Ultra Corp</v>
      </c>
      <c r="L1214" t="str">
        <f>VLOOKUP(B1214,Raw_Suppliers!$A$2:$G$101,3,FALSE)</f>
        <v>Canada</v>
      </c>
      <c r="M1214" t="str">
        <f>VLOOKUP(B1214,Raw_Suppliers!$A$2:$G$101,4,FALSE)</f>
        <v>Central</v>
      </c>
      <c r="N1214" t="str">
        <f>VLOOKUP(B1214,Raw_Suppliers!$A$2:$G$101,6,FALSE)</f>
        <v>ISO 9001</v>
      </c>
      <c r="O1214">
        <f>VLOOKUP(B1214,Raw_Suppliers!$A$2:$G$101,7,FALSE)</f>
        <v>0</v>
      </c>
      <c r="P1214" t="str">
        <f t="shared" si="109"/>
        <v>No</v>
      </c>
      <c r="Q1214">
        <f t="shared" si="110"/>
        <v>0</v>
      </c>
      <c r="R1214" t="str">
        <f t="shared" si="111"/>
        <v>Late</v>
      </c>
      <c r="S1214">
        <f t="shared" si="112"/>
        <v>2021</v>
      </c>
      <c r="T1214">
        <f t="shared" si="113"/>
        <v>3</v>
      </c>
    </row>
    <row r="1215" spans="1:20" x14ac:dyDescent="0.25">
      <c r="A1215" t="s">
        <v>1522</v>
      </c>
      <c r="B1215" t="s">
        <v>539</v>
      </c>
      <c r="C1215" t="s">
        <v>133</v>
      </c>
      <c r="D1215" s="1">
        <v>44808</v>
      </c>
      <c r="E1215">
        <v>12</v>
      </c>
      <c r="F1215">
        <v>6.0326537719406002</v>
      </c>
      <c r="G1215" s="1">
        <v>44822</v>
      </c>
      <c r="H1215" s="1">
        <v>44828</v>
      </c>
      <c r="I1215">
        <v>72.391845263287294</v>
      </c>
      <c r="J1215">
        <f t="shared" si="108"/>
        <v>6</v>
      </c>
      <c r="K1215" t="str">
        <f>VLOOKUP(B1215,Raw_Suppliers!$A$2:$G$101,2,FALSE)</f>
        <v>Eco Eco Ltd</v>
      </c>
      <c r="L1215" t="str">
        <f>VLOOKUP(B1215,Raw_Suppliers!$A$2:$G$101,3,FALSE)</f>
        <v>USA</v>
      </c>
      <c r="M1215" t="str">
        <f>VLOOKUP(B1215,Raw_Suppliers!$A$2:$G$101,4,FALSE)</f>
        <v>South</v>
      </c>
      <c r="N1215" t="str">
        <f>VLOOKUP(B1215,Raw_Suppliers!$A$2:$G$101,6,FALSE)</f>
        <v>ISO 45001</v>
      </c>
      <c r="O1215">
        <f>VLOOKUP(B1215,Raw_Suppliers!$A$2:$G$101,7,FALSE)</f>
        <v>1</v>
      </c>
      <c r="P1215" t="str">
        <f t="shared" si="109"/>
        <v>Yes</v>
      </c>
      <c r="Q1215">
        <f t="shared" si="110"/>
        <v>0</v>
      </c>
      <c r="R1215" t="str">
        <f t="shared" si="111"/>
        <v>Late</v>
      </c>
      <c r="S1215">
        <f t="shared" si="112"/>
        <v>2022</v>
      </c>
      <c r="T1215">
        <f t="shared" si="113"/>
        <v>9</v>
      </c>
    </row>
    <row r="1216" spans="1:20" x14ac:dyDescent="0.25">
      <c r="A1216" t="s">
        <v>1523</v>
      </c>
      <c r="B1216" t="s">
        <v>37</v>
      </c>
      <c r="C1216" t="s">
        <v>353</v>
      </c>
      <c r="D1216" s="1">
        <v>44447</v>
      </c>
      <c r="E1216">
        <v>10</v>
      </c>
      <c r="F1216">
        <v>31.785042111796098</v>
      </c>
      <c r="G1216" s="1">
        <v>44467</v>
      </c>
      <c r="H1216" s="1">
        <v>44465</v>
      </c>
      <c r="I1216">
        <v>317.85042111796099</v>
      </c>
      <c r="J1216">
        <f t="shared" si="108"/>
        <v>-2</v>
      </c>
      <c r="K1216" t="str">
        <f>VLOOKUP(B1216,Raw_Suppliers!$A$2:$G$101,2,FALSE)</f>
        <v>Apex Apex Ltd</v>
      </c>
      <c r="L1216" t="str">
        <f>VLOOKUP(B1216,Raw_Suppliers!$A$2:$G$101,3,FALSE)</f>
        <v>Canada</v>
      </c>
      <c r="M1216" t="str">
        <f>VLOOKUP(B1216,Raw_Suppliers!$A$2:$G$101,4,FALSE)</f>
        <v>East</v>
      </c>
      <c r="N1216" t="str">
        <f>VLOOKUP(B1216,Raw_Suppliers!$A$2:$G$101,6,FALSE)</f>
        <v>ISO 9001</v>
      </c>
      <c r="O1216">
        <f>VLOOKUP(B1216,Raw_Suppliers!$A$2:$G$101,7,FALSE)</f>
        <v>1</v>
      </c>
      <c r="P1216" t="str">
        <f t="shared" si="109"/>
        <v>Yes</v>
      </c>
      <c r="Q1216">
        <f t="shared" si="110"/>
        <v>1</v>
      </c>
      <c r="R1216" t="str">
        <f t="shared" si="111"/>
        <v>On Time</v>
      </c>
      <c r="S1216">
        <f t="shared" si="112"/>
        <v>2021</v>
      </c>
      <c r="T1216">
        <f t="shared" si="113"/>
        <v>9</v>
      </c>
    </row>
    <row r="1217" spans="1:20" x14ac:dyDescent="0.25">
      <c r="A1217" t="s">
        <v>1524</v>
      </c>
      <c r="B1217" t="s">
        <v>314</v>
      </c>
      <c r="C1217" t="s">
        <v>434</v>
      </c>
      <c r="D1217" s="1">
        <v>45130</v>
      </c>
      <c r="E1217">
        <v>10</v>
      </c>
      <c r="F1217">
        <v>74.065691352715206</v>
      </c>
      <c r="G1217" s="1">
        <v>45148</v>
      </c>
      <c r="H1217" s="1">
        <v>45146</v>
      </c>
      <c r="I1217">
        <v>740.65691352715203</v>
      </c>
      <c r="J1217">
        <f t="shared" si="108"/>
        <v>-2</v>
      </c>
      <c r="K1217" t="str">
        <f>VLOOKUP(B1217,Raw_Suppliers!$A$2:$G$101,2,FALSE)</f>
        <v>Gamma Nova Ltd</v>
      </c>
      <c r="L1217" t="str">
        <f>VLOOKUP(B1217,Raw_Suppliers!$A$2:$G$101,3,FALSE)</f>
        <v>USA</v>
      </c>
      <c r="M1217" t="str">
        <f>VLOOKUP(B1217,Raw_Suppliers!$A$2:$G$101,4,FALSE)</f>
        <v>North</v>
      </c>
      <c r="N1217" t="str">
        <f>VLOOKUP(B1217,Raw_Suppliers!$A$2:$G$101,6,FALSE)</f>
        <v>ISO 45001</v>
      </c>
      <c r="O1217">
        <f>VLOOKUP(B1217,Raw_Suppliers!$A$2:$G$101,7,FALSE)</f>
        <v>0</v>
      </c>
      <c r="P1217" t="str">
        <f t="shared" si="109"/>
        <v>No</v>
      </c>
      <c r="Q1217">
        <f t="shared" si="110"/>
        <v>1</v>
      </c>
      <c r="R1217" t="str">
        <f t="shared" si="111"/>
        <v>On Time</v>
      </c>
      <c r="S1217">
        <f t="shared" si="112"/>
        <v>2023</v>
      </c>
      <c r="T1217">
        <f t="shared" si="113"/>
        <v>7</v>
      </c>
    </row>
    <row r="1218" spans="1:20" x14ac:dyDescent="0.25">
      <c r="A1218" t="s">
        <v>1525</v>
      </c>
      <c r="B1218" t="s">
        <v>43</v>
      </c>
      <c r="C1218" t="s">
        <v>192</v>
      </c>
      <c r="D1218" s="1">
        <v>44959</v>
      </c>
      <c r="E1218">
        <v>5</v>
      </c>
      <c r="F1218">
        <v>45.382594630313797</v>
      </c>
      <c r="G1218" s="1">
        <v>44980</v>
      </c>
      <c r="H1218" s="1">
        <v>44982</v>
      </c>
      <c r="I1218">
        <v>226.91297315156899</v>
      </c>
      <c r="J1218">
        <f t="shared" si="108"/>
        <v>2</v>
      </c>
      <c r="K1218" t="str">
        <f>VLOOKUP(B1218,Raw_Suppliers!$A$2:$G$101,2,FALSE)</f>
        <v>Alpha Ultra Corp</v>
      </c>
      <c r="L1218" t="str">
        <f>VLOOKUP(B1218,Raw_Suppliers!$A$2:$G$101,3,FALSE)</f>
        <v>USA</v>
      </c>
      <c r="M1218" t="str">
        <f>VLOOKUP(B1218,Raw_Suppliers!$A$2:$G$101,4,FALSE)</f>
        <v>Central</v>
      </c>
      <c r="N1218" t="str">
        <f>VLOOKUP(B1218,Raw_Suppliers!$A$2:$G$101,6,FALSE)</f>
        <v>ISO 9001</v>
      </c>
      <c r="O1218">
        <f>VLOOKUP(B1218,Raw_Suppliers!$A$2:$G$101,7,FALSE)</f>
        <v>1</v>
      </c>
      <c r="P1218" t="str">
        <f t="shared" si="109"/>
        <v>Yes</v>
      </c>
      <c r="Q1218">
        <f t="shared" si="110"/>
        <v>0</v>
      </c>
      <c r="R1218" t="str">
        <f t="shared" si="111"/>
        <v>Late</v>
      </c>
      <c r="S1218">
        <f t="shared" si="112"/>
        <v>2023</v>
      </c>
      <c r="T1218">
        <f t="shared" si="113"/>
        <v>2</v>
      </c>
    </row>
    <row r="1219" spans="1:20" x14ac:dyDescent="0.25">
      <c r="A1219" t="s">
        <v>1526</v>
      </c>
      <c r="B1219" t="s">
        <v>564</v>
      </c>
      <c r="C1219" t="s">
        <v>117</v>
      </c>
      <c r="D1219" s="1">
        <v>44886</v>
      </c>
      <c r="E1219">
        <v>17</v>
      </c>
      <c r="F1219">
        <v>65.948241060610002</v>
      </c>
      <c r="G1219" s="1">
        <v>44898</v>
      </c>
      <c r="H1219" s="1">
        <v>44899</v>
      </c>
      <c r="I1219">
        <v>1121.1200980303699</v>
      </c>
      <c r="J1219">
        <f t="shared" ref="J1219:J1282" si="114">H1219-G1219</f>
        <v>1</v>
      </c>
      <c r="K1219" t="str">
        <f>VLOOKUP(B1219,Raw_Suppliers!$A$2:$G$101,2,FALSE)</f>
        <v>Ultra Ultra GmbH</v>
      </c>
      <c r="L1219" t="str">
        <f>VLOOKUP(B1219,Raw_Suppliers!$A$2:$G$101,3,FALSE)</f>
        <v>India</v>
      </c>
      <c r="M1219" t="str">
        <f>VLOOKUP(B1219,Raw_Suppliers!$A$2:$G$101,4,FALSE)</f>
        <v>Central</v>
      </c>
      <c r="N1219" t="str">
        <f>VLOOKUP(B1219,Raw_Suppliers!$A$2:$G$101,6,FALSE)</f>
        <v>ISO 14001</v>
      </c>
      <c r="O1219">
        <f>VLOOKUP(B1219,Raw_Suppliers!$A$2:$G$101,7,FALSE)</f>
        <v>1</v>
      </c>
      <c r="P1219" t="str">
        <f t="shared" ref="P1219:P1282" si="115">IF(O1219=1,"Yes","No")</f>
        <v>Yes</v>
      </c>
      <c r="Q1219">
        <f t="shared" ref="Q1219:Q1282" si="116">IF(J1219&lt;=0,1,0)</f>
        <v>0</v>
      </c>
      <c r="R1219" t="str">
        <f t="shared" ref="R1219:R1282" si="117">IF(Q1219=1,"On Time","Late")</f>
        <v>Late</v>
      </c>
      <c r="S1219">
        <f t="shared" ref="S1219:S1282" si="118">YEAR(D1219)</f>
        <v>2022</v>
      </c>
      <c r="T1219">
        <f t="shared" ref="T1219:T1282" si="119">MONTH(D1219)</f>
        <v>11</v>
      </c>
    </row>
    <row r="1220" spans="1:20" x14ac:dyDescent="0.25">
      <c r="A1220" t="s">
        <v>1527</v>
      </c>
      <c r="B1220" t="s">
        <v>104</v>
      </c>
      <c r="C1220" t="s">
        <v>589</v>
      </c>
      <c r="D1220" s="1">
        <v>45145</v>
      </c>
      <c r="E1220">
        <v>7</v>
      </c>
      <c r="F1220">
        <v>31.6387277763593</v>
      </c>
      <c r="G1220" s="1">
        <v>45159</v>
      </c>
      <c r="H1220" s="1">
        <v>45159</v>
      </c>
      <c r="I1220">
        <v>221.47109443451501</v>
      </c>
      <c r="J1220">
        <f t="shared" si="114"/>
        <v>0</v>
      </c>
      <c r="K1220" t="str">
        <f>VLOOKUP(B1220,Raw_Suppliers!$A$2:$G$101,2,FALSE)</f>
        <v>Prime Omega Corp</v>
      </c>
      <c r="L1220" t="str">
        <f>VLOOKUP(B1220,Raw_Suppliers!$A$2:$G$101,3,FALSE)</f>
        <v>India</v>
      </c>
      <c r="M1220" t="str">
        <f>VLOOKUP(B1220,Raw_Suppliers!$A$2:$G$101,4,FALSE)</f>
        <v>Central</v>
      </c>
      <c r="N1220" t="str">
        <f>VLOOKUP(B1220,Raw_Suppliers!$A$2:$G$101,6,FALSE)</f>
        <v>ISO 14001</v>
      </c>
      <c r="O1220">
        <f>VLOOKUP(B1220,Raw_Suppliers!$A$2:$G$101,7,FALSE)</f>
        <v>0</v>
      </c>
      <c r="P1220" t="str">
        <f t="shared" si="115"/>
        <v>No</v>
      </c>
      <c r="Q1220">
        <f t="shared" si="116"/>
        <v>1</v>
      </c>
      <c r="R1220" t="str">
        <f t="shared" si="117"/>
        <v>On Time</v>
      </c>
      <c r="S1220">
        <f t="shared" si="118"/>
        <v>2023</v>
      </c>
      <c r="T1220">
        <f t="shared" si="119"/>
        <v>8</v>
      </c>
    </row>
    <row r="1221" spans="1:20" x14ac:dyDescent="0.25">
      <c r="A1221" t="s">
        <v>1528</v>
      </c>
      <c r="B1221" t="s">
        <v>121</v>
      </c>
      <c r="C1221" t="s">
        <v>245</v>
      </c>
      <c r="D1221" s="1">
        <v>44527</v>
      </c>
      <c r="E1221">
        <v>11</v>
      </c>
      <c r="F1221">
        <v>15.1105479601901</v>
      </c>
      <c r="G1221" s="1">
        <v>44537</v>
      </c>
      <c r="H1221" s="1">
        <v>44542</v>
      </c>
      <c r="I1221">
        <v>166.21602756209199</v>
      </c>
      <c r="J1221">
        <f t="shared" si="114"/>
        <v>5</v>
      </c>
      <c r="K1221" t="str">
        <f>VLOOKUP(B1221,Raw_Suppliers!$A$2:$G$101,2,FALSE)</f>
        <v>Vertex Vertex Inc</v>
      </c>
      <c r="L1221" t="str">
        <f>VLOOKUP(B1221,Raw_Suppliers!$A$2:$G$101,3,FALSE)</f>
        <v>USA</v>
      </c>
      <c r="M1221" t="str">
        <f>VLOOKUP(B1221,Raw_Suppliers!$A$2:$G$101,4,FALSE)</f>
        <v>West</v>
      </c>
      <c r="N1221" t="str">
        <f>VLOOKUP(B1221,Raw_Suppliers!$A$2:$G$101,6,FALSE)</f>
        <v>None</v>
      </c>
      <c r="O1221">
        <f>VLOOKUP(B1221,Raw_Suppliers!$A$2:$G$101,7,FALSE)</f>
        <v>0</v>
      </c>
      <c r="P1221" t="str">
        <f t="shared" si="115"/>
        <v>No</v>
      </c>
      <c r="Q1221">
        <f t="shared" si="116"/>
        <v>0</v>
      </c>
      <c r="R1221" t="str">
        <f t="shared" si="117"/>
        <v>Late</v>
      </c>
      <c r="S1221">
        <f t="shared" si="118"/>
        <v>2021</v>
      </c>
      <c r="T1221">
        <f t="shared" si="119"/>
        <v>11</v>
      </c>
    </row>
    <row r="1222" spans="1:20" x14ac:dyDescent="0.25">
      <c r="A1222" t="s">
        <v>1529</v>
      </c>
      <c r="B1222" t="s">
        <v>28</v>
      </c>
      <c r="C1222" t="s">
        <v>990</v>
      </c>
      <c r="D1222" s="1">
        <v>44375</v>
      </c>
      <c r="E1222">
        <v>14</v>
      </c>
      <c r="F1222">
        <v>56.792406062853999</v>
      </c>
      <c r="G1222" s="1">
        <v>44389</v>
      </c>
      <c r="H1222" s="1">
        <v>44389</v>
      </c>
      <c r="I1222">
        <v>795.09368487995596</v>
      </c>
      <c r="J1222">
        <f t="shared" si="114"/>
        <v>0</v>
      </c>
      <c r="K1222" t="str">
        <f>VLOOKUP(B1222,Raw_Suppliers!$A$2:$G$101,2,FALSE)</f>
        <v>Fusion Vertex Inc</v>
      </c>
      <c r="L1222" t="str">
        <f>VLOOKUP(B1222,Raw_Suppliers!$A$2:$G$101,3,FALSE)</f>
        <v>Denmark</v>
      </c>
      <c r="M1222" t="str">
        <f>VLOOKUP(B1222,Raw_Suppliers!$A$2:$G$101,4,FALSE)</f>
        <v>Central</v>
      </c>
      <c r="N1222" t="str">
        <f>VLOOKUP(B1222,Raw_Suppliers!$A$2:$G$101,6,FALSE)</f>
        <v>ISO 45001</v>
      </c>
      <c r="O1222">
        <f>VLOOKUP(B1222,Raw_Suppliers!$A$2:$G$101,7,FALSE)</f>
        <v>0</v>
      </c>
      <c r="P1222" t="str">
        <f t="shared" si="115"/>
        <v>No</v>
      </c>
      <c r="Q1222">
        <f t="shared" si="116"/>
        <v>1</v>
      </c>
      <c r="R1222" t="str">
        <f t="shared" si="117"/>
        <v>On Time</v>
      </c>
      <c r="S1222">
        <f t="shared" si="118"/>
        <v>2021</v>
      </c>
      <c r="T1222">
        <f t="shared" si="119"/>
        <v>6</v>
      </c>
    </row>
    <row r="1223" spans="1:20" x14ac:dyDescent="0.25">
      <c r="A1223" t="s">
        <v>1530</v>
      </c>
      <c r="B1223" t="s">
        <v>37</v>
      </c>
      <c r="C1223" t="s">
        <v>380</v>
      </c>
      <c r="D1223" s="1">
        <v>44572</v>
      </c>
      <c r="E1223">
        <v>17</v>
      </c>
      <c r="F1223">
        <v>70.264011505417699</v>
      </c>
      <c r="G1223" s="1">
        <v>44594</v>
      </c>
      <c r="H1223" s="1">
        <v>44599</v>
      </c>
      <c r="I1223">
        <v>1194.4881955921001</v>
      </c>
      <c r="J1223">
        <f t="shared" si="114"/>
        <v>5</v>
      </c>
      <c r="K1223" t="str">
        <f>VLOOKUP(B1223,Raw_Suppliers!$A$2:$G$101,2,FALSE)</f>
        <v>Apex Apex Ltd</v>
      </c>
      <c r="L1223" t="str">
        <f>VLOOKUP(B1223,Raw_Suppliers!$A$2:$G$101,3,FALSE)</f>
        <v>Canada</v>
      </c>
      <c r="M1223" t="str">
        <f>VLOOKUP(B1223,Raw_Suppliers!$A$2:$G$101,4,FALSE)</f>
        <v>East</v>
      </c>
      <c r="N1223" t="str">
        <f>VLOOKUP(B1223,Raw_Suppliers!$A$2:$G$101,6,FALSE)</f>
        <v>ISO 9001</v>
      </c>
      <c r="O1223">
        <f>VLOOKUP(B1223,Raw_Suppliers!$A$2:$G$101,7,FALSE)</f>
        <v>1</v>
      </c>
      <c r="P1223" t="str">
        <f t="shared" si="115"/>
        <v>Yes</v>
      </c>
      <c r="Q1223">
        <f t="shared" si="116"/>
        <v>0</v>
      </c>
      <c r="R1223" t="str">
        <f t="shared" si="117"/>
        <v>Late</v>
      </c>
      <c r="S1223">
        <f t="shared" si="118"/>
        <v>2022</v>
      </c>
      <c r="T1223">
        <f t="shared" si="119"/>
        <v>1</v>
      </c>
    </row>
    <row r="1224" spans="1:20" x14ac:dyDescent="0.25">
      <c r="A1224" t="s">
        <v>1531</v>
      </c>
      <c r="B1224" t="s">
        <v>350</v>
      </c>
      <c r="C1224" t="s">
        <v>283</v>
      </c>
      <c r="D1224" s="1">
        <v>44373</v>
      </c>
      <c r="E1224">
        <v>9</v>
      </c>
      <c r="F1224">
        <v>61.957231152501201</v>
      </c>
      <c r="G1224" s="1">
        <v>44388</v>
      </c>
      <c r="H1224" s="1">
        <v>44388</v>
      </c>
      <c r="I1224">
        <v>557.61508037250996</v>
      </c>
      <c r="J1224">
        <f t="shared" si="114"/>
        <v>0</v>
      </c>
      <c r="K1224" t="str">
        <f>VLOOKUP(B1224,Raw_Suppliers!$A$2:$G$101,2,FALSE)</f>
        <v>Prime Gamma GmbH</v>
      </c>
      <c r="L1224" t="str">
        <f>VLOOKUP(B1224,Raw_Suppliers!$A$2:$G$101,3,FALSE)</f>
        <v>Denmark</v>
      </c>
      <c r="M1224" t="str">
        <f>VLOOKUP(B1224,Raw_Suppliers!$A$2:$G$101,4,FALSE)</f>
        <v>West</v>
      </c>
      <c r="N1224" t="str">
        <f>VLOOKUP(B1224,Raw_Suppliers!$A$2:$G$101,6,FALSE)</f>
        <v>ISO 9001</v>
      </c>
      <c r="O1224">
        <f>VLOOKUP(B1224,Raw_Suppliers!$A$2:$G$101,7,FALSE)</f>
        <v>0</v>
      </c>
      <c r="P1224" t="str">
        <f t="shared" si="115"/>
        <v>No</v>
      </c>
      <c r="Q1224">
        <f t="shared" si="116"/>
        <v>1</v>
      </c>
      <c r="R1224" t="str">
        <f t="shared" si="117"/>
        <v>On Time</v>
      </c>
      <c r="S1224">
        <f t="shared" si="118"/>
        <v>2021</v>
      </c>
      <c r="T1224">
        <f t="shared" si="119"/>
        <v>6</v>
      </c>
    </row>
    <row r="1225" spans="1:20" x14ac:dyDescent="0.25">
      <c r="A1225" t="s">
        <v>1532</v>
      </c>
      <c r="B1225" t="s">
        <v>617</v>
      </c>
      <c r="C1225" t="s">
        <v>1176</v>
      </c>
      <c r="D1225" s="1">
        <v>44306</v>
      </c>
      <c r="E1225">
        <v>11</v>
      </c>
      <c r="F1225">
        <v>53.554328694735702</v>
      </c>
      <c r="G1225" s="1">
        <v>44326</v>
      </c>
      <c r="H1225" s="1">
        <v>44329</v>
      </c>
      <c r="I1225">
        <v>589.09761564209305</v>
      </c>
      <c r="J1225">
        <f t="shared" si="114"/>
        <v>3</v>
      </c>
      <c r="K1225" t="str">
        <f>VLOOKUP(B1225,Raw_Suppliers!$A$2:$G$101,2,FALSE)</f>
        <v>Eco Vertex Ltd</v>
      </c>
      <c r="L1225" t="str">
        <f>VLOOKUP(B1225,Raw_Suppliers!$A$2:$G$101,3,FALSE)</f>
        <v>UK</v>
      </c>
      <c r="M1225" t="str">
        <f>VLOOKUP(B1225,Raw_Suppliers!$A$2:$G$101,4,FALSE)</f>
        <v>Central</v>
      </c>
      <c r="N1225" t="str">
        <f>VLOOKUP(B1225,Raw_Suppliers!$A$2:$G$101,6,FALSE)</f>
        <v>None</v>
      </c>
      <c r="O1225">
        <f>VLOOKUP(B1225,Raw_Suppliers!$A$2:$G$101,7,FALSE)</f>
        <v>0</v>
      </c>
      <c r="P1225" t="str">
        <f t="shared" si="115"/>
        <v>No</v>
      </c>
      <c r="Q1225">
        <f t="shared" si="116"/>
        <v>0</v>
      </c>
      <c r="R1225" t="str">
        <f t="shared" si="117"/>
        <v>Late</v>
      </c>
      <c r="S1225">
        <f t="shared" si="118"/>
        <v>2021</v>
      </c>
      <c r="T1225">
        <f t="shared" si="119"/>
        <v>4</v>
      </c>
    </row>
    <row r="1226" spans="1:20" x14ac:dyDescent="0.25">
      <c r="A1226" t="s">
        <v>1533</v>
      </c>
      <c r="B1226" t="s">
        <v>34</v>
      </c>
      <c r="C1226" t="s">
        <v>353</v>
      </c>
      <c r="D1226" s="1">
        <v>45365</v>
      </c>
      <c r="E1226">
        <v>7</v>
      </c>
      <c r="F1226">
        <v>37.698600364941001</v>
      </c>
      <c r="G1226" s="1">
        <v>45378</v>
      </c>
      <c r="H1226" s="1">
        <v>45383</v>
      </c>
      <c r="I1226">
        <v>263.89020255458701</v>
      </c>
      <c r="J1226">
        <f t="shared" si="114"/>
        <v>5</v>
      </c>
      <c r="K1226" t="str">
        <f>VLOOKUP(B1226,Raw_Suppliers!$A$2:$G$101,2,FALSE)</f>
        <v>Omega Alpha Corp</v>
      </c>
      <c r="L1226" t="str">
        <f>VLOOKUP(B1226,Raw_Suppliers!$A$2:$G$101,3,FALSE)</f>
        <v>UK</v>
      </c>
      <c r="M1226" t="str">
        <f>VLOOKUP(B1226,Raw_Suppliers!$A$2:$G$101,4,FALSE)</f>
        <v>West</v>
      </c>
      <c r="N1226" t="str">
        <f>VLOOKUP(B1226,Raw_Suppliers!$A$2:$G$101,6,FALSE)</f>
        <v>ISO 45001</v>
      </c>
      <c r="O1226">
        <f>VLOOKUP(B1226,Raw_Suppliers!$A$2:$G$101,7,FALSE)</f>
        <v>0</v>
      </c>
      <c r="P1226" t="str">
        <f t="shared" si="115"/>
        <v>No</v>
      </c>
      <c r="Q1226">
        <f t="shared" si="116"/>
        <v>0</v>
      </c>
      <c r="R1226" t="str">
        <f t="shared" si="117"/>
        <v>Late</v>
      </c>
      <c r="S1226">
        <f t="shared" si="118"/>
        <v>2024</v>
      </c>
      <c r="T1226">
        <f t="shared" si="119"/>
        <v>3</v>
      </c>
    </row>
    <row r="1227" spans="1:20" x14ac:dyDescent="0.25">
      <c r="A1227" t="s">
        <v>1534</v>
      </c>
      <c r="B1227" t="s">
        <v>321</v>
      </c>
      <c r="C1227" t="s">
        <v>74</v>
      </c>
      <c r="D1227" s="1">
        <v>44348</v>
      </c>
      <c r="E1227">
        <v>7</v>
      </c>
      <c r="F1227">
        <v>61.351533920002304</v>
      </c>
      <c r="G1227" s="1">
        <v>44361</v>
      </c>
      <c r="H1227" s="1">
        <v>44364</v>
      </c>
      <c r="I1227">
        <v>429.46073744001598</v>
      </c>
      <c r="J1227">
        <f t="shared" si="114"/>
        <v>3</v>
      </c>
      <c r="K1227" t="str">
        <f>VLOOKUP(B1227,Raw_Suppliers!$A$2:$G$101,2,FALSE)</f>
        <v>Vertex Delta LLC</v>
      </c>
      <c r="L1227" t="str">
        <f>VLOOKUP(B1227,Raw_Suppliers!$A$2:$G$101,3,FALSE)</f>
        <v>India</v>
      </c>
      <c r="M1227" t="str">
        <f>VLOOKUP(B1227,Raw_Suppliers!$A$2:$G$101,4,FALSE)</f>
        <v>South</v>
      </c>
      <c r="N1227" t="str">
        <f>VLOOKUP(B1227,Raw_Suppliers!$A$2:$G$101,6,FALSE)</f>
        <v>ISO 45001</v>
      </c>
      <c r="O1227">
        <f>VLOOKUP(B1227,Raw_Suppliers!$A$2:$G$101,7,FALSE)</f>
        <v>0</v>
      </c>
      <c r="P1227" t="str">
        <f t="shared" si="115"/>
        <v>No</v>
      </c>
      <c r="Q1227">
        <f t="shared" si="116"/>
        <v>0</v>
      </c>
      <c r="R1227" t="str">
        <f t="shared" si="117"/>
        <v>Late</v>
      </c>
      <c r="S1227">
        <f t="shared" si="118"/>
        <v>2021</v>
      </c>
      <c r="T1227">
        <f t="shared" si="119"/>
        <v>6</v>
      </c>
    </row>
    <row r="1228" spans="1:20" x14ac:dyDescent="0.25">
      <c r="A1228" t="s">
        <v>1535</v>
      </c>
      <c r="B1228" t="s">
        <v>127</v>
      </c>
      <c r="C1228" t="s">
        <v>344</v>
      </c>
      <c r="D1228" s="1">
        <v>45028</v>
      </c>
      <c r="E1228">
        <v>13</v>
      </c>
      <c r="F1228">
        <v>24.956333406273501</v>
      </c>
      <c r="G1228" s="1">
        <v>45052</v>
      </c>
      <c r="H1228" s="1">
        <v>45053</v>
      </c>
      <c r="I1228">
        <v>324.43233428155497</v>
      </c>
      <c r="J1228">
        <f t="shared" si="114"/>
        <v>1</v>
      </c>
      <c r="K1228" t="str">
        <f>VLOOKUP(B1228,Raw_Suppliers!$A$2:$G$101,2,FALSE)</f>
        <v>Eco Gamma LLC</v>
      </c>
      <c r="L1228" t="str">
        <f>VLOOKUP(B1228,Raw_Suppliers!$A$2:$G$101,3,FALSE)</f>
        <v>Canada</v>
      </c>
      <c r="M1228" t="str">
        <f>VLOOKUP(B1228,Raw_Suppliers!$A$2:$G$101,4,FALSE)</f>
        <v>West</v>
      </c>
      <c r="N1228" t="str">
        <f>VLOOKUP(B1228,Raw_Suppliers!$A$2:$G$101,6,FALSE)</f>
        <v>ISO 9001</v>
      </c>
      <c r="O1228">
        <f>VLOOKUP(B1228,Raw_Suppliers!$A$2:$G$101,7,FALSE)</f>
        <v>1</v>
      </c>
      <c r="P1228" t="str">
        <f t="shared" si="115"/>
        <v>Yes</v>
      </c>
      <c r="Q1228">
        <f t="shared" si="116"/>
        <v>0</v>
      </c>
      <c r="R1228" t="str">
        <f t="shared" si="117"/>
        <v>Late</v>
      </c>
      <c r="S1228">
        <f t="shared" si="118"/>
        <v>2023</v>
      </c>
      <c r="T1228">
        <f t="shared" si="119"/>
        <v>4</v>
      </c>
    </row>
    <row r="1229" spans="1:20" x14ac:dyDescent="0.25">
      <c r="A1229" t="s">
        <v>1536</v>
      </c>
      <c r="B1229" t="s">
        <v>369</v>
      </c>
      <c r="C1229" t="s">
        <v>312</v>
      </c>
      <c r="D1229" s="1">
        <v>44800</v>
      </c>
      <c r="E1229">
        <v>12</v>
      </c>
      <c r="F1229">
        <v>3.3978266325375199</v>
      </c>
      <c r="G1229" s="1">
        <v>44816</v>
      </c>
      <c r="H1229" s="1">
        <v>44816</v>
      </c>
      <c r="I1229">
        <v>40.773919590450198</v>
      </c>
      <c r="J1229">
        <f t="shared" si="114"/>
        <v>0</v>
      </c>
      <c r="K1229" t="str">
        <f>VLOOKUP(B1229,Raw_Suppliers!$A$2:$G$101,2,FALSE)</f>
        <v>Beta Fusion GmbH</v>
      </c>
      <c r="L1229" t="str">
        <f>VLOOKUP(B1229,Raw_Suppliers!$A$2:$G$101,3,FALSE)</f>
        <v>China</v>
      </c>
      <c r="M1229" t="str">
        <f>VLOOKUP(B1229,Raw_Suppliers!$A$2:$G$101,4,FALSE)</f>
        <v>South</v>
      </c>
      <c r="N1229" t="str">
        <f>VLOOKUP(B1229,Raw_Suppliers!$A$2:$G$101,6,FALSE)</f>
        <v>ISO 9001</v>
      </c>
      <c r="O1229">
        <f>VLOOKUP(B1229,Raw_Suppliers!$A$2:$G$101,7,FALSE)</f>
        <v>0</v>
      </c>
      <c r="P1229" t="str">
        <f t="shared" si="115"/>
        <v>No</v>
      </c>
      <c r="Q1229">
        <f t="shared" si="116"/>
        <v>1</v>
      </c>
      <c r="R1229" t="str">
        <f t="shared" si="117"/>
        <v>On Time</v>
      </c>
      <c r="S1229">
        <f t="shared" si="118"/>
        <v>2022</v>
      </c>
      <c r="T1229">
        <f t="shared" si="119"/>
        <v>8</v>
      </c>
    </row>
    <row r="1230" spans="1:20" x14ac:dyDescent="0.25">
      <c r="A1230" t="s">
        <v>1537</v>
      </c>
      <c r="B1230" t="s">
        <v>28</v>
      </c>
      <c r="C1230" t="s">
        <v>1362</v>
      </c>
      <c r="D1230" s="1">
        <v>44973</v>
      </c>
      <c r="E1230">
        <v>10</v>
      </c>
      <c r="F1230">
        <v>30.715221326197199</v>
      </c>
      <c r="G1230" s="1">
        <v>44996</v>
      </c>
      <c r="H1230" s="1">
        <v>44995</v>
      </c>
      <c r="I1230">
        <v>307.15221326197201</v>
      </c>
      <c r="J1230">
        <f t="shared" si="114"/>
        <v>-1</v>
      </c>
      <c r="K1230" t="str">
        <f>VLOOKUP(B1230,Raw_Suppliers!$A$2:$G$101,2,FALSE)</f>
        <v>Fusion Vertex Inc</v>
      </c>
      <c r="L1230" t="str">
        <f>VLOOKUP(B1230,Raw_Suppliers!$A$2:$G$101,3,FALSE)</f>
        <v>Denmark</v>
      </c>
      <c r="M1230" t="str">
        <f>VLOOKUP(B1230,Raw_Suppliers!$A$2:$G$101,4,FALSE)</f>
        <v>Central</v>
      </c>
      <c r="N1230" t="str">
        <f>VLOOKUP(B1230,Raw_Suppliers!$A$2:$G$101,6,FALSE)</f>
        <v>ISO 45001</v>
      </c>
      <c r="O1230">
        <f>VLOOKUP(B1230,Raw_Suppliers!$A$2:$G$101,7,FALSE)</f>
        <v>0</v>
      </c>
      <c r="P1230" t="str">
        <f t="shared" si="115"/>
        <v>No</v>
      </c>
      <c r="Q1230">
        <f t="shared" si="116"/>
        <v>1</v>
      </c>
      <c r="R1230" t="str">
        <f t="shared" si="117"/>
        <v>On Time</v>
      </c>
      <c r="S1230">
        <f t="shared" si="118"/>
        <v>2023</v>
      </c>
      <c r="T1230">
        <f t="shared" si="119"/>
        <v>2</v>
      </c>
    </row>
    <row r="1231" spans="1:20" x14ac:dyDescent="0.25">
      <c r="A1231" t="s">
        <v>1538</v>
      </c>
      <c r="B1231" t="s">
        <v>22</v>
      </c>
      <c r="C1231" t="s">
        <v>446</v>
      </c>
      <c r="D1231" s="1">
        <v>44839</v>
      </c>
      <c r="E1231">
        <v>13</v>
      </c>
      <c r="F1231">
        <v>52.452560349716698</v>
      </c>
      <c r="G1231" s="1">
        <v>44863</v>
      </c>
      <c r="H1231" s="1">
        <v>44866</v>
      </c>
      <c r="I1231">
        <v>681.88328454631699</v>
      </c>
      <c r="J1231">
        <f t="shared" si="114"/>
        <v>3</v>
      </c>
      <c r="K1231" t="str">
        <f>VLOOKUP(B1231,Raw_Suppliers!$A$2:$G$101,2,FALSE)</f>
        <v>Delta Gamma Corp</v>
      </c>
      <c r="L1231" t="str">
        <f>VLOOKUP(B1231,Raw_Suppliers!$A$2:$G$101,3,FALSE)</f>
        <v>Denmark</v>
      </c>
      <c r="M1231" t="str">
        <f>VLOOKUP(B1231,Raw_Suppliers!$A$2:$G$101,4,FALSE)</f>
        <v>West</v>
      </c>
      <c r="N1231" t="str">
        <f>VLOOKUP(B1231,Raw_Suppliers!$A$2:$G$101,6,FALSE)</f>
        <v>ISO 45001</v>
      </c>
      <c r="O1231">
        <f>VLOOKUP(B1231,Raw_Suppliers!$A$2:$G$101,7,FALSE)</f>
        <v>1</v>
      </c>
      <c r="P1231" t="str">
        <f t="shared" si="115"/>
        <v>Yes</v>
      </c>
      <c r="Q1231">
        <f t="shared" si="116"/>
        <v>0</v>
      </c>
      <c r="R1231" t="str">
        <f t="shared" si="117"/>
        <v>Late</v>
      </c>
      <c r="S1231">
        <f t="shared" si="118"/>
        <v>2022</v>
      </c>
      <c r="T1231">
        <f t="shared" si="119"/>
        <v>10</v>
      </c>
    </row>
    <row r="1232" spans="1:20" x14ac:dyDescent="0.25">
      <c r="A1232" t="s">
        <v>1539</v>
      </c>
      <c r="B1232" t="s">
        <v>176</v>
      </c>
      <c r="C1232" t="s">
        <v>370</v>
      </c>
      <c r="D1232" s="1">
        <v>44386</v>
      </c>
      <c r="E1232">
        <v>9</v>
      </c>
      <c r="F1232">
        <v>79.812140175481105</v>
      </c>
      <c r="G1232" s="1">
        <v>44397</v>
      </c>
      <c r="H1232" s="1">
        <v>44394</v>
      </c>
      <c r="I1232">
        <v>718.30926157933004</v>
      </c>
      <c r="J1232">
        <f t="shared" si="114"/>
        <v>-3</v>
      </c>
      <c r="K1232" t="str">
        <f>VLOOKUP(B1232,Raw_Suppliers!$A$2:$G$101,2,FALSE)</f>
        <v>Nano Ultra Corp</v>
      </c>
      <c r="L1232" t="str">
        <f>VLOOKUP(B1232,Raw_Suppliers!$A$2:$G$101,3,FALSE)</f>
        <v>Canada</v>
      </c>
      <c r="M1232" t="str">
        <f>VLOOKUP(B1232,Raw_Suppliers!$A$2:$G$101,4,FALSE)</f>
        <v>Central</v>
      </c>
      <c r="N1232" t="str">
        <f>VLOOKUP(B1232,Raw_Suppliers!$A$2:$G$101,6,FALSE)</f>
        <v>ISO 9001</v>
      </c>
      <c r="O1232">
        <f>VLOOKUP(B1232,Raw_Suppliers!$A$2:$G$101,7,FALSE)</f>
        <v>0</v>
      </c>
      <c r="P1232" t="str">
        <f t="shared" si="115"/>
        <v>No</v>
      </c>
      <c r="Q1232">
        <f t="shared" si="116"/>
        <v>1</v>
      </c>
      <c r="R1232" t="str">
        <f t="shared" si="117"/>
        <v>On Time</v>
      </c>
      <c r="S1232">
        <f t="shared" si="118"/>
        <v>2021</v>
      </c>
      <c r="T1232">
        <f t="shared" si="119"/>
        <v>7</v>
      </c>
    </row>
    <row r="1233" spans="1:20" x14ac:dyDescent="0.25">
      <c r="A1233" t="s">
        <v>1540</v>
      </c>
      <c r="B1233" t="s">
        <v>37</v>
      </c>
      <c r="C1233" t="s">
        <v>826</v>
      </c>
      <c r="D1233" s="1">
        <v>45324</v>
      </c>
      <c r="E1233">
        <v>12</v>
      </c>
      <c r="F1233">
        <v>9.3632196062662807</v>
      </c>
      <c r="G1233" s="1">
        <v>45340</v>
      </c>
      <c r="H1233" s="1">
        <v>45345</v>
      </c>
      <c r="I1233">
        <v>112.358635275195</v>
      </c>
      <c r="J1233">
        <f t="shared" si="114"/>
        <v>5</v>
      </c>
      <c r="K1233" t="str">
        <f>VLOOKUP(B1233,Raw_Suppliers!$A$2:$G$101,2,FALSE)</f>
        <v>Apex Apex Ltd</v>
      </c>
      <c r="L1233" t="str">
        <f>VLOOKUP(B1233,Raw_Suppliers!$A$2:$G$101,3,FALSE)</f>
        <v>Canada</v>
      </c>
      <c r="M1233" t="str">
        <f>VLOOKUP(B1233,Raw_Suppliers!$A$2:$G$101,4,FALSE)</f>
        <v>East</v>
      </c>
      <c r="N1233" t="str">
        <f>VLOOKUP(B1233,Raw_Suppliers!$A$2:$G$101,6,FALSE)</f>
        <v>ISO 9001</v>
      </c>
      <c r="O1233">
        <f>VLOOKUP(B1233,Raw_Suppliers!$A$2:$G$101,7,FALSE)</f>
        <v>1</v>
      </c>
      <c r="P1233" t="str">
        <f t="shared" si="115"/>
        <v>Yes</v>
      </c>
      <c r="Q1233">
        <f t="shared" si="116"/>
        <v>0</v>
      </c>
      <c r="R1233" t="str">
        <f t="shared" si="117"/>
        <v>Late</v>
      </c>
      <c r="S1233">
        <f t="shared" si="118"/>
        <v>2024</v>
      </c>
      <c r="T1233">
        <f t="shared" si="119"/>
        <v>2</v>
      </c>
    </row>
    <row r="1234" spans="1:20" x14ac:dyDescent="0.25">
      <c r="A1234" t="s">
        <v>1541</v>
      </c>
      <c r="B1234" t="s">
        <v>10</v>
      </c>
      <c r="C1234" t="s">
        <v>190</v>
      </c>
      <c r="D1234" s="1">
        <v>44263</v>
      </c>
      <c r="E1234">
        <v>18</v>
      </c>
      <c r="F1234">
        <v>35.445280991241603</v>
      </c>
      <c r="G1234" s="1">
        <v>44283</v>
      </c>
      <c r="H1234" s="1">
        <v>44284</v>
      </c>
      <c r="I1234">
        <v>638.01505784234905</v>
      </c>
      <c r="J1234">
        <f t="shared" si="114"/>
        <v>1</v>
      </c>
      <c r="K1234" t="str">
        <f>VLOOKUP(B1234,Raw_Suppliers!$A$2:$G$101,2,FALSE)</f>
        <v>Vertex Beta GmbH</v>
      </c>
      <c r="L1234" t="str">
        <f>VLOOKUP(B1234,Raw_Suppliers!$A$2:$G$101,3,FALSE)</f>
        <v>India</v>
      </c>
      <c r="M1234" t="str">
        <f>VLOOKUP(B1234,Raw_Suppliers!$A$2:$G$101,4,FALSE)</f>
        <v>North</v>
      </c>
      <c r="N1234" t="str">
        <f>VLOOKUP(B1234,Raw_Suppliers!$A$2:$G$101,6,FALSE)</f>
        <v>ISO 14001</v>
      </c>
      <c r="O1234">
        <f>VLOOKUP(B1234,Raw_Suppliers!$A$2:$G$101,7,FALSE)</f>
        <v>0</v>
      </c>
      <c r="P1234" t="str">
        <f t="shared" si="115"/>
        <v>No</v>
      </c>
      <c r="Q1234">
        <f t="shared" si="116"/>
        <v>0</v>
      </c>
      <c r="R1234" t="str">
        <f t="shared" si="117"/>
        <v>Late</v>
      </c>
      <c r="S1234">
        <f t="shared" si="118"/>
        <v>2021</v>
      </c>
      <c r="T1234">
        <f t="shared" si="119"/>
        <v>3</v>
      </c>
    </row>
    <row r="1235" spans="1:20" x14ac:dyDescent="0.25">
      <c r="A1235" t="s">
        <v>1542</v>
      </c>
      <c r="B1235" t="s">
        <v>253</v>
      </c>
      <c r="C1235" t="s">
        <v>141</v>
      </c>
      <c r="D1235" s="1">
        <v>45013</v>
      </c>
      <c r="E1235">
        <v>9</v>
      </c>
      <c r="F1235">
        <v>66.232787255178195</v>
      </c>
      <c r="G1235" s="1">
        <v>45029</v>
      </c>
      <c r="H1235" s="1">
        <v>45030</v>
      </c>
      <c r="I1235">
        <v>596.095085296604</v>
      </c>
      <c r="J1235">
        <f t="shared" si="114"/>
        <v>1</v>
      </c>
      <c r="K1235" t="str">
        <f>VLOOKUP(B1235,Raw_Suppliers!$A$2:$G$101,2,FALSE)</f>
        <v>Vertex Apex Ltd</v>
      </c>
      <c r="L1235" t="str">
        <f>VLOOKUP(B1235,Raw_Suppliers!$A$2:$G$101,3,FALSE)</f>
        <v>Brazil</v>
      </c>
      <c r="M1235" t="str">
        <f>VLOOKUP(B1235,Raw_Suppliers!$A$2:$G$101,4,FALSE)</f>
        <v>South</v>
      </c>
      <c r="N1235" t="str">
        <f>VLOOKUP(B1235,Raw_Suppliers!$A$2:$G$101,6,FALSE)</f>
        <v>None</v>
      </c>
      <c r="O1235">
        <f>VLOOKUP(B1235,Raw_Suppliers!$A$2:$G$101,7,FALSE)</f>
        <v>1</v>
      </c>
      <c r="P1235" t="str">
        <f t="shared" si="115"/>
        <v>Yes</v>
      </c>
      <c r="Q1235">
        <f t="shared" si="116"/>
        <v>0</v>
      </c>
      <c r="R1235" t="str">
        <f t="shared" si="117"/>
        <v>Late</v>
      </c>
      <c r="S1235">
        <f t="shared" si="118"/>
        <v>2023</v>
      </c>
      <c r="T1235">
        <f t="shared" si="119"/>
        <v>3</v>
      </c>
    </row>
    <row r="1236" spans="1:20" x14ac:dyDescent="0.25">
      <c r="A1236" t="s">
        <v>1543</v>
      </c>
      <c r="B1236" t="s">
        <v>19</v>
      </c>
      <c r="C1236" t="s">
        <v>23</v>
      </c>
      <c r="D1236" s="1">
        <v>44572</v>
      </c>
      <c r="E1236">
        <v>8</v>
      </c>
      <c r="F1236">
        <v>69.048430975090398</v>
      </c>
      <c r="G1236" s="1">
        <v>44589</v>
      </c>
      <c r="H1236" s="1">
        <v>44592</v>
      </c>
      <c r="I1236">
        <v>552.38744780072295</v>
      </c>
      <c r="J1236">
        <f t="shared" si="114"/>
        <v>3</v>
      </c>
      <c r="K1236" t="str">
        <f>VLOOKUP(B1236,Raw_Suppliers!$A$2:$G$101,2,FALSE)</f>
        <v>Nova Beta Corp</v>
      </c>
      <c r="L1236" t="str">
        <f>VLOOKUP(B1236,Raw_Suppliers!$A$2:$G$101,3,FALSE)</f>
        <v>Brazil</v>
      </c>
      <c r="M1236" t="str">
        <f>VLOOKUP(B1236,Raw_Suppliers!$A$2:$G$101,4,FALSE)</f>
        <v>South</v>
      </c>
      <c r="N1236" t="str">
        <f>VLOOKUP(B1236,Raw_Suppliers!$A$2:$G$101,6,FALSE)</f>
        <v>ISO 14001</v>
      </c>
      <c r="O1236">
        <f>VLOOKUP(B1236,Raw_Suppliers!$A$2:$G$101,7,FALSE)</f>
        <v>1</v>
      </c>
      <c r="P1236" t="str">
        <f t="shared" si="115"/>
        <v>Yes</v>
      </c>
      <c r="Q1236">
        <f t="shared" si="116"/>
        <v>0</v>
      </c>
      <c r="R1236" t="str">
        <f t="shared" si="117"/>
        <v>Late</v>
      </c>
      <c r="S1236">
        <f t="shared" si="118"/>
        <v>2022</v>
      </c>
      <c r="T1236">
        <f t="shared" si="119"/>
        <v>1</v>
      </c>
    </row>
    <row r="1237" spans="1:20" x14ac:dyDescent="0.25">
      <c r="A1237" t="s">
        <v>1544</v>
      </c>
      <c r="B1237" t="s">
        <v>174</v>
      </c>
      <c r="C1237" t="s">
        <v>100</v>
      </c>
      <c r="D1237" s="1">
        <v>44418</v>
      </c>
      <c r="E1237">
        <v>6</v>
      </c>
      <c r="F1237">
        <v>51.584725546233003</v>
      </c>
      <c r="G1237" s="1">
        <v>44436</v>
      </c>
      <c r="H1237" s="1">
        <v>44442</v>
      </c>
      <c r="I1237">
        <v>309.50835327739799</v>
      </c>
      <c r="J1237">
        <f t="shared" si="114"/>
        <v>6</v>
      </c>
      <c r="K1237" t="str">
        <f>VLOOKUP(B1237,Raw_Suppliers!$A$2:$G$101,2,FALSE)</f>
        <v>Quantum Eco LLC</v>
      </c>
      <c r="L1237" t="str">
        <f>VLOOKUP(B1237,Raw_Suppliers!$A$2:$G$101,3,FALSE)</f>
        <v>Denmark</v>
      </c>
      <c r="M1237" t="str">
        <f>VLOOKUP(B1237,Raw_Suppliers!$A$2:$G$101,4,FALSE)</f>
        <v>East</v>
      </c>
      <c r="N1237" t="str">
        <f>VLOOKUP(B1237,Raw_Suppliers!$A$2:$G$101,6,FALSE)</f>
        <v>ISO 9001</v>
      </c>
      <c r="O1237">
        <f>VLOOKUP(B1237,Raw_Suppliers!$A$2:$G$101,7,FALSE)</f>
        <v>1</v>
      </c>
      <c r="P1237" t="str">
        <f t="shared" si="115"/>
        <v>Yes</v>
      </c>
      <c r="Q1237">
        <f t="shared" si="116"/>
        <v>0</v>
      </c>
      <c r="R1237" t="str">
        <f t="shared" si="117"/>
        <v>Late</v>
      </c>
      <c r="S1237">
        <f t="shared" si="118"/>
        <v>2021</v>
      </c>
      <c r="T1237">
        <f t="shared" si="119"/>
        <v>8</v>
      </c>
    </row>
    <row r="1238" spans="1:20" x14ac:dyDescent="0.25">
      <c r="A1238" t="s">
        <v>1545</v>
      </c>
      <c r="B1238" t="s">
        <v>207</v>
      </c>
      <c r="C1238" t="s">
        <v>222</v>
      </c>
      <c r="D1238" s="1">
        <v>44578</v>
      </c>
      <c r="E1238">
        <v>8</v>
      </c>
      <c r="F1238">
        <v>63.107606135134297</v>
      </c>
      <c r="G1238" s="1">
        <v>44596</v>
      </c>
      <c r="H1238" s="1">
        <v>44598</v>
      </c>
      <c r="I1238">
        <v>504.86084908107398</v>
      </c>
      <c r="J1238">
        <f t="shared" si="114"/>
        <v>2</v>
      </c>
      <c r="K1238" t="str">
        <f>VLOOKUP(B1238,Raw_Suppliers!$A$2:$G$101,2,FALSE)</f>
        <v>Nova Alpha Ltd</v>
      </c>
      <c r="L1238" t="str">
        <f>VLOOKUP(B1238,Raw_Suppliers!$A$2:$G$101,3,FALSE)</f>
        <v>India</v>
      </c>
      <c r="M1238" t="str">
        <f>VLOOKUP(B1238,Raw_Suppliers!$A$2:$G$101,4,FALSE)</f>
        <v>East</v>
      </c>
      <c r="N1238" t="str">
        <f>VLOOKUP(B1238,Raw_Suppliers!$A$2:$G$101,6,FALSE)</f>
        <v>ISO 9001</v>
      </c>
      <c r="O1238">
        <f>VLOOKUP(B1238,Raw_Suppliers!$A$2:$G$101,7,FALSE)</f>
        <v>0</v>
      </c>
      <c r="P1238" t="str">
        <f t="shared" si="115"/>
        <v>No</v>
      </c>
      <c r="Q1238">
        <f t="shared" si="116"/>
        <v>0</v>
      </c>
      <c r="R1238" t="str">
        <f t="shared" si="117"/>
        <v>Late</v>
      </c>
      <c r="S1238">
        <f t="shared" si="118"/>
        <v>2022</v>
      </c>
      <c r="T1238">
        <f t="shared" si="119"/>
        <v>1</v>
      </c>
    </row>
    <row r="1239" spans="1:20" x14ac:dyDescent="0.25">
      <c r="A1239" t="s">
        <v>1546</v>
      </c>
      <c r="B1239" t="s">
        <v>160</v>
      </c>
      <c r="C1239" t="s">
        <v>346</v>
      </c>
      <c r="D1239" s="1">
        <v>44579</v>
      </c>
      <c r="E1239">
        <v>11</v>
      </c>
      <c r="F1239">
        <v>25.7641297402253</v>
      </c>
      <c r="G1239" s="1">
        <v>44590</v>
      </c>
      <c r="H1239" s="1">
        <v>44593</v>
      </c>
      <c r="I1239">
        <v>283.40542714247903</v>
      </c>
      <c r="J1239">
        <f t="shared" si="114"/>
        <v>3</v>
      </c>
      <c r="K1239" t="str">
        <f>VLOOKUP(B1239,Raw_Suppliers!$A$2:$G$101,2,FALSE)</f>
        <v>Omega Beta Corp</v>
      </c>
      <c r="L1239" t="str">
        <f>VLOOKUP(B1239,Raw_Suppliers!$A$2:$G$101,3,FALSE)</f>
        <v>China</v>
      </c>
      <c r="M1239" t="str">
        <f>VLOOKUP(B1239,Raw_Suppliers!$A$2:$G$101,4,FALSE)</f>
        <v>East</v>
      </c>
      <c r="N1239" t="str">
        <f>VLOOKUP(B1239,Raw_Suppliers!$A$2:$G$101,6,FALSE)</f>
        <v>ISO 45001</v>
      </c>
      <c r="O1239">
        <f>VLOOKUP(B1239,Raw_Suppliers!$A$2:$G$101,7,FALSE)</f>
        <v>1</v>
      </c>
      <c r="P1239" t="str">
        <f t="shared" si="115"/>
        <v>Yes</v>
      </c>
      <c r="Q1239">
        <f t="shared" si="116"/>
        <v>0</v>
      </c>
      <c r="R1239" t="str">
        <f t="shared" si="117"/>
        <v>Late</v>
      </c>
      <c r="S1239">
        <f t="shared" si="118"/>
        <v>2022</v>
      </c>
      <c r="T1239">
        <f t="shared" si="119"/>
        <v>1</v>
      </c>
    </row>
    <row r="1240" spans="1:20" x14ac:dyDescent="0.25">
      <c r="A1240" t="s">
        <v>1547</v>
      </c>
      <c r="B1240" t="s">
        <v>293</v>
      </c>
      <c r="C1240" t="s">
        <v>83</v>
      </c>
      <c r="D1240" s="1">
        <v>45385</v>
      </c>
      <c r="E1240">
        <v>8</v>
      </c>
      <c r="F1240">
        <v>76.888537529279901</v>
      </c>
      <c r="G1240" s="1">
        <v>45407</v>
      </c>
      <c r="H1240" s="1">
        <v>45409</v>
      </c>
      <c r="I1240">
        <v>615.10830023423898</v>
      </c>
      <c r="J1240">
        <f t="shared" si="114"/>
        <v>2</v>
      </c>
      <c r="K1240" t="str">
        <f>VLOOKUP(B1240,Raw_Suppliers!$A$2:$G$101,2,FALSE)</f>
        <v>Fusion Apex LLC</v>
      </c>
      <c r="L1240" t="str">
        <f>VLOOKUP(B1240,Raw_Suppliers!$A$2:$G$101,3,FALSE)</f>
        <v>India</v>
      </c>
      <c r="M1240" t="str">
        <f>VLOOKUP(B1240,Raw_Suppliers!$A$2:$G$101,4,FALSE)</f>
        <v>Central</v>
      </c>
      <c r="N1240" t="str">
        <f>VLOOKUP(B1240,Raw_Suppliers!$A$2:$G$101,6,FALSE)</f>
        <v>ISO 14001</v>
      </c>
      <c r="O1240">
        <f>VLOOKUP(B1240,Raw_Suppliers!$A$2:$G$101,7,FALSE)</f>
        <v>1</v>
      </c>
      <c r="P1240" t="str">
        <f t="shared" si="115"/>
        <v>Yes</v>
      </c>
      <c r="Q1240">
        <f t="shared" si="116"/>
        <v>0</v>
      </c>
      <c r="R1240" t="str">
        <f t="shared" si="117"/>
        <v>Late</v>
      </c>
      <c r="S1240">
        <f t="shared" si="118"/>
        <v>2024</v>
      </c>
      <c r="T1240">
        <f t="shared" si="119"/>
        <v>4</v>
      </c>
    </row>
    <row r="1241" spans="1:20" x14ac:dyDescent="0.25">
      <c r="A1241" t="s">
        <v>1548</v>
      </c>
      <c r="B1241" t="s">
        <v>411</v>
      </c>
      <c r="C1241" t="s">
        <v>540</v>
      </c>
      <c r="D1241" s="1">
        <v>45304</v>
      </c>
      <c r="E1241">
        <v>11</v>
      </c>
      <c r="F1241">
        <v>10.4790685836689</v>
      </c>
      <c r="G1241" s="1">
        <v>45321</v>
      </c>
      <c r="H1241" s="1">
        <v>45323</v>
      </c>
      <c r="I1241">
        <v>115.269754420357</v>
      </c>
      <c r="J1241">
        <f t="shared" si="114"/>
        <v>2</v>
      </c>
      <c r="K1241" t="str">
        <f>VLOOKUP(B1241,Raw_Suppliers!$A$2:$G$101,2,FALSE)</f>
        <v>Gamma Nova LLC</v>
      </c>
      <c r="L1241" t="str">
        <f>VLOOKUP(B1241,Raw_Suppliers!$A$2:$G$101,3,FALSE)</f>
        <v>Brazil</v>
      </c>
      <c r="M1241" t="str">
        <f>VLOOKUP(B1241,Raw_Suppliers!$A$2:$G$101,4,FALSE)</f>
        <v>North</v>
      </c>
      <c r="N1241" t="str">
        <f>VLOOKUP(B1241,Raw_Suppliers!$A$2:$G$101,6,FALSE)</f>
        <v>ISO 14001</v>
      </c>
      <c r="O1241">
        <f>VLOOKUP(B1241,Raw_Suppliers!$A$2:$G$101,7,FALSE)</f>
        <v>1</v>
      </c>
      <c r="P1241" t="str">
        <f t="shared" si="115"/>
        <v>Yes</v>
      </c>
      <c r="Q1241">
        <f t="shared" si="116"/>
        <v>0</v>
      </c>
      <c r="R1241" t="str">
        <f t="shared" si="117"/>
        <v>Late</v>
      </c>
      <c r="S1241">
        <f t="shared" si="118"/>
        <v>2024</v>
      </c>
      <c r="T1241">
        <f t="shared" si="119"/>
        <v>1</v>
      </c>
    </row>
    <row r="1242" spans="1:20" x14ac:dyDescent="0.25">
      <c r="A1242" t="s">
        <v>1549</v>
      </c>
      <c r="B1242" t="s">
        <v>169</v>
      </c>
      <c r="C1242" t="s">
        <v>600</v>
      </c>
      <c r="D1242" s="1">
        <v>45123</v>
      </c>
      <c r="E1242">
        <v>9</v>
      </c>
      <c r="F1242">
        <v>79.1272878037894</v>
      </c>
      <c r="G1242" s="1">
        <v>45137</v>
      </c>
      <c r="H1242" s="1">
        <v>45135</v>
      </c>
      <c r="I1242">
        <v>712.14559023410504</v>
      </c>
      <c r="J1242">
        <f t="shared" si="114"/>
        <v>-2</v>
      </c>
      <c r="K1242" t="str">
        <f>VLOOKUP(B1242,Raw_Suppliers!$A$2:$G$101,2,FALSE)</f>
        <v>Vertex Beta LLC</v>
      </c>
      <c r="L1242" t="str">
        <f>VLOOKUP(B1242,Raw_Suppliers!$A$2:$G$101,3,FALSE)</f>
        <v>China</v>
      </c>
      <c r="M1242" t="str">
        <f>VLOOKUP(B1242,Raw_Suppliers!$A$2:$G$101,4,FALSE)</f>
        <v>South</v>
      </c>
      <c r="N1242" t="str">
        <f>VLOOKUP(B1242,Raw_Suppliers!$A$2:$G$101,6,FALSE)</f>
        <v>ISO 14001</v>
      </c>
      <c r="O1242">
        <f>VLOOKUP(B1242,Raw_Suppliers!$A$2:$G$101,7,FALSE)</f>
        <v>0</v>
      </c>
      <c r="P1242" t="str">
        <f t="shared" si="115"/>
        <v>No</v>
      </c>
      <c r="Q1242">
        <f t="shared" si="116"/>
        <v>1</v>
      </c>
      <c r="R1242" t="str">
        <f t="shared" si="117"/>
        <v>On Time</v>
      </c>
      <c r="S1242">
        <f t="shared" si="118"/>
        <v>2023</v>
      </c>
      <c r="T1242">
        <f t="shared" si="119"/>
        <v>7</v>
      </c>
    </row>
    <row r="1243" spans="1:20" x14ac:dyDescent="0.25">
      <c r="A1243" t="s">
        <v>1550</v>
      </c>
      <c r="B1243" t="s">
        <v>475</v>
      </c>
      <c r="C1243" t="s">
        <v>400</v>
      </c>
      <c r="D1243" s="1">
        <v>44628</v>
      </c>
      <c r="E1243">
        <v>10</v>
      </c>
      <c r="F1243">
        <v>43.3371175982805</v>
      </c>
      <c r="G1243" s="1">
        <v>44648</v>
      </c>
      <c r="H1243" s="1">
        <v>44645</v>
      </c>
      <c r="I1243">
        <v>433.37117598280503</v>
      </c>
      <c r="J1243">
        <f t="shared" si="114"/>
        <v>-3</v>
      </c>
      <c r="K1243" t="str">
        <f>VLOOKUP(B1243,Raw_Suppliers!$A$2:$G$101,2,FALSE)</f>
        <v>Ultra Delta LLC</v>
      </c>
      <c r="L1243" t="str">
        <f>VLOOKUP(B1243,Raw_Suppliers!$A$2:$G$101,3,FALSE)</f>
        <v>UK</v>
      </c>
      <c r="M1243" t="str">
        <f>VLOOKUP(B1243,Raw_Suppliers!$A$2:$G$101,4,FALSE)</f>
        <v>North</v>
      </c>
      <c r="N1243" t="str">
        <f>VLOOKUP(B1243,Raw_Suppliers!$A$2:$G$101,6,FALSE)</f>
        <v>None</v>
      </c>
      <c r="O1243">
        <f>VLOOKUP(B1243,Raw_Suppliers!$A$2:$G$101,7,FALSE)</f>
        <v>1</v>
      </c>
      <c r="P1243" t="str">
        <f t="shared" si="115"/>
        <v>Yes</v>
      </c>
      <c r="Q1243">
        <f t="shared" si="116"/>
        <v>1</v>
      </c>
      <c r="R1243" t="str">
        <f t="shared" si="117"/>
        <v>On Time</v>
      </c>
      <c r="S1243">
        <f t="shared" si="118"/>
        <v>2022</v>
      </c>
      <c r="T1243">
        <f t="shared" si="119"/>
        <v>3</v>
      </c>
    </row>
    <row r="1244" spans="1:20" x14ac:dyDescent="0.25">
      <c r="A1244" t="s">
        <v>1551</v>
      </c>
      <c r="B1244" t="s">
        <v>179</v>
      </c>
      <c r="C1244" t="s">
        <v>172</v>
      </c>
      <c r="D1244" s="1">
        <v>45003</v>
      </c>
      <c r="E1244">
        <v>9</v>
      </c>
      <c r="F1244">
        <v>77.085454786984201</v>
      </c>
      <c r="G1244" s="1">
        <v>45018</v>
      </c>
      <c r="H1244" s="1">
        <v>45016</v>
      </c>
      <c r="I1244">
        <v>693.76909308285803</v>
      </c>
      <c r="J1244">
        <f t="shared" si="114"/>
        <v>-2</v>
      </c>
      <c r="K1244" t="str">
        <f>VLOOKUP(B1244,Raw_Suppliers!$A$2:$G$101,2,FALSE)</f>
        <v>Nova Gamma Ltd</v>
      </c>
      <c r="L1244" t="str">
        <f>VLOOKUP(B1244,Raw_Suppliers!$A$2:$G$101,3,FALSE)</f>
        <v>Denmark</v>
      </c>
      <c r="M1244" t="str">
        <f>VLOOKUP(B1244,Raw_Suppliers!$A$2:$G$101,4,FALSE)</f>
        <v>East</v>
      </c>
      <c r="N1244" t="str">
        <f>VLOOKUP(B1244,Raw_Suppliers!$A$2:$G$101,6,FALSE)</f>
        <v>ISO 9001</v>
      </c>
      <c r="O1244">
        <f>VLOOKUP(B1244,Raw_Suppliers!$A$2:$G$101,7,FALSE)</f>
        <v>0</v>
      </c>
      <c r="P1244" t="str">
        <f t="shared" si="115"/>
        <v>No</v>
      </c>
      <c r="Q1244">
        <f t="shared" si="116"/>
        <v>1</v>
      </c>
      <c r="R1244" t="str">
        <f t="shared" si="117"/>
        <v>On Time</v>
      </c>
      <c r="S1244">
        <f t="shared" si="118"/>
        <v>2023</v>
      </c>
      <c r="T1244">
        <f t="shared" si="119"/>
        <v>3</v>
      </c>
    </row>
    <row r="1245" spans="1:20" x14ac:dyDescent="0.25">
      <c r="A1245" t="s">
        <v>1552</v>
      </c>
      <c r="B1245" t="s">
        <v>242</v>
      </c>
      <c r="C1245" t="s">
        <v>71</v>
      </c>
      <c r="D1245" s="1">
        <v>45308</v>
      </c>
      <c r="E1245">
        <v>14</v>
      </c>
      <c r="F1245">
        <v>8.6468191366630602</v>
      </c>
      <c r="G1245" s="1">
        <v>45328</v>
      </c>
      <c r="H1245" s="1">
        <v>45332</v>
      </c>
      <c r="I1245">
        <v>121.055467913282</v>
      </c>
      <c r="J1245">
        <f t="shared" si="114"/>
        <v>4</v>
      </c>
      <c r="K1245" t="str">
        <f>VLOOKUP(B1245,Raw_Suppliers!$A$2:$G$101,2,FALSE)</f>
        <v>Omega Nova GmbH</v>
      </c>
      <c r="L1245" t="str">
        <f>VLOOKUP(B1245,Raw_Suppliers!$A$2:$G$101,3,FALSE)</f>
        <v>Denmark</v>
      </c>
      <c r="M1245" t="str">
        <f>VLOOKUP(B1245,Raw_Suppliers!$A$2:$G$101,4,FALSE)</f>
        <v>East</v>
      </c>
      <c r="N1245" t="str">
        <f>VLOOKUP(B1245,Raw_Suppliers!$A$2:$G$101,6,FALSE)</f>
        <v>ISO 45001</v>
      </c>
      <c r="O1245">
        <f>VLOOKUP(B1245,Raw_Suppliers!$A$2:$G$101,7,FALSE)</f>
        <v>0</v>
      </c>
      <c r="P1245" t="str">
        <f t="shared" si="115"/>
        <v>No</v>
      </c>
      <c r="Q1245">
        <f t="shared" si="116"/>
        <v>0</v>
      </c>
      <c r="R1245" t="str">
        <f t="shared" si="117"/>
        <v>Late</v>
      </c>
      <c r="S1245">
        <f t="shared" si="118"/>
        <v>2024</v>
      </c>
      <c r="T1245">
        <f t="shared" si="119"/>
        <v>1</v>
      </c>
    </row>
    <row r="1246" spans="1:20" x14ac:dyDescent="0.25">
      <c r="A1246" t="s">
        <v>1553</v>
      </c>
      <c r="B1246" t="s">
        <v>79</v>
      </c>
      <c r="C1246" t="s">
        <v>131</v>
      </c>
      <c r="D1246" s="1">
        <v>44595</v>
      </c>
      <c r="E1246">
        <v>13</v>
      </c>
      <c r="F1246">
        <v>39.478356356943998</v>
      </c>
      <c r="G1246" s="1">
        <v>44619</v>
      </c>
      <c r="H1246" s="1">
        <v>44616</v>
      </c>
      <c r="I1246">
        <v>513.21863264027195</v>
      </c>
      <c r="J1246">
        <f t="shared" si="114"/>
        <v>-3</v>
      </c>
      <c r="K1246" t="str">
        <f>VLOOKUP(B1246,Raw_Suppliers!$A$2:$G$101,2,FALSE)</f>
        <v>Vertex Fusion Inc</v>
      </c>
      <c r="L1246" t="str">
        <f>VLOOKUP(B1246,Raw_Suppliers!$A$2:$G$101,3,FALSE)</f>
        <v>India</v>
      </c>
      <c r="M1246" t="str">
        <f>VLOOKUP(B1246,Raw_Suppliers!$A$2:$G$101,4,FALSE)</f>
        <v>Central</v>
      </c>
      <c r="N1246" t="str">
        <f>VLOOKUP(B1246,Raw_Suppliers!$A$2:$G$101,6,FALSE)</f>
        <v>ISO 9001</v>
      </c>
      <c r="O1246">
        <f>VLOOKUP(B1246,Raw_Suppliers!$A$2:$G$101,7,FALSE)</f>
        <v>0</v>
      </c>
      <c r="P1246" t="str">
        <f t="shared" si="115"/>
        <v>No</v>
      </c>
      <c r="Q1246">
        <f t="shared" si="116"/>
        <v>1</v>
      </c>
      <c r="R1246" t="str">
        <f t="shared" si="117"/>
        <v>On Time</v>
      </c>
      <c r="S1246">
        <f t="shared" si="118"/>
        <v>2022</v>
      </c>
      <c r="T1246">
        <f t="shared" si="119"/>
        <v>2</v>
      </c>
    </row>
    <row r="1247" spans="1:20" x14ac:dyDescent="0.25">
      <c r="A1247" t="s">
        <v>1554</v>
      </c>
      <c r="B1247" t="s">
        <v>135</v>
      </c>
      <c r="C1247" t="s">
        <v>594</v>
      </c>
      <c r="D1247" s="1">
        <v>45032</v>
      </c>
      <c r="E1247">
        <v>9</v>
      </c>
      <c r="F1247">
        <v>17.3117257722473</v>
      </c>
      <c r="G1247" s="1">
        <v>45050</v>
      </c>
      <c r="H1247" s="1">
        <v>45051</v>
      </c>
      <c r="I1247">
        <v>155.805531950226</v>
      </c>
      <c r="J1247">
        <f t="shared" si="114"/>
        <v>1</v>
      </c>
      <c r="K1247" t="str">
        <f>VLOOKUP(B1247,Raw_Suppliers!$A$2:$G$101,2,FALSE)</f>
        <v>Alpha Prime Ltd</v>
      </c>
      <c r="L1247" t="str">
        <f>VLOOKUP(B1247,Raw_Suppliers!$A$2:$G$101,3,FALSE)</f>
        <v>UK</v>
      </c>
      <c r="M1247" t="str">
        <f>VLOOKUP(B1247,Raw_Suppliers!$A$2:$G$101,4,FALSE)</f>
        <v>East</v>
      </c>
      <c r="N1247" t="str">
        <f>VLOOKUP(B1247,Raw_Suppliers!$A$2:$G$101,6,FALSE)</f>
        <v>None</v>
      </c>
      <c r="O1247">
        <f>VLOOKUP(B1247,Raw_Suppliers!$A$2:$G$101,7,FALSE)</f>
        <v>1</v>
      </c>
      <c r="P1247" t="str">
        <f t="shared" si="115"/>
        <v>Yes</v>
      </c>
      <c r="Q1247">
        <f t="shared" si="116"/>
        <v>0</v>
      </c>
      <c r="R1247" t="str">
        <f t="shared" si="117"/>
        <v>Late</v>
      </c>
      <c r="S1247">
        <f t="shared" si="118"/>
        <v>2023</v>
      </c>
      <c r="T1247">
        <f t="shared" si="119"/>
        <v>4</v>
      </c>
    </row>
    <row r="1248" spans="1:20" x14ac:dyDescent="0.25">
      <c r="A1248" t="s">
        <v>1555</v>
      </c>
      <c r="B1248" t="s">
        <v>22</v>
      </c>
      <c r="C1248" t="s">
        <v>112</v>
      </c>
      <c r="D1248" s="1">
        <v>44250</v>
      </c>
      <c r="E1248">
        <v>14</v>
      </c>
      <c r="F1248">
        <v>45.358628395581697</v>
      </c>
      <c r="G1248" s="1">
        <v>44264</v>
      </c>
      <c r="H1248" s="1">
        <v>44268</v>
      </c>
      <c r="I1248">
        <v>635.02079753814496</v>
      </c>
      <c r="J1248">
        <f t="shared" si="114"/>
        <v>4</v>
      </c>
      <c r="K1248" t="str">
        <f>VLOOKUP(B1248,Raw_Suppliers!$A$2:$G$101,2,FALSE)</f>
        <v>Delta Gamma Corp</v>
      </c>
      <c r="L1248" t="str">
        <f>VLOOKUP(B1248,Raw_Suppliers!$A$2:$G$101,3,FALSE)</f>
        <v>Denmark</v>
      </c>
      <c r="M1248" t="str">
        <f>VLOOKUP(B1248,Raw_Suppliers!$A$2:$G$101,4,FALSE)</f>
        <v>West</v>
      </c>
      <c r="N1248" t="str">
        <f>VLOOKUP(B1248,Raw_Suppliers!$A$2:$G$101,6,FALSE)</f>
        <v>ISO 45001</v>
      </c>
      <c r="O1248">
        <f>VLOOKUP(B1248,Raw_Suppliers!$A$2:$G$101,7,FALSE)</f>
        <v>1</v>
      </c>
      <c r="P1248" t="str">
        <f t="shared" si="115"/>
        <v>Yes</v>
      </c>
      <c r="Q1248">
        <f t="shared" si="116"/>
        <v>0</v>
      </c>
      <c r="R1248" t="str">
        <f t="shared" si="117"/>
        <v>Late</v>
      </c>
      <c r="S1248">
        <f t="shared" si="118"/>
        <v>2021</v>
      </c>
      <c r="T1248">
        <f t="shared" si="119"/>
        <v>2</v>
      </c>
    </row>
    <row r="1249" spans="1:20" x14ac:dyDescent="0.25">
      <c r="A1249" t="s">
        <v>1556</v>
      </c>
      <c r="B1249" t="s">
        <v>114</v>
      </c>
      <c r="C1249" t="s">
        <v>100</v>
      </c>
      <c r="D1249" s="1">
        <v>45164</v>
      </c>
      <c r="E1249">
        <v>9</v>
      </c>
      <c r="F1249">
        <v>75.663715848219894</v>
      </c>
      <c r="G1249" s="1">
        <v>45178</v>
      </c>
      <c r="H1249" s="1">
        <v>45181</v>
      </c>
      <c r="I1249">
        <v>680.97344263397895</v>
      </c>
      <c r="J1249">
        <f t="shared" si="114"/>
        <v>3</v>
      </c>
      <c r="K1249" t="str">
        <f>VLOOKUP(B1249,Raw_Suppliers!$A$2:$G$101,2,FALSE)</f>
        <v>Fusion Fusion LLC</v>
      </c>
      <c r="L1249" t="str">
        <f>VLOOKUP(B1249,Raw_Suppliers!$A$2:$G$101,3,FALSE)</f>
        <v>China</v>
      </c>
      <c r="M1249" t="str">
        <f>VLOOKUP(B1249,Raw_Suppliers!$A$2:$G$101,4,FALSE)</f>
        <v>North</v>
      </c>
      <c r="N1249" t="str">
        <f>VLOOKUP(B1249,Raw_Suppliers!$A$2:$G$101,6,FALSE)</f>
        <v>ISO 45001</v>
      </c>
      <c r="O1249">
        <f>VLOOKUP(B1249,Raw_Suppliers!$A$2:$G$101,7,FALSE)</f>
        <v>1</v>
      </c>
      <c r="P1249" t="str">
        <f t="shared" si="115"/>
        <v>Yes</v>
      </c>
      <c r="Q1249">
        <f t="shared" si="116"/>
        <v>0</v>
      </c>
      <c r="R1249" t="str">
        <f t="shared" si="117"/>
        <v>Late</v>
      </c>
      <c r="S1249">
        <f t="shared" si="118"/>
        <v>2023</v>
      </c>
      <c r="T1249">
        <f t="shared" si="119"/>
        <v>8</v>
      </c>
    </row>
    <row r="1250" spans="1:20" x14ac:dyDescent="0.25">
      <c r="A1250" t="s">
        <v>1557</v>
      </c>
      <c r="B1250" t="s">
        <v>96</v>
      </c>
      <c r="C1250" t="s">
        <v>136</v>
      </c>
      <c r="D1250" s="1">
        <v>44739</v>
      </c>
      <c r="E1250">
        <v>10</v>
      </c>
      <c r="F1250">
        <v>61.145079609602</v>
      </c>
      <c r="G1250" s="1">
        <v>44762</v>
      </c>
      <c r="H1250" s="1">
        <v>44760</v>
      </c>
      <c r="I1250">
        <v>611.45079609601999</v>
      </c>
      <c r="J1250">
        <f t="shared" si="114"/>
        <v>-2</v>
      </c>
      <c r="K1250" t="str">
        <f>VLOOKUP(B1250,Raw_Suppliers!$A$2:$G$101,2,FALSE)</f>
        <v>Alpha Nova Ltd</v>
      </c>
      <c r="L1250" t="str">
        <f>VLOOKUP(B1250,Raw_Suppliers!$A$2:$G$101,3,FALSE)</f>
        <v>UK</v>
      </c>
      <c r="M1250" t="str">
        <f>VLOOKUP(B1250,Raw_Suppliers!$A$2:$G$101,4,FALSE)</f>
        <v>West</v>
      </c>
      <c r="N1250" t="str">
        <f>VLOOKUP(B1250,Raw_Suppliers!$A$2:$G$101,6,FALSE)</f>
        <v>ISO 14001</v>
      </c>
      <c r="O1250">
        <f>VLOOKUP(B1250,Raw_Suppliers!$A$2:$G$101,7,FALSE)</f>
        <v>0</v>
      </c>
      <c r="P1250" t="str">
        <f t="shared" si="115"/>
        <v>No</v>
      </c>
      <c r="Q1250">
        <f t="shared" si="116"/>
        <v>1</v>
      </c>
      <c r="R1250" t="str">
        <f t="shared" si="117"/>
        <v>On Time</v>
      </c>
      <c r="S1250">
        <f t="shared" si="118"/>
        <v>2022</v>
      </c>
      <c r="T1250">
        <f t="shared" si="119"/>
        <v>6</v>
      </c>
    </row>
    <row r="1251" spans="1:20" x14ac:dyDescent="0.25">
      <c r="A1251" t="s">
        <v>1558</v>
      </c>
      <c r="B1251" t="s">
        <v>427</v>
      </c>
      <c r="C1251" t="s">
        <v>146</v>
      </c>
      <c r="D1251" s="1">
        <v>44978</v>
      </c>
      <c r="E1251">
        <v>7</v>
      </c>
      <c r="F1251">
        <v>47.650735226861102</v>
      </c>
      <c r="G1251" s="1">
        <v>44989</v>
      </c>
      <c r="H1251" s="1">
        <v>44994</v>
      </c>
      <c r="I1251">
        <v>333.55514658802798</v>
      </c>
      <c r="J1251">
        <f t="shared" si="114"/>
        <v>5</v>
      </c>
      <c r="K1251" t="str">
        <f>VLOOKUP(B1251,Raw_Suppliers!$A$2:$G$101,2,FALSE)</f>
        <v>Nova Alpha Corp</v>
      </c>
      <c r="L1251" t="str">
        <f>VLOOKUP(B1251,Raw_Suppliers!$A$2:$G$101,3,FALSE)</f>
        <v>Denmark</v>
      </c>
      <c r="M1251" t="str">
        <f>VLOOKUP(B1251,Raw_Suppliers!$A$2:$G$101,4,FALSE)</f>
        <v>Central</v>
      </c>
      <c r="N1251" t="str">
        <f>VLOOKUP(B1251,Raw_Suppliers!$A$2:$G$101,6,FALSE)</f>
        <v>None</v>
      </c>
      <c r="O1251">
        <f>VLOOKUP(B1251,Raw_Suppliers!$A$2:$G$101,7,FALSE)</f>
        <v>0</v>
      </c>
      <c r="P1251" t="str">
        <f t="shared" si="115"/>
        <v>No</v>
      </c>
      <c r="Q1251">
        <f t="shared" si="116"/>
        <v>0</v>
      </c>
      <c r="R1251" t="str">
        <f t="shared" si="117"/>
        <v>Late</v>
      </c>
      <c r="S1251">
        <f t="shared" si="118"/>
        <v>2023</v>
      </c>
      <c r="T1251">
        <f t="shared" si="119"/>
        <v>2</v>
      </c>
    </row>
    <row r="1252" spans="1:20" x14ac:dyDescent="0.25">
      <c r="A1252" t="s">
        <v>1559</v>
      </c>
      <c r="B1252" t="s">
        <v>52</v>
      </c>
      <c r="C1252" t="s">
        <v>155</v>
      </c>
      <c r="D1252" s="1">
        <v>44847</v>
      </c>
      <c r="E1252">
        <v>8</v>
      </c>
      <c r="F1252">
        <v>6.0607011472488104</v>
      </c>
      <c r="G1252" s="1">
        <v>44870</v>
      </c>
      <c r="H1252" s="1">
        <v>44870</v>
      </c>
      <c r="I1252">
        <v>48.485609177990497</v>
      </c>
      <c r="J1252">
        <f t="shared" si="114"/>
        <v>0</v>
      </c>
      <c r="K1252" t="str">
        <f>VLOOKUP(B1252,Raw_Suppliers!$A$2:$G$101,2,FALSE)</f>
        <v>Beta Nano Corp</v>
      </c>
      <c r="L1252" t="str">
        <f>VLOOKUP(B1252,Raw_Suppliers!$A$2:$G$101,3,FALSE)</f>
        <v>UK</v>
      </c>
      <c r="M1252" t="str">
        <f>VLOOKUP(B1252,Raw_Suppliers!$A$2:$G$101,4,FALSE)</f>
        <v>Central</v>
      </c>
      <c r="N1252" t="str">
        <f>VLOOKUP(B1252,Raw_Suppliers!$A$2:$G$101,6,FALSE)</f>
        <v>ISO 45001</v>
      </c>
      <c r="O1252">
        <f>VLOOKUP(B1252,Raw_Suppliers!$A$2:$G$101,7,FALSE)</f>
        <v>0</v>
      </c>
      <c r="P1252" t="str">
        <f t="shared" si="115"/>
        <v>No</v>
      </c>
      <c r="Q1252">
        <f t="shared" si="116"/>
        <v>1</v>
      </c>
      <c r="R1252" t="str">
        <f t="shared" si="117"/>
        <v>On Time</v>
      </c>
      <c r="S1252">
        <f t="shared" si="118"/>
        <v>2022</v>
      </c>
      <c r="T1252">
        <f t="shared" si="119"/>
        <v>10</v>
      </c>
    </row>
    <row r="1253" spans="1:20" x14ac:dyDescent="0.25">
      <c r="A1253" t="s">
        <v>1560</v>
      </c>
      <c r="B1253" t="s">
        <v>121</v>
      </c>
      <c r="C1253" t="s">
        <v>152</v>
      </c>
      <c r="D1253" s="1">
        <v>45029</v>
      </c>
      <c r="E1253">
        <v>8</v>
      </c>
      <c r="F1253">
        <v>78.1517939468214</v>
      </c>
      <c r="G1253" s="1">
        <v>45052</v>
      </c>
      <c r="H1253" s="1">
        <v>45056</v>
      </c>
      <c r="I1253">
        <v>625.21435157457097</v>
      </c>
      <c r="J1253">
        <f t="shared" si="114"/>
        <v>4</v>
      </c>
      <c r="K1253" t="str">
        <f>VLOOKUP(B1253,Raw_Suppliers!$A$2:$G$101,2,FALSE)</f>
        <v>Vertex Vertex Inc</v>
      </c>
      <c r="L1253" t="str">
        <f>VLOOKUP(B1253,Raw_Suppliers!$A$2:$G$101,3,FALSE)</f>
        <v>USA</v>
      </c>
      <c r="M1253" t="str">
        <f>VLOOKUP(B1253,Raw_Suppliers!$A$2:$G$101,4,FALSE)</f>
        <v>West</v>
      </c>
      <c r="N1253" t="str">
        <f>VLOOKUP(B1253,Raw_Suppliers!$A$2:$G$101,6,FALSE)</f>
        <v>None</v>
      </c>
      <c r="O1253">
        <f>VLOOKUP(B1253,Raw_Suppliers!$A$2:$G$101,7,FALSE)</f>
        <v>0</v>
      </c>
      <c r="P1253" t="str">
        <f t="shared" si="115"/>
        <v>No</v>
      </c>
      <c r="Q1253">
        <f t="shared" si="116"/>
        <v>0</v>
      </c>
      <c r="R1253" t="str">
        <f t="shared" si="117"/>
        <v>Late</v>
      </c>
      <c r="S1253">
        <f t="shared" si="118"/>
        <v>2023</v>
      </c>
      <c r="T1253">
        <f t="shared" si="119"/>
        <v>4</v>
      </c>
    </row>
    <row r="1254" spans="1:20" x14ac:dyDescent="0.25">
      <c r="A1254" t="s">
        <v>1561</v>
      </c>
      <c r="B1254" t="s">
        <v>340</v>
      </c>
      <c r="C1254" t="s">
        <v>47</v>
      </c>
      <c r="D1254" s="1">
        <v>44202</v>
      </c>
      <c r="E1254">
        <v>11</v>
      </c>
      <c r="F1254">
        <v>47.053061695023302</v>
      </c>
      <c r="G1254" s="1">
        <v>44225</v>
      </c>
      <c r="H1254" s="1">
        <v>44230</v>
      </c>
      <c r="I1254">
        <v>517.58367864525701</v>
      </c>
      <c r="J1254">
        <f t="shared" si="114"/>
        <v>5</v>
      </c>
      <c r="K1254" t="str">
        <f>VLOOKUP(B1254,Raw_Suppliers!$A$2:$G$101,2,FALSE)</f>
        <v>Pioneer Ultra GmbH</v>
      </c>
      <c r="L1254" t="str">
        <f>VLOOKUP(B1254,Raw_Suppliers!$A$2:$G$101,3,FALSE)</f>
        <v>China</v>
      </c>
      <c r="M1254" t="str">
        <f>VLOOKUP(B1254,Raw_Suppliers!$A$2:$G$101,4,FALSE)</f>
        <v>Central</v>
      </c>
      <c r="N1254" t="str">
        <f>VLOOKUP(B1254,Raw_Suppliers!$A$2:$G$101,6,FALSE)</f>
        <v>ISO 9001</v>
      </c>
      <c r="O1254">
        <f>VLOOKUP(B1254,Raw_Suppliers!$A$2:$G$101,7,FALSE)</f>
        <v>0</v>
      </c>
      <c r="P1254" t="str">
        <f t="shared" si="115"/>
        <v>No</v>
      </c>
      <c r="Q1254">
        <f t="shared" si="116"/>
        <v>0</v>
      </c>
      <c r="R1254" t="str">
        <f t="shared" si="117"/>
        <v>Late</v>
      </c>
      <c r="S1254">
        <f t="shared" si="118"/>
        <v>2021</v>
      </c>
      <c r="T1254">
        <f t="shared" si="119"/>
        <v>1</v>
      </c>
    </row>
    <row r="1255" spans="1:20" x14ac:dyDescent="0.25">
      <c r="A1255" t="s">
        <v>1562</v>
      </c>
      <c r="B1255" t="s">
        <v>261</v>
      </c>
      <c r="C1255" t="s">
        <v>146</v>
      </c>
      <c r="D1255" s="1">
        <v>44244</v>
      </c>
      <c r="E1255">
        <v>10</v>
      </c>
      <c r="F1255">
        <v>71.961619084179503</v>
      </c>
      <c r="G1255" s="1">
        <v>44257</v>
      </c>
      <c r="H1255" s="1">
        <v>44259</v>
      </c>
      <c r="I1255">
        <v>719.61619084179495</v>
      </c>
      <c r="J1255">
        <f t="shared" si="114"/>
        <v>2</v>
      </c>
      <c r="K1255" t="str">
        <f>VLOOKUP(B1255,Raw_Suppliers!$A$2:$G$101,2,FALSE)</f>
        <v>Delta Fusion Corp</v>
      </c>
      <c r="L1255" t="str">
        <f>VLOOKUP(B1255,Raw_Suppliers!$A$2:$G$101,3,FALSE)</f>
        <v>Denmark</v>
      </c>
      <c r="M1255" t="str">
        <f>VLOOKUP(B1255,Raw_Suppliers!$A$2:$G$101,4,FALSE)</f>
        <v>West</v>
      </c>
      <c r="N1255" t="str">
        <f>VLOOKUP(B1255,Raw_Suppliers!$A$2:$G$101,6,FALSE)</f>
        <v>ISO 45001</v>
      </c>
      <c r="O1255">
        <f>VLOOKUP(B1255,Raw_Suppliers!$A$2:$G$101,7,FALSE)</f>
        <v>0</v>
      </c>
      <c r="P1255" t="str">
        <f t="shared" si="115"/>
        <v>No</v>
      </c>
      <c r="Q1255">
        <f t="shared" si="116"/>
        <v>0</v>
      </c>
      <c r="R1255" t="str">
        <f t="shared" si="117"/>
        <v>Late</v>
      </c>
      <c r="S1255">
        <f t="shared" si="118"/>
        <v>2021</v>
      </c>
      <c r="T1255">
        <f t="shared" si="119"/>
        <v>2</v>
      </c>
    </row>
    <row r="1256" spans="1:20" x14ac:dyDescent="0.25">
      <c r="A1256" t="s">
        <v>1563</v>
      </c>
      <c r="B1256" t="s">
        <v>189</v>
      </c>
      <c r="C1256" t="s">
        <v>20</v>
      </c>
      <c r="D1256" s="1">
        <v>44355</v>
      </c>
      <c r="E1256">
        <v>9</v>
      </c>
      <c r="F1256">
        <v>58.237755303158103</v>
      </c>
      <c r="G1256" s="1">
        <v>44379</v>
      </c>
      <c r="H1256" s="1">
        <v>44376</v>
      </c>
      <c r="I1256">
        <v>524.13979772842299</v>
      </c>
      <c r="J1256">
        <f t="shared" si="114"/>
        <v>-3</v>
      </c>
      <c r="K1256" t="str">
        <f>VLOOKUP(B1256,Raw_Suppliers!$A$2:$G$101,2,FALSE)</f>
        <v>Apex Pioneer Ltd</v>
      </c>
      <c r="L1256" t="str">
        <f>VLOOKUP(B1256,Raw_Suppliers!$A$2:$G$101,3,FALSE)</f>
        <v>Canada</v>
      </c>
      <c r="M1256" t="str">
        <f>VLOOKUP(B1256,Raw_Suppliers!$A$2:$G$101,4,FALSE)</f>
        <v>South</v>
      </c>
      <c r="N1256" t="str">
        <f>VLOOKUP(B1256,Raw_Suppliers!$A$2:$G$101,6,FALSE)</f>
        <v>ISO 14001</v>
      </c>
      <c r="O1256">
        <f>VLOOKUP(B1256,Raw_Suppliers!$A$2:$G$101,7,FALSE)</f>
        <v>1</v>
      </c>
      <c r="P1256" t="str">
        <f t="shared" si="115"/>
        <v>Yes</v>
      </c>
      <c r="Q1256">
        <f t="shared" si="116"/>
        <v>1</v>
      </c>
      <c r="R1256" t="str">
        <f t="shared" si="117"/>
        <v>On Time</v>
      </c>
      <c r="S1256">
        <f t="shared" si="118"/>
        <v>2021</v>
      </c>
      <c r="T1256">
        <f t="shared" si="119"/>
        <v>6</v>
      </c>
    </row>
    <row r="1257" spans="1:20" x14ac:dyDescent="0.25">
      <c r="A1257" t="s">
        <v>1564</v>
      </c>
      <c r="B1257" t="s">
        <v>556</v>
      </c>
      <c r="C1257" t="s">
        <v>727</v>
      </c>
      <c r="D1257" s="1">
        <v>44470</v>
      </c>
      <c r="E1257">
        <v>7</v>
      </c>
      <c r="F1257">
        <v>32.684605538307501</v>
      </c>
      <c r="G1257" s="1">
        <v>44493</v>
      </c>
      <c r="H1257" s="1">
        <v>44493</v>
      </c>
      <c r="I1257">
        <v>228.792238768152</v>
      </c>
      <c r="J1257">
        <f t="shared" si="114"/>
        <v>0</v>
      </c>
      <c r="K1257" t="str">
        <f>VLOOKUP(B1257,Raw_Suppliers!$A$2:$G$101,2,FALSE)</f>
        <v>Ultra Delta Ltd</v>
      </c>
      <c r="L1257" t="str">
        <f>VLOOKUP(B1257,Raw_Suppliers!$A$2:$G$101,3,FALSE)</f>
        <v>China</v>
      </c>
      <c r="M1257" t="str">
        <f>VLOOKUP(B1257,Raw_Suppliers!$A$2:$G$101,4,FALSE)</f>
        <v>Central</v>
      </c>
      <c r="N1257" t="str">
        <f>VLOOKUP(B1257,Raw_Suppliers!$A$2:$G$101,6,FALSE)</f>
        <v>ISO 45001</v>
      </c>
      <c r="O1257">
        <f>VLOOKUP(B1257,Raw_Suppliers!$A$2:$G$101,7,FALSE)</f>
        <v>0</v>
      </c>
      <c r="P1257" t="str">
        <f t="shared" si="115"/>
        <v>No</v>
      </c>
      <c r="Q1257">
        <f t="shared" si="116"/>
        <v>1</v>
      </c>
      <c r="R1257" t="str">
        <f t="shared" si="117"/>
        <v>On Time</v>
      </c>
      <c r="S1257">
        <f t="shared" si="118"/>
        <v>2021</v>
      </c>
      <c r="T1257">
        <f t="shared" si="119"/>
        <v>10</v>
      </c>
    </row>
    <row r="1258" spans="1:20" x14ac:dyDescent="0.25">
      <c r="A1258" t="s">
        <v>1565</v>
      </c>
      <c r="B1258" t="s">
        <v>91</v>
      </c>
      <c r="C1258" t="s">
        <v>212</v>
      </c>
      <c r="D1258" s="1">
        <v>44306</v>
      </c>
      <c r="E1258">
        <v>3</v>
      </c>
      <c r="F1258">
        <v>33.088086089904102</v>
      </c>
      <c r="G1258" s="1">
        <v>44325</v>
      </c>
      <c r="H1258" s="1">
        <v>44327</v>
      </c>
      <c r="I1258">
        <v>99.2642582697124</v>
      </c>
      <c r="J1258">
        <f t="shared" si="114"/>
        <v>2</v>
      </c>
      <c r="K1258" t="str">
        <f>VLOOKUP(B1258,Raw_Suppliers!$A$2:$G$101,2,FALSE)</f>
        <v>Apex Prime Ltd</v>
      </c>
      <c r="L1258" t="str">
        <f>VLOOKUP(B1258,Raw_Suppliers!$A$2:$G$101,3,FALSE)</f>
        <v>India</v>
      </c>
      <c r="M1258" t="str">
        <f>VLOOKUP(B1258,Raw_Suppliers!$A$2:$G$101,4,FALSE)</f>
        <v>South</v>
      </c>
      <c r="N1258" t="str">
        <f>VLOOKUP(B1258,Raw_Suppliers!$A$2:$G$101,6,FALSE)</f>
        <v>ISO 9001</v>
      </c>
      <c r="O1258">
        <f>VLOOKUP(B1258,Raw_Suppliers!$A$2:$G$101,7,FALSE)</f>
        <v>0</v>
      </c>
      <c r="P1258" t="str">
        <f t="shared" si="115"/>
        <v>No</v>
      </c>
      <c r="Q1258">
        <f t="shared" si="116"/>
        <v>0</v>
      </c>
      <c r="R1258" t="str">
        <f t="shared" si="117"/>
        <v>Late</v>
      </c>
      <c r="S1258">
        <f t="shared" si="118"/>
        <v>2021</v>
      </c>
      <c r="T1258">
        <f t="shared" si="119"/>
        <v>4</v>
      </c>
    </row>
    <row r="1259" spans="1:20" x14ac:dyDescent="0.25">
      <c r="A1259" t="s">
        <v>1566</v>
      </c>
      <c r="B1259" t="s">
        <v>28</v>
      </c>
      <c r="C1259" t="s">
        <v>504</v>
      </c>
      <c r="D1259" s="1">
        <v>44931</v>
      </c>
      <c r="E1259">
        <v>10</v>
      </c>
      <c r="F1259">
        <v>71.781079680661094</v>
      </c>
      <c r="G1259" s="1">
        <v>44944</v>
      </c>
      <c r="H1259" s="1">
        <v>44941</v>
      </c>
      <c r="I1259">
        <v>717.81079680661003</v>
      </c>
      <c r="J1259">
        <f t="shared" si="114"/>
        <v>-3</v>
      </c>
      <c r="K1259" t="str">
        <f>VLOOKUP(B1259,Raw_Suppliers!$A$2:$G$101,2,FALSE)</f>
        <v>Fusion Vertex Inc</v>
      </c>
      <c r="L1259" t="str">
        <f>VLOOKUP(B1259,Raw_Suppliers!$A$2:$G$101,3,FALSE)</f>
        <v>Denmark</v>
      </c>
      <c r="M1259" t="str">
        <f>VLOOKUP(B1259,Raw_Suppliers!$A$2:$G$101,4,FALSE)</f>
        <v>Central</v>
      </c>
      <c r="N1259" t="str">
        <f>VLOOKUP(B1259,Raw_Suppliers!$A$2:$G$101,6,FALSE)</f>
        <v>ISO 45001</v>
      </c>
      <c r="O1259">
        <f>VLOOKUP(B1259,Raw_Suppliers!$A$2:$G$101,7,FALSE)</f>
        <v>0</v>
      </c>
      <c r="P1259" t="str">
        <f t="shared" si="115"/>
        <v>No</v>
      </c>
      <c r="Q1259">
        <f t="shared" si="116"/>
        <v>1</v>
      </c>
      <c r="R1259" t="str">
        <f t="shared" si="117"/>
        <v>On Time</v>
      </c>
      <c r="S1259">
        <f t="shared" si="118"/>
        <v>2023</v>
      </c>
      <c r="T1259">
        <f t="shared" si="119"/>
        <v>1</v>
      </c>
    </row>
    <row r="1260" spans="1:20" x14ac:dyDescent="0.25">
      <c r="A1260" t="s">
        <v>1567</v>
      </c>
      <c r="B1260" t="s">
        <v>288</v>
      </c>
      <c r="C1260" t="s">
        <v>701</v>
      </c>
      <c r="D1260" s="1">
        <v>45058</v>
      </c>
      <c r="E1260">
        <v>11</v>
      </c>
      <c r="F1260">
        <v>55.594730115304401</v>
      </c>
      <c r="G1260" s="1">
        <v>45071</v>
      </c>
      <c r="H1260" s="1">
        <v>45068</v>
      </c>
      <c r="I1260">
        <v>611.54203126834898</v>
      </c>
      <c r="J1260">
        <f t="shared" si="114"/>
        <v>-3</v>
      </c>
      <c r="K1260" t="str">
        <f>VLOOKUP(B1260,Raw_Suppliers!$A$2:$G$101,2,FALSE)</f>
        <v>Alpha Beta LLC</v>
      </c>
      <c r="L1260" t="str">
        <f>VLOOKUP(B1260,Raw_Suppliers!$A$2:$G$101,3,FALSE)</f>
        <v>India</v>
      </c>
      <c r="M1260" t="str">
        <f>VLOOKUP(B1260,Raw_Suppliers!$A$2:$G$101,4,FALSE)</f>
        <v>West</v>
      </c>
      <c r="N1260" t="str">
        <f>VLOOKUP(B1260,Raw_Suppliers!$A$2:$G$101,6,FALSE)</f>
        <v>ISO 45001</v>
      </c>
      <c r="O1260">
        <f>VLOOKUP(B1260,Raw_Suppliers!$A$2:$G$101,7,FALSE)</f>
        <v>0</v>
      </c>
      <c r="P1260" t="str">
        <f t="shared" si="115"/>
        <v>No</v>
      </c>
      <c r="Q1260">
        <f t="shared" si="116"/>
        <v>1</v>
      </c>
      <c r="R1260" t="str">
        <f t="shared" si="117"/>
        <v>On Time</v>
      </c>
      <c r="S1260">
        <f t="shared" si="118"/>
        <v>2023</v>
      </c>
      <c r="T1260">
        <f t="shared" si="119"/>
        <v>5</v>
      </c>
    </row>
    <row r="1261" spans="1:20" x14ac:dyDescent="0.25">
      <c r="A1261" t="s">
        <v>1568</v>
      </c>
      <c r="B1261" t="s">
        <v>52</v>
      </c>
      <c r="C1261" t="s">
        <v>336</v>
      </c>
      <c r="D1261" s="1">
        <v>45368</v>
      </c>
      <c r="E1261">
        <v>10</v>
      </c>
      <c r="F1261">
        <v>9.1071050929846908</v>
      </c>
      <c r="G1261" s="1">
        <v>45382</v>
      </c>
      <c r="H1261" s="1">
        <v>45388</v>
      </c>
      <c r="I1261">
        <v>91.071050929846905</v>
      </c>
      <c r="J1261">
        <f t="shared" si="114"/>
        <v>6</v>
      </c>
      <c r="K1261" t="str">
        <f>VLOOKUP(B1261,Raw_Suppliers!$A$2:$G$101,2,FALSE)</f>
        <v>Beta Nano Corp</v>
      </c>
      <c r="L1261" t="str">
        <f>VLOOKUP(B1261,Raw_Suppliers!$A$2:$G$101,3,FALSE)</f>
        <v>UK</v>
      </c>
      <c r="M1261" t="str">
        <f>VLOOKUP(B1261,Raw_Suppliers!$A$2:$G$101,4,FALSE)</f>
        <v>Central</v>
      </c>
      <c r="N1261" t="str">
        <f>VLOOKUP(B1261,Raw_Suppliers!$A$2:$G$101,6,FALSE)</f>
        <v>ISO 45001</v>
      </c>
      <c r="O1261">
        <f>VLOOKUP(B1261,Raw_Suppliers!$A$2:$G$101,7,FALSE)</f>
        <v>0</v>
      </c>
      <c r="P1261" t="str">
        <f t="shared" si="115"/>
        <v>No</v>
      </c>
      <c r="Q1261">
        <f t="shared" si="116"/>
        <v>0</v>
      </c>
      <c r="R1261" t="str">
        <f t="shared" si="117"/>
        <v>Late</v>
      </c>
      <c r="S1261">
        <f t="shared" si="118"/>
        <v>2024</v>
      </c>
      <c r="T1261">
        <f t="shared" si="119"/>
        <v>3</v>
      </c>
    </row>
    <row r="1262" spans="1:20" x14ac:dyDescent="0.25">
      <c r="A1262" t="s">
        <v>1569</v>
      </c>
      <c r="B1262" t="s">
        <v>350</v>
      </c>
      <c r="C1262" t="s">
        <v>527</v>
      </c>
      <c r="D1262" s="1">
        <v>45355</v>
      </c>
      <c r="E1262">
        <v>11</v>
      </c>
      <c r="F1262">
        <v>67.8213980893197</v>
      </c>
      <c r="G1262" s="1">
        <v>45378</v>
      </c>
      <c r="H1262" s="1">
        <v>45383</v>
      </c>
      <c r="I1262">
        <v>746.03537898251705</v>
      </c>
      <c r="J1262">
        <f t="shared" si="114"/>
        <v>5</v>
      </c>
      <c r="K1262" t="str">
        <f>VLOOKUP(B1262,Raw_Suppliers!$A$2:$G$101,2,FALSE)</f>
        <v>Prime Gamma GmbH</v>
      </c>
      <c r="L1262" t="str">
        <f>VLOOKUP(B1262,Raw_Suppliers!$A$2:$G$101,3,FALSE)</f>
        <v>Denmark</v>
      </c>
      <c r="M1262" t="str">
        <f>VLOOKUP(B1262,Raw_Suppliers!$A$2:$G$101,4,FALSE)</f>
        <v>West</v>
      </c>
      <c r="N1262" t="str">
        <f>VLOOKUP(B1262,Raw_Suppliers!$A$2:$G$101,6,FALSE)</f>
        <v>ISO 9001</v>
      </c>
      <c r="O1262">
        <f>VLOOKUP(B1262,Raw_Suppliers!$A$2:$G$101,7,FALSE)</f>
        <v>0</v>
      </c>
      <c r="P1262" t="str">
        <f t="shared" si="115"/>
        <v>No</v>
      </c>
      <c r="Q1262">
        <f t="shared" si="116"/>
        <v>0</v>
      </c>
      <c r="R1262" t="str">
        <f t="shared" si="117"/>
        <v>Late</v>
      </c>
      <c r="S1262">
        <f t="shared" si="118"/>
        <v>2024</v>
      </c>
      <c r="T1262">
        <f t="shared" si="119"/>
        <v>3</v>
      </c>
    </row>
    <row r="1263" spans="1:20" x14ac:dyDescent="0.25">
      <c r="A1263" t="s">
        <v>1570</v>
      </c>
      <c r="B1263" t="s">
        <v>472</v>
      </c>
      <c r="C1263" t="s">
        <v>238</v>
      </c>
      <c r="D1263" s="1">
        <v>44796</v>
      </c>
      <c r="E1263">
        <v>5</v>
      </c>
      <c r="F1263">
        <v>24.054079814803899</v>
      </c>
      <c r="G1263" s="1">
        <v>44816</v>
      </c>
      <c r="H1263" s="1">
        <v>44818</v>
      </c>
      <c r="I1263">
        <v>120.270399074019</v>
      </c>
      <c r="J1263">
        <f t="shared" si="114"/>
        <v>2</v>
      </c>
      <c r="K1263" t="str">
        <f>VLOOKUP(B1263,Raw_Suppliers!$A$2:$G$101,2,FALSE)</f>
        <v>Pioneer Alpha Corp</v>
      </c>
      <c r="L1263" t="str">
        <f>VLOOKUP(B1263,Raw_Suppliers!$A$2:$G$101,3,FALSE)</f>
        <v>Canada</v>
      </c>
      <c r="M1263" t="str">
        <f>VLOOKUP(B1263,Raw_Suppliers!$A$2:$G$101,4,FALSE)</f>
        <v>North</v>
      </c>
      <c r="N1263" t="str">
        <f>VLOOKUP(B1263,Raw_Suppliers!$A$2:$G$101,6,FALSE)</f>
        <v>None</v>
      </c>
      <c r="O1263">
        <f>VLOOKUP(B1263,Raw_Suppliers!$A$2:$G$101,7,FALSE)</f>
        <v>1</v>
      </c>
      <c r="P1263" t="str">
        <f t="shared" si="115"/>
        <v>Yes</v>
      </c>
      <c r="Q1263">
        <f t="shared" si="116"/>
        <v>0</v>
      </c>
      <c r="R1263" t="str">
        <f t="shared" si="117"/>
        <v>Late</v>
      </c>
      <c r="S1263">
        <f t="shared" si="118"/>
        <v>2022</v>
      </c>
      <c r="T1263">
        <f t="shared" si="119"/>
        <v>8</v>
      </c>
    </row>
    <row r="1264" spans="1:20" x14ac:dyDescent="0.25">
      <c r="A1264" t="s">
        <v>1571</v>
      </c>
      <c r="B1264" t="s">
        <v>539</v>
      </c>
      <c r="C1264" t="s">
        <v>35</v>
      </c>
      <c r="D1264" s="1">
        <v>45395</v>
      </c>
      <c r="E1264">
        <v>7</v>
      </c>
      <c r="F1264">
        <v>45.092280504453498</v>
      </c>
      <c r="G1264" s="1">
        <v>45405</v>
      </c>
      <c r="H1264" s="1">
        <v>45404</v>
      </c>
      <c r="I1264">
        <v>315.64596353117503</v>
      </c>
      <c r="J1264">
        <f t="shared" si="114"/>
        <v>-1</v>
      </c>
      <c r="K1264" t="str">
        <f>VLOOKUP(B1264,Raw_Suppliers!$A$2:$G$101,2,FALSE)</f>
        <v>Eco Eco Ltd</v>
      </c>
      <c r="L1264" t="str">
        <f>VLOOKUP(B1264,Raw_Suppliers!$A$2:$G$101,3,FALSE)</f>
        <v>USA</v>
      </c>
      <c r="M1264" t="str">
        <f>VLOOKUP(B1264,Raw_Suppliers!$A$2:$G$101,4,FALSE)</f>
        <v>South</v>
      </c>
      <c r="N1264" t="str">
        <f>VLOOKUP(B1264,Raw_Suppliers!$A$2:$G$101,6,FALSE)</f>
        <v>ISO 45001</v>
      </c>
      <c r="O1264">
        <f>VLOOKUP(B1264,Raw_Suppliers!$A$2:$G$101,7,FALSE)</f>
        <v>1</v>
      </c>
      <c r="P1264" t="str">
        <f t="shared" si="115"/>
        <v>Yes</v>
      </c>
      <c r="Q1264">
        <f t="shared" si="116"/>
        <v>1</v>
      </c>
      <c r="R1264" t="str">
        <f t="shared" si="117"/>
        <v>On Time</v>
      </c>
      <c r="S1264">
        <f t="shared" si="118"/>
        <v>2024</v>
      </c>
      <c r="T1264">
        <f t="shared" si="119"/>
        <v>4</v>
      </c>
    </row>
    <row r="1265" spans="1:20" x14ac:dyDescent="0.25">
      <c r="A1265" t="s">
        <v>1572</v>
      </c>
      <c r="B1265" t="s">
        <v>382</v>
      </c>
      <c r="C1265" t="s">
        <v>187</v>
      </c>
      <c r="D1265" s="1">
        <v>44834</v>
      </c>
      <c r="E1265">
        <v>20</v>
      </c>
      <c r="F1265">
        <v>12.5367301492322</v>
      </c>
      <c r="G1265" s="1">
        <v>44851</v>
      </c>
      <c r="H1265" s="1">
        <v>44853</v>
      </c>
      <c r="I1265">
        <v>250.734602984644</v>
      </c>
      <c r="J1265">
        <f t="shared" si="114"/>
        <v>2</v>
      </c>
      <c r="K1265" t="str">
        <f>VLOOKUP(B1265,Raw_Suppliers!$A$2:$G$101,2,FALSE)</f>
        <v>Omega Gamma Ltd</v>
      </c>
      <c r="L1265" t="str">
        <f>VLOOKUP(B1265,Raw_Suppliers!$A$2:$G$101,3,FALSE)</f>
        <v>USA</v>
      </c>
      <c r="M1265" t="str">
        <f>VLOOKUP(B1265,Raw_Suppliers!$A$2:$G$101,4,FALSE)</f>
        <v>Central</v>
      </c>
      <c r="N1265" t="str">
        <f>VLOOKUP(B1265,Raw_Suppliers!$A$2:$G$101,6,FALSE)</f>
        <v>None</v>
      </c>
      <c r="O1265">
        <f>VLOOKUP(B1265,Raw_Suppliers!$A$2:$G$101,7,FALSE)</f>
        <v>0</v>
      </c>
      <c r="P1265" t="str">
        <f t="shared" si="115"/>
        <v>No</v>
      </c>
      <c r="Q1265">
        <f t="shared" si="116"/>
        <v>0</v>
      </c>
      <c r="R1265" t="str">
        <f t="shared" si="117"/>
        <v>Late</v>
      </c>
      <c r="S1265">
        <f t="shared" si="118"/>
        <v>2022</v>
      </c>
      <c r="T1265">
        <f t="shared" si="119"/>
        <v>9</v>
      </c>
    </row>
    <row r="1266" spans="1:20" x14ac:dyDescent="0.25">
      <c r="A1266" t="s">
        <v>1573</v>
      </c>
      <c r="B1266" t="s">
        <v>127</v>
      </c>
      <c r="C1266" t="s">
        <v>20</v>
      </c>
      <c r="D1266" s="1">
        <v>45207</v>
      </c>
      <c r="E1266">
        <v>21</v>
      </c>
      <c r="F1266">
        <v>27.013906544171501</v>
      </c>
      <c r="G1266" s="1">
        <v>45223</v>
      </c>
      <c r="H1266" s="1">
        <v>45223</v>
      </c>
      <c r="I1266">
        <v>567.29203742760296</v>
      </c>
      <c r="J1266">
        <f t="shared" si="114"/>
        <v>0</v>
      </c>
      <c r="K1266" t="str">
        <f>VLOOKUP(B1266,Raw_Suppliers!$A$2:$G$101,2,FALSE)</f>
        <v>Eco Gamma LLC</v>
      </c>
      <c r="L1266" t="str">
        <f>VLOOKUP(B1266,Raw_Suppliers!$A$2:$G$101,3,FALSE)</f>
        <v>Canada</v>
      </c>
      <c r="M1266" t="str">
        <f>VLOOKUP(B1266,Raw_Suppliers!$A$2:$G$101,4,FALSE)</f>
        <v>West</v>
      </c>
      <c r="N1266" t="str">
        <f>VLOOKUP(B1266,Raw_Suppliers!$A$2:$G$101,6,FALSE)</f>
        <v>ISO 9001</v>
      </c>
      <c r="O1266">
        <f>VLOOKUP(B1266,Raw_Suppliers!$A$2:$G$101,7,FALSE)</f>
        <v>1</v>
      </c>
      <c r="P1266" t="str">
        <f t="shared" si="115"/>
        <v>Yes</v>
      </c>
      <c r="Q1266">
        <f t="shared" si="116"/>
        <v>1</v>
      </c>
      <c r="R1266" t="str">
        <f t="shared" si="117"/>
        <v>On Time</v>
      </c>
      <c r="S1266">
        <f t="shared" si="118"/>
        <v>2023</v>
      </c>
      <c r="T1266">
        <f t="shared" si="119"/>
        <v>10</v>
      </c>
    </row>
    <row r="1267" spans="1:20" x14ac:dyDescent="0.25">
      <c r="A1267" t="s">
        <v>1574</v>
      </c>
      <c r="B1267" t="s">
        <v>207</v>
      </c>
      <c r="C1267" t="s">
        <v>172</v>
      </c>
      <c r="D1267" s="1">
        <v>44856</v>
      </c>
      <c r="E1267">
        <v>11</v>
      </c>
      <c r="F1267">
        <v>28.391199726030202</v>
      </c>
      <c r="G1267" s="1">
        <v>44873</v>
      </c>
      <c r="H1267" s="1">
        <v>44879</v>
      </c>
      <c r="I1267">
        <v>312.30319698633298</v>
      </c>
      <c r="J1267">
        <f t="shared" si="114"/>
        <v>6</v>
      </c>
      <c r="K1267" t="str">
        <f>VLOOKUP(B1267,Raw_Suppliers!$A$2:$G$101,2,FALSE)</f>
        <v>Nova Alpha Ltd</v>
      </c>
      <c r="L1267" t="str">
        <f>VLOOKUP(B1267,Raw_Suppliers!$A$2:$G$101,3,FALSE)</f>
        <v>India</v>
      </c>
      <c r="M1267" t="str">
        <f>VLOOKUP(B1267,Raw_Suppliers!$A$2:$G$101,4,FALSE)</f>
        <v>East</v>
      </c>
      <c r="N1267" t="str">
        <f>VLOOKUP(B1267,Raw_Suppliers!$A$2:$G$101,6,FALSE)</f>
        <v>ISO 9001</v>
      </c>
      <c r="O1267">
        <f>VLOOKUP(B1267,Raw_Suppliers!$A$2:$G$101,7,FALSE)</f>
        <v>0</v>
      </c>
      <c r="P1267" t="str">
        <f t="shared" si="115"/>
        <v>No</v>
      </c>
      <c r="Q1267">
        <f t="shared" si="116"/>
        <v>0</v>
      </c>
      <c r="R1267" t="str">
        <f t="shared" si="117"/>
        <v>Late</v>
      </c>
      <c r="S1267">
        <f t="shared" si="118"/>
        <v>2022</v>
      </c>
      <c r="T1267">
        <f t="shared" si="119"/>
        <v>10</v>
      </c>
    </row>
    <row r="1268" spans="1:20" x14ac:dyDescent="0.25">
      <c r="A1268" t="s">
        <v>1575</v>
      </c>
      <c r="B1268" t="s">
        <v>288</v>
      </c>
      <c r="C1268" t="s">
        <v>128</v>
      </c>
      <c r="D1268" s="1">
        <v>44910</v>
      </c>
      <c r="E1268">
        <v>18</v>
      </c>
      <c r="F1268">
        <v>72.634451472665802</v>
      </c>
      <c r="G1268" s="1">
        <v>44924</v>
      </c>
      <c r="H1268" s="1">
        <v>44922</v>
      </c>
      <c r="I1268">
        <v>1307.4201265079801</v>
      </c>
      <c r="J1268">
        <f t="shared" si="114"/>
        <v>-2</v>
      </c>
      <c r="K1268" t="str">
        <f>VLOOKUP(B1268,Raw_Suppliers!$A$2:$G$101,2,FALSE)</f>
        <v>Alpha Beta LLC</v>
      </c>
      <c r="L1268" t="str">
        <f>VLOOKUP(B1268,Raw_Suppliers!$A$2:$G$101,3,FALSE)</f>
        <v>India</v>
      </c>
      <c r="M1268" t="str">
        <f>VLOOKUP(B1268,Raw_Suppliers!$A$2:$G$101,4,FALSE)</f>
        <v>West</v>
      </c>
      <c r="N1268" t="str">
        <f>VLOOKUP(B1268,Raw_Suppliers!$A$2:$G$101,6,FALSE)</f>
        <v>ISO 45001</v>
      </c>
      <c r="O1268">
        <f>VLOOKUP(B1268,Raw_Suppliers!$A$2:$G$101,7,FALSE)</f>
        <v>0</v>
      </c>
      <c r="P1268" t="str">
        <f t="shared" si="115"/>
        <v>No</v>
      </c>
      <c r="Q1268">
        <f t="shared" si="116"/>
        <v>1</v>
      </c>
      <c r="R1268" t="str">
        <f t="shared" si="117"/>
        <v>On Time</v>
      </c>
      <c r="S1268">
        <f t="shared" si="118"/>
        <v>2022</v>
      </c>
      <c r="T1268">
        <f t="shared" si="119"/>
        <v>12</v>
      </c>
    </row>
    <row r="1269" spans="1:20" x14ac:dyDescent="0.25">
      <c r="A1269" t="s">
        <v>1576</v>
      </c>
      <c r="B1269" t="s">
        <v>485</v>
      </c>
      <c r="C1269" t="s">
        <v>184</v>
      </c>
      <c r="D1269" s="1">
        <v>44717</v>
      </c>
      <c r="E1269">
        <v>8</v>
      </c>
      <c r="F1269">
        <v>48.581532268355303</v>
      </c>
      <c r="G1269" s="1">
        <v>44734</v>
      </c>
      <c r="H1269" s="1">
        <v>44732</v>
      </c>
      <c r="I1269">
        <v>388.65225814684197</v>
      </c>
      <c r="J1269">
        <f t="shared" si="114"/>
        <v>-2</v>
      </c>
      <c r="K1269" t="str">
        <f>VLOOKUP(B1269,Raw_Suppliers!$A$2:$G$101,2,FALSE)</f>
        <v>Ultra Quantum Ltd</v>
      </c>
      <c r="L1269" t="str">
        <f>VLOOKUP(B1269,Raw_Suppliers!$A$2:$G$101,3,FALSE)</f>
        <v>Canada</v>
      </c>
      <c r="M1269" t="str">
        <f>VLOOKUP(B1269,Raw_Suppliers!$A$2:$G$101,4,FALSE)</f>
        <v>North</v>
      </c>
      <c r="N1269" t="str">
        <f>VLOOKUP(B1269,Raw_Suppliers!$A$2:$G$101,6,FALSE)</f>
        <v>ISO 14001</v>
      </c>
      <c r="O1269">
        <f>VLOOKUP(B1269,Raw_Suppliers!$A$2:$G$101,7,FALSE)</f>
        <v>0</v>
      </c>
      <c r="P1269" t="str">
        <f t="shared" si="115"/>
        <v>No</v>
      </c>
      <c r="Q1269">
        <f t="shared" si="116"/>
        <v>1</v>
      </c>
      <c r="R1269" t="str">
        <f t="shared" si="117"/>
        <v>On Time</v>
      </c>
      <c r="S1269">
        <f t="shared" si="118"/>
        <v>2022</v>
      </c>
      <c r="T1269">
        <f t="shared" si="119"/>
        <v>6</v>
      </c>
    </row>
    <row r="1270" spans="1:20" x14ac:dyDescent="0.25">
      <c r="A1270" t="s">
        <v>1577</v>
      </c>
      <c r="B1270" t="s">
        <v>288</v>
      </c>
      <c r="C1270" t="s">
        <v>559</v>
      </c>
      <c r="D1270" s="1">
        <v>44449</v>
      </c>
      <c r="E1270">
        <v>14</v>
      </c>
      <c r="F1270">
        <v>24.802781008981999</v>
      </c>
      <c r="G1270" s="1">
        <v>44467</v>
      </c>
      <c r="H1270" s="1">
        <v>44467</v>
      </c>
      <c r="I1270">
        <v>347.23893412574898</v>
      </c>
      <c r="J1270">
        <f t="shared" si="114"/>
        <v>0</v>
      </c>
      <c r="K1270" t="str">
        <f>VLOOKUP(B1270,Raw_Suppliers!$A$2:$G$101,2,FALSE)</f>
        <v>Alpha Beta LLC</v>
      </c>
      <c r="L1270" t="str">
        <f>VLOOKUP(B1270,Raw_Suppliers!$A$2:$G$101,3,FALSE)</f>
        <v>India</v>
      </c>
      <c r="M1270" t="str">
        <f>VLOOKUP(B1270,Raw_Suppliers!$A$2:$G$101,4,FALSE)</f>
        <v>West</v>
      </c>
      <c r="N1270" t="str">
        <f>VLOOKUP(B1270,Raw_Suppliers!$A$2:$G$101,6,FALSE)</f>
        <v>ISO 45001</v>
      </c>
      <c r="O1270">
        <f>VLOOKUP(B1270,Raw_Suppliers!$A$2:$G$101,7,FALSE)</f>
        <v>0</v>
      </c>
      <c r="P1270" t="str">
        <f t="shared" si="115"/>
        <v>No</v>
      </c>
      <c r="Q1270">
        <f t="shared" si="116"/>
        <v>1</v>
      </c>
      <c r="R1270" t="str">
        <f t="shared" si="117"/>
        <v>On Time</v>
      </c>
      <c r="S1270">
        <f t="shared" si="118"/>
        <v>2021</v>
      </c>
      <c r="T1270">
        <f t="shared" si="119"/>
        <v>9</v>
      </c>
    </row>
    <row r="1271" spans="1:20" x14ac:dyDescent="0.25">
      <c r="A1271" t="s">
        <v>1578</v>
      </c>
      <c r="B1271" t="s">
        <v>127</v>
      </c>
      <c r="C1271" t="s">
        <v>44</v>
      </c>
      <c r="D1271" s="1">
        <v>45019</v>
      </c>
      <c r="E1271">
        <v>14</v>
      </c>
      <c r="F1271">
        <v>55.777531163748399</v>
      </c>
      <c r="G1271" s="1">
        <v>45041</v>
      </c>
      <c r="H1271" s="1">
        <v>45047</v>
      </c>
      <c r="I1271">
        <v>780.88543629247795</v>
      </c>
      <c r="J1271">
        <f t="shared" si="114"/>
        <v>6</v>
      </c>
      <c r="K1271" t="str">
        <f>VLOOKUP(B1271,Raw_Suppliers!$A$2:$G$101,2,FALSE)</f>
        <v>Eco Gamma LLC</v>
      </c>
      <c r="L1271" t="str">
        <f>VLOOKUP(B1271,Raw_Suppliers!$A$2:$G$101,3,FALSE)</f>
        <v>Canada</v>
      </c>
      <c r="M1271" t="str">
        <f>VLOOKUP(B1271,Raw_Suppliers!$A$2:$G$101,4,FALSE)</f>
        <v>West</v>
      </c>
      <c r="N1271" t="str">
        <f>VLOOKUP(B1271,Raw_Suppliers!$A$2:$G$101,6,FALSE)</f>
        <v>ISO 9001</v>
      </c>
      <c r="O1271">
        <f>VLOOKUP(B1271,Raw_Suppliers!$A$2:$G$101,7,FALSE)</f>
        <v>1</v>
      </c>
      <c r="P1271" t="str">
        <f t="shared" si="115"/>
        <v>Yes</v>
      </c>
      <c r="Q1271">
        <f t="shared" si="116"/>
        <v>0</v>
      </c>
      <c r="R1271" t="str">
        <f t="shared" si="117"/>
        <v>Late</v>
      </c>
      <c r="S1271">
        <f t="shared" si="118"/>
        <v>2023</v>
      </c>
      <c r="T1271">
        <f t="shared" si="119"/>
        <v>4</v>
      </c>
    </row>
    <row r="1272" spans="1:20" x14ac:dyDescent="0.25">
      <c r="A1272" t="s">
        <v>1579</v>
      </c>
      <c r="B1272" t="s">
        <v>127</v>
      </c>
      <c r="C1272" t="s">
        <v>413</v>
      </c>
      <c r="D1272" s="1">
        <v>44789</v>
      </c>
      <c r="E1272">
        <v>5</v>
      </c>
      <c r="F1272">
        <v>45.285042921990502</v>
      </c>
      <c r="G1272" s="1">
        <v>44801</v>
      </c>
      <c r="H1272" s="1">
        <v>44800</v>
      </c>
      <c r="I1272">
        <v>226.42521460995201</v>
      </c>
      <c r="J1272">
        <f t="shared" si="114"/>
        <v>-1</v>
      </c>
      <c r="K1272" t="str">
        <f>VLOOKUP(B1272,Raw_Suppliers!$A$2:$G$101,2,FALSE)</f>
        <v>Eco Gamma LLC</v>
      </c>
      <c r="L1272" t="str">
        <f>VLOOKUP(B1272,Raw_Suppliers!$A$2:$G$101,3,FALSE)</f>
        <v>Canada</v>
      </c>
      <c r="M1272" t="str">
        <f>VLOOKUP(B1272,Raw_Suppliers!$A$2:$G$101,4,FALSE)</f>
        <v>West</v>
      </c>
      <c r="N1272" t="str">
        <f>VLOOKUP(B1272,Raw_Suppliers!$A$2:$G$101,6,FALSE)</f>
        <v>ISO 9001</v>
      </c>
      <c r="O1272">
        <f>VLOOKUP(B1272,Raw_Suppliers!$A$2:$G$101,7,FALSE)</f>
        <v>1</v>
      </c>
      <c r="P1272" t="str">
        <f t="shared" si="115"/>
        <v>Yes</v>
      </c>
      <c r="Q1272">
        <f t="shared" si="116"/>
        <v>1</v>
      </c>
      <c r="R1272" t="str">
        <f t="shared" si="117"/>
        <v>On Time</v>
      </c>
      <c r="S1272">
        <f t="shared" si="118"/>
        <v>2022</v>
      </c>
      <c r="T1272">
        <f t="shared" si="119"/>
        <v>8</v>
      </c>
    </row>
    <row r="1273" spans="1:20" x14ac:dyDescent="0.25">
      <c r="A1273" t="s">
        <v>1580</v>
      </c>
      <c r="B1273" t="s">
        <v>288</v>
      </c>
      <c r="C1273" t="s">
        <v>17</v>
      </c>
      <c r="D1273" s="1">
        <v>44792</v>
      </c>
      <c r="E1273">
        <v>12</v>
      </c>
      <c r="F1273">
        <v>7.4769868614650896</v>
      </c>
      <c r="G1273" s="1">
        <v>44816</v>
      </c>
      <c r="H1273" s="1">
        <v>44815</v>
      </c>
      <c r="I1273">
        <v>89.723842337581004</v>
      </c>
      <c r="J1273">
        <f t="shared" si="114"/>
        <v>-1</v>
      </c>
      <c r="K1273" t="str">
        <f>VLOOKUP(B1273,Raw_Suppliers!$A$2:$G$101,2,FALSE)</f>
        <v>Alpha Beta LLC</v>
      </c>
      <c r="L1273" t="str">
        <f>VLOOKUP(B1273,Raw_Suppliers!$A$2:$G$101,3,FALSE)</f>
        <v>India</v>
      </c>
      <c r="M1273" t="str">
        <f>VLOOKUP(B1273,Raw_Suppliers!$A$2:$G$101,4,FALSE)</f>
        <v>West</v>
      </c>
      <c r="N1273" t="str">
        <f>VLOOKUP(B1273,Raw_Suppliers!$A$2:$G$101,6,FALSE)</f>
        <v>ISO 45001</v>
      </c>
      <c r="O1273">
        <f>VLOOKUP(B1273,Raw_Suppliers!$A$2:$G$101,7,FALSE)</f>
        <v>0</v>
      </c>
      <c r="P1273" t="str">
        <f t="shared" si="115"/>
        <v>No</v>
      </c>
      <c r="Q1273">
        <f t="shared" si="116"/>
        <v>1</v>
      </c>
      <c r="R1273" t="str">
        <f t="shared" si="117"/>
        <v>On Time</v>
      </c>
      <c r="S1273">
        <f t="shared" si="118"/>
        <v>2022</v>
      </c>
      <c r="T1273">
        <f t="shared" si="119"/>
        <v>8</v>
      </c>
    </row>
    <row r="1274" spans="1:20" x14ac:dyDescent="0.25">
      <c r="A1274" t="s">
        <v>1581</v>
      </c>
      <c r="B1274" t="s">
        <v>157</v>
      </c>
      <c r="C1274" t="s">
        <v>210</v>
      </c>
      <c r="D1274" s="1">
        <v>44249</v>
      </c>
      <c r="E1274">
        <v>11</v>
      </c>
      <c r="F1274">
        <v>29.9308846432452</v>
      </c>
      <c r="G1274" s="1">
        <v>44273</v>
      </c>
      <c r="H1274" s="1">
        <v>44275</v>
      </c>
      <c r="I1274">
        <v>329.23973107569702</v>
      </c>
      <c r="J1274">
        <f t="shared" si="114"/>
        <v>2</v>
      </c>
      <c r="K1274" t="str">
        <f>VLOOKUP(B1274,Raw_Suppliers!$A$2:$G$101,2,FALSE)</f>
        <v>Pioneer Omega Ltd</v>
      </c>
      <c r="L1274" t="str">
        <f>VLOOKUP(B1274,Raw_Suppliers!$A$2:$G$101,3,FALSE)</f>
        <v>Brazil</v>
      </c>
      <c r="M1274" t="str">
        <f>VLOOKUP(B1274,Raw_Suppliers!$A$2:$G$101,4,FALSE)</f>
        <v>East</v>
      </c>
      <c r="N1274" t="str">
        <f>VLOOKUP(B1274,Raw_Suppliers!$A$2:$G$101,6,FALSE)</f>
        <v>None</v>
      </c>
      <c r="O1274">
        <f>VLOOKUP(B1274,Raw_Suppliers!$A$2:$G$101,7,FALSE)</f>
        <v>0</v>
      </c>
      <c r="P1274" t="str">
        <f t="shared" si="115"/>
        <v>No</v>
      </c>
      <c r="Q1274">
        <f t="shared" si="116"/>
        <v>0</v>
      </c>
      <c r="R1274" t="str">
        <f t="shared" si="117"/>
        <v>Late</v>
      </c>
      <c r="S1274">
        <f t="shared" si="118"/>
        <v>2021</v>
      </c>
      <c r="T1274">
        <f t="shared" si="119"/>
        <v>2</v>
      </c>
    </row>
    <row r="1275" spans="1:20" x14ac:dyDescent="0.25">
      <c r="A1275" t="s">
        <v>1582</v>
      </c>
      <c r="B1275" t="s">
        <v>160</v>
      </c>
      <c r="C1275" t="s">
        <v>71</v>
      </c>
      <c r="D1275" s="1">
        <v>44243</v>
      </c>
      <c r="E1275">
        <v>5</v>
      </c>
      <c r="F1275">
        <v>75.427274755408305</v>
      </c>
      <c r="G1275" s="1">
        <v>44257</v>
      </c>
      <c r="H1275" s="1">
        <v>44261</v>
      </c>
      <c r="I1275">
        <v>377.136373777041</v>
      </c>
      <c r="J1275">
        <f t="shared" si="114"/>
        <v>4</v>
      </c>
      <c r="K1275" t="str">
        <f>VLOOKUP(B1275,Raw_Suppliers!$A$2:$G$101,2,FALSE)</f>
        <v>Omega Beta Corp</v>
      </c>
      <c r="L1275" t="str">
        <f>VLOOKUP(B1275,Raw_Suppliers!$A$2:$G$101,3,FALSE)</f>
        <v>China</v>
      </c>
      <c r="M1275" t="str">
        <f>VLOOKUP(B1275,Raw_Suppliers!$A$2:$G$101,4,FALSE)</f>
        <v>East</v>
      </c>
      <c r="N1275" t="str">
        <f>VLOOKUP(B1275,Raw_Suppliers!$A$2:$G$101,6,FALSE)</f>
        <v>ISO 45001</v>
      </c>
      <c r="O1275">
        <f>VLOOKUP(B1275,Raw_Suppliers!$A$2:$G$101,7,FALSE)</f>
        <v>1</v>
      </c>
      <c r="P1275" t="str">
        <f t="shared" si="115"/>
        <v>Yes</v>
      </c>
      <c r="Q1275">
        <f t="shared" si="116"/>
        <v>0</v>
      </c>
      <c r="R1275" t="str">
        <f t="shared" si="117"/>
        <v>Late</v>
      </c>
      <c r="S1275">
        <f t="shared" si="118"/>
        <v>2021</v>
      </c>
      <c r="T1275">
        <f t="shared" si="119"/>
        <v>2</v>
      </c>
    </row>
    <row r="1276" spans="1:20" x14ac:dyDescent="0.25">
      <c r="A1276" t="s">
        <v>1583</v>
      </c>
      <c r="B1276" t="s">
        <v>198</v>
      </c>
      <c r="C1276" t="s">
        <v>1176</v>
      </c>
      <c r="D1276" s="1">
        <v>44875</v>
      </c>
      <c r="E1276">
        <v>17</v>
      </c>
      <c r="F1276">
        <v>58.795061678887997</v>
      </c>
      <c r="G1276" s="1">
        <v>44895</v>
      </c>
      <c r="H1276" s="1">
        <v>44894</v>
      </c>
      <c r="I1276">
        <v>999.51604854109598</v>
      </c>
      <c r="J1276">
        <f t="shared" si="114"/>
        <v>-1</v>
      </c>
      <c r="K1276" t="str">
        <f>VLOOKUP(B1276,Raw_Suppliers!$A$2:$G$101,2,FALSE)</f>
        <v>Gamma Vertex Corp</v>
      </c>
      <c r="L1276" t="str">
        <f>VLOOKUP(B1276,Raw_Suppliers!$A$2:$G$101,3,FALSE)</f>
        <v>Denmark</v>
      </c>
      <c r="M1276" t="str">
        <f>VLOOKUP(B1276,Raw_Suppliers!$A$2:$G$101,4,FALSE)</f>
        <v>South</v>
      </c>
      <c r="N1276" t="str">
        <f>VLOOKUP(B1276,Raw_Suppliers!$A$2:$G$101,6,FALSE)</f>
        <v>None</v>
      </c>
      <c r="O1276">
        <f>VLOOKUP(B1276,Raw_Suppliers!$A$2:$G$101,7,FALSE)</f>
        <v>1</v>
      </c>
      <c r="P1276" t="str">
        <f t="shared" si="115"/>
        <v>Yes</v>
      </c>
      <c r="Q1276">
        <f t="shared" si="116"/>
        <v>1</v>
      </c>
      <c r="R1276" t="str">
        <f t="shared" si="117"/>
        <v>On Time</v>
      </c>
      <c r="S1276">
        <f t="shared" si="118"/>
        <v>2022</v>
      </c>
      <c r="T1276">
        <f t="shared" si="119"/>
        <v>11</v>
      </c>
    </row>
    <row r="1277" spans="1:20" x14ac:dyDescent="0.25">
      <c r="A1277" t="s">
        <v>1584</v>
      </c>
      <c r="B1277" t="s">
        <v>67</v>
      </c>
      <c r="C1277" t="s">
        <v>341</v>
      </c>
      <c r="D1277" s="1">
        <v>44980</v>
      </c>
      <c r="E1277">
        <v>9</v>
      </c>
      <c r="F1277">
        <v>62.363135209881897</v>
      </c>
      <c r="G1277" s="1">
        <v>45002</v>
      </c>
      <c r="H1277" s="1">
        <v>45007</v>
      </c>
      <c r="I1277">
        <v>561.26821688893699</v>
      </c>
      <c r="J1277">
        <f t="shared" si="114"/>
        <v>5</v>
      </c>
      <c r="K1277" t="str">
        <f>VLOOKUP(B1277,Raw_Suppliers!$A$2:$G$101,2,FALSE)</f>
        <v>Nova Eco LLC</v>
      </c>
      <c r="L1277" t="str">
        <f>VLOOKUP(B1277,Raw_Suppliers!$A$2:$G$101,3,FALSE)</f>
        <v>Germany</v>
      </c>
      <c r="M1277" t="str">
        <f>VLOOKUP(B1277,Raw_Suppliers!$A$2:$G$101,4,FALSE)</f>
        <v>Central</v>
      </c>
      <c r="N1277" t="str">
        <f>VLOOKUP(B1277,Raw_Suppliers!$A$2:$G$101,6,FALSE)</f>
        <v>ISO 9001</v>
      </c>
      <c r="O1277">
        <f>VLOOKUP(B1277,Raw_Suppliers!$A$2:$G$101,7,FALSE)</f>
        <v>1</v>
      </c>
      <c r="P1277" t="str">
        <f t="shared" si="115"/>
        <v>Yes</v>
      </c>
      <c r="Q1277">
        <f t="shared" si="116"/>
        <v>0</v>
      </c>
      <c r="R1277" t="str">
        <f t="shared" si="117"/>
        <v>Late</v>
      </c>
      <c r="S1277">
        <f t="shared" si="118"/>
        <v>2023</v>
      </c>
      <c r="T1277">
        <f t="shared" si="119"/>
        <v>2</v>
      </c>
    </row>
    <row r="1278" spans="1:20" x14ac:dyDescent="0.25">
      <c r="A1278" t="s">
        <v>1585</v>
      </c>
      <c r="B1278" t="s">
        <v>140</v>
      </c>
      <c r="C1278" t="s">
        <v>559</v>
      </c>
      <c r="D1278" s="1">
        <v>44319</v>
      </c>
      <c r="E1278">
        <v>14</v>
      </c>
      <c r="F1278">
        <v>64.266578640387095</v>
      </c>
      <c r="G1278" s="1">
        <v>44331</v>
      </c>
      <c r="H1278" s="1">
        <v>44329</v>
      </c>
      <c r="I1278">
        <v>899.73210096542005</v>
      </c>
      <c r="J1278">
        <f t="shared" si="114"/>
        <v>-2</v>
      </c>
      <c r="K1278" t="str">
        <f>VLOOKUP(B1278,Raw_Suppliers!$A$2:$G$101,2,FALSE)</f>
        <v>Gamma Quantum Inc</v>
      </c>
      <c r="L1278" t="str">
        <f>VLOOKUP(B1278,Raw_Suppliers!$A$2:$G$101,3,FALSE)</f>
        <v>Germany</v>
      </c>
      <c r="M1278" t="str">
        <f>VLOOKUP(B1278,Raw_Suppliers!$A$2:$G$101,4,FALSE)</f>
        <v>North</v>
      </c>
      <c r="N1278" t="str">
        <f>VLOOKUP(B1278,Raw_Suppliers!$A$2:$G$101,6,FALSE)</f>
        <v>None</v>
      </c>
      <c r="O1278">
        <f>VLOOKUP(B1278,Raw_Suppliers!$A$2:$G$101,7,FALSE)</f>
        <v>1</v>
      </c>
      <c r="P1278" t="str">
        <f t="shared" si="115"/>
        <v>Yes</v>
      </c>
      <c r="Q1278">
        <f t="shared" si="116"/>
        <v>1</v>
      </c>
      <c r="R1278" t="str">
        <f t="shared" si="117"/>
        <v>On Time</v>
      </c>
      <c r="S1278">
        <f t="shared" si="118"/>
        <v>2021</v>
      </c>
      <c r="T1278">
        <f t="shared" si="119"/>
        <v>5</v>
      </c>
    </row>
    <row r="1279" spans="1:20" x14ac:dyDescent="0.25">
      <c r="A1279" t="s">
        <v>1586</v>
      </c>
      <c r="B1279" t="s">
        <v>240</v>
      </c>
      <c r="C1279" t="s">
        <v>245</v>
      </c>
      <c r="D1279" s="1">
        <v>44425</v>
      </c>
      <c r="E1279">
        <v>10</v>
      </c>
      <c r="F1279">
        <v>14.6253754249484</v>
      </c>
      <c r="G1279" s="1">
        <v>44440</v>
      </c>
      <c r="H1279" s="1">
        <v>44442</v>
      </c>
      <c r="I1279">
        <v>146.25375424948399</v>
      </c>
      <c r="J1279">
        <f t="shared" si="114"/>
        <v>2</v>
      </c>
      <c r="K1279" t="str">
        <f>VLOOKUP(B1279,Raw_Suppliers!$A$2:$G$101,2,FALSE)</f>
        <v>Apex Omega LLC</v>
      </c>
      <c r="L1279" t="str">
        <f>VLOOKUP(B1279,Raw_Suppliers!$A$2:$G$101,3,FALSE)</f>
        <v>UK</v>
      </c>
      <c r="M1279" t="str">
        <f>VLOOKUP(B1279,Raw_Suppliers!$A$2:$G$101,4,FALSE)</f>
        <v>South</v>
      </c>
      <c r="N1279" t="str">
        <f>VLOOKUP(B1279,Raw_Suppliers!$A$2:$G$101,6,FALSE)</f>
        <v>ISO 9001</v>
      </c>
      <c r="O1279">
        <f>VLOOKUP(B1279,Raw_Suppliers!$A$2:$G$101,7,FALSE)</f>
        <v>0</v>
      </c>
      <c r="P1279" t="str">
        <f t="shared" si="115"/>
        <v>No</v>
      </c>
      <c r="Q1279">
        <f t="shared" si="116"/>
        <v>0</v>
      </c>
      <c r="R1279" t="str">
        <f t="shared" si="117"/>
        <v>Late</v>
      </c>
      <c r="S1279">
        <f t="shared" si="118"/>
        <v>2021</v>
      </c>
      <c r="T1279">
        <f t="shared" si="119"/>
        <v>8</v>
      </c>
    </row>
    <row r="1280" spans="1:20" x14ac:dyDescent="0.25">
      <c r="A1280" t="s">
        <v>1587</v>
      </c>
      <c r="B1280" t="s">
        <v>55</v>
      </c>
      <c r="C1280" t="s">
        <v>391</v>
      </c>
      <c r="D1280" s="1">
        <v>45125</v>
      </c>
      <c r="E1280">
        <v>9</v>
      </c>
      <c r="F1280">
        <v>38.662052659195098</v>
      </c>
      <c r="G1280" s="1">
        <v>45136</v>
      </c>
      <c r="H1280" s="1">
        <v>45140</v>
      </c>
      <c r="I1280">
        <v>347.95847393275602</v>
      </c>
      <c r="J1280">
        <f t="shared" si="114"/>
        <v>4</v>
      </c>
      <c r="K1280" t="str">
        <f>VLOOKUP(B1280,Raw_Suppliers!$A$2:$G$101,2,FALSE)</f>
        <v>Prime Vertex Inc</v>
      </c>
      <c r="L1280" t="str">
        <f>VLOOKUP(B1280,Raw_Suppliers!$A$2:$G$101,3,FALSE)</f>
        <v>Germany</v>
      </c>
      <c r="M1280" t="str">
        <f>VLOOKUP(B1280,Raw_Suppliers!$A$2:$G$101,4,FALSE)</f>
        <v>South</v>
      </c>
      <c r="N1280" t="str">
        <f>VLOOKUP(B1280,Raw_Suppliers!$A$2:$G$101,6,FALSE)</f>
        <v>ISO 14001</v>
      </c>
      <c r="O1280">
        <f>VLOOKUP(B1280,Raw_Suppliers!$A$2:$G$101,7,FALSE)</f>
        <v>0</v>
      </c>
      <c r="P1280" t="str">
        <f t="shared" si="115"/>
        <v>No</v>
      </c>
      <c r="Q1280">
        <f t="shared" si="116"/>
        <v>0</v>
      </c>
      <c r="R1280" t="str">
        <f t="shared" si="117"/>
        <v>Late</v>
      </c>
      <c r="S1280">
        <f t="shared" si="118"/>
        <v>2023</v>
      </c>
      <c r="T1280">
        <f t="shared" si="119"/>
        <v>7</v>
      </c>
    </row>
    <row r="1281" spans="1:20" x14ac:dyDescent="0.25">
      <c r="A1281" t="s">
        <v>1588</v>
      </c>
      <c r="B1281" t="s">
        <v>135</v>
      </c>
      <c r="C1281" t="s">
        <v>235</v>
      </c>
      <c r="D1281" s="1">
        <v>44777</v>
      </c>
      <c r="E1281">
        <v>12</v>
      </c>
      <c r="F1281">
        <v>74.813839730903396</v>
      </c>
      <c r="G1281" s="1">
        <v>44801</v>
      </c>
      <c r="H1281" s="1">
        <v>44804</v>
      </c>
      <c r="I1281">
        <v>897.76607677084098</v>
      </c>
      <c r="J1281">
        <f t="shared" si="114"/>
        <v>3</v>
      </c>
      <c r="K1281" t="str">
        <f>VLOOKUP(B1281,Raw_Suppliers!$A$2:$G$101,2,FALSE)</f>
        <v>Alpha Prime Ltd</v>
      </c>
      <c r="L1281" t="str">
        <f>VLOOKUP(B1281,Raw_Suppliers!$A$2:$G$101,3,FALSE)</f>
        <v>UK</v>
      </c>
      <c r="M1281" t="str">
        <f>VLOOKUP(B1281,Raw_Suppliers!$A$2:$G$101,4,FALSE)</f>
        <v>East</v>
      </c>
      <c r="N1281" t="str">
        <f>VLOOKUP(B1281,Raw_Suppliers!$A$2:$G$101,6,FALSE)</f>
        <v>None</v>
      </c>
      <c r="O1281">
        <f>VLOOKUP(B1281,Raw_Suppliers!$A$2:$G$101,7,FALSE)</f>
        <v>1</v>
      </c>
      <c r="P1281" t="str">
        <f t="shared" si="115"/>
        <v>Yes</v>
      </c>
      <c r="Q1281">
        <f t="shared" si="116"/>
        <v>0</v>
      </c>
      <c r="R1281" t="str">
        <f t="shared" si="117"/>
        <v>Late</v>
      </c>
      <c r="S1281">
        <f t="shared" si="118"/>
        <v>2022</v>
      </c>
      <c r="T1281">
        <f t="shared" si="119"/>
        <v>8</v>
      </c>
    </row>
    <row r="1282" spans="1:20" x14ac:dyDescent="0.25">
      <c r="A1282" t="s">
        <v>1589</v>
      </c>
      <c r="B1282" t="s">
        <v>324</v>
      </c>
      <c r="C1282" t="s">
        <v>165</v>
      </c>
      <c r="D1282" s="1">
        <v>44543</v>
      </c>
      <c r="E1282">
        <v>7</v>
      </c>
      <c r="F1282">
        <v>53.060837160996499</v>
      </c>
      <c r="G1282" s="1">
        <v>44566</v>
      </c>
      <c r="H1282" s="1">
        <v>44571</v>
      </c>
      <c r="I1282">
        <v>371.42586012697501</v>
      </c>
      <c r="J1282">
        <f t="shared" si="114"/>
        <v>5</v>
      </c>
      <c r="K1282" t="str">
        <f>VLOOKUP(B1282,Raw_Suppliers!$A$2:$G$101,2,FALSE)</f>
        <v>Gamma Nano Corp</v>
      </c>
      <c r="L1282" t="str">
        <f>VLOOKUP(B1282,Raw_Suppliers!$A$2:$G$101,3,FALSE)</f>
        <v>Germany</v>
      </c>
      <c r="M1282" t="str">
        <f>VLOOKUP(B1282,Raw_Suppliers!$A$2:$G$101,4,FALSE)</f>
        <v>West</v>
      </c>
      <c r="N1282" t="str">
        <f>VLOOKUP(B1282,Raw_Suppliers!$A$2:$G$101,6,FALSE)</f>
        <v>ISO 9001</v>
      </c>
      <c r="O1282">
        <f>VLOOKUP(B1282,Raw_Suppliers!$A$2:$G$101,7,FALSE)</f>
        <v>0</v>
      </c>
      <c r="P1282" t="str">
        <f t="shared" si="115"/>
        <v>No</v>
      </c>
      <c r="Q1282">
        <f t="shared" si="116"/>
        <v>0</v>
      </c>
      <c r="R1282" t="str">
        <f t="shared" si="117"/>
        <v>Late</v>
      </c>
      <c r="S1282">
        <f t="shared" si="118"/>
        <v>2021</v>
      </c>
      <c r="T1282">
        <f t="shared" si="119"/>
        <v>12</v>
      </c>
    </row>
    <row r="1283" spans="1:20" x14ac:dyDescent="0.25">
      <c r="A1283" t="s">
        <v>1590</v>
      </c>
      <c r="B1283" t="s">
        <v>174</v>
      </c>
      <c r="C1283" t="s">
        <v>80</v>
      </c>
      <c r="D1283" s="1">
        <v>44246</v>
      </c>
      <c r="E1283">
        <v>12</v>
      </c>
      <c r="F1283">
        <v>61.930499755443002</v>
      </c>
      <c r="G1283" s="1">
        <v>44269</v>
      </c>
      <c r="H1283" s="1">
        <v>44270</v>
      </c>
      <c r="I1283">
        <v>743.16599706531701</v>
      </c>
      <c r="J1283">
        <f t="shared" ref="J1283:J1346" si="120">H1283-G1283</f>
        <v>1</v>
      </c>
      <c r="K1283" t="str">
        <f>VLOOKUP(B1283,Raw_Suppliers!$A$2:$G$101,2,FALSE)</f>
        <v>Quantum Eco LLC</v>
      </c>
      <c r="L1283" t="str">
        <f>VLOOKUP(B1283,Raw_Suppliers!$A$2:$G$101,3,FALSE)</f>
        <v>Denmark</v>
      </c>
      <c r="M1283" t="str">
        <f>VLOOKUP(B1283,Raw_Suppliers!$A$2:$G$101,4,FALSE)</f>
        <v>East</v>
      </c>
      <c r="N1283" t="str">
        <f>VLOOKUP(B1283,Raw_Suppliers!$A$2:$G$101,6,FALSE)</f>
        <v>ISO 9001</v>
      </c>
      <c r="O1283">
        <f>VLOOKUP(B1283,Raw_Suppliers!$A$2:$G$101,7,FALSE)</f>
        <v>1</v>
      </c>
      <c r="P1283" t="str">
        <f t="shared" ref="P1283:P1346" si="121">IF(O1283=1,"Yes","No")</f>
        <v>Yes</v>
      </c>
      <c r="Q1283">
        <f t="shared" ref="Q1283:Q1346" si="122">IF(J1283&lt;=0,1,0)</f>
        <v>0</v>
      </c>
      <c r="R1283" t="str">
        <f t="shared" ref="R1283:R1346" si="123">IF(Q1283=1,"On Time","Late")</f>
        <v>Late</v>
      </c>
      <c r="S1283">
        <f t="shared" ref="S1283:S1346" si="124">YEAR(D1283)</f>
        <v>2021</v>
      </c>
      <c r="T1283">
        <f t="shared" ref="T1283:T1346" si="125">MONTH(D1283)</f>
        <v>2</v>
      </c>
    </row>
    <row r="1284" spans="1:20" x14ac:dyDescent="0.25">
      <c r="A1284" t="s">
        <v>1591</v>
      </c>
      <c r="B1284" t="s">
        <v>205</v>
      </c>
      <c r="C1284" t="s">
        <v>38</v>
      </c>
      <c r="D1284" s="1">
        <v>44331</v>
      </c>
      <c r="E1284">
        <v>14</v>
      </c>
      <c r="F1284">
        <v>23.950098258557802</v>
      </c>
      <c r="G1284" s="1">
        <v>44341</v>
      </c>
      <c r="H1284" s="1">
        <v>44343</v>
      </c>
      <c r="I1284">
        <v>335.30137561981002</v>
      </c>
      <c r="J1284">
        <f t="shared" si="120"/>
        <v>2</v>
      </c>
      <c r="K1284" t="str">
        <f>VLOOKUP(B1284,Raw_Suppliers!$A$2:$G$101,2,FALSE)</f>
        <v>Ultra Eco LLC</v>
      </c>
      <c r="L1284" t="str">
        <f>VLOOKUP(B1284,Raw_Suppliers!$A$2:$G$101,3,FALSE)</f>
        <v>China</v>
      </c>
      <c r="M1284" t="str">
        <f>VLOOKUP(B1284,Raw_Suppliers!$A$2:$G$101,4,FALSE)</f>
        <v>South</v>
      </c>
      <c r="N1284" t="str">
        <f>VLOOKUP(B1284,Raw_Suppliers!$A$2:$G$101,6,FALSE)</f>
        <v>ISO 14001</v>
      </c>
      <c r="O1284">
        <f>VLOOKUP(B1284,Raw_Suppliers!$A$2:$G$101,7,FALSE)</f>
        <v>1</v>
      </c>
      <c r="P1284" t="str">
        <f t="shared" si="121"/>
        <v>Yes</v>
      </c>
      <c r="Q1284">
        <f t="shared" si="122"/>
        <v>0</v>
      </c>
      <c r="R1284" t="str">
        <f t="shared" si="123"/>
        <v>Late</v>
      </c>
      <c r="S1284">
        <f t="shared" si="124"/>
        <v>2021</v>
      </c>
      <c r="T1284">
        <f t="shared" si="125"/>
        <v>5</v>
      </c>
    </row>
    <row r="1285" spans="1:20" x14ac:dyDescent="0.25">
      <c r="A1285" t="s">
        <v>1592</v>
      </c>
      <c r="B1285" t="s">
        <v>28</v>
      </c>
      <c r="C1285" t="s">
        <v>32</v>
      </c>
      <c r="D1285" s="1">
        <v>44390</v>
      </c>
      <c r="E1285">
        <v>14</v>
      </c>
      <c r="F1285">
        <v>64.399334982588996</v>
      </c>
      <c r="G1285" s="1">
        <v>44405</v>
      </c>
      <c r="H1285" s="1">
        <v>44406</v>
      </c>
      <c r="I1285">
        <v>901.59068975624598</v>
      </c>
      <c r="J1285">
        <f t="shared" si="120"/>
        <v>1</v>
      </c>
      <c r="K1285" t="str">
        <f>VLOOKUP(B1285,Raw_Suppliers!$A$2:$G$101,2,FALSE)</f>
        <v>Fusion Vertex Inc</v>
      </c>
      <c r="L1285" t="str">
        <f>VLOOKUP(B1285,Raw_Suppliers!$A$2:$G$101,3,FALSE)</f>
        <v>Denmark</v>
      </c>
      <c r="M1285" t="str">
        <f>VLOOKUP(B1285,Raw_Suppliers!$A$2:$G$101,4,FALSE)</f>
        <v>Central</v>
      </c>
      <c r="N1285" t="str">
        <f>VLOOKUP(B1285,Raw_Suppliers!$A$2:$G$101,6,FALSE)</f>
        <v>ISO 45001</v>
      </c>
      <c r="O1285">
        <f>VLOOKUP(B1285,Raw_Suppliers!$A$2:$G$101,7,FALSE)</f>
        <v>0</v>
      </c>
      <c r="P1285" t="str">
        <f t="shared" si="121"/>
        <v>No</v>
      </c>
      <c r="Q1285">
        <f t="shared" si="122"/>
        <v>0</v>
      </c>
      <c r="R1285" t="str">
        <f t="shared" si="123"/>
        <v>Late</v>
      </c>
      <c r="S1285">
        <f t="shared" si="124"/>
        <v>2021</v>
      </c>
      <c r="T1285">
        <f t="shared" si="125"/>
        <v>7</v>
      </c>
    </row>
    <row r="1286" spans="1:20" x14ac:dyDescent="0.25">
      <c r="A1286" t="s">
        <v>1593</v>
      </c>
      <c r="B1286" t="s">
        <v>340</v>
      </c>
      <c r="C1286" t="s">
        <v>722</v>
      </c>
      <c r="D1286" s="1">
        <v>44637</v>
      </c>
      <c r="E1286">
        <v>17</v>
      </c>
      <c r="F1286">
        <v>78.965594382321797</v>
      </c>
      <c r="G1286" s="1">
        <v>44655</v>
      </c>
      <c r="H1286" s="1">
        <v>44652</v>
      </c>
      <c r="I1286">
        <v>1342.4151044994701</v>
      </c>
      <c r="J1286">
        <f t="shared" si="120"/>
        <v>-3</v>
      </c>
      <c r="K1286" t="str">
        <f>VLOOKUP(B1286,Raw_Suppliers!$A$2:$G$101,2,FALSE)</f>
        <v>Pioneer Ultra GmbH</v>
      </c>
      <c r="L1286" t="str">
        <f>VLOOKUP(B1286,Raw_Suppliers!$A$2:$G$101,3,FALSE)</f>
        <v>China</v>
      </c>
      <c r="M1286" t="str">
        <f>VLOOKUP(B1286,Raw_Suppliers!$A$2:$G$101,4,FALSE)</f>
        <v>Central</v>
      </c>
      <c r="N1286" t="str">
        <f>VLOOKUP(B1286,Raw_Suppliers!$A$2:$G$101,6,FALSE)</f>
        <v>ISO 9001</v>
      </c>
      <c r="O1286">
        <f>VLOOKUP(B1286,Raw_Suppliers!$A$2:$G$101,7,FALSE)</f>
        <v>0</v>
      </c>
      <c r="P1286" t="str">
        <f t="shared" si="121"/>
        <v>No</v>
      </c>
      <c r="Q1286">
        <f t="shared" si="122"/>
        <v>1</v>
      </c>
      <c r="R1286" t="str">
        <f t="shared" si="123"/>
        <v>On Time</v>
      </c>
      <c r="S1286">
        <f t="shared" si="124"/>
        <v>2022</v>
      </c>
      <c r="T1286">
        <f t="shared" si="125"/>
        <v>3</v>
      </c>
    </row>
    <row r="1287" spans="1:20" x14ac:dyDescent="0.25">
      <c r="A1287" t="s">
        <v>1594</v>
      </c>
      <c r="B1287" t="s">
        <v>99</v>
      </c>
      <c r="C1287" t="s">
        <v>144</v>
      </c>
      <c r="D1287" s="1">
        <v>45337</v>
      </c>
      <c r="E1287">
        <v>5</v>
      </c>
      <c r="F1287">
        <v>8.2696253002163704</v>
      </c>
      <c r="G1287" s="1">
        <v>45359</v>
      </c>
      <c r="H1287" s="1">
        <v>45363</v>
      </c>
      <c r="I1287">
        <v>41.348126501081801</v>
      </c>
      <c r="J1287">
        <f t="shared" si="120"/>
        <v>4</v>
      </c>
      <c r="K1287" t="str">
        <f>VLOOKUP(B1287,Raw_Suppliers!$A$2:$G$101,2,FALSE)</f>
        <v>Gamma Nova LLC</v>
      </c>
      <c r="L1287" t="str">
        <f>VLOOKUP(B1287,Raw_Suppliers!$A$2:$G$101,3,FALSE)</f>
        <v>USA</v>
      </c>
      <c r="M1287" t="str">
        <f>VLOOKUP(B1287,Raw_Suppliers!$A$2:$G$101,4,FALSE)</f>
        <v>North</v>
      </c>
      <c r="N1287" t="str">
        <f>VLOOKUP(B1287,Raw_Suppliers!$A$2:$G$101,6,FALSE)</f>
        <v>ISO 9001</v>
      </c>
      <c r="O1287">
        <f>VLOOKUP(B1287,Raw_Suppliers!$A$2:$G$101,7,FALSE)</f>
        <v>0</v>
      </c>
      <c r="P1287" t="str">
        <f t="shared" si="121"/>
        <v>No</v>
      </c>
      <c r="Q1287">
        <f t="shared" si="122"/>
        <v>0</v>
      </c>
      <c r="R1287" t="str">
        <f t="shared" si="123"/>
        <v>Late</v>
      </c>
      <c r="S1287">
        <f t="shared" si="124"/>
        <v>2024</v>
      </c>
      <c r="T1287">
        <f t="shared" si="125"/>
        <v>2</v>
      </c>
    </row>
    <row r="1288" spans="1:20" x14ac:dyDescent="0.25">
      <c r="A1288" t="s">
        <v>1595</v>
      </c>
      <c r="B1288" t="s">
        <v>176</v>
      </c>
      <c r="C1288" t="s">
        <v>1129</v>
      </c>
      <c r="D1288" s="1">
        <v>44837</v>
      </c>
      <c r="E1288">
        <v>12</v>
      </c>
      <c r="F1288">
        <v>76.465551356556603</v>
      </c>
      <c r="G1288" s="1">
        <v>44857</v>
      </c>
      <c r="H1288" s="1">
        <v>44861</v>
      </c>
      <c r="I1288">
        <v>917.586616278679</v>
      </c>
      <c r="J1288">
        <f t="shared" si="120"/>
        <v>4</v>
      </c>
      <c r="K1288" t="str">
        <f>VLOOKUP(B1288,Raw_Suppliers!$A$2:$G$101,2,FALSE)</f>
        <v>Nano Ultra Corp</v>
      </c>
      <c r="L1288" t="str">
        <f>VLOOKUP(B1288,Raw_Suppliers!$A$2:$G$101,3,FALSE)</f>
        <v>Canada</v>
      </c>
      <c r="M1288" t="str">
        <f>VLOOKUP(B1288,Raw_Suppliers!$A$2:$G$101,4,FALSE)</f>
        <v>Central</v>
      </c>
      <c r="N1288" t="str">
        <f>VLOOKUP(B1288,Raw_Suppliers!$A$2:$G$101,6,FALSE)</f>
        <v>ISO 9001</v>
      </c>
      <c r="O1288">
        <f>VLOOKUP(B1288,Raw_Suppliers!$A$2:$G$101,7,FALSE)</f>
        <v>0</v>
      </c>
      <c r="P1288" t="str">
        <f t="shared" si="121"/>
        <v>No</v>
      </c>
      <c r="Q1288">
        <f t="shared" si="122"/>
        <v>0</v>
      </c>
      <c r="R1288" t="str">
        <f t="shared" si="123"/>
        <v>Late</v>
      </c>
      <c r="S1288">
        <f t="shared" si="124"/>
        <v>2022</v>
      </c>
      <c r="T1288">
        <f t="shared" si="125"/>
        <v>10</v>
      </c>
    </row>
    <row r="1289" spans="1:20" x14ac:dyDescent="0.25">
      <c r="A1289" t="s">
        <v>1596</v>
      </c>
      <c r="B1289" t="s">
        <v>359</v>
      </c>
      <c r="C1289" t="s">
        <v>396</v>
      </c>
      <c r="D1289" s="1">
        <v>44272</v>
      </c>
      <c r="E1289">
        <v>16</v>
      </c>
      <c r="F1289">
        <v>40.149554645937599</v>
      </c>
      <c r="G1289" s="1">
        <v>44284</v>
      </c>
      <c r="H1289" s="1">
        <v>44289</v>
      </c>
      <c r="I1289">
        <v>642.39287433500101</v>
      </c>
      <c r="J1289">
        <f t="shared" si="120"/>
        <v>5</v>
      </c>
      <c r="K1289" t="str">
        <f>VLOOKUP(B1289,Raw_Suppliers!$A$2:$G$101,2,FALSE)</f>
        <v>Alpha Alpha Corp</v>
      </c>
      <c r="L1289" t="str">
        <f>VLOOKUP(B1289,Raw_Suppliers!$A$2:$G$101,3,FALSE)</f>
        <v>India</v>
      </c>
      <c r="M1289" t="str">
        <f>VLOOKUP(B1289,Raw_Suppliers!$A$2:$G$101,4,FALSE)</f>
        <v>North</v>
      </c>
      <c r="N1289" t="str">
        <f>VLOOKUP(B1289,Raw_Suppliers!$A$2:$G$101,6,FALSE)</f>
        <v>ISO 9001</v>
      </c>
      <c r="O1289">
        <f>VLOOKUP(B1289,Raw_Suppliers!$A$2:$G$101,7,FALSE)</f>
        <v>1</v>
      </c>
      <c r="P1289" t="str">
        <f t="shared" si="121"/>
        <v>Yes</v>
      </c>
      <c r="Q1289">
        <f t="shared" si="122"/>
        <v>0</v>
      </c>
      <c r="R1289" t="str">
        <f t="shared" si="123"/>
        <v>Late</v>
      </c>
      <c r="S1289">
        <f t="shared" si="124"/>
        <v>2021</v>
      </c>
      <c r="T1289">
        <f t="shared" si="125"/>
        <v>3</v>
      </c>
    </row>
    <row r="1290" spans="1:20" x14ac:dyDescent="0.25">
      <c r="A1290" t="s">
        <v>1597</v>
      </c>
      <c r="B1290" t="s">
        <v>253</v>
      </c>
      <c r="C1290" t="s">
        <v>56</v>
      </c>
      <c r="D1290" s="1">
        <v>45386</v>
      </c>
      <c r="E1290">
        <v>17</v>
      </c>
      <c r="F1290">
        <v>9.9787202968687598</v>
      </c>
      <c r="G1290" s="1">
        <v>45398</v>
      </c>
      <c r="H1290" s="1">
        <v>45399</v>
      </c>
      <c r="I1290">
        <v>169.63824504676799</v>
      </c>
      <c r="J1290">
        <f t="shared" si="120"/>
        <v>1</v>
      </c>
      <c r="K1290" t="str">
        <f>VLOOKUP(B1290,Raw_Suppliers!$A$2:$G$101,2,FALSE)</f>
        <v>Vertex Apex Ltd</v>
      </c>
      <c r="L1290" t="str">
        <f>VLOOKUP(B1290,Raw_Suppliers!$A$2:$G$101,3,FALSE)</f>
        <v>Brazil</v>
      </c>
      <c r="M1290" t="str">
        <f>VLOOKUP(B1290,Raw_Suppliers!$A$2:$G$101,4,FALSE)</f>
        <v>South</v>
      </c>
      <c r="N1290" t="str">
        <f>VLOOKUP(B1290,Raw_Suppliers!$A$2:$G$101,6,FALSE)</f>
        <v>None</v>
      </c>
      <c r="O1290">
        <f>VLOOKUP(B1290,Raw_Suppliers!$A$2:$G$101,7,FALSE)</f>
        <v>1</v>
      </c>
      <c r="P1290" t="str">
        <f t="shared" si="121"/>
        <v>Yes</v>
      </c>
      <c r="Q1290">
        <f t="shared" si="122"/>
        <v>0</v>
      </c>
      <c r="R1290" t="str">
        <f t="shared" si="123"/>
        <v>Late</v>
      </c>
      <c r="S1290">
        <f t="shared" si="124"/>
        <v>2024</v>
      </c>
      <c r="T1290">
        <f t="shared" si="125"/>
        <v>4</v>
      </c>
    </row>
    <row r="1291" spans="1:20" x14ac:dyDescent="0.25">
      <c r="A1291" t="s">
        <v>1598</v>
      </c>
      <c r="B1291" t="s">
        <v>301</v>
      </c>
      <c r="C1291" t="s">
        <v>235</v>
      </c>
      <c r="D1291" s="1">
        <v>44366</v>
      </c>
      <c r="E1291">
        <v>13</v>
      </c>
      <c r="F1291">
        <v>29.671609423269199</v>
      </c>
      <c r="G1291" s="1">
        <v>44389</v>
      </c>
      <c r="H1291" s="1">
        <v>44395</v>
      </c>
      <c r="I1291">
        <v>385.73092250249999</v>
      </c>
      <c r="J1291">
        <f t="shared" si="120"/>
        <v>6</v>
      </c>
      <c r="K1291" t="str">
        <f>VLOOKUP(B1291,Raw_Suppliers!$A$2:$G$101,2,FALSE)</f>
        <v>Beta Eco Inc</v>
      </c>
      <c r="L1291" t="str">
        <f>VLOOKUP(B1291,Raw_Suppliers!$A$2:$G$101,3,FALSE)</f>
        <v>Denmark</v>
      </c>
      <c r="M1291" t="str">
        <f>VLOOKUP(B1291,Raw_Suppliers!$A$2:$G$101,4,FALSE)</f>
        <v>South</v>
      </c>
      <c r="N1291" t="str">
        <f>VLOOKUP(B1291,Raw_Suppliers!$A$2:$G$101,6,FALSE)</f>
        <v>ISO 14001</v>
      </c>
      <c r="O1291">
        <f>VLOOKUP(B1291,Raw_Suppliers!$A$2:$G$101,7,FALSE)</f>
        <v>1</v>
      </c>
      <c r="P1291" t="str">
        <f t="shared" si="121"/>
        <v>Yes</v>
      </c>
      <c r="Q1291">
        <f t="shared" si="122"/>
        <v>0</v>
      </c>
      <c r="R1291" t="str">
        <f t="shared" si="123"/>
        <v>Late</v>
      </c>
      <c r="S1291">
        <f t="shared" si="124"/>
        <v>2021</v>
      </c>
      <c r="T1291">
        <f t="shared" si="125"/>
        <v>6</v>
      </c>
    </row>
    <row r="1292" spans="1:20" x14ac:dyDescent="0.25">
      <c r="A1292" t="s">
        <v>1599</v>
      </c>
      <c r="B1292" t="s">
        <v>411</v>
      </c>
      <c r="C1292" t="s">
        <v>220</v>
      </c>
      <c r="D1292" s="1">
        <v>45219</v>
      </c>
      <c r="E1292">
        <v>11</v>
      </c>
      <c r="F1292">
        <v>9.1089775661487202</v>
      </c>
      <c r="G1292" s="1">
        <v>45240</v>
      </c>
      <c r="H1292" s="1">
        <v>45246</v>
      </c>
      <c r="I1292">
        <v>100.198753227635</v>
      </c>
      <c r="J1292">
        <f t="shared" si="120"/>
        <v>6</v>
      </c>
      <c r="K1292" t="str">
        <f>VLOOKUP(B1292,Raw_Suppliers!$A$2:$G$101,2,FALSE)</f>
        <v>Gamma Nova LLC</v>
      </c>
      <c r="L1292" t="str">
        <f>VLOOKUP(B1292,Raw_Suppliers!$A$2:$G$101,3,FALSE)</f>
        <v>Brazil</v>
      </c>
      <c r="M1292" t="str">
        <f>VLOOKUP(B1292,Raw_Suppliers!$A$2:$G$101,4,FALSE)</f>
        <v>North</v>
      </c>
      <c r="N1292" t="str">
        <f>VLOOKUP(B1292,Raw_Suppliers!$A$2:$G$101,6,FALSE)</f>
        <v>ISO 14001</v>
      </c>
      <c r="O1292">
        <f>VLOOKUP(B1292,Raw_Suppliers!$A$2:$G$101,7,FALSE)</f>
        <v>1</v>
      </c>
      <c r="P1292" t="str">
        <f t="shared" si="121"/>
        <v>Yes</v>
      </c>
      <c r="Q1292">
        <f t="shared" si="122"/>
        <v>0</v>
      </c>
      <c r="R1292" t="str">
        <f t="shared" si="123"/>
        <v>Late</v>
      </c>
      <c r="S1292">
        <f t="shared" si="124"/>
        <v>2023</v>
      </c>
      <c r="T1292">
        <f t="shared" si="125"/>
        <v>10</v>
      </c>
    </row>
    <row r="1293" spans="1:20" x14ac:dyDescent="0.25">
      <c r="A1293" t="s">
        <v>1600</v>
      </c>
      <c r="B1293" t="s">
        <v>189</v>
      </c>
      <c r="C1293" t="s">
        <v>272</v>
      </c>
      <c r="D1293" s="1">
        <v>44330</v>
      </c>
      <c r="E1293">
        <v>14</v>
      </c>
      <c r="F1293">
        <v>51.691766458821199</v>
      </c>
      <c r="G1293" s="1">
        <v>44348</v>
      </c>
      <c r="H1293" s="1">
        <v>44354</v>
      </c>
      <c r="I1293">
        <v>723.68473042349797</v>
      </c>
      <c r="J1293">
        <f t="shared" si="120"/>
        <v>6</v>
      </c>
      <c r="K1293" t="str">
        <f>VLOOKUP(B1293,Raw_Suppliers!$A$2:$G$101,2,FALSE)</f>
        <v>Apex Pioneer Ltd</v>
      </c>
      <c r="L1293" t="str">
        <f>VLOOKUP(B1293,Raw_Suppliers!$A$2:$G$101,3,FALSE)</f>
        <v>Canada</v>
      </c>
      <c r="M1293" t="str">
        <f>VLOOKUP(B1293,Raw_Suppliers!$A$2:$G$101,4,FALSE)</f>
        <v>South</v>
      </c>
      <c r="N1293" t="str">
        <f>VLOOKUP(B1293,Raw_Suppliers!$A$2:$G$101,6,FALSE)</f>
        <v>ISO 14001</v>
      </c>
      <c r="O1293">
        <f>VLOOKUP(B1293,Raw_Suppliers!$A$2:$G$101,7,FALSE)</f>
        <v>1</v>
      </c>
      <c r="P1293" t="str">
        <f t="shared" si="121"/>
        <v>Yes</v>
      </c>
      <c r="Q1293">
        <f t="shared" si="122"/>
        <v>0</v>
      </c>
      <c r="R1293" t="str">
        <f t="shared" si="123"/>
        <v>Late</v>
      </c>
      <c r="S1293">
        <f t="shared" si="124"/>
        <v>2021</v>
      </c>
      <c r="T1293">
        <f t="shared" si="125"/>
        <v>5</v>
      </c>
    </row>
    <row r="1294" spans="1:20" x14ac:dyDescent="0.25">
      <c r="A1294" t="s">
        <v>1601</v>
      </c>
      <c r="B1294" t="s">
        <v>751</v>
      </c>
      <c r="C1294" t="s">
        <v>201</v>
      </c>
      <c r="D1294" s="1">
        <v>44265</v>
      </c>
      <c r="E1294">
        <v>13</v>
      </c>
      <c r="F1294">
        <v>71.411682234778397</v>
      </c>
      <c r="G1294" s="1">
        <v>44278</v>
      </c>
      <c r="H1294" s="1">
        <v>44279</v>
      </c>
      <c r="I1294">
        <v>928.35186905211901</v>
      </c>
      <c r="J1294">
        <f t="shared" si="120"/>
        <v>1</v>
      </c>
      <c r="K1294" t="str">
        <f>VLOOKUP(B1294,Raw_Suppliers!$A$2:$G$101,2,FALSE)</f>
        <v>Nano Vertex LLC</v>
      </c>
      <c r="L1294" t="str">
        <f>VLOOKUP(B1294,Raw_Suppliers!$A$2:$G$101,3,FALSE)</f>
        <v>China</v>
      </c>
      <c r="M1294" t="str">
        <f>VLOOKUP(B1294,Raw_Suppliers!$A$2:$G$101,4,FALSE)</f>
        <v>North</v>
      </c>
      <c r="N1294" t="str">
        <f>VLOOKUP(B1294,Raw_Suppliers!$A$2:$G$101,6,FALSE)</f>
        <v>ISO 9001</v>
      </c>
      <c r="O1294">
        <f>VLOOKUP(B1294,Raw_Suppliers!$A$2:$G$101,7,FALSE)</f>
        <v>1</v>
      </c>
      <c r="P1294" t="str">
        <f t="shared" si="121"/>
        <v>Yes</v>
      </c>
      <c r="Q1294">
        <f t="shared" si="122"/>
        <v>0</v>
      </c>
      <c r="R1294" t="str">
        <f t="shared" si="123"/>
        <v>Late</v>
      </c>
      <c r="S1294">
        <f t="shared" si="124"/>
        <v>2021</v>
      </c>
      <c r="T1294">
        <f t="shared" si="125"/>
        <v>3</v>
      </c>
    </row>
    <row r="1295" spans="1:20" x14ac:dyDescent="0.25">
      <c r="A1295" t="s">
        <v>1602</v>
      </c>
      <c r="B1295" t="s">
        <v>82</v>
      </c>
      <c r="C1295" t="s">
        <v>144</v>
      </c>
      <c r="D1295" s="1">
        <v>45375</v>
      </c>
      <c r="E1295">
        <v>18</v>
      </c>
      <c r="F1295">
        <v>75.308964770967293</v>
      </c>
      <c r="G1295" s="1">
        <v>45392</v>
      </c>
      <c r="H1295" s="1">
        <v>45395</v>
      </c>
      <c r="I1295">
        <v>1355.56136587741</v>
      </c>
      <c r="J1295">
        <f t="shared" si="120"/>
        <v>3</v>
      </c>
      <c r="K1295" t="str">
        <f>VLOOKUP(B1295,Raw_Suppliers!$A$2:$G$101,2,FALSE)</f>
        <v>Gamma Quantum LLC</v>
      </c>
      <c r="L1295" t="str">
        <f>VLOOKUP(B1295,Raw_Suppliers!$A$2:$G$101,3,FALSE)</f>
        <v>Canada</v>
      </c>
      <c r="M1295" t="str">
        <f>VLOOKUP(B1295,Raw_Suppliers!$A$2:$G$101,4,FALSE)</f>
        <v>Central</v>
      </c>
      <c r="N1295" t="str">
        <f>VLOOKUP(B1295,Raw_Suppliers!$A$2:$G$101,6,FALSE)</f>
        <v>None</v>
      </c>
      <c r="O1295">
        <f>VLOOKUP(B1295,Raw_Suppliers!$A$2:$G$101,7,FALSE)</f>
        <v>1</v>
      </c>
      <c r="P1295" t="str">
        <f t="shared" si="121"/>
        <v>Yes</v>
      </c>
      <c r="Q1295">
        <f t="shared" si="122"/>
        <v>0</v>
      </c>
      <c r="R1295" t="str">
        <f t="shared" si="123"/>
        <v>Late</v>
      </c>
      <c r="S1295">
        <f t="shared" si="124"/>
        <v>2024</v>
      </c>
      <c r="T1295">
        <f t="shared" si="125"/>
        <v>3</v>
      </c>
    </row>
    <row r="1296" spans="1:20" x14ac:dyDescent="0.25">
      <c r="A1296" t="s">
        <v>1603</v>
      </c>
      <c r="B1296" t="s">
        <v>472</v>
      </c>
      <c r="C1296" t="s">
        <v>562</v>
      </c>
      <c r="D1296" s="1">
        <v>44626</v>
      </c>
      <c r="E1296">
        <v>11</v>
      </c>
      <c r="F1296">
        <v>68.180413214725704</v>
      </c>
      <c r="G1296" s="1">
        <v>44645</v>
      </c>
      <c r="H1296" s="1">
        <v>44643</v>
      </c>
      <c r="I1296">
        <v>749.98454536198199</v>
      </c>
      <c r="J1296">
        <f t="shared" si="120"/>
        <v>-2</v>
      </c>
      <c r="K1296" t="str">
        <f>VLOOKUP(B1296,Raw_Suppliers!$A$2:$G$101,2,FALSE)</f>
        <v>Pioneer Alpha Corp</v>
      </c>
      <c r="L1296" t="str">
        <f>VLOOKUP(B1296,Raw_Suppliers!$A$2:$G$101,3,FALSE)</f>
        <v>Canada</v>
      </c>
      <c r="M1296" t="str">
        <f>VLOOKUP(B1296,Raw_Suppliers!$A$2:$G$101,4,FALSE)</f>
        <v>North</v>
      </c>
      <c r="N1296" t="str">
        <f>VLOOKUP(B1296,Raw_Suppliers!$A$2:$G$101,6,FALSE)</f>
        <v>None</v>
      </c>
      <c r="O1296">
        <f>VLOOKUP(B1296,Raw_Suppliers!$A$2:$G$101,7,FALSE)</f>
        <v>1</v>
      </c>
      <c r="P1296" t="str">
        <f t="shared" si="121"/>
        <v>Yes</v>
      </c>
      <c r="Q1296">
        <f t="shared" si="122"/>
        <v>1</v>
      </c>
      <c r="R1296" t="str">
        <f t="shared" si="123"/>
        <v>On Time</v>
      </c>
      <c r="S1296">
        <f t="shared" si="124"/>
        <v>2022</v>
      </c>
      <c r="T1296">
        <f t="shared" si="125"/>
        <v>3</v>
      </c>
    </row>
    <row r="1297" spans="1:20" x14ac:dyDescent="0.25">
      <c r="A1297" t="s">
        <v>1604</v>
      </c>
      <c r="B1297" t="s">
        <v>194</v>
      </c>
      <c r="C1297" t="s">
        <v>477</v>
      </c>
      <c r="D1297" s="1">
        <v>44573</v>
      </c>
      <c r="E1297">
        <v>9</v>
      </c>
      <c r="F1297">
        <v>78.977207314706106</v>
      </c>
      <c r="G1297" s="1">
        <v>44586</v>
      </c>
      <c r="H1297" s="1">
        <v>44589</v>
      </c>
      <c r="I1297">
        <v>710.79486583235496</v>
      </c>
      <c r="J1297">
        <f t="shared" si="120"/>
        <v>3</v>
      </c>
      <c r="K1297" t="str">
        <f>VLOOKUP(B1297,Raw_Suppliers!$A$2:$G$101,2,FALSE)</f>
        <v>Eco Pioneer Corp</v>
      </c>
      <c r="L1297" t="str">
        <f>VLOOKUP(B1297,Raw_Suppliers!$A$2:$G$101,3,FALSE)</f>
        <v>China</v>
      </c>
      <c r="M1297" t="str">
        <f>VLOOKUP(B1297,Raw_Suppliers!$A$2:$G$101,4,FALSE)</f>
        <v>East</v>
      </c>
      <c r="N1297" t="str">
        <f>VLOOKUP(B1297,Raw_Suppliers!$A$2:$G$101,6,FALSE)</f>
        <v>ISO 14001</v>
      </c>
      <c r="O1297">
        <f>VLOOKUP(B1297,Raw_Suppliers!$A$2:$G$101,7,FALSE)</f>
        <v>1</v>
      </c>
      <c r="P1297" t="str">
        <f t="shared" si="121"/>
        <v>Yes</v>
      </c>
      <c r="Q1297">
        <f t="shared" si="122"/>
        <v>0</v>
      </c>
      <c r="R1297" t="str">
        <f t="shared" si="123"/>
        <v>Late</v>
      </c>
      <c r="S1297">
        <f t="shared" si="124"/>
        <v>2022</v>
      </c>
      <c r="T1297">
        <f t="shared" si="125"/>
        <v>1</v>
      </c>
    </row>
    <row r="1298" spans="1:20" x14ac:dyDescent="0.25">
      <c r="A1298" t="s">
        <v>1605</v>
      </c>
      <c r="B1298" t="s">
        <v>73</v>
      </c>
      <c r="C1298" t="s">
        <v>274</v>
      </c>
      <c r="D1298" s="1">
        <v>45278</v>
      </c>
      <c r="E1298">
        <v>18</v>
      </c>
      <c r="F1298">
        <v>74.609030713256402</v>
      </c>
      <c r="G1298" s="1">
        <v>45298</v>
      </c>
      <c r="H1298" s="1">
        <v>45304</v>
      </c>
      <c r="I1298">
        <v>1342.96255283861</v>
      </c>
      <c r="J1298">
        <f t="shared" si="120"/>
        <v>6</v>
      </c>
      <c r="K1298" t="str">
        <f>VLOOKUP(B1298,Raw_Suppliers!$A$2:$G$101,2,FALSE)</f>
        <v>Gamma Quantum LLC</v>
      </c>
      <c r="L1298" t="str">
        <f>VLOOKUP(B1298,Raw_Suppliers!$A$2:$G$101,3,FALSE)</f>
        <v>Germany</v>
      </c>
      <c r="M1298" t="str">
        <f>VLOOKUP(B1298,Raw_Suppliers!$A$2:$G$101,4,FALSE)</f>
        <v>Central</v>
      </c>
      <c r="N1298" t="str">
        <f>VLOOKUP(B1298,Raw_Suppliers!$A$2:$G$101,6,FALSE)</f>
        <v>ISO 9001</v>
      </c>
      <c r="O1298">
        <f>VLOOKUP(B1298,Raw_Suppliers!$A$2:$G$101,7,FALSE)</f>
        <v>1</v>
      </c>
      <c r="P1298" t="str">
        <f t="shared" si="121"/>
        <v>Yes</v>
      </c>
      <c r="Q1298">
        <f t="shared" si="122"/>
        <v>0</v>
      </c>
      <c r="R1298" t="str">
        <f t="shared" si="123"/>
        <v>Late</v>
      </c>
      <c r="S1298">
        <f t="shared" si="124"/>
        <v>2023</v>
      </c>
      <c r="T1298">
        <f t="shared" si="125"/>
        <v>12</v>
      </c>
    </row>
    <row r="1299" spans="1:20" x14ac:dyDescent="0.25">
      <c r="A1299" t="s">
        <v>1606</v>
      </c>
      <c r="B1299" t="s">
        <v>359</v>
      </c>
      <c r="C1299" t="s">
        <v>136</v>
      </c>
      <c r="D1299" s="1">
        <v>44891</v>
      </c>
      <c r="E1299">
        <v>10</v>
      </c>
      <c r="F1299">
        <v>62.374985636378497</v>
      </c>
      <c r="G1299" s="1">
        <v>44915</v>
      </c>
      <c r="H1299" s="1">
        <v>44916</v>
      </c>
      <c r="I1299">
        <v>623.74985636378506</v>
      </c>
      <c r="J1299">
        <f t="shared" si="120"/>
        <v>1</v>
      </c>
      <c r="K1299" t="str">
        <f>VLOOKUP(B1299,Raw_Suppliers!$A$2:$G$101,2,FALSE)</f>
        <v>Alpha Alpha Corp</v>
      </c>
      <c r="L1299" t="str">
        <f>VLOOKUP(B1299,Raw_Suppliers!$A$2:$G$101,3,FALSE)</f>
        <v>India</v>
      </c>
      <c r="M1299" t="str">
        <f>VLOOKUP(B1299,Raw_Suppliers!$A$2:$G$101,4,FALSE)</f>
        <v>North</v>
      </c>
      <c r="N1299" t="str">
        <f>VLOOKUP(B1299,Raw_Suppliers!$A$2:$G$101,6,FALSE)</f>
        <v>ISO 9001</v>
      </c>
      <c r="O1299">
        <f>VLOOKUP(B1299,Raw_Suppliers!$A$2:$G$101,7,FALSE)</f>
        <v>1</v>
      </c>
      <c r="P1299" t="str">
        <f t="shared" si="121"/>
        <v>Yes</v>
      </c>
      <c r="Q1299">
        <f t="shared" si="122"/>
        <v>0</v>
      </c>
      <c r="R1299" t="str">
        <f t="shared" si="123"/>
        <v>Late</v>
      </c>
      <c r="S1299">
        <f t="shared" si="124"/>
        <v>2022</v>
      </c>
      <c r="T1299">
        <f t="shared" si="125"/>
        <v>11</v>
      </c>
    </row>
    <row r="1300" spans="1:20" x14ac:dyDescent="0.25">
      <c r="A1300" t="s">
        <v>1607</v>
      </c>
      <c r="B1300" t="s">
        <v>127</v>
      </c>
      <c r="C1300" t="s">
        <v>222</v>
      </c>
      <c r="D1300" s="1">
        <v>44342</v>
      </c>
      <c r="E1300">
        <v>9</v>
      </c>
      <c r="F1300">
        <v>45.352443504023697</v>
      </c>
      <c r="G1300" s="1">
        <v>44354</v>
      </c>
      <c r="H1300" s="1">
        <v>44353</v>
      </c>
      <c r="I1300">
        <v>408.171991536213</v>
      </c>
      <c r="J1300">
        <f t="shared" si="120"/>
        <v>-1</v>
      </c>
      <c r="K1300" t="str">
        <f>VLOOKUP(B1300,Raw_Suppliers!$A$2:$G$101,2,FALSE)</f>
        <v>Eco Gamma LLC</v>
      </c>
      <c r="L1300" t="str">
        <f>VLOOKUP(B1300,Raw_Suppliers!$A$2:$G$101,3,FALSE)</f>
        <v>Canada</v>
      </c>
      <c r="M1300" t="str">
        <f>VLOOKUP(B1300,Raw_Suppliers!$A$2:$G$101,4,FALSE)</f>
        <v>West</v>
      </c>
      <c r="N1300" t="str">
        <f>VLOOKUP(B1300,Raw_Suppliers!$A$2:$G$101,6,FALSE)</f>
        <v>ISO 9001</v>
      </c>
      <c r="O1300">
        <f>VLOOKUP(B1300,Raw_Suppliers!$A$2:$G$101,7,FALSE)</f>
        <v>1</v>
      </c>
      <c r="P1300" t="str">
        <f t="shared" si="121"/>
        <v>Yes</v>
      </c>
      <c r="Q1300">
        <f t="shared" si="122"/>
        <v>1</v>
      </c>
      <c r="R1300" t="str">
        <f t="shared" si="123"/>
        <v>On Time</v>
      </c>
      <c r="S1300">
        <f t="shared" si="124"/>
        <v>2021</v>
      </c>
      <c r="T1300">
        <f t="shared" si="125"/>
        <v>5</v>
      </c>
    </row>
    <row r="1301" spans="1:20" x14ac:dyDescent="0.25">
      <c r="A1301" t="s">
        <v>1608</v>
      </c>
      <c r="B1301" t="s">
        <v>154</v>
      </c>
      <c r="C1301" t="s">
        <v>56</v>
      </c>
      <c r="D1301" s="1">
        <v>44754</v>
      </c>
      <c r="E1301">
        <v>12</v>
      </c>
      <c r="F1301">
        <v>66.420680665821294</v>
      </c>
      <c r="G1301" s="1">
        <v>44770</v>
      </c>
      <c r="H1301" s="1">
        <v>44776</v>
      </c>
      <c r="I1301">
        <v>797.04816798985496</v>
      </c>
      <c r="J1301">
        <f t="shared" si="120"/>
        <v>6</v>
      </c>
      <c r="K1301" t="str">
        <f>VLOOKUP(B1301,Raw_Suppliers!$A$2:$G$101,2,FALSE)</f>
        <v>Apex Ultra Ltd</v>
      </c>
      <c r="L1301" t="str">
        <f>VLOOKUP(B1301,Raw_Suppliers!$A$2:$G$101,3,FALSE)</f>
        <v>Canada</v>
      </c>
      <c r="M1301" t="str">
        <f>VLOOKUP(B1301,Raw_Suppliers!$A$2:$G$101,4,FALSE)</f>
        <v>West</v>
      </c>
      <c r="N1301" t="str">
        <f>VLOOKUP(B1301,Raw_Suppliers!$A$2:$G$101,6,FALSE)</f>
        <v>None</v>
      </c>
      <c r="O1301">
        <f>VLOOKUP(B1301,Raw_Suppliers!$A$2:$G$101,7,FALSE)</f>
        <v>1</v>
      </c>
      <c r="P1301" t="str">
        <f t="shared" si="121"/>
        <v>Yes</v>
      </c>
      <c r="Q1301">
        <f t="shared" si="122"/>
        <v>0</v>
      </c>
      <c r="R1301" t="str">
        <f t="shared" si="123"/>
        <v>Late</v>
      </c>
      <c r="S1301">
        <f t="shared" si="124"/>
        <v>2022</v>
      </c>
      <c r="T1301">
        <f t="shared" si="125"/>
        <v>7</v>
      </c>
    </row>
    <row r="1302" spans="1:20" x14ac:dyDescent="0.25">
      <c r="A1302" t="s">
        <v>1609</v>
      </c>
      <c r="B1302" t="s">
        <v>154</v>
      </c>
      <c r="C1302" t="s">
        <v>230</v>
      </c>
      <c r="D1302" s="1">
        <v>44692</v>
      </c>
      <c r="E1302">
        <v>15</v>
      </c>
      <c r="F1302">
        <v>20.576082397926399</v>
      </c>
      <c r="G1302" s="1">
        <v>44704</v>
      </c>
      <c r="H1302" s="1">
        <v>44701</v>
      </c>
      <c r="I1302">
        <v>308.64123596889698</v>
      </c>
      <c r="J1302">
        <f t="shared" si="120"/>
        <v>-3</v>
      </c>
      <c r="K1302" t="str">
        <f>VLOOKUP(B1302,Raw_Suppliers!$A$2:$G$101,2,FALSE)</f>
        <v>Apex Ultra Ltd</v>
      </c>
      <c r="L1302" t="str">
        <f>VLOOKUP(B1302,Raw_Suppliers!$A$2:$G$101,3,FALSE)</f>
        <v>Canada</v>
      </c>
      <c r="M1302" t="str">
        <f>VLOOKUP(B1302,Raw_Suppliers!$A$2:$G$101,4,FALSE)</f>
        <v>West</v>
      </c>
      <c r="N1302" t="str">
        <f>VLOOKUP(B1302,Raw_Suppliers!$A$2:$G$101,6,FALSE)</f>
        <v>None</v>
      </c>
      <c r="O1302">
        <f>VLOOKUP(B1302,Raw_Suppliers!$A$2:$G$101,7,FALSE)</f>
        <v>1</v>
      </c>
      <c r="P1302" t="str">
        <f t="shared" si="121"/>
        <v>Yes</v>
      </c>
      <c r="Q1302">
        <f t="shared" si="122"/>
        <v>1</v>
      </c>
      <c r="R1302" t="str">
        <f t="shared" si="123"/>
        <v>On Time</v>
      </c>
      <c r="S1302">
        <f t="shared" si="124"/>
        <v>2022</v>
      </c>
      <c r="T1302">
        <f t="shared" si="125"/>
        <v>5</v>
      </c>
    </row>
    <row r="1303" spans="1:20" x14ac:dyDescent="0.25">
      <c r="A1303" t="s">
        <v>1610</v>
      </c>
      <c r="B1303" t="s">
        <v>130</v>
      </c>
      <c r="C1303" t="s">
        <v>581</v>
      </c>
      <c r="D1303" s="1">
        <v>45021</v>
      </c>
      <c r="E1303">
        <v>9</v>
      </c>
      <c r="F1303">
        <v>52.651888654826998</v>
      </c>
      <c r="G1303" s="1">
        <v>45043</v>
      </c>
      <c r="H1303" s="1">
        <v>45042</v>
      </c>
      <c r="I1303">
        <v>473.866997893443</v>
      </c>
      <c r="J1303">
        <f t="shared" si="120"/>
        <v>-1</v>
      </c>
      <c r="K1303" t="str">
        <f>VLOOKUP(B1303,Raw_Suppliers!$A$2:$G$101,2,FALSE)</f>
        <v>Beta Gamma Corp</v>
      </c>
      <c r="L1303" t="str">
        <f>VLOOKUP(B1303,Raw_Suppliers!$A$2:$G$101,3,FALSE)</f>
        <v>USA</v>
      </c>
      <c r="M1303" t="str">
        <f>VLOOKUP(B1303,Raw_Suppliers!$A$2:$G$101,4,FALSE)</f>
        <v>West</v>
      </c>
      <c r="N1303" t="str">
        <f>VLOOKUP(B1303,Raw_Suppliers!$A$2:$G$101,6,FALSE)</f>
        <v>None</v>
      </c>
      <c r="O1303">
        <f>VLOOKUP(B1303,Raw_Suppliers!$A$2:$G$101,7,FALSE)</f>
        <v>0</v>
      </c>
      <c r="P1303" t="str">
        <f t="shared" si="121"/>
        <v>No</v>
      </c>
      <c r="Q1303">
        <f t="shared" si="122"/>
        <v>1</v>
      </c>
      <c r="R1303" t="str">
        <f t="shared" si="123"/>
        <v>On Time</v>
      </c>
      <c r="S1303">
        <f t="shared" si="124"/>
        <v>2023</v>
      </c>
      <c r="T1303">
        <f t="shared" si="125"/>
        <v>4</v>
      </c>
    </row>
    <row r="1304" spans="1:20" x14ac:dyDescent="0.25">
      <c r="A1304" t="s">
        <v>1611</v>
      </c>
      <c r="B1304" t="s">
        <v>326</v>
      </c>
      <c r="C1304" t="s">
        <v>581</v>
      </c>
      <c r="D1304" s="1">
        <v>44989</v>
      </c>
      <c r="E1304">
        <v>8</v>
      </c>
      <c r="F1304">
        <v>28.345787657490099</v>
      </c>
      <c r="G1304" s="1">
        <v>45001</v>
      </c>
      <c r="H1304" s="1">
        <v>44999</v>
      </c>
      <c r="I1304">
        <v>226.76630125992</v>
      </c>
      <c r="J1304">
        <f t="shared" si="120"/>
        <v>-2</v>
      </c>
      <c r="K1304" t="str">
        <f>VLOOKUP(B1304,Raw_Suppliers!$A$2:$G$101,2,FALSE)</f>
        <v>Ultra Fusion Corp</v>
      </c>
      <c r="L1304" t="str">
        <f>VLOOKUP(B1304,Raw_Suppliers!$A$2:$G$101,3,FALSE)</f>
        <v>Canada</v>
      </c>
      <c r="M1304" t="str">
        <f>VLOOKUP(B1304,Raw_Suppliers!$A$2:$G$101,4,FALSE)</f>
        <v>South</v>
      </c>
      <c r="N1304" t="str">
        <f>VLOOKUP(B1304,Raw_Suppliers!$A$2:$G$101,6,FALSE)</f>
        <v>None</v>
      </c>
      <c r="O1304">
        <f>VLOOKUP(B1304,Raw_Suppliers!$A$2:$G$101,7,FALSE)</f>
        <v>1</v>
      </c>
      <c r="P1304" t="str">
        <f t="shared" si="121"/>
        <v>Yes</v>
      </c>
      <c r="Q1304">
        <f t="shared" si="122"/>
        <v>1</v>
      </c>
      <c r="R1304" t="str">
        <f t="shared" si="123"/>
        <v>On Time</v>
      </c>
      <c r="S1304">
        <f t="shared" si="124"/>
        <v>2023</v>
      </c>
      <c r="T1304">
        <f t="shared" si="125"/>
        <v>3</v>
      </c>
    </row>
    <row r="1305" spans="1:20" x14ac:dyDescent="0.25">
      <c r="A1305" t="s">
        <v>1612</v>
      </c>
      <c r="B1305" t="s">
        <v>250</v>
      </c>
      <c r="C1305" t="s">
        <v>1259</v>
      </c>
      <c r="D1305" s="1">
        <v>44924</v>
      </c>
      <c r="E1305">
        <v>12</v>
      </c>
      <c r="F1305">
        <v>42.309645702595503</v>
      </c>
      <c r="G1305" s="1">
        <v>44944</v>
      </c>
      <c r="H1305" s="1">
        <v>44948</v>
      </c>
      <c r="I1305">
        <v>507.71574843114598</v>
      </c>
      <c r="J1305">
        <f t="shared" si="120"/>
        <v>4</v>
      </c>
      <c r="K1305" t="str">
        <f>VLOOKUP(B1305,Raw_Suppliers!$A$2:$G$101,2,FALSE)</f>
        <v>Fusion Fusion Inc</v>
      </c>
      <c r="L1305" t="str">
        <f>VLOOKUP(B1305,Raw_Suppliers!$A$2:$G$101,3,FALSE)</f>
        <v>India</v>
      </c>
      <c r="M1305" t="str">
        <f>VLOOKUP(B1305,Raw_Suppliers!$A$2:$G$101,4,FALSE)</f>
        <v>South</v>
      </c>
      <c r="N1305" t="str">
        <f>VLOOKUP(B1305,Raw_Suppliers!$A$2:$G$101,6,FALSE)</f>
        <v>ISO 9001</v>
      </c>
      <c r="O1305">
        <f>VLOOKUP(B1305,Raw_Suppliers!$A$2:$G$101,7,FALSE)</f>
        <v>0</v>
      </c>
      <c r="P1305" t="str">
        <f t="shared" si="121"/>
        <v>No</v>
      </c>
      <c r="Q1305">
        <f t="shared" si="122"/>
        <v>0</v>
      </c>
      <c r="R1305" t="str">
        <f t="shared" si="123"/>
        <v>Late</v>
      </c>
      <c r="S1305">
        <f t="shared" si="124"/>
        <v>2022</v>
      </c>
      <c r="T1305">
        <f t="shared" si="125"/>
        <v>12</v>
      </c>
    </row>
    <row r="1306" spans="1:20" x14ac:dyDescent="0.25">
      <c r="A1306" t="s">
        <v>1613</v>
      </c>
      <c r="B1306" t="s">
        <v>237</v>
      </c>
      <c r="C1306" t="s">
        <v>540</v>
      </c>
      <c r="D1306" s="1">
        <v>45049</v>
      </c>
      <c r="E1306">
        <v>13</v>
      </c>
      <c r="F1306">
        <v>78.599575961147707</v>
      </c>
      <c r="G1306" s="1">
        <v>45066</v>
      </c>
      <c r="H1306" s="1">
        <v>45072</v>
      </c>
      <c r="I1306">
        <v>1021.79448749492</v>
      </c>
      <c r="J1306">
        <f t="shared" si="120"/>
        <v>6</v>
      </c>
      <c r="K1306" t="str">
        <f>VLOOKUP(B1306,Raw_Suppliers!$A$2:$G$101,2,FALSE)</f>
        <v>Eco Beta Inc</v>
      </c>
      <c r="L1306" t="str">
        <f>VLOOKUP(B1306,Raw_Suppliers!$A$2:$G$101,3,FALSE)</f>
        <v>Germany</v>
      </c>
      <c r="M1306" t="str">
        <f>VLOOKUP(B1306,Raw_Suppliers!$A$2:$G$101,4,FALSE)</f>
        <v>North</v>
      </c>
      <c r="N1306" t="str">
        <f>VLOOKUP(B1306,Raw_Suppliers!$A$2:$G$101,6,FALSE)</f>
        <v>ISO 14001</v>
      </c>
      <c r="O1306">
        <f>VLOOKUP(B1306,Raw_Suppliers!$A$2:$G$101,7,FALSE)</f>
        <v>0</v>
      </c>
      <c r="P1306" t="str">
        <f t="shared" si="121"/>
        <v>No</v>
      </c>
      <c r="Q1306">
        <f t="shared" si="122"/>
        <v>0</v>
      </c>
      <c r="R1306" t="str">
        <f t="shared" si="123"/>
        <v>Late</v>
      </c>
      <c r="S1306">
        <f t="shared" si="124"/>
        <v>2023</v>
      </c>
      <c r="T1306">
        <f t="shared" si="125"/>
        <v>5</v>
      </c>
    </row>
    <row r="1307" spans="1:20" x14ac:dyDescent="0.25">
      <c r="A1307" t="s">
        <v>1614</v>
      </c>
      <c r="B1307" t="s">
        <v>19</v>
      </c>
      <c r="C1307" t="s">
        <v>56</v>
      </c>
      <c r="D1307" s="1">
        <v>45107</v>
      </c>
      <c r="E1307">
        <v>18</v>
      </c>
      <c r="F1307">
        <v>7.7156397604386697</v>
      </c>
      <c r="G1307" s="1">
        <v>45125</v>
      </c>
      <c r="H1307" s="1">
        <v>45129</v>
      </c>
      <c r="I1307">
        <v>138.88151568789601</v>
      </c>
      <c r="J1307">
        <f t="shared" si="120"/>
        <v>4</v>
      </c>
      <c r="K1307" t="str">
        <f>VLOOKUP(B1307,Raw_Suppliers!$A$2:$G$101,2,FALSE)</f>
        <v>Nova Beta Corp</v>
      </c>
      <c r="L1307" t="str">
        <f>VLOOKUP(B1307,Raw_Suppliers!$A$2:$G$101,3,FALSE)</f>
        <v>Brazil</v>
      </c>
      <c r="M1307" t="str">
        <f>VLOOKUP(B1307,Raw_Suppliers!$A$2:$G$101,4,FALSE)</f>
        <v>South</v>
      </c>
      <c r="N1307" t="str">
        <f>VLOOKUP(B1307,Raw_Suppliers!$A$2:$G$101,6,FALSE)</f>
        <v>ISO 14001</v>
      </c>
      <c r="O1307">
        <f>VLOOKUP(B1307,Raw_Suppliers!$A$2:$G$101,7,FALSE)</f>
        <v>1</v>
      </c>
      <c r="P1307" t="str">
        <f t="shared" si="121"/>
        <v>Yes</v>
      </c>
      <c r="Q1307">
        <f t="shared" si="122"/>
        <v>0</v>
      </c>
      <c r="R1307" t="str">
        <f t="shared" si="123"/>
        <v>Late</v>
      </c>
      <c r="S1307">
        <f t="shared" si="124"/>
        <v>2023</v>
      </c>
      <c r="T1307">
        <f t="shared" si="125"/>
        <v>6</v>
      </c>
    </row>
    <row r="1308" spans="1:20" x14ac:dyDescent="0.25">
      <c r="A1308" t="s">
        <v>1615</v>
      </c>
      <c r="B1308" t="s">
        <v>321</v>
      </c>
      <c r="C1308" t="s">
        <v>453</v>
      </c>
      <c r="D1308" s="1">
        <v>45297</v>
      </c>
      <c r="E1308">
        <v>9</v>
      </c>
      <c r="F1308">
        <v>14.0035494180319</v>
      </c>
      <c r="G1308" s="1">
        <v>45310</v>
      </c>
      <c r="H1308" s="1">
        <v>45314</v>
      </c>
      <c r="I1308">
        <v>126.031944762287</v>
      </c>
      <c r="J1308">
        <f t="shared" si="120"/>
        <v>4</v>
      </c>
      <c r="K1308" t="str">
        <f>VLOOKUP(B1308,Raw_Suppliers!$A$2:$G$101,2,FALSE)</f>
        <v>Vertex Delta LLC</v>
      </c>
      <c r="L1308" t="str">
        <f>VLOOKUP(B1308,Raw_Suppliers!$A$2:$G$101,3,FALSE)</f>
        <v>India</v>
      </c>
      <c r="M1308" t="str">
        <f>VLOOKUP(B1308,Raw_Suppliers!$A$2:$G$101,4,FALSE)</f>
        <v>South</v>
      </c>
      <c r="N1308" t="str">
        <f>VLOOKUP(B1308,Raw_Suppliers!$A$2:$G$101,6,FALSE)</f>
        <v>ISO 45001</v>
      </c>
      <c r="O1308">
        <f>VLOOKUP(B1308,Raw_Suppliers!$A$2:$G$101,7,FALSE)</f>
        <v>0</v>
      </c>
      <c r="P1308" t="str">
        <f t="shared" si="121"/>
        <v>No</v>
      </c>
      <c r="Q1308">
        <f t="shared" si="122"/>
        <v>0</v>
      </c>
      <c r="R1308" t="str">
        <f t="shared" si="123"/>
        <v>Late</v>
      </c>
      <c r="S1308">
        <f t="shared" si="124"/>
        <v>2024</v>
      </c>
      <c r="T1308">
        <f t="shared" si="125"/>
        <v>1</v>
      </c>
    </row>
    <row r="1309" spans="1:20" x14ac:dyDescent="0.25">
      <c r="A1309" t="s">
        <v>1616</v>
      </c>
      <c r="B1309" t="s">
        <v>140</v>
      </c>
      <c r="C1309" t="s">
        <v>138</v>
      </c>
      <c r="D1309" s="1">
        <v>44512</v>
      </c>
      <c r="E1309">
        <v>9</v>
      </c>
      <c r="F1309">
        <v>62.317693127283299</v>
      </c>
      <c r="G1309" s="1">
        <v>44528</v>
      </c>
      <c r="H1309" s="1">
        <v>44532</v>
      </c>
      <c r="I1309">
        <v>560.85923814554997</v>
      </c>
      <c r="J1309">
        <f t="shared" si="120"/>
        <v>4</v>
      </c>
      <c r="K1309" t="str">
        <f>VLOOKUP(B1309,Raw_Suppliers!$A$2:$G$101,2,FALSE)</f>
        <v>Gamma Quantum Inc</v>
      </c>
      <c r="L1309" t="str">
        <f>VLOOKUP(B1309,Raw_Suppliers!$A$2:$G$101,3,FALSE)</f>
        <v>Germany</v>
      </c>
      <c r="M1309" t="str">
        <f>VLOOKUP(B1309,Raw_Suppliers!$A$2:$G$101,4,FALSE)</f>
        <v>North</v>
      </c>
      <c r="N1309" t="str">
        <f>VLOOKUP(B1309,Raw_Suppliers!$A$2:$G$101,6,FALSE)</f>
        <v>None</v>
      </c>
      <c r="O1309">
        <f>VLOOKUP(B1309,Raw_Suppliers!$A$2:$G$101,7,FALSE)</f>
        <v>1</v>
      </c>
      <c r="P1309" t="str">
        <f t="shared" si="121"/>
        <v>Yes</v>
      </c>
      <c r="Q1309">
        <f t="shared" si="122"/>
        <v>0</v>
      </c>
      <c r="R1309" t="str">
        <f t="shared" si="123"/>
        <v>Late</v>
      </c>
      <c r="S1309">
        <f t="shared" si="124"/>
        <v>2021</v>
      </c>
      <c r="T1309">
        <f t="shared" si="125"/>
        <v>11</v>
      </c>
    </row>
    <row r="1310" spans="1:20" x14ac:dyDescent="0.25">
      <c r="A1310" t="s">
        <v>1617</v>
      </c>
      <c r="B1310" t="s">
        <v>301</v>
      </c>
      <c r="C1310" t="s">
        <v>71</v>
      </c>
      <c r="D1310" s="1">
        <v>44720</v>
      </c>
      <c r="E1310">
        <v>10</v>
      </c>
      <c r="F1310">
        <v>38.719941251136902</v>
      </c>
      <c r="G1310" s="1">
        <v>44742</v>
      </c>
      <c r="H1310" s="1">
        <v>44742</v>
      </c>
      <c r="I1310">
        <v>387.19941251136902</v>
      </c>
      <c r="J1310">
        <f t="shared" si="120"/>
        <v>0</v>
      </c>
      <c r="K1310" t="str">
        <f>VLOOKUP(B1310,Raw_Suppliers!$A$2:$G$101,2,FALSE)</f>
        <v>Beta Eco Inc</v>
      </c>
      <c r="L1310" t="str">
        <f>VLOOKUP(B1310,Raw_Suppliers!$A$2:$G$101,3,FALSE)</f>
        <v>Denmark</v>
      </c>
      <c r="M1310" t="str">
        <f>VLOOKUP(B1310,Raw_Suppliers!$A$2:$G$101,4,FALSE)</f>
        <v>South</v>
      </c>
      <c r="N1310" t="str">
        <f>VLOOKUP(B1310,Raw_Suppliers!$A$2:$G$101,6,FALSE)</f>
        <v>ISO 14001</v>
      </c>
      <c r="O1310">
        <f>VLOOKUP(B1310,Raw_Suppliers!$A$2:$G$101,7,FALSE)</f>
        <v>1</v>
      </c>
      <c r="P1310" t="str">
        <f t="shared" si="121"/>
        <v>Yes</v>
      </c>
      <c r="Q1310">
        <f t="shared" si="122"/>
        <v>1</v>
      </c>
      <c r="R1310" t="str">
        <f t="shared" si="123"/>
        <v>On Time</v>
      </c>
      <c r="S1310">
        <f t="shared" si="124"/>
        <v>2022</v>
      </c>
      <c r="T1310">
        <f t="shared" si="125"/>
        <v>6</v>
      </c>
    </row>
    <row r="1311" spans="1:20" x14ac:dyDescent="0.25">
      <c r="A1311" t="s">
        <v>1618</v>
      </c>
      <c r="B1311" t="s">
        <v>13</v>
      </c>
      <c r="C1311" t="s">
        <v>418</v>
      </c>
      <c r="D1311" s="1">
        <v>44691</v>
      </c>
      <c r="E1311">
        <v>16</v>
      </c>
      <c r="F1311">
        <v>27.0081492753073</v>
      </c>
      <c r="G1311" s="1">
        <v>44706</v>
      </c>
      <c r="H1311" s="1">
        <v>44707</v>
      </c>
      <c r="I1311">
        <v>432.13038840491703</v>
      </c>
      <c r="J1311">
        <f t="shared" si="120"/>
        <v>1</v>
      </c>
      <c r="K1311" t="str">
        <f>VLOOKUP(B1311,Raw_Suppliers!$A$2:$G$101,2,FALSE)</f>
        <v>Beta Delta LLC</v>
      </c>
      <c r="L1311" t="str">
        <f>VLOOKUP(B1311,Raw_Suppliers!$A$2:$G$101,3,FALSE)</f>
        <v>Germany</v>
      </c>
      <c r="M1311" t="str">
        <f>VLOOKUP(B1311,Raw_Suppliers!$A$2:$G$101,4,FALSE)</f>
        <v>Central</v>
      </c>
      <c r="N1311" t="str">
        <f>VLOOKUP(B1311,Raw_Suppliers!$A$2:$G$101,6,FALSE)</f>
        <v>ISO 9001</v>
      </c>
      <c r="O1311">
        <f>VLOOKUP(B1311,Raw_Suppliers!$A$2:$G$101,7,FALSE)</f>
        <v>1</v>
      </c>
      <c r="P1311" t="str">
        <f t="shared" si="121"/>
        <v>Yes</v>
      </c>
      <c r="Q1311">
        <f t="shared" si="122"/>
        <v>0</v>
      </c>
      <c r="R1311" t="str">
        <f t="shared" si="123"/>
        <v>Late</v>
      </c>
      <c r="S1311">
        <f t="shared" si="124"/>
        <v>2022</v>
      </c>
      <c r="T1311">
        <f t="shared" si="125"/>
        <v>5</v>
      </c>
    </row>
    <row r="1312" spans="1:20" x14ac:dyDescent="0.25">
      <c r="A1312" t="s">
        <v>1619</v>
      </c>
      <c r="B1312" t="s">
        <v>13</v>
      </c>
      <c r="C1312" t="s">
        <v>170</v>
      </c>
      <c r="D1312" s="1">
        <v>44716</v>
      </c>
      <c r="E1312">
        <v>10</v>
      </c>
      <c r="F1312">
        <v>71.996588052412605</v>
      </c>
      <c r="G1312" s="1">
        <v>44740</v>
      </c>
      <c r="H1312" s="1">
        <v>44742</v>
      </c>
      <c r="I1312">
        <v>719.96588052412596</v>
      </c>
      <c r="J1312">
        <f t="shared" si="120"/>
        <v>2</v>
      </c>
      <c r="K1312" t="str">
        <f>VLOOKUP(B1312,Raw_Suppliers!$A$2:$G$101,2,FALSE)</f>
        <v>Beta Delta LLC</v>
      </c>
      <c r="L1312" t="str">
        <f>VLOOKUP(B1312,Raw_Suppliers!$A$2:$G$101,3,FALSE)</f>
        <v>Germany</v>
      </c>
      <c r="M1312" t="str">
        <f>VLOOKUP(B1312,Raw_Suppliers!$A$2:$G$101,4,FALSE)</f>
        <v>Central</v>
      </c>
      <c r="N1312" t="str">
        <f>VLOOKUP(B1312,Raw_Suppliers!$A$2:$G$101,6,FALSE)</f>
        <v>ISO 9001</v>
      </c>
      <c r="O1312">
        <f>VLOOKUP(B1312,Raw_Suppliers!$A$2:$G$101,7,FALSE)</f>
        <v>1</v>
      </c>
      <c r="P1312" t="str">
        <f t="shared" si="121"/>
        <v>Yes</v>
      </c>
      <c r="Q1312">
        <f t="shared" si="122"/>
        <v>0</v>
      </c>
      <c r="R1312" t="str">
        <f t="shared" si="123"/>
        <v>Late</v>
      </c>
      <c r="S1312">
        <f t="shared" si="124"/>
        <v>2022</v>
      </c>
      <c r="T1312">
        <f t="shared" si="125"/>
        <v>6</v>
      </c>
    </row>
    <row r="1313" spans="1:20" x14ac:dyDescent="0.25">
      <c r="A1313" t="s">
        <v>1620</v>
      </c>
      <c r="B1313" t="s">
        <v>219</v>
      </c>
      <c r="C1313" t="s">
        <v>259</v>
      </c>
      <c r="D1313" s="1">
        <v>44551</v>
      </c>
      <c r="E1313">
        <v>13</v>
      </c>
      <c r="F1313">
        <v>6.8199995975249497</v>
      </c>
      <c r="G1313" s="1">
        <v>44571</v>
      </c>
      <c r="H1313" s="1">
        <v>44572</v>
      </c>
      <c r="I1313">
        <v>88.659994767824401</v>
      </c>
      <c r="J1313">
        <f t="shared" si="120"/>
        <v>1</v>
      </c>
      <c r="K1313" t="str">
        <f>VLOOKUP(B1313,Raw_Suppliers!$A$2:$G$101,2,FALSE)</f>
        <v>Quantum Quantum Ltd</v>
      </c>
      <c r="L1313" t="str">
        <f>VLOOKUP(B1313,Raw_Suppliers!$A$2:$G$101,3,FALSE)</f>
        <v>USA</v>
      </c>
      <c r="M1313" t="str">
        <f>VLOOKUP(B1313,Raw_Suppliers!$A$2:$G$101,4,FALSE)</f>
        <v>South</v>
      </c>
      <c r="N1313" t="str">
        <f>VLOOKUP(B1313,Raw_Suppliers!$A$2:$G$101,6,FALSE)</f>
        <v>ISO 14001</v>
      </c>
      <c r="O1313">
        <f>VLOOKUP(B1313,Raw_Suppliers!$A$2:$G$101,7,FALSE)</f>
        <v>0</v>
      </c>
      <c r="P1313" t="str">
        <f t="shared" si="121"/>
        <v>No</v>
      </c>
      <c r="Q1313">
        <f t="shared" si="122"/>
        <v>0</v>
      </c>
      <c r="R1313" t="str">
        <f t="shared" si="123"/>
        <v>Late</v>
      </c>
      <c r="S1313">
        <f t="shared" si="124"/>
        <v>2021</v>
      </c>
      <c r="T1313">
        <f t="shared" si="125"/>
        <v>12</v>
      </c>
    </row>
    <row r="1314" spans="1:20" x14ac:dyDescent="0.25">
      <c r="A1314" t="s">
        <v>1621</v>
      </c>
      <c r="B1314" t="s">
        <v>475</v>
      </c>
      <c r="C1314" t="s">
        <v>380</v>
      </c>
      <c r="D1314" s="1">
        <v>44787</v>
      </c>
      <c r="E1314">
        <v>7</v>
      </c>
      <c r="F1314">
        <v>73.351775725083698</v>
      </c>
      <c r="G1314" s="1">
        <v>44799</v>
      </c>
      <c r="H1314" s="1">
        <v>44802</v>
      </c>
      <c r="I1314">
        <v>513.46243007558598</v>
      </c>
      <c r="J1314">
        <f t="shared" si="120"/>
        <v>3</v>
      </c>
      <c r="K1314" t="str">
        <f>VLOOKUP(B1314,Raw_Suppliers!$A$2:$G$101,2,FALSE)</f>
        <v>Ultra Delta LLC</v>
      </c>
      <c r="L1314" t="str">
        <f>VLOOKUP(B1314,Raw_Suppliers!$A$2:$G$101,3,FALSE)</f>
        <v>UK</v>
      </c>
      <c r="M1314" t="str">
        <f>VLOOKUP(B1314,Raw_Suppliers!$A$2:$G$101,4,FALSE)</f>
        <v>North</v>
      </c>
      <c r="N1314" t="str">
        <f>VLOOKUP(B1314,Raw_Suppliers!$A$2:$G$101,6,FALSE)</f>
        <v>None</v>
      </c>
      <c r="O1314">
        <f>VLOOKUP(B1314,Raw_Suppliers!$A$2:$G$101,7,FALSE)</f>
        <v>1</v>
      </c>
      <c r="P1314" t="str">
        <f t="shared" si="121"/>
        <v>Yes</v>
      </c>
      <c r="Q1314">
        <f t="shared" si="122"/>
        <v>0</v>
      </c>
      <c r="R1314" t="str">
        <f t="shared" si="123"/>
        <v>Late</v>
      </c>
      <c r="S1314">
        <f t="shared" si="124"/>
        <v>2022</v>
      </c>
      <c r="T1314">
        <f t="shared" si="125"/>
        <v>8</v>
      </c>
    </row>
    <row r="1315" spans="1:20" x14ac:dyDescent="0.25">
      <c r="A1315" t="s">
        <v>1622</v>
      </c>
      <c r="B1315" t="s">
        <v>556</v>
      </c>
      <c r="C1315" t="s">
        <v>184</v>
      </c>
      <c r="D1315" s="1">
        <v>44824</v>
      </c>
      <c r="E1315">
        <v>13</v>
      </c>
      <c r="F1315">
        <v>54.878470507975798</v>
      </c>
      <c r="G1315" s="1">
        <v>44837</v>
      </c>
      <c r="H1315" s="1">
        <v>44841</v>
      </c>
      <c r="I1315">
        <v>713.42011660368496</v>
      </c>
      <c r="J1315">
        <f t="shared" si="120"/>
        <v>4</v>
      </c>
      <c r="K1315" t="str">
        <f>VLOOKUP(B1315,Raw_Suppliers!$A$2:$G$101,2,FALSE)</f>
        <v>Ultra Delta Ltd</v>
      </c>
      <c r="L1315" t="str">
        <f>VLOOKUP(B1315,Raw_Suppliers!$A$2:$G$101,3,FALSE)</f>
        <v>China</v>
      </c>
      <c r="M1315" t="str">
        <f>VLOOKUP(B1315,Raw_Suppliers!$A$2:$G$101,4,FALSE)</f>
        <v>Central</v>
      </c>
      <c r="N1315" t="str">
        <f>VLOOKUP(B1315,Raw_Suppliers!$A$2:$G$101,6,FALSE)</f>
        <v>ISO 45001</v>
      </c>
      <c r="O1315">
        <f>VLOOKUP(B1315,Raw_Suppliers!$A$2:$G$101,7,FALSE)</f>
        <v>0</v>
      </c>
      <c r="P1315" t="str">
        <f t="shared" si="121"/>
        <v>No</v>
      </c>
      <c r="Q1315">
        <f t="shared" si="122"/>
        <v>0</v>
      </c>
      <c r="R1315" t="str">
        <f t="shared" si="123"/>
        <v>Late</v>
      </c>
      <c r="S1315">
        <f t="shared" si="124"/>
        <v>2022</v>
      </c>
      <c r="T1315">
        <f t="shared" si="125"/>
        <v>9</v>
      </c>
    </row>
    <row r="1316" spans="1:20" x14ac:dyDescent="0.25">
      <c r="A1316" t="s">
        <v>1623</v>
      </c>
      <c r="B1316" t="s">
        <v>237</v>
      </c>
      <c r="C1316" t="s">
        <v>105</v>
      </c>
      <c r="D1316" s="1">
        <v>44390</v>
      </c>
      <c r="E1316">
        <v>11</v>
      </c>
      <c r="F1316">
        <v>36.137102027521699</v>
      </c>
      <c r="G1316" s="1">
        <v>44408</v>
      </c>
      <c r="H1316" s="1">
        <v>44411</v>
      </c>
      <c r="I1316">
        <v>397.50812230273903</v>
      </c>
      <c r="J1316">
        <f t="shared" si="120"/>
        <v>3</v>
      </c>
      <c r="K1316" t="str">
        <f>VLOOKUP(B1316,Raw_Suppliers!$A$2:$G$101,2,FALSE)</f>
        <v>Eco Beta Inc</v>
      </c>
      <c r="L1316" t="str">
        <f>VLOOKUP(B1316,Raw_Suppliers!$A$2:$G$101,3,FALSE)</f>
        <v>Germany</v>
      </c>
      <c r="M1316" t="str">
        <f>VLOOKUP(B1316,Raw_Suppliers!$A$2:$G$101,4,FALSE)</f>
        <v>North</v>
      </c>
      <c r="N1316" t="str">
        <f>VLOOKUP(B1316,Raw_Suppliers!$A$2:$G$101,6,FALSE)</f>
        <v>ISO 14001</v>
      </c>
      <c r="O1316">
        <f>VLOOKUP(B1316,Raw_Suppliers!$A$2:$G$101,7,FALSE)</f>
        <v>0</v>
      </c>
      <c r="P1316" t="str">
        <f t="shared" si="121"/>
        <v>No</v>
      </c>
      <c r="Q1316">
        <f t="shared" si="122"/>
        <v>0</v>
      </c>
      <c r="R1316" t="str">
        <f t="shared" si="123"/>
        <v>Late</v>
      </c>
      <c r="S1316">
        <f t="shared" si="124"/>
        <v>2021</v>
      </c>
      <c r="T1316">
        <f t="shared" si="125"/>
        <v>7</v>
      </c>
    </row>
    <row r="1317" spans="1:20" x14ac:dyDescent="0.25">
      <c r="A1317" t="s">
        <v>1624</v>
      </c>
      <c r="B1317" t="s">
        <v>52</v>
      </c>
      <c r="C1317" t="s">
        <v>328</v>
      </c>
      <c r="D1317" s="1">
        <v>45064</v>
      </c>
      <c r="E1317">
        <v>10</v>
      </c>
      <c r="F1317">
        <v>15.055422141307901</v>
      </c>
      <c r="G1317" s="1">
        <v>45082</v>
      </c>
      <c r="H1317" s="1">
        <v>45088</v>
      </c>
      <c r="I1317">
        <v>150.55422141307901</v>
      </c>
      <c r="J1317">
        <f t="shared" si="120"/>
        <v>6</v>
      </c>
      <c r="K1317" t="str">
        <f>VLOOKUP(B1317,Raw_Suppliers!$A$2:$G$101,2,FALSE)</f>
        <v>Beta Nano Corp</v>
      </c>
      <c r="L1317" t="str">
        <f>VLOOKUP(B1317,Raw_Suppliers!$A$2:$G$101,3,FALSE)</f>
        <v>UK</v>
      </c>
      <c r="M1317" t="str">
        <f>VLOOKUP(B1317,Raw_Suppliers!$A$2:$G$101,4,FALSE)</f>
        <v>Central</v>
      </c>
      <c r="N1317" t="str">
        <f>VLOOKUP(B1317,Raw_Suppliers!$A$2:$G$101,6,FALSE)</f>
        <v>ISO 45001</v>
      </c>
      <c r="O1317">
        <f>VLOOKUP(B1317,Raw_Suppliers!$A$2:$G$101,7,FALSE)</f>
        <v>0</v>
      </c>
      <c r="P1317" t="str">
        <f t="shared" si="121"/>
        <v>No</v>
      </c>
      <c r="Q1317">
        <f t="shared" si="122"/>
        <v>0</v>
      </c>
      <c r="R1317" t="str">
        <f t="shared" si="123"/>
        <v>Late</v>
      </c>
      <c r="S1317">
        <f t="shared" si="124"/>
        <v>2023</v>
      </c>
      <c r="T1317">
        <f t="shared" si="125"/>
        <v>5</v>
      </c>
    </row>
    <row r="1318" spans="1:20" x14ac:dyDescent="0.25">
      <c r="A1318" t="s">
        <v>1625</v>
      </c>
      <c r="B1318" t="s">
        <v>203</v>
      </c>
      <c r="C1318" t="s">
        <v>302</v>
      </c>
      <c r="D1318" s="1">
        <v>44212</v>
      </c>
      <c r="E1318">
        <v>9</v>
      </c>
      <c r="F1318">
        <v>28.3527844896206</v>
      </c>
      <c r="G1318" s="1">
        <v>44235</v>
      </c>
      <c r="H1318" s="1">
        <v>44241</v>
      </c>
      <c r="I1318">
        <v>255.175060406585</v>
      </c>
      <c r="J1318">
        <f t="shared" si="120"/>
        <v>6</v>
      </c>
      <c r="K1318" t="str">
        <f>VLOOKUP(B1318,Raw_Suppliers!$A$2:$G$101,2,FALSE)</f>
        <v>Nova Eco LLC</v>
      </c>
      <c r="L1318" t="str">
        <f>VLOOKUP(B1318,Raw_Suppliers!$A$2:$G$101,3,FALSE)</f>
        <v>Denmark</v>
      </c>
      <c r="M1318" t="str">
        <f>VLOOKUP(B1318,Raw_Suppliers!$A$2:$G$101,4,FALSE)</f>
        <v>South</v>
      </c>
      <c r="N1318" t="str">
        <f>VLOOKUP(B1318,Raw_Suppliers!$A$2:$G$101,6,FALSE)</f>
        <v>ISO 14001</v>
      </c>
      <c r="O1318">
        <f>VLOOKUP(B1318,Raw_Suppliers!$A$2:$G$101,7,FALSE)</f>
        <v>0</v>
      </c>
      <c r="P1318" t="str">
        <f t="shared" si="121"/>
        <v>No</v>
      </c>
      <c r="Q1318">
        <f t="shared" si="122"/>
        <v>0</v>
      </c>
      <c r="R1318" t="str">
        <f t="shared" si="123"/>
        <v>Late</v>
      </c>
      <c r="S1318">
        <f t="shared" si="124"/>
        <v>2021</v>
      </c>
      <c r="T1318">
        <f t="shared" si="125"/>
        <v>1</v>
      </c>
    </row>
    <row r="1319" spans="1:20" x14ac:dyDescent="0.25">
      <c r="A1319" t="s">
        <v>1626</v>
      </c>
      <c r="B1319" t="s">
        <v>288</v>
      </c>
      <c r="C1319" t="s">
        <v>136</v>
      </c>
      <c r="D1319" s="1">
        <v>44638</v>
      </c>
      <c r="E1319">
        <v>9</v>
      </c>
      <c r="F1319">
        <v>62.445008554635002</v>
      </c>
      <c r="G1319" s="1">
        <v>44650</v>
      </c>
      <c r="H1319" s="1">
        <v>44650</v>
      </c>
      <c r="I1319">
        <v>562.00507699171499</v>
      </c>
      <c r="J1319">
        <f t="shared" si="120"/>
        <v>0</v>
      </c>
      <c r="K1319" t="str">
        <f>VLOOKUP(B1319,Raw_Suppliers!$A$2:$G$101,2,FALSE)</f>
        <v>Alpha Beta LLC</v>
      </c>
      <c r="L1319" t="str">
        <f>VLOOKUP(B1319,Raw_Suppliers!$A$2:$G$101,3,FALSE)</f>
        <v>India</v>
      </c>
      <c r="M1319" t="str">
        <f>VLOOKUP(B1319,Raw_Suppliers!$A$2:$G$101,4,FALSE)</f>
        <v>West</v>
      </c>
      <c r="N1319" t="str">
        <f>VLOOKUP(B1319,Raw_Suppliers!$A$2:$G$101,6,FALSE)</f>
        <v>ISO 45001</v>
      </c>
      <c r="O1319">
        <f>VLOOKUP(B1319,Raw_Suppliers!$A$2:$G$101,7,FALSE)</f>
        <v>0</v>
      </c>
      <c r="P1319" t="str">
        <f t="shared" si="121"/>
        <v>No</v>
      </c>
      <c r="Q1319">
        <f t="shared" si="122"/>
        <v>1</v>
      </c>
      <c r="R1319" t="str">
        <f t="shared" si="123"/>
        <v>On Time</v>
      </c>
      <c r="S1319">
        <f t="shared" si="124"/>
        <v>2022</v>
      </c>
      <c r="T1319">
        <f t="shared" si="125"/>
        <v>3</v>
      </c>
    </row>
    <row r="1320" spans="1:20" x14ac:dyDescent="0.25">
      <c r="A1320" t="s">
        <v>1627</v>
      </c>
      <c r="B1320" t="s">
        <v>160</v>
      </c>
      <c r="C1320" t="s">
        <v>44</v>
      </c>
      <c r="D1320" s="1">
        <v>44625</v>
      </c>
      <c r="E1320">
        <v>14</v>
      </c>
      <c r="F1320">
        <v>28.005590621128999</v>
      </c>
      <c r="G1320" s="1">
        <v>44637</v>
      </c>
      <c r="H1320" s="1">
        <v>44642</v>
      </c>
      <c r="I1320">
        <v>392.07826869580703</v>
      </c>
      <c r="J1320">
        <f t="shared" si="120"/>
        <v>5</v>
      </c>
      <c r="K1320" t="str">
        <f>VLOOKUP(B1320,Raw_Suppliers!$A$2:$G$101,2,FALSE)</f>
        <v>Omega Beta Corp</v>
      </c>
      <c r="L1320" t="str">
        <f>VLOOKUP(B1320,Raw_Suppliers!$A$2:$G$101,3,FALSE)</f>
        <v>China</v>
      </c>
      <c r="M1320" t="str">
        <f>VLOOKUP(B1320,Raw_Suppliers!$A$2:$G$101,4,FALSE)</f>
        <v>East</v>
      </c>
      <c r="N1320" t="str">
        <f>VLOOKUP(B1320,Raw_Suppliers!$A$2:$G$101,6,FALSE)</f>
        <v>ISO 45001</v>
      </c>
      <c r="O1320">
        <f>VLOOKUP(B1320,Raw_Suppliers!$A$2:$G$101,7,FALSE)</f>
        <v>1</v>
      </c>
      <c r="P1320" t="str">
        <f t="shared" si="121"/>
        <v>Yes</v>
      </c>
      <c r="Q1320">
        <f t="shared" si="122"/>
        <v>0</v>
      </c>
      <c r="R1320" t="str">
        <f t="shared" si="123"/>
        <v>Late</v>
      </c>
      <c r="S1320">
        <f t="shared" si="124"/>
        <v>2022</v>
      </c>
      <c r="T1320">
        <f t="shared" si="125"/>
        <v>3</v>
      </c>
    </row>
    <row r="1321" spans="1:20" x14ac:dyDescent="0.25">
      <c r="A1321" t="s">
        <v>1628</v>
      </c>
      <c r="B1321" t="s">
        <v>369</v>
      </c>
      <c r="C1321" t="s">
        <v>763</v>
      </c>
      <c r="D1321" s="1">
        <v>45097</v>
      </c>
      <c r="E1321">
        <v>6</v>
      </c>
      <c r="F1321">
        <v>59.231004516506502</v>
      </c>
      <c r="G1321" s="1">
        <v>45118</v>
      </c>
      <c r="H1321" s="1">
        <v>45115</v>
      </c>
      <c r="I1321">
        <v>355.38602709903898</v>
      </c>
      <c r="J1321">
        <f t="shared" si="120"/>
        <v>-3</v>
      </c>
      <c r="K1321" t="str">
        <f>VLOOKUP(B1321,Raw_Suppliers!$A$2:$G$101,2,FALSE)</f>
        <v>Beta Fusion GmbH</v>
      </c>
      <c r="L1321" t="str">
        <f>VLOOKUP(B1321,Raw_Suppliers!$A$2:$G$101,3,FALSE)</f>
        <v>China</v>
      </c>
      <c r="M1321" t="str">
        <f>VLOOKUP(B1321,Raw_Suppliers!$A$2:$G$101,4,FALSE)</f>
        <v>South</v>
      </c>
      <c r="N1321" t="str">
        <f>VLOOKUP(B1321,Raw_Suppliers!$A$2:$G$101,6,FALSE)</f>
        <v>ISO 9001</v>
      </c>
      <c r="O1321">
        <f>VLOOKUP(B1321,Raw_Suppliers!$A$2:$G$101,7,FALSE)</f>
        <v>0</v>
      </c>
      <c r="P1321" t="str">
        <f t="shared" si="121"/>
        <v>No</v>
      </c>
      <c r="Q1321">
        <f t="shared" si="122"/>
        <v>1</v>
      </c>
      <c r="R1321" t="str">
        <f t="shared" si="123"/>
        <v>On Time</v>
      </c>
      <c r="S1321">
        <f t="shared" si="124"/>
        <v>2023</v>
      </c>
      <c r="T1321">
        <f t="shared" si="125"/>
        <v>6</v>
      </c>
    </row>
    <row r="1322" spans="1:20" x14ac:dyDescent="0.25">
      <c r="A1322" t="s">
        <v>1629</v>
      </c>
      <c r="B1322" t="s">
        <v>451</v>
      </c>
      <c r="C1322" t="s">
        <v>112</v>
      </c>
      <c r="D1322" s="1">
        <v>44437</v>
      </c>
      <c r="E1322">
        <v>7</v>
      </c>
      <c r="F1322">
        <v>9.0441255139341692</v>
      </c>
      <c r="G1322" s="1">
        <v>44458</v>
      </c>
      <c r="H1322" s="1">
        <v>44457</v>
      </c>
      <c r="I1322">
        <v>63.308878597539199</v>
      </c>
      <c r="J1322">
        <f t="shared" si="120"/>
        <v>-1</v>
      </c>
      <c r="K1322" t="str">
        <f>VLOOKUP(B1322,Raw_Suppliers!$A$2:$G$101,2,FALSE)</f>
        <v>Beta Apex Corp</v>
      </c>
      <c r="L1322" t="str">
        <f>VLOOKUP(B1322,Raw_Suppliers!$A$2:$G$101,3,FALSE)</f>
        <v>India</v>
      </c>
      <c r="M1322" t="str">
        <f>VLOOKUP(B1322,Raw_Suppliers!$A$2:$G$101,4,FALSE)</f>
        <v>Central</v>
      </c>
      <c r="N1322" t="str">
        <f>VLOOKUP(B1322,Raw_Suppliers!$A$2:$G$101,6,FALSE)</f>
        <v>ISO 9001</v>
      </c>
      <c r="O1322">
        <f>VLOOKUP(B1322,Raw_Suppliers!$A$2:$G$101,7,FALSE)</f>
        <v>0</v>
      </c>
      <c r="P1322" t="str">
        <f t="shared" si="121"/>
        <v>No</v>
      </c>
      <c r="Q1322">
        <f t="shared" si="122"/>
        <v>1</v>
      </c>
      <c r="R1322" t="str">
        <f t="shared" si="123"/>
        <v>On Time</v>
      </c>
      <c r="S1322">
        <f t="shared" si="124"/>
        <v>2021</v>
      </c>
      <c r="T1322">
        <f t="shared" si="125"/>
        <v>8</v>
      </c>
    </row>
    <row r="1323" spans="1:20" x14ac:dyDescent="0.25">
      <c r="A1323" t="s">
        <v>1630</v>
      </c>
      <c r="B1323" t="s">
        <v>256</v>
      </c>
      <c r="C1323" t="s">
        <v>77</v>
      </c>
      <c r="D1323" s="1">
        <v>44282</v>
      </c>
      <c r="E1323">
        <v>9</v>
      </c>
      <c r="F1323">
        <v>29.273857516530999</v>
      </c>
      <c r="G1323" s="1">
        <v>44292</v>
      </c>
      <c r="H1323" s="1">
        <v>44297</v>
      </c>
      <c r="I1323">
        <v>263.46471764877901</v>
      </c>
      <c r="J1323">
        <f t="shared" si="120"/>
        <v>5</v>
      </c>
      <c r="K1323" t="str">
        <f>VLOOKUP(B1323,Raw_Suppliers!$A$2:$G$101,2,FALSE)</f>
        <v>Apex Eco Ltd</v>
      </c>
      <c r="L1323" t="str">
        <f>VLOOKUP(B1323,Raw_Suppliers!$A$2:$G$101,3,FALSE)</f>
        <v>USA</v>
      </c>
      <c r="M1323" t="str">
        <f>VLOOKUP(B1323,Raw_Suppliers!$A$2:$G$101,4,FALSE)</f>
        <v>North</v>
      </c>
      <c r="N1323" t="str">
        <f>VLOOKUP(B1323,Raw_Suppliers!$A$2:$G$101,6,FALSE)</f>
        <v>ISO 45001</v>
      </c>
      <c r="O1323">
        <f>VLOOKUP(B1323,Raw_Suppliers!$A$2:$G$101,7,FALSE)</f>
        <v>0</v>
      </c>
      <c r="P1323" t="str">
        <f t="shared" si="121"/>
        <v>No</v>
      </c>
      <c r="Q1323">
        <f t="shared" si="122"/>
        <v>0</v>
      </c>
      <c r="R1323" t="str">
        <f t="shared" si="123"/>
        <v>Late</v>
      </c>
      <c r="S1323">
        <f t="shared" si="124"/>
        <v>2021</v>
      </c>
      <c r="T1323">
        <f t="shared" si="125"/>
        <v>3</v>
      </c>
    </row>
    <row r="1324" spans="1:20" x14ac:dyDescent="0.25">
      <c r="A1324" t="s">
        <v>1631</v>
      </c>
      <c r="B1324" t="s">
        <v>205</v>
      </c>
      <c r="C1324" t="s">
        <v>233</v>
      </c>
      <c r="D1324" s="1">
        <v>45324</v>
      </c>
      <c r="E1324">
        <v>11</v>
      </c>
      <c r="F1324">
        <v>42.258278526199099</v>
      </c>
      <c r="G1324" s="1">
        <v>45335</v>
      </c>
      <c r="H1324" s="1">
        <v>45336</v>
      </c>
      <c r="I1324">
        <v>464.84106378819001</v>
      </c>
      <c r="J1324">
        <f t="shared" si="120"/>
        <v>1</v>
      </c>
      <c r="K1324" t="str">
        <f>VLOOKUP(B1324,Raw_Suppliers!$A$2:$G$101,2,FALSE)</f>
        <v>Ultra Eco LLC</v>
      </c>
      <c r="L1324" t="str">
        <f>VLOOKUP(B1324,Raw_Suppliers!$A$2:$G$101,3,FALSE)</f>
        <v>China</v>
      </c>
      <c r="M1324" t="str">
        <f>VLOOKUP(B1324,Raw_Suppliers!$A$2:$G$101,4,FALSE)</f>
        <v>South</v>
      </c>
      <c r="N1324" t="str">
        <f>VLOOKUP(B1324,Raw_Suppliers!$A$2:$G$101,6,FALSE)</f>
        <v>ISO 14001</v>
      </c>
      <c r="O1324">
        <f>VLOOKUP(B1324,Raw_Suppliers!$A$2:$G$101,7,FALSE)</f>
        <v>1</v>
      </c>
      <c r="P1324" t="str">
        <f t="shared" si="121"/>
        <v>Yes</v>
      </c>
      <c r="Q1324">
        <f t="shared" si="122"/>
        <v>0</v>
      </c>
      <c r="R1324" t="str">
        <f t="shared" si="123"/>
        <v>Late</v>
      </c>
      <c r="S1324">
        <f t="shared" si="124"/>
        <v>2024</v>
      </c>
      <c r="T1324">
        <f t="shared" si="125"/>
        <v>2</v>
      </c>
    </row>
    <row r="1325" spans="1:20" x14ac:dyDescent="0.25">
      <c r="A1325" t="s">
        <v>1632</v>
      </c>
      <c r="B1325" t="s">
        <v>73</v>
      </c>
      <c r="C1325" t="s">
        <v>571</v>
      </c>
      <c r="D1325" s="1">
        <v>44881</v>
      </c>
      <c r="E1325">
        <v>6</v>
      </c>
      <c r="F1325">
        <v>61.882863684708802</v>
      </c>
      <c r="G1325" s="1">
        <v>44897</v>
      </c>
      <c r="H1325" s="1">
        <v>44899</v>
      </c>
      <c r="I1325">
        <v>371.297182108252</v>
      </c>
      <c r="J1325">
        <f t="shared" si="120"/>
        <v>2</v>
      </c>
      <c r="K1325" t="str">
        <f>VLOOKUP(B1325,Raw_Suppliers!$A$2:$G$101,2,FALSE)</f>
        <v>Gamma Quantum LLC</v>
      </c>
      <c r="L1325" t="str">
        <f>VLOOKUP(B1325,Raw_Suppliers!$A$2:$G$101,3,FALSE)</f>
        <v>Germany</v>
      </c>
      <c r="M1325" t="str">
        <f>VLOOKUP(B1325,Raw_Suppliers!$A$2:$G$101,4,FALSE)</f>
        <v>Central</v>
      </c>
      <c r="N1325" t="str">
        <f>VLOOKUP(B1325,Raw_Suppliers!$A$2:$G$101,6,FALSE)</f>
        <v>ISO 9001</v>
      </c>
      <c r="O1325">
        <f>VLOOKUP(B1325,Raw_Suppliers!$A$2:$G$101,7,FALSE)</f>
        <v>1</v>
      </c>
      <c r="P1325" t="str">
        <f t="shared" si="121"/>
        <v>Yes</v>
      </c>
      <c r="Q1325">
        <f t="shared" si="122"/>
        <v>0</v>
      </c>
      <c r="R1325" t="str">
        <f t="shared" si="123"/>
        <v>Late</v>
      </c>
      <c r="S1325">
        <f t="shared" si="124"/>
        <v>2022</v>
      </c>
      <c r="T1325">
        <f t="shared" si="125"/>
        <v>11</v>
      </c>
    </row>
    <row r="1326" spans="1:20" x14ac:dyDescent="0.25">
      <c r="A1326" t="s">
        <v>1633</v>
      </c>
      <c r="B1326" t="s">
        <v>76</v>
      </c>
      <c r="C1326" t="s">
        <v>128</v>
      </c>
      <c r="D1326" s="1">
        <v>44794</v>
      </c>
      <c r="E1326">
        <v>8</v>
      </c>
      <c r="F1326">
        <v>29.0856390294826</v>
      </c>
      <c r="G1326" s="1">
        <v>44818</v>
      </c>
      <c r="H1326" s="1">
        <v>44821</v>
      </c>
      <c r="I1326">
        <v>232.68511223586</v>
      </c>
      <c r="J1326">
        <f t="shared" si="120"/>
        <v>3</v>
      </c>
      <c r="K1326" t="str">
        <f>VLOOKUP(B1326,Raw_Suppliers!$A$2:$G$101,2,FALSE)</f>
        <v>Alpha Beta Ltd</v>
      </c>
      <c r="L1326" t="str">
        <f>VLOOKUP(B1326,Raw_Suppliers!$A$2:$G$101,3,FALSE)</f>
        <v>UK</v>
      </c>
      <c r="M1326" t="str">
        <f>VLOOKUP(B1326,Raw_Suppliers!$A$2:$G$101,4,FALSE)</f>
        <v>South</v>
      </c>
      <c r="N1326" t="str">
        <f>VLOOKUP(B1326,Raw_Suppliers!$A$2:$G$101,6,FALSE)</f>
        <v>None</v>
      </c>
      <c r="O1326">
        <f>VLOOKUP(B1326,Raw_Suppliers!$A$2:$G$101,7,FALSE)</f>
        <v>1</v>
      </c>
      <c r="P1326" t="str">
        <f t="shared" si="121"/>
        <v>Yes</v>
      </c>
      <c r="Q1326">
        <f t="shared" si="122"/>
        <v>0</v>
      </c>
      <c r="R1326" t="str">
        <f t="shared" si="123"/>
        <v>Late</v>
      </c>
      <c r="S1326">
        <f t="shared" si="124"/>
        <v>2022</v>
      </c>
      <c r="T1326">
        <f t="shared" si="125"/>
        <v>8</v>
      </c>
    </row>
    <row r="1327" spans="1:20" x14ac:dyDescent="0.25">
      <c r="A1327" t="s">
        <v>1634</v>
      </c>
      <c r="B1327" t="s">
        <v>203</v>
      </c>
      <c r="C1327" t="s">
        <v>587</v>
      </c>
      <c r="D1327" s="1">
        <v>45071</v>
      </c>
      <c r="E1327">
        <v>7</v>
      </c>
      <c r="F1327">
        <v>22.141679479632</v>
      </c>
      <c r="G1327" s="1">
        <v>45081</v>
      </c>
      <c r="H1327" s="1">
        <v>45084</v>
      </c>
      <c r="I1327">
        <v>154.99175635742401</v>
      </c>
      <c r="J1327">
        <f t="shared" si="120"/>
        <v>3</v>
      </c>
      <c r="K1327" t="str">
        <f>VLOOKUP(B1327,Raw_Suppliers!$A$2:$G$101,2,FALSE)</f>
        <v>Nova Eco LLC</v>
      </c>
      <c r="L1327" t="str">
        <f>VLOOKUP(B1327,Raw_Suppliers!$A$2:$G$101,3,FALSE)</f>
        <v>Denmark</v>
      </c>
      <c r="M1327" t="str">
        <f>VLOOKUP(B1327,Raw_Suppliers!$A$2:$G$101,4,FALSE)</f>
        <v>South</v>
      </c>
      <c r="N1327" t="str">
        <f>VLOOKUP(B1327,Raw_Suppliers!$A$2:$G$101,6,FALSE)</f>
        <v>ISO 14001</v>
      </c>
      <c r="O1327">
        <f>VLOOKUP(B1327,Raw_Suppliers!$A$2:$G$101,7,FALSE)</f>
        <v>0</v>
      </c>
      <c r="P1327" t="str">
        <f t="shared" si="121"/>
        <v>No</v>
      </c>
      <c r="Q1327">
        <f t="shared" si="122"/>
        <v>0</v>
      </c>
      <c r="R1327" t="str">
        <f t="shared" si="123"/>
        <v>Late</v>
      </c>
      <c r="S1327">
        <f t="shared" si="124"/>
        <v>2023</v>
      </c>
      <c r="T1327">
        <f t="shared" si="125"/>
        <v>5</v>
      </c>
    </row>
    <row r="1328" spans="1:20" x14ac:dyDescent="0.25">
      <c r="A1328" t="s">
        <v>1635</v>
      </c>
      <c r="B1328" t="s">
        <v>411</v>
      </c>
      <c r="C1328" t="s">
        <v>270</v>
      </c>
      <c r="D1328" s="1">
        <v>45355</v>
      </c>
      <c r="E1328">
        <v>10</v>
      </c>
      <c r="F1328">
        <v>25.9188403217012</v>
      </c>
      <c r="G1328" s="1">
        <v>45373</v>
      </c>
      <c r="H1328" s="1">
        <v>45379</v>
      </c>
      <c r="I1328">
        <v>259.18840321701202</v>
      </c>
      <c r="J1328">
        <f t="shared" si="120"/>
        <v>6</v>
      </c>
      <c r="K1328" t="str">
        <f>VLOOKUP(B1328,Raw_Suppliers!$A$2:$G$101,2,FALSE)</f>
        <v>Gamma Nova LLC</v>
      </c>
      <c r="L1328" t="str">
        <f>VLOOKUP(B1328,Raw_Suppliers!$A$2:$G$101,3,FALSE)</f>
        <v>Brazil</v>
      </c>
      <c r="M1328" t="str">
        <f>VLOOKUP(B1328,Raw_Suppliers!$A$2:$G$101,4,FALSE)</f>
        <v>North</v>
      </c>
      <c r="N1328" t="str">
        <f>VLOOKUP(B1328,Raw_Suppliers!$A$2:$G$101,6,FALSE)</f>
        <v>ISO 14001</v>
      </c>
      <c r="O1328">
        <f>VLOOKUP(B1328,Raw_Suppliers!$A$2:$G$101,7,FALSE)</f>
        <v>1</v>
      </c>
      <c r="P1328" t="str">
        <f t="shared" si="121"/>
        <v>Yes</v>
      </c>
      <c r="Q1328">
        <f t="shared" si="122"/>
        <v>0</v>
      </c>
      <c r="R1328" t="str">
        <f t="shared" si="123"/>
        <v>Late</v>
      </c>
      <c r="S1328">
        <f t="shared" si="124"/>
        <v>2024</v>
      </c>
      <c r="T1328">
        <f t="shared" si="125"/>
        <v>3</v>
      </c>
    </row>
    <row r="1329" spans="1:20" x14ac:dyDescent="0.25">
      <c r="A1329" t="s">
        <v>1636</v>
      </c>
      <c r="B1329" t="s">
        <v>55</v>
      </c>
      <c r="C1329" t="s">
        <v>214</v>
      </c>
      <c r="D1329" s="1">
        <v>44611</v>
      </c>
      <c r="E1329">
        <v>9</v>
      </c>
      <c r="F1329">
        <v>52.983704701886701</v>
      </c>
      <c r="G1329" s="1">
        <v>44634</v>
      </c>
      <c r="H1329" s="1">
        <v>44634</v>
      </c>
      <c r="I1329">
        <v>476.85334231697999</v>
      </c>
      <c r="J1329">
        <f t="shared" si="120"/>
        <v>0</v>
      </c>
      <c r="K1329" t="str">
        <f>VLOOKUP(B1329,Raw_Suppliers!$A$2:$G$101,2,FALSE)</f>
        <v>Prime Vertex Inc</v>
      </c>
      <c r="L1329" t="str">
        <f>VLOOKUP(B1329,Raw_Suppliers!$A$2:$G$101,3,FALSE)</f>
        <v>Germany</v>
      </c>
      <c r="M1329" t="str">
        <f>VLOOKUP(B1329,Raw_Suppliers!$A$2:$G$101,4,FALSE)</f>
        <v>South</v>
      </c>
      <c r="N1329" t="str">
        <f>VLOOKUP(B1329,Raw_Suppliers!$A$2:$G$101,6,FALSE)</f>
        <v>ISO 14001</v>
      </c>
      <c r="O1329">
        <f>VLOOKUP(B1329,Raw_Suppliers!$A$2:$G$101,7,FALSE)</f>
        <v>0</v>
      </c>
      <c r="P1329" t="str">
        <f t="shared" si="121"/>
        <v>No</v>
      </c>
      <c r="Q1329">
        <f t="shared" si="122"/>
        <v>1</v>
      </c>
      <c r="R1329" t="str">
        <f t="shared" si="123"/>
        <v>On Time</v>
      </c>
      <c r="S1329">
        <f t="shared" si="124"/>
        <v>2022</v>
      </c>
      <c r="T1329">
        <f t="shared" si="125"/>
        <v>2</v>
      </c>
    </row>
    <row r="1330" spans="1:20" x14ac:dyDescent="0.25">
      <c r="A1330" t="s">
        <v>1637</v>
      </c>
      <c r="B1330" t="s">
        <v>124</v>
      </c>
      <c r="C1330" t="s">
        <v>473</v>
      </c>
      <c r="D1330" s="1">
        <v>44511</v>
      </c>
      <c r="E1330">
        <v>13</v>
      </c>
      <c r="F1330">
        <v>17.735034663120999</v>
      </c>
      <c r="G1330" s="1">
        <v>44533</v>
      </c>
      <c r="H1330" s="1">
        <v>44530</v>
      </c>
      <c r="I1330">
        <v>230.555450620573</v>
      </c>
      <c r="J1330">
        <f t="shared" si="120"/>
        <v>-3</v>
      </c>
      <c r="K1330" t="str">
        <f>VLOOKUP(B1330,Raw_Suppliers!$A$2:$G$101,2,FALSE)</f>
        <v>Vertex Delta Inc</v>
      </c>
      <c r="L1330" t="str">
        <f>VLOOKUP(B1330,Raw_Suppliers!$A$2:$G$101,3,FALSE)</f>
        <v>Germany</v>
      </c>
      <c r="M1330" t="str">
        <f>VLOOKUP(B1330,Raw_Suppliers!$A$2:$G$101,4,FALSE)</f>
        <v>South</v>
      </c>
      <c r="N1330" t="str">
        <f>VLOOKUP(B1330,Raw_Suppliers!$A$2:$G$101,6,FALSE)</f>
        <v>ISO 9001</v>
      </c>
      <c r="O1330">
        <f>VLOOKUP(B1330,Raw_Suppliers!$A$2:$G$101,7,FALSE)</f>
        <v>0</v>
      </c>
      <c r="P1330" t="str">
        <f t="shared" si="121"/>
        <v>No</v>
      </c>
      <c r="Q1330">
        <f t="shared" si="122"/>
        <v>1</v>
      </c>
      <c r="R1330" t="str">
        <f t="shared" si="123"/>
        <v>On Time</v>
      </c>
      <c r="S1330">
        <f t="shared" si="124"/>
        <v>2021</v>
      </c>
      <c r="T1330">
        <f t="shared" si="125"/>
        <v>11</v>
      </c>
    </row>
    <row r="1331" spans="1:20" x14ac:dyDescent="0.25">
      <c r="A1331" t="s">
        <v>1638</v>
      </c>
      <c r="B1331" t="s">
        <v>104</v>
      </c>
      <c r="C1331" t="s">
        <v>290</v>
      </c>
      <c r="D1331" s="1">
        <v>45220</v>
      </c>
      <c r="E1331">
        <v>11</v>
      </c>
      <c r="F1331">
        <v>67.056875893301694</v>
      </c>
      <c r="G1331" s="1">
        <v>45242</v>
      </c>
      <c r="H1331" s="1">
        <v>45241</v>
      </c>
      <c r="I1331">
        <v>737.62563482631901</v>
      </c>
      <c r="J1331">
        <f t="shared" si="120"/>
        <v>-1</v>
      </c>
      <c r="K1331" t="str">
        <f>VLOOKUP(B1331,Raw_Suppliers!$A$2:$G$101,2,FALSE)</f>
        <v>Prime Omega Corp</v>
      </c>
      <c r="L1331" t="str">
        <f>VLOOKUP(B1331,Raw_Suppliers!$A$2:$G$101,3,FALSE)</f>
        <v>India</v>
      </c>
      <c r="M1331" t="str">
        <f>VLOOKUP(B1331,Raw_Suppliers!$A$2:$G$101,4,FALSE)</f>
        <v>Central</v>
      </c>
      <c r="N1331" t="str">
        <f>VLOOKUP(B1331,Raw_Suppliers!$A$2:$G$101,6,FALSE)</f>
        <v>ISO 14001</v>
      </c>
      <c r="O1331">
        <f>VLOOKUP(B1331,Raw_Suppliers!$A$2:$G$101,7,FALSE)</f>
        <v>0</v>
      </c>
      <c r="P1331" t="str">
        <f t="shared" si="121"/>
        <v>No</v>
      </c>
      <c r="Q1331">
        <f t="shared" si="122"/>
        <v>1</v>
      </c>
      <c r="R1331" t="str">
        <f t="shared" si="123"/>
        <v>On Time</v>
      </c>
      <c r="S1331">
        <f t="shared" si="124"/>
        <v>2023</v>
      </c>
      <c r="T1331">
        <f t="shared" si="125"/>
        <v>10</v>
      </c>
    </row>
    <row r="1332" spans="1:20" x14ac:dyDescent="0.25">
      <c r="A1332" t="s">
        <v>1639</v>
      </c>
      <c r="B1332" t="s">
        <v>451</v>
      </c>
      <c r="C1332" t="s">
        <v>610</v>
      </c>
      <c r="D1332" s="1">
        <v>44916</v>
      </c>
      <c r="E1332">
        <v>14</v>
      </c>
      <c r="F1332">
        <v>56.972846042618002</v>
      </c>
      <c r="G1332" s="1">
        <v>44934</v>
      </c>
      <c r="H1332" s="1">
        <v>44931</v>
      </c>
      <c r="I1332">
        <v>797.619844596652</v>
      </c>
      <c r="J1332">
        <f t="shared" si="120"/>
        <v>-3</v>
      </c>
      <c r="K1332" t="str">
        <f>VLOOKUP(B1332,Raw_Suppliers!$A$2:$G$101,2,FALSE)</f>
        <v>Beta Apex Corp</v>
      </c>
      <c r="L1332" t="str">
        <f>VLOOKUP(B1332,Raw_Suppliers!$A$2:$G$101,3,FALSE)</f>
        <v>India</v>
      </c>
      <c r="M1332" t="str">
        <f>VLOOKUP(B1332,Raw_Suppliers!$A$2:$G$101,4,FALSE)</f>
        <v>Central</v>
      </c>
      <c r="N1332" t="str">
        <f>VLOOKUP(B1332,Raw_Suppliers!$A$2:$G$101,6,FALSE)</f>
        <v>ISO 9001</v>
      </c>
      <c r="O1332">
        <f>VLOOKUP(B1332,Raw_Suppliers!$A$2:$G$101,7,FALSE)</f>
        <v>0</v>
      </c>
      <c r="P1332" t="str">
        <f t="shared" si="121"/>
        <v>No</v>
      </c>
      <c r="Q1332">
        <f t="shared" si="122"/>
        <v>1</v>
      </c>
      <c r="R1332" t="str">
        <f t="shared" si="123"/>
        <v>On Time</v>
      </c>
      <c r="S1332">
        <f t="shared" si="124"/>
        <v>2022</v>
      </c>
      <c r="T1332">
        <f t="shared" si="125"/>
        <v>12</v>
      </c>
    </row>
    <row r="1333" spans="1:20" x14ac:dyDescent="0.25">
      <c r="A1333" t="s">
        <v>1640</v>
      </c>
      <c r="B1333" t="s">
        <v>37</v>
      </c>
      <c r="C1333" t="s">
        <v>235</v>
      </c>
      <c r="D1333" s="1">
        <v>45014</v>
      </c>
      <c r="E1333">
        <v>11</v>
      </c>
      <c r="F1333">
        <v>41.602199136204497</v>
      </c>
      <c r="G1333" s="1">
        <v>45026</v>
      </c>
      <c r="H1333" s="1">
        <v>45030</v>
      </c>
      <c r="I1333">
        <v>457.62419049825002</v>
      </c>
      <c r="J1333">
        <f t="shared" si="120"/>
        <v>4</v>
      </c>
      <c r="K1333" t="str">
        <f>VLOOKUP(B1333,Raw_Suppliers!$A$2:$G$101,2,FALSE)</f>
        <v>Apex Apex Ltd</v>
      </c>
      <c r="L1333" t="str">
        <f>VLOOKUP(B1333,Raw_Suppliers!$A$2:$G$101,3,FALSE)</f>
        <v>Canada</v>
      </c>
      <c r="M1333" t="str">
        <f>VLOOKUP(B1333,Raw_Suppliers!$A$2:$G$101,4,FALSE)</f>
        <v>East</v>
      </c>
      <c r="N1333" t="str">
        <f>VLOOKUP(B1333,Raw_Suppliers!$A$2:$G$101,6,FALSE)</f>
        <v>ISO 9001</v>
      </c>
      <c r="O1333">
        <f>VLOOKUP(B1333,Raw_Suppliers!$A$2:$G$101,7,FALSE)</f>
        <v>1</v>
      </c>
      <c r="P1333" t="str">
        <f t="shared" si="121"/>
        <v>Yes</v>
      </c>
      <c r="Q1333">
        <f t="shared" si="122"/>
        <v>0</v>
      </c>
      <c r="R1333" t="str">
        <f t="shared" si="123"/>
        <v>Late</v>
      </c>
      <c r="S1333">
        <f t="shared" si="124"/>
        <v>2023</v>
      </c>
      <c r="T1333">
        <f t="shared" si="125"/>
        <v>3</v>
      </c>
    </row>
    <row r="1334" spans="1:20" x14ac:dyDescent="0.25">
      <c r="A1334" t="s">
        <v>1641</v>
      </c>
      <c r="B1334" t="s">
        <v>88</v>
      </c>
      <c r="C1334" t="s">
        <v>336</v>
      </c>
      <c r="D1334" s="1">
        <v>44748</v>
      </c>
      <c r="E1334">
        <v>12</v>
      </c>
      <c r="F1334">
        <v>53.7635220630644</v>
      </c>
      <c r="G1334" s="1">
        <v>44769</v>
      </c>
      <c r="H1334" s="1">
        <v>44774</v>
      </c>
      <c r="I1334">
        <v>645.16226475677297</v>
      </c>
      <c r="J1334">
        <f t="shared" si="120"/>
        <v>5</v>
      </c>
      <c r="K1334" t="str">
        <f>VLOOKUP(B1334,Raw_Suppliers!$A$2:$G$101,2,FALSE)</f>
        <v>Eco Nano GmbH</v>
      </c>
      <c r="L1334" t="str">
        <f>VLOOKUP(B1334,Raw_Suppliers!$A$2:$G$101,3,FALSE)</f>
        <v>Denmark</v>
      </c>
      <c r="M1334" t="str">
        <f>VLOOKUP(B1334,Raw_Suppliers!$A$2:$G$101,4,FALSE)</f>
        <v>Central</v>
      </c>
      <c r="N1334" t="str">
        <f>VLOOKUP(B1334,Raw_Suppliers!$A$2:$G$101,6,FALSE)</f>
        <v>ISO 9001</v>
      </c>
      <c r="O1334">
        <f>VLOOKUP(B1334,Raw_Suppliers!$A$2:$G$101,7,FALSE)</f>
        <v>1</v>
      </c>
      <c r="P1334" t="str">
        <f t="shared" si="121"/>
        <v>Yes</v>
      </c>
      <c r="Q1334">
        <f t="shared" si="122"/>
        <v>0</v>
      </c>
      <c r="R1334" t="str">
        <f t="shared" si="123"/>
        <v>Late</v>
      </c>
      <c r="S1334">
        <f t="shared" si="124"/>
        <v>2022</v>
      </c>
      <c r="T1334">
        <f t="shared" si="125"/>
        <v>7</v>
      </c>
    </row>
    <row r="1335" spans="1:20" x14ac:dyDescent="0.25">
      <c r="A1335" t="s">
        <v>1642</v>
      </c>
      <c r="B1335" t="s">
        <v>127</v>
      </c>
      <c r="C1335" t="s">
        <v>165</v>
      </c>
      <c r="D1335" s="1">
        <v>44289</v>
      </c>
      <c r="E1335">
        <v>12</v>
      </c>
      <c r="F1335">
        <v>41.847632439263897</v>
      </c>
      <c r="G1335" s="1">
        <v>44301</v>
      </c>
      <c r="H1335" s="1">
        <v>44307</v>
      </c>
      <c r="I1335">
        <v>502.17158927116702</v>
      </c>
      <c r="J1335">
        <f t="shared" si="120"/>
        <v>6</v>
      </c>
      <c r="K1335" t="str">
        <f>VLOOKUP(B1335,Raw_Suppliers!$A$2:$G$101,2,FALSE)</f>
        <v>Eco Gamma LLC</v>
      </c>
      <c r="L1335" t="str">
        <f>VLOOKUP(B1335,Raw_Suppliers!$A$2:$G$101,3,FALSE)</f>
        <v>Canada</v>
      </c>
      <c r="M1335" t="str">
        <f>VLOOKUP(B1335,Raw_Suppliers!$A$2:$G$101,4,FALSE)</f>
        <v>West</v>
      </c>
      <c r="N1335" t="str">
        <f>VLOOKUP(B1335,Raw_Suppliers!$A$2:$G$101,6,FALSE)</f>
        <v>ISO 9001</v>
      </c>
      <c r="O1335">
        <f>VLOOKUP(B1335,Raw_Suppliers!$A$2:$G$101,7,FALSE)</f>
        <v>1</v>
      </c>
      <c r="P1335" t="str">
        <f t="shared" si="121"/>
        <v>Yes</v>
      </c>
      <c r="Q1335">
        <f t="shared" si="122"/>
        <v>0</v>
      </c>
      <c r="R1335" t="str">
        <f t="shared" si="123"/>
        <v>Late</v>
      </c>
      <c r="S1335">
        <f t="shared" si="124"/>
        <v>2021</v>
      </c>
      <c r="T1335">
        <f t="shared" si="125"/>
        <v>4</v>
      </c>
    </row>
    <row r="1336" spans="1:20" x14ac:dyDescent="0.25">
      <c r="A1336" t="s">
        <v>1643</v>
      </c>
      <c r="B1336" t="s">
        <v>205</v>
      </c>
      <c r="C1336" t="s">
        <v>353</v>
      </c>
      <c r="D1336" s="1">
        <v>44575</v>
      </c>
      <c r="E1336">
        <v>10</v>
      </c>
      <c r="F1336">
        <v>41.433302706884398</v>
      </c>
      <c r="G1336" s="1">
        <v>44595</v>
      </c>
      <c r="H1336" s="1">
        <v>44598</v>
      </c>
      <c r="I1336">
        <v>414.33302706884399</v>
      </c>
      <c r="J1336">
        <f t="shared" si="120"/>
        <v>3</v>
      </c>
      <c r="K1336" t="str">
        <f>VLOOKUP(B1336,Raw_Suppliers!$A$2:$G$101,2,FALSE)</f>
        <v>Ultra Eco LLC</v>
      </c>
      <c r="L1336" t="str">
        <f>VLOOKUP(B1336,Raw_Suppliers!$A$2:$G$101,3,FALSE)</f>
        <v>China</v>
      </c>
      <c r="M1336" t="str">
        <f>VLOOKUP(B1336,Raw_Suppliers!$A$2:$G$101,4,FALSE)</f>
        <v>South</v>
      </c>
      <c r="N1336" t="str">
        <f>VLOOKUP(B1336,Raw_Suppliers!$A$2:$G$101,6,FALSE)</f>
        <v>ISO 14001</v>
      </c>
      <c r="O1336">
        <f>VLOOKUP(B1336,Raw_Suppliers!$A$2:$G$101,7,FALSE)</f>
        <v>1</v>
      </c>
      <c r="P1336" t="str">
        <f t="shared" si="121"/>
        <v>Yes</v>
      </c>
      <c r="Q1336">
        <f t="shared" si="122"/>
        <v>0</v>
      </c>
      <c r="R1336" t="str">
        <f t="shared" si="123"/>
        <v>Late</v>
      </c>
      <c r="S1336">
        <f t="shared" si="124"/>
        <v>2022</v>
      </c>
      <c r="T1336">
        <f t="shared" si="125"/>
        <v>1</v>
      </c>
    </row>
    <row r="1337" spans="1:20" x14ac:dyDescent="0.25">
      <c r="A1337" t="s">
        <v>1644</v>
      </c>
      <c r="B1337" t="s">
        <v>295</v>
      </c>
      <c r="C1337" t="s">
        <v>53</v>
      </c>
      <c r="D1337" s="1">
        <v>44538</v>
      </c>
      <c r="E1337">
        <v>11</v>
      </c>
      <c r="F1337">
        <v>13.0234103289455</v>
      </c>
      <c r="G1337" s="1">
        <v>44557</v>
      </c>
      <c r="H1337" s="1">
        <v>44558</v>
      </c>
      <c r="I1337">
        <v>143.2575136184</v>
      </c>
      <c r="J1337">
        <f t="shared" si="120"/>
        <v>1</v>
      </c>
      <c r="K1337" t="str">
        <f>VLOOKUP(B1337,Raw_Suppliers!$A$2:$G$101,2,FALSE)</f>
        <v>Delta Quantum GmbH</v>
      </c>
      <c r="L1337" t="str">
        <f>VLOOKUP(B1337,Raw_Suppliers!$A$2:$G$101,3,FALSE)</f>
        <v>Brazil</v>
      </c>
      <c r="M1337" t="str">
        <f>VLOOKUP(B1337,Raw_Suppliers!$A$2:$G$101,4,FALSE)</f>
        <v>North</v>
      </c>
      <c r="N1337" t="str">
        <f>VLOOKUP(B1337,Raw_Suppliers!$A$2:$G$101,6,FALSE)</f>
        <v>ISO 9001</v>
      </c>
      <c r="O1337">
        <f>VLOOKUP(B1337,Raw_Suppliers!$A$2:$G$101,7,FALSE)</f>
        <v>1</v>
      </c>
      <c r="P1337" t="str">
        <f t="shared" si="121"/>
        <v>Yes</v>
      </c>
      <c r="Q1337">
        <f t="shared" si="122"/>
        <v>0</v>
      </c>
      <c r="R1337" t="str">
        <f t="shared" si="123"/>
        <v>Late</v>
      </c>
      <c r="S1337">
        <f t="shared" si="124"/>
        <v>2021</v>
      </c>
      <c r="T1337">
        <f t="shared" si="125"/>
        <v>12</v>
      </c>
    </row>
    <row r="1338" spans="1:20" x14ac:dyDescent="0.25">
      <c r="A1338" t="s">
        <v>1645</v>
      </c>
      <c r="B1338" t="s">
        <v>64</v>
      </c>
      <c r="C1338" t="s">
        <v>62</v>
      </c>
      <c r="D1338" s="1">
        <v>44371</v>
      </c>
      <c r="E1338">
        <v>14</v>
      </c>
      <c r="F1338">
        <v>36.3124492687922</v>
      </c>
      <c r="G1338" s="1">
        <v>44394</v>
      </c>
      <c r="H1338" s="1">
        <v>44400</v>
      </c>
      <c r="I1338">
        <v>508.37428976309099</v>
      </c>
      <c r="J1338">
        <f t="shared" si="120"/>
        <v>6</v>
      </c>
      <c r="K1338" t="str">
        <f>VLOOKUP(B1338,Raw_Suppliers!$A$2:$G$101,2,FALSE)</f>
        <v>Apex Quantum Inc</v>
      </c>
      <c r="L1338" t="str">
        <f>VLOOKUP(B1338,Raw_Suppliers!$A$2:$G$101,3,FALSE)</f>
        <v>India</v>
      </c>
      <c r="M1338" t="str">
        <f>VLOOKUP(B1338,Raw_Suppliers!$A$2:$G$101,4,FALSE)</f>
        <v>North</v>
      </c>
      <c r="N1338" t="str">
        <f>VLOOKUP(B1338,Raw_Suppliers!$A$2:$G$101,6,FALSE)</f>
        <v>ISO 45001</v>
      </c>
      <c r="O1338">
        <f>VLOOKUP(B1338,Raw_Suppliers!$A$2:$G$101,7,FALSE)</f>
        <v>1</v>
      </c>
      <c r="P1338" t="str">
        <f t="shared" si="121"/>
        <v>Yes</v>
      </c>
      <c r="Q1338">
        <f t="shared" si="122"/>
        <v>0</v>
      </c>
      <c r="R1338" t="str">
        <f t="shared" si="123"/>
        <v>Late</v>
      </c>
      <c r="S1338">
        <f t="shared" si="124"/>
        <v>2021</v>
      </c>
      <c r="T1338">
        <f t="shared" si="125"/>
        <v>6</v>
      </c>
    </row>
    <row r="1339" spans="1:20" x14ac:dyDescent="0.25">
      <c r="A1339" t="s">
        <v>1646</v>
      </c>
      <c r="B1339" t="s">
        <v>237</v>
      </c>
      <c r="C1339" t="s">
        <v>251</v>
      </c>
      <c r="D1339" s="1">
        <v>44686</v>
      </c>
      <c r="E1339">
        <v>12</v>
      </c>
      <c r="F1339">
        <v>10.918689269878399</v>
      </c>
      <c r="G1339" s="1">
        <v>44697</v>
      </c>
      <c r="H1339" s="1">
        <v>44699</v>
      </c>
      <c r="I1339">
        <v>131.02427123854099</v>
      </c>
      <c r="J1339">
        <f t="shared" si="120"/>
        <v>2</v>
      </c>
      <c r="K1339" t="str">
        <f>VLOOKUP(B1339,Raw_Suppliers!$A$2:$G$101,2,FALSE)</f>
        <v>Eco Beta Inc</v>
      </c>
      <c r="L1339" t="str">
        <f>VLOOKUP(B1339,Raw_Suppliers!$A$2:$G$101,3,FALSE)</f>
        <v>Germany</v>
      </c>
      <c r="M1339" t="str">
        <f>VLOOKUP(B1339,Raw_Suppliers!$A$2:$G$101,4,FALSE)</f>
        <v>North</v>
      </c>
      <c r="N1339" t="str">
        <f>VLOOKUP(B1339,Raw_Suppliers!$A$2:$G$101,6,FALSE)</f>
        <v>ISO 14001</v>
      </c>
      <c r="O1339">
        <f>VLOOKUP(B1339,Raw_Suppliers!$A$2:$G$101,7,FALSE)</f>
        <v>0</v>
      </c>
      <c r="P1339" t="str">
        <f t="shared" si="121"/>
        <v>No</v>
      </c>
      <c r="Q1339">
        <f t="shared" si="122"/>
        <v>0</v>
      </c>
      <c r="R1339" t="str">
        <f t="shared" si="123"/>
        <v>Late</v>
      </c>
      <c r="S1339">
        <f t="shared" si="124"/>
        <v>2022</v>
      </c>
      <c r="T1339">
        <f t="shared" si="125"/>
        <v>5</v>
      </c>
    </row>
    <row r="1340" spans="1:20" x14ac:dyDescent="0.25">
      <c r="A1340" t="s">
        <v>1647</v>
      </c>
      <c r="B1340" t="s">
        <v>194</v>
      </c>
      <c r="C1340" t="s">
        <v>765</v>
      </c>
      <c r="D1340" s="1">
        <v>45382</v>
      </c>
      <c r="E1340">
        <v>12</v>
      </c>
      <c r="F1340">
        <v>5.0106996675569704</v>
      </c>
      <c r="G1340" s="1">
        <v>45403</v>
      </c>
      <c r="H1340" s="1">
        <v>45406</v>
      </c>
      <c r="I1340">
        <v>60.128396010683701</v>
      </c>
      <c r="J1340">
        <f t="shared" si="120"/>
        <v>3</v>
      </c>
      <c r="K1340" t="str">
        <f>VLOOKUP(B1340,Raw_Suppliers!$A$2:$G$101,2,FALSE)</f>
        <v>Eco Pioneer Corp</v>
      </c>
      <c r="L1340" t="str">
        <f>VLOOKUP(B1340,Raw_Suppliers!$A$2:$G$101,3,FALSE)</f>
        <v>China</v>
      </c>
      <c r="M1340" t="str">
        <f>VLOOKUP(B1340,Raw_Suppliers!$A$2:$G$101,4,FALSE)</f>
        <v>East</v>
      </c>
      <c r="N1340" t="str">
        <f>VLOOKUP(B1340,Raw_Suppliers!$A$2:$G$101,6,FALSE)</f>
        <v>ISO 14001</v>
      </c>
      <c r="O1340">
        <f>VLOOKUP(B1340,Raw_Suppliers!$A$2:$G$101,7,FALSE)</f>
        <v>1</v>
      </c>
      <c r="P1340" t="str">
        <f t="shared" si="121"/>
        <v>Yes</v>
      </c>
      <c r="Q1340">
        <f t="shared" si="122"/>
        <v>0</v>
      </c>
      <c r="R1340" t="str">
        <f t="shared" si="123"/>
        <v>Late</v>
      </c>
      <c r="S1340">
        <f t="shared" si="124"/>
        <v>2024</v>
      </c>
      <c r="T1340">
        <f t="shared" si="125"/>
        <v>3</v>
      </c>
    </row>
    <row r="1341" spans="1:20" x14ac:dyDescent="0.25">
      <c r="A1341" t="s">
        <v>1648</v>
      </c>
      <c r="B1341" t="s">
        <v>91</v>
      </c>
      <c r="C1341" t="s">
        <v>190</v>
      </c>
      <c r="D1341" s="1">
        <v>44710</v>
      </c>
      <c r="E1341">
        <v>8</v>
      </c>
      <c r="F1341">
        <v>47.367683256906098</v>
      </c>
      <c r="G1341" s="1">
        <v>44725</v>
      </c>
      <c r="H1341" s="1">
        <v>44723</v>
      </c>
      <c r="I1341">
        <v>378.94146605524901</v>
      </c>
      <c r="J1341">
        <f t="shared" si="120"/>
        <v>-2</v>
      </c>
      <c r="K1341" t="str">
        <f>VLOOKUP(B1341,Raw_Suppliers!$A$2:$G$101,2,FALSE)</f>
        <v>Apex Prime Ltd</v>
      </c>
      <c r="L1341" t="str">
        <f>VLOOKUP(B1341,Raw_Suppliers!$A$2:$G$101,3,FALSE)</f>
        <v>India</v>
      </c>
      <c r="M1341" t="str">
        <f>VLOOKUP(B1341,Raw_Suppliers!$A$2:$G$101,4,FALSE)</f>
        <v>South</v>
      </c>
      <c r="N1341" t="str">
        <f>VLOOKUP(B1341,Raw_Suppliers!$A$2:$G$101,6,FALSE)</f>
        <v>ISO 9001</v>
      </c>
      <c r="O1341">
        <f>VLOOKUP(B1341,Raw_Suppliers!$A$2:$G$101,7,FALSE)</f>
        <v>0</v>
      </c>
      <c r="P1341" t="str">
        <f t="shared" si="121"/>
        <v>No</v>
      </c>
      <c r="Q1341">
        <f t="shared" si="122"/>
        <v>1</v>
      </c>
      <c r="R1341" t="str">
        <f t="shared" si="123"/>
        <v>On Time</v>
      </c>
      <c r="S1341">
        <f t="shared" si="124"/>
        <v>2022</v>
      </c>
      <c r="T1341">
        <f t="shared" si="125"/>
        <v>5</v>
      </c>
    </row>
    <row r="1342" spans="1:20" x14ac:dyDescent="0.25">
      <c r="A1342" t="s">
        <v>1649</v>
      </c>
      <c r="B1342" t="s">
        <v>411</v>
      </c>
      <c r="C1342" t="s">
        <v>195</v>
      </c>
      <c r="D1342" s="1">
        <v>44814</v>
      </c>
      <c r="E1342">
        <v>9</v>
      </c>
      <c r="F1342">
        <v>23.545395141698702</v>
      </c>
      <c r="G1342" s="1">
        <v>44828</v>
      </c>
      <c r="H1342" s="1">
        <v>44830</v>
      </c>
      <c r="I1342">
        <v>211.90855627528899</v>
      </c>
      <c r="J1342">
        <f t="shared" si="120"/>
        <v>2</v>
      </c>
      <c r="K1342" t="str">
        <f>VLOOKUP(B1342,Raw_Suppliers!$A$2:$G$101,2,FALSE)</f>
        <v>Gamma Nova LLC</v>
      </c>
      <c r="L1342" t="str">
        <f>VLOOKUP(B1342,Raw_Suppliers!$A$2:$G$101,3,FALSE)</f>
        <v>Brazil</v>
      </c>
      <c r="M1342" t="str">
        <f>VLOOKUP(B1342,Raw_Suppliers!$A$2:$G$101,4,FALSE)</f>
        <v>North</v>
      </c>
      <c r="N1342" t="str">
        <f>VLOOKUP(B1342,Raw_Suppliers!$A$2:$G$101,6,FALSE)</f>
        <v>ISO 14001</v>
      </c>
      <c r="O1342">
        <f>VLOOKUP(B1342,Raw_Suppliers!$A$2:$G$101,7,FALSE)</f>
        <v>1</v>
      </c>
      <c r="P1342" t="str">
        <f t="shared" si="121"/>
        <v>Yes</v>
      </c>
      <c r="Q1342">
        <f t="shared" si="122"/>
        <v>0</v>
      </c>
      <c r="R1342" t="str">
        <f t="shared" si="123"/>
        <v>Late</v>
      </c>
      <c r="S1342">
        <f t="shared" si="124"/>
        <v>2022</v>
      </c>
      <c r="T1342">
        <f t="shared" si="125"/>
        <v>9</v>
      </c>
    </row>
    <row r="1343" spans="1:20" x14ac:dyDescent="0.25">
      <c r="A1343" t="s">
        <v>1650</v>
      </c>
      <c r="B1343" t="s">
        <v>326</v>
      </c>
      <c r="C1343" t="s">
        <v>47</v>
      </c>
      <c r="D1343" s="1">
        <v>45180</v>
      </c>
      <c r="E1343">
        <v>14</v>
      </c>
      <c r="F1343">
        <v>14.704801462433601</v>
      </c>
      <c r="G1343" s="1">
        <v>45196</v>
      </c>
      <c r="H1343" s="1">
        <v>45194</v>
      </c>
      <c r="I1343">
        <v>205.86722047407</v>
      </c>
      <c r="J1343">
        <f t="shared" si="120"/>
        <v>-2</v>
      </c>
      <c r="K1343" t="str">
        <f>VLOOKUP(B1343,Raw_Suppliers!$A$2:$G$101,2,FALSE)</f>
        <v>Ultra Fusion Corp</v>
      </c>
      <c r="L1343" t="str">
        <f>VLOOKUP(B1343,Raw_Suppliers!$A$2:$G$101,3,FALSE)</f>
        <v>Canada</v>
      </c>
      <c r="M1343" t="str">
        <f>VLOOKUP(B1343,Raw_Suppliers!$A$2:$G$101,4,FALSE)</f>
        <v>South</v>
      </c>
      <c r="N1343" t="str">
        <f>VLOOKUP(B1343,Raw_Suppliers!$A$2:$G$101,6,FALSE)</f>
        <v>None</v>
      </c>
      <c r="O1343">
        <f>VLOOKUP(B1343,Raw_Suppliers!$A$2:$G$101,7,FALSE)</f>
        <v>1</v>
      </c>
      <c r="P1343" t="str">
        <f t="shared" si="121"/>
        <v>Yes</v>
      </c>
      <c r="Q1343">
        <f t="shared" si="122"/>
        <v>1</v>
      </c>
      <c r="R1343" t="str">
        <f t="shared" si="123"/>
        <v>On Time</v>
      </c>
      <c r="S1343">
        <f t="shared" si="124"/>
        <v>2023</v>
      </c>
      <c r="T1343">
        <f t="shared" si="125"/>
        <v>9</v>
      </c>
    </row>
    <row r="1344" spans="1:20" x14ac:dyDescent="0.25">
      <c r="A1344" t="s">
        <v>1651</v>
      </c>
      <c r="B1344" t="s">
        <v>321</v>
      </c>
      <c r="C1344" t="s">
        <v>177</v>
      </c>
      <c r="D1344" s="1">
        <v>45354</v>
      </c>
      <c r="E1344">
        <v>8</v>
      </c>
      <c r="F1344">
        <v>42.430359349764203</v>
      </c>
      <c r="G1344" s="1">
        <v>45373</v>
      </c>
      <c r="H1344" s="1">
        <v>45370</v>
      </c>
      <c r="I1344">
        <v>339.44287479811402</v>
      </c>
      <c r="J1344">
        <f t="shared" si="120"/>
        <v>-3</v>
      </c>
      <c r="K1344" t="str">
        <f>VLOOKUP(B1344,Raw_Suppliers!$A$2:$G$101,2,FALSE)</f>
        <v>Vertex Delta LLC</v>
      </c>
      <c r="L1344" t="str">
        <f>VLOOKUP(B1344,Raw_Suppliers!$A$2:$G$101,3,FALSE)</f>
        <v>India</v>
      </c>
      <c r="M1344" t="str">
        <f>VLOOKUP(B1344,Raw_Suppliers!$A$2:$G$101,4,FALSE)</f>
        <v>South</v>
      </c>
      <c r="N1344" t="str">
        <f>VLOOKUP(B1344,Raw_Suppliers!$A$2:$G$101,6,FALSE)</f>
        <v>ISO 45001</v>
      </c>
      <c r="O1344">
        <f>VLOOKUP(B1344,Raw_Suppliers!$A$2:$G$101,7,FALSE)</f>
        <v>0</v>
      </c>
      <c r="P1344" t="str">
        <f t="shared" si="121"/>
        <v>No</v>
      </c>
      <c r="Q1344">
        <f t="shared" si="122"/>
        <v>1</v>
      </c>
      <c r="R1344" t="str">
        <f t="shared" si="123"/>
        <v>On Time</v>
      </c>
      <c r="S1344">
        <f t="shared" si="124"/>
        <v>2024</v>
      </c>
      <c r="T1344">
        <f t="shared" si="125"/>
        <v>3</v>
      </c>
    </row>
    <row r="1345" spans="1:20" x14ac:dyDescent="0.25">
      <c r="A1345" t="s">
        <v>1652</v>
      </c>
      <c r="B1345" t="s">
        <v>13</v>
      </c>
      <c r="C1345" t="s">
        <v>112</v>
      </c>
      <c r="D1345" s="1">
        <v>45073</v>
      </c>
      <c r="E1345">
        <v>12</v>
      </c>
      <c r="F1345">
        <v>27.319701565110702</v>
      </c>
      <c r="G1345" s="1">
        <v>45090</v>
      </c>
      <c r="H1345" s="1">
        <v>45087</v>
      </c>
      <c r="I1345">
        <v>327.83641878132897</v>
      </c>
      <c r="J1345">
        <f t="shared" si="120"/>
        <v>-3</v>
      </c>
      <c r="K1345" t="str">
        <f>VLOOKUP(B1345,Raw_Suppliers!$A$2:$G$101,2,FALSE)</f>
        <v>Beta Delta LLC</v>
      </c>
      <c r="L1345" t="str">
        <f>VLOOKUP(B1345,Raw_Suppliers!$A$2:$G$101,3,FALSE)</f>
        <v>Germany</v>
      </c>
      <c r="M1345" t="str">
        <f>VLOOKUP(B1345,Raw_Suppliers!$A$2:$G$101,4,FALSE)</f>
        <v>Central</v>
      </c>
      <c r="N1345" t="str">
        <f>VLOOKUP(B1345,Raw_Suppliers!$A$2:$G$101,6,FALSE)</f>
        <v>ISO 9001</v>
      </c>
      <c r="O1345">
        <f>VLOOKUP(B1345,Raw_Suppliers!$A$2:$G$101,7,FALSE)</f>
        <v>1</v>
      </c>
      <c r="P1345" t="str">
        <f t="shared" si="121"/>
        <v>Yes</v>
      </c>
      <c r="Q1345">
        <f t="shared" si="122"/>
        <v>1</v>
      </c>
      <c r="R1345" t="str">
        <f t="shared" si="123"/>
        <v>On Time</v>
      </c>
      <c r="S1345">
        <f t="shared" si="124"/>
        <v>2023</v>
      </c>
      <c r="T1345">
        <f t="shared" si="125"/>
        <v>5</v>
      </c>
    </row>
    <row r="1346" spans="1:20" x14ac:dyDescent="0.25">
      <c r="A1346" t="s">
        <v>1653</v>
      </c>
      <c r="B1346" t="s">
        <v>227</v>
      </c>
      <c r="C1346" t="s">
        <v>290</v>
      </c>
      <c r="D1346" s="1">
        <v>44795</v>
      </c>
      <c r="E1346">
        <v>7</v>
      </c>
      <c r="F1346">
        <v>74.215412328520301</v>
      </c>
      <c r="G1346" s="1">
        <v>44816</v>
      </c>
      <c r="H1346" s="1">
        <v>44816</v>
      </c>
      <c r="I1346">
        <v>519.507886299642</v>
      </c>
      <c r="J1346">
        <f t="shared" si="120"/>
        <v>0</v>
      </c>
      <c r="K1346" t="str">
        <f>VLOOKUP(B1346,Raw_Suppliers!$A$2:$G$101,2,FALSE)</f>
        <v>Delta Prime Inc</v>
      </c>
      <c r="L1346" t="str">
        <f>VLOOKUP(B1346,Raw_Suppliers!$A$2:$G$101,3,FALSE)</f>
        <v>Denmark</v>
      </c>
      <c r="M1346" t="str">
        <f>VLOOKUP(B1346,Raw_Suppliers!$A$2:$G$101,4,FALSE)</f>
        <v>South</v>
      </c>
      <c r="N1346" t="str">
        <f>VLOOKUP(B1346,Raw_Suppliers!$A$2:$G$101,6,FALSE)</f>
        <v>ISO 14001</v>
      </c>
      <c r="O1346">
        <f>VLOOKUP(B1346,Raw_Suppliers!$A$2:$G$101,7,FALSE)</f>
        <v>0</v>
      </c>
      <c r="P1346" t="str">
        <f t="shared" si="121"/>
        <v>No</v>
      </c>
      <c r="Q1346">
        <f t="shared" si="122"/>
        <v>1</v>
      </c>
      <c r="R1346" t="str">
        <f t="shared" si="123"/>
        <v>On Time</v>
      </c>
      <c r="S1346">
        <f t="shared" si="124"/>
        <v>2022</v>
      </c>
      <c r="T1346">
        <f t="shared" si="125"/>
        <v>8</v>
      </c>
    </row>
    <row r="1347" spans="1:20" x14ac:dyDescent="0.25">
      <c r="A1347" t="s">
        <v>1654</v>
      </c>
      <c r="B1347" t="s">
        <v>324</v>
      </c>
      <c r="C1347" t="s">
        <v>1259</v>
      </c>
      <c r="D1347" s="1">
        <v>45299</v>
      </c>
      <c r="E1347">
        <v>9</v>
      </c>
      <c r="F1347">
        <v>62.406366265901603</v>
      </c>
      <c r="G1347" s="1">
        <v>45312</v>
      </c>
      <c r="H1347" s="1">
        <v>45317</v>
      </c>
      <c r="I1347">
        <v>561.65729639311405</v>
      </c>
      <c r="J1347">
        <f t="shared" ref="J1347:J1410" si="126">H1347-G1347</f>
        <v>5</v>
      </c>
      <c r="K1347" t="str">
        <f>VLOOKUP(B1347,Raw_Suppliers!$A$2:$G$101,2,FALSE)</f>
        <v>Gamma Nano Corp</v>
      </c>
      <c r="L1347" t="str">
        <f>VLOOKUP(B1347,Raw_Suppliers!$A$2:$G$101,3,FALSE)</f>
        <v>Germany</v>
      </c>
      <c r="M1347" t="str">
        <f>VLOOKUP(B1347,Raw_Suppliers!$A$2:$G$101,4,FALSE)</f>
        <v>West</v>
      </c>
      <c r="N1347" t="str">
        <f>VLOOKUP(B1347,Raw_Suppliers!$A$2:$G$101,6,FALSE)</f>
        <v>ISO 9001</v>
      </c>
      <c r="O1347">
        <f>VLOOKUP(B1347,Raw_Suppliers!$A$2:$G$101,7,FALSE)</f>
        <v>0</v>
      </c>
      <c r="P1347" t="str">
        <f t="shared" ref="P1347:P1410" si="127">IF(O1347=1,"Yes","No")</f>
        <v>No</v>
      </c>
      <c r="Q1347">
        <f t="shared" ref="Q1347:Q1410" si="128">IF(J1347&lt;=0,1,0)</f>
        <v>0</v>
      </c>
      <c r="R1347" t="str">
        <f t="shared" ref="R1347:R1410" si="129">IF(Q1347=1,"On Time","Late")</f>
        <v>Late</v>
      </c>
      <c r="S1347">
        <f t="shared" ref="S1347:S1410" si="130">YEAR(D1347)</f>
        <v>2024</v>
      </c>
      <c r="T1347">
        <f t="shared" ref="T1347:T1410" si="131">MONTH(D1347)</f>
        <v>1</v>
      </c>
    </row>
    <row r="1348" spans="1:20" x14ac:dyDescent="0.25">
      <c r="A1348" t="s">
        <v>1655</v>
      </c>
      <c r="B1348" t="s">
        <v>399</v>
      </c>
      <c r="C1348" t="s">
        <v>195</v>
      </c>
      <c r="D1348" s="1">
        <v>44931</v>
      </c>
      <c r="E1348">
        <v>12</v>
      </c>
      <c r="F1348">
        <v>61.7251170218669</v>
      </c>
      <c r="G1348" s="1">
        <v>44952</v>
      </c>
      <c r="H1348" s="1">
        <v>44952</v>
      </c>
      <c r="I1348">
        <v>740.701404262403</v>
      </c>
      <c r="J1348">
        <f t="shared" si="126"/>
        <v>0</v>
      </c>
      <c r="K1348" t="str">
        <f>VLOOKUP(B1348,Raw_Suppliers!$A$2:$G$101,2,FALSE)</f>
        <v>Omega Nano Corp</v>
      </c>
      <c r="L1348" t="str">
        <f>VLOOKUP(B1348,Raw_Suppliers!$A$2:$G$101,3,FALSE)</f>
        <v>Brazil</v>
      </c>
      <c r="M1348" t="str">
        <f>VLOOKUP(B1348,Raw_Suppliers!$A$2:$G$101,4,FALSE)</f>
        <v>Central</v>
      </c>
      <c r="N1348" t="str">
        <f>VLOOKUP(B1348,Raw_Suppliers!$A$2:$G$101,6,FALSE)</f>
        <v>ISO 14001</v>
      </c>
      <c r="O1348">
        <f>VLOOKUP(B1348,Raw_Suppliers!$A$2:$G$101,7,FALSE)</f>
        <v>0</v>
      </c>
      <c r="P1348" t="str">
        <f t="shared" si="127"/>
        <v>No</v>
      </c>
      <c r="Q1348">
        <f t="shared" si="128"/>
        <v>1</v>
      </c>
      <c r="R1348" t="str">
        <f t="shared" si="129"/>
        <v>On Time</v>
      </c>
      <c r="S1348">
        <f t="shared" si="130"/>
        <v>2023</v>
      </c>
      <c r="T1348">
        <f t="shared" si="131"/>
        <v>1</v>
      </c>
    </row>
    <row r="1349" spans="1:20" x14ac:dyDescent="0.25">
      <c r="A1349" t="s">
        <v>1656</v>
      </c>
      <c r="B1349" t="s">
        <v>751</v>
      </c>
      <c r="C1349" t="s">
        <v>26</v>
      </c>
      <c r="D1349" s="1">
        <v>44209</v>
      </c>
      <c r="E1349">
        <v>8</v>
      </c>
      <c r="F1349">
        <v>11.3908389548195</v>
      </c>
      <c r="G1349" s="1">
        <v>44226</v>
      </c>
      <c r="H1349" s="1">
        <v>44225</v>
      </c>
      <c r="I1349">
        <v>91.126711638556003</v>
      </c>
      <c r="J1349">
        <f t="shared" si="126"/>
        <v>-1</v>
      </c>
      <c r="K1349" t="str">
        <f>VLOOKUP(B1349,Raw_Suppliers!$A$2:$G$101,2,FALSE)</f>
        <v>Nano Vertex LLC</v>
      </c>
      <c r="L1349" t="str">
        <f>VLOOKUP(B1349,Raw_Suppliers!$A$2:$G$101,3,FALSE)</f>
        <v>China</v>
      </c>
      <c r="M1349" t="str">
        <f>VLOOKUP(B1349,Raw_Suppliers!$A$2:$G$101,4,FALSE)</f>
        <v>North</v>
      </c>
      <c r="N1349" t="str">
        <f>VLOOKUP(B1349,Raw_Suppliers!$A$2:$G$101,6,FALSE)</f>
        <v>ISO 9001</v>
      </c>
      <c r="O1349">
        <f>VLOOKUP(B1349,Raw_Suppliers!$A$2:$G$101,7,FALSE)</f>
        <v>1</v>
      </c>
      <c r="P1349" t="str">
        <f t="shared" si="127"/>
        <v>Yes</v>
      </c>
      <c r="Q1349">
        <f t="shared" si="128"/>
        <v>1</v>
      </c>
      <c r="R1349" t="str">
        <f t="shared" si="129"/>
        <v>On Time</v>
      </c>
      <c r="S1349">
        <f t="shared" si="130"/>
        <v>2021</v>
      </c>
      <c r="T1349">
        <f t="shared" si="131"/>
        <v>1</v>
      </c>
    </row>
    <row r="1350" spans="1:20" x14ac:dyDescent="0.25">
      <c r="A1350" t="s">
        <v>1657</v>
      </c>
      <c r="B1350" t="s">
        <v>427</v>
      </c>
      <c r="C1350" t="s">
        <v>38</v>
      </c>
      <c r="D1350" s="1">
        <v>44939</v>
      </c>
      <c r="E1350">
        <v>13</v>
      </c>
      <c r="F1350">
        <v>63.413216128417901</v>
      </c>
      <c r="G1350" s="1">
        <v>44950</v>
      </c>
      <c r="H1350" s="1">
        <v>44956</v>
      </c>
      <c r="I1350">
        <v>824.37180966943299</v>
      </c>
      <c r="J1350">
        <f t="shared" si="126"/>
        <v>6</v>
      </c>
      <c r="K1350" t="str">
        <f>VLOOKUP(B1350,Raw_Suppliers!$A$2:$G$101,2,FALSE)</f>
        <v>Nova Alpha Corp</v>
      </c>
      <c r="L1350" t="str">
        <f>VLOOKUP(B1350,Raw_Suppliers!$A$2:$G$101,3,FALSE)</f>
        <v>Denmark</v>
      </c>
      <c r="M1350" t="str">
        <f>VLOOKUP(B1350,Raw_Suppliers!$A$2:$G$101,4,FALSE)</f>
        <v>Central</v>
      </c>
      <c r="N1350" t="str">
        <f>VLOOKUP(B1350,Raw_Suppliers!$A$2:$G$101,6,FALSE)</f>
        <v>None</v>
      </c>
      <c r="O1350">
        <f>VLOOKUP(B1350,Raw_Suppliers!$A$2:$G$101,7,FALSE)</f>
        <v>0</v>
      </c>
      <c r="P1350" t="str">
        <f t="shared" si="127"/>
        <v>No</v>
      </c>
      <c r="Q1350">
        <f t="shared" si="128"/>
        <v>0</v>
      </c>
      <c r="R1350" t="str">
        <f t="shared" si="129"/>
        <v>Late</v>
      </c>
      <c r="S1350">
        <f t="shared" si="130"/>
        <v>2023</v>
      </c>
      <c r="T1350">
        <f t="shared" si="131"/>
        <v>1</v>
      </c>
    </row>
    <row r="1351" spans="1:20" x14ac:dyDescent="0.25">
      <c r="A1351" t="s">
        <v>1658</v>
      </c>
      <c r="B1351" t="s">
        <v>242</v>
      </c>
      <c r="C1351" t="s">
        <v>228</v>
      </c>
      <c r="D1351" s="1">
        <v>45253</v>
      </c>
      <c r="E1351">
        <v>14</v>
      </c>
      <c r="F1351">
        <v>30.471357458742801</v>
      </c>
      <c r="G1351" s="1">
        <v>45272</v>
      </c>
      <c r="H1351" s="1">
        <v>45277</v>
      </c>
      <c r="I1351">
        <v>426.59900442239899</v>
      </c>
      <c r="J1351">
        <f t="shared" si="126"/>
        <v>5</v>
      </c>
      <c r="K1351" t="str">
        <f>VLOOKUP(B1351,Raw_Suppliers!$A$2:$G$101,2,FALSE)</f>
        <v>Omega Nova GmbH</v>
      </c>
      <c r="L1351" t="str">
        <f>VLOOKUP(B1351,Raw_Suppliers!$A$2:$G$101,3,FALSE)</f>
        <v>Denmark</v>
      </c>
      <c r="M1351" t="str">
        <f>VLOOKUP(B1351,Raw_Suppliers!$A$2:$G$101,4,FALSE)</f>
        <v>East</v>
      </c>
      <c r="N1351" t="str">
        <f>VLOOKUP(B1351,Raw_Suppliers!$A$2:$G$101,6,FALSE)</f>
        <v>ISO 45001</v>
      </c>
      <c r="O1351">
        <f>VLOOKUP(B1351,Raw_Suppliers!$A$2:$G$101,7,FALSE)</f>
        <v>0</v>
      </c>
      <c r="P1351" t="str">
        <f t="shared" si="127"/>
        <v>No</v>
      </c>
      <c r="Q1351">
        <f t="shared" si="128"/>
        <v>0</v>
      </c>
      <c r="R1351" t="str">
        <f t="shared" si="129"/>
        <v>Late</v>
      </c>
      <c r="S1351">
        <f t="shared" si="130"/>
        <v>2023</v>
      </c>
      <c r="T1351">
        <f t="shared" si="131"/>
        <v>11</v>
      </c>
    </row>
    <row r="1352" spans="1:20" x14ac:dyDescent="0.25">
      <c r="A1352" t="s">
        <v>1659</v>
      </c>
      <c r="B1352" t="s">
        <v>73</v>
      </c>
      <c r="C1352" t="s">
        <v>462</v>
      </c>
      <c r="D1352" s="1">
        <v>44904</v>
      </c>
      <c r="E1352">
        <v>11</v>
      </c>
      <c r="F1352">
        <v>79.447128537975004</v>
      </c>
      <c r="G1352" s="1">
        <v>44922</v>
      </c>
      <c r="H1352" s="1">
        <v>44927</v>
      </c>
      <c r="I1352">
        <v>873.91841391772505</v>
      </c>
      <c r="J1352">
        <f t="shared" si="126"/>
        <v>5</v>
      </c>
      <c r="K1352" t="str">
        <f>VLOOKUP(B1352,Raw_Suppliers!$A$2:$G$101,2,FALSE)</f>
        <v>Gamma Quantum LLC</v>
      </c>
      <c r="L1352" t="str">
        <f>VLOOKUP(B1352,Raw_Suppliers!$A$2:$G$101,3,FALSE)</f>
        <v>Germany</v>
      </c>
      <c r="M1352" t="str">
        <f>VLOOKUP(B1352,Raw_Suppliers!$A$2:$G$101,4,FALSE)</f>
        <v>Central</v>
      </c>
      <c r="N1352" t="str">
        <f>VLOOKUP(B1352,Raw_Suppliers!$A$2:$G$101,6,FALSE)</f>
        <v>ISO 9001</v>
      </c>
      <c r="O1352">
        <f>VLOOKUP(B1352,Raw_Suppliers!$A$2:$G$101,7,FALSE)</f>
        <v>1</v>
      </c>
      <c r="P1352" t="str">
        <f t="shared" si="127"/>
        <v>Yes</v>
      </c>
      <c r="Q1352">
        <f t="shared" si="128"/>
        <v>0</v>
      </c>
      <c r="R1352" t="str">
        <f t="shared" si="129"/>
        <v>Late</v>
      </c>
      <c r="S1352">
        <f t="shared" si="130"/>
        <v>2022</v>
      </c>
      <c r="T1352">
        <f t="shared" si="131"/>
        <v>12</v>
      </c>
    </row>
    <row r="1353" spans="1:20" x14ac:dyDescent="0.25">
      <c r="A1353" t="s">
        <v>1660</v>
      </c>
      <c r="B1353" t="s">
        <v>451</v>
      </c>
      <c r="C1353" t="s">
        <v>23</v>
      </c>
      <c r="D1353" s="1">
        <v>44797</v>
      </c>
      <c r="E1353">
        <v>7</v>
      </c>
      <c r="F1353">
        <v>41.338164521100403</v>
      </c>
      <c r="G1353" s="1">
        <v>44819</v>
      </c>
      <c r="H1353" s="1">
        <v>44819</v>
      </c>
      <c r="I1353">
        <v>289.367151647703</v>
      </c>
      <c r="J1353">
        <f t="shared" si="126"/>
        <v>0</v>
      </c>
      <c r="K1353" t="str">
        <f>VLOOKUP(B1353,Raw_Suppliers!$A$2:$G$101,2,FALSE)</f>
        <v>Beta Apex Corp</v>
      </c>
      <c r="L1353" t="str">
        <f>VLOOKUP(B1353,Raw_Suppliers!$A$2:$G$101,3,FALSE)</f>
        <v>India</v>
      </c>
      <c r="M1353" t="str">
        <f>VLOOKUP(B1353,Raw_Suppliers!$A$2:$G$101,4,FALSE)</f>
        <v>Central</v>
      </c>
      <c r="N1353" t="str">
        <f>VLOOKUP(B1353,Raw_Suppliers!$A$2:$G$101,6,FALSE)</f>
        <v>ISO 9001</v>
      </c>
      <c r="O1353">
        <f>VLOOKUP(B1353,Raw_Suppliers!$A$2:$G$101,7,FALSE)</f>
        <v>0</v>
      </c>
      <c r="P1353" t="str">
        <f t="shared" si="127"/>
        <v>No</v>
      </c>
      <c r="Q1353">
        <f t="shared" si="128"/>
        <v>1</v>
      </c>
      <c r="R1353" t="str">
        <f t="shared" si="129"/>
        <v>On Time</v>
      </c>
      <c r="S1353">
        <f t="shared" si="130"/>
        <v>2022</v>
      </c>
      <c r="T1353">
        <f t="shared" si="131"/>
        <v>8</v>
      </c>
    </row>
    <row r="1354" spans="1:20" x14ac:dyDescent="0.25">
      <c r="A1354" t="s">
        <v>1661</v>
      </c>
      <c r="B1354" t="s">
        <v>475</v>
      </c>
      <c r="C1354" t="s">
        <v>380</v>
      </c>
      <c r="D1354" s="1">
        <v>44692</v>
      </c>
      <c r="E1354">
        <v>12</v>
      </c>
      <c r="F1354">
        <v>3.2109819305038401</v>
      </c>
      <c r="G1354" s="1">
        <v>44711</v>
      </c>
      <c r="H1354" s="1">
        <v>44710</v>
      </c>
      <c r="I1354">
        <v>38.531783166046097</v>
      </c>
      <c r="J1354">
        <f t="shared" si="126"/>
        <v>-1</v>
      </c>
      <c r="K1354" t="str">
        <f>VLOOKUP(B1354,Raw_Suppliers!$A$2:$G$101,2,FALSE)</f>
        <v>Ultra Delta LLC</v>
      </c>
      <c r="L1354" t="str">
        <f>VLOOKUP(B1354,Raw_Suppliers!$A$2:$G$101,3,FALSE)</f>
        <v>UK</v>
      </c>
      <c r="M1354" t="str">
        <f>VLOOKUP(B1354,Raw_Suppliers!$A$2:$G$101,4,FALSE)</f>
        <v>North</v>
      </c>
      <c r="N1354" t="str">
        <f>VLOOKUP(B1354,Raw_Suppliers!$A$2:$G$101,6,FALSE)</f>
        <v>None</v>
      </c>
      <c r="O1354">
        <f>VLOOKUP(B1354,Raw_Suppliers!$A$2:$G$101,7,FALSE)</f>
        <v>1</v>
      </c>
      <c r="P1354" t="str">
        <f t="shared" si="127"/>
        <v>Yes</v>
      </c>
      <c r="Q1354">
        <f t="shared" si="128"/>
        <v>1</v>
      </c>
      <c r="R1354" t="str">
        <f t="shared" si="129"/>
        <v>On Time</v>
      </c>
      <c r="S1354">
        <f t="shared" si="130"/>
        <v>2022</v>
      </c>
      <c r="T1354">
        <f t="shared" si="131"/>
        <v>5</v>
      </c>
    </row>
    <row r="1355" spans="1:20" x14ac:dyDescent="0.25">
      <c r="A1355" t="s">
        <v>1662</v>
      </c>
      <c r="B1355" t="s">
        <v>411</v>
      </c>
      <c r="C1355" t="s">
        <v>117</v>
      </c>
      <c r="D1355" s="1">
        <v>44623</v>
      </c>
      <c r="E1355">
        <v>16</v>
      </c>
      <c r="F1355">
        <v>75.0830136377256</v>
      </c>
      <c r="G1355" s="1">
        <v>44635</v>
      </c>
      <c r="H1355" s="1">
        <v>44639</v>
      </c>
      <c r="I1355">
        <v>1201.32821820361</v>
      </c>
      <c r="J1355">
        <f t="shared" si="126"/>
        <v>4</v>
      </c>
      <c r="K1355" t="str">
        <f>VLOOKUP(B1355,Raw_Suppliers!$A$2:$G$101,2,FALSE)</f>
        <v>Gamma Nova LLC</v>
      </c>
      <c r="L1355" t="str">
        <f>VLOOKUP(B1355,Raw_Suppliers!$A$2:$G$101,3,FALSE)</f>
        <v>Brazil</v>
      </c>
      <c r="M1355" t="str">
        <f>VLOOKUP(B1355,Raw_Suppliers!$A$2:$G$101,4,FALSE)</f>
        <v>North</v>
      </c>
      <c r="N1355" t="str">
        <f>VLOOKUP(B1355,Raw_Suppliers!$A$2:$G$101,6,FALSE)</f>
        <v>ISO 14001</v>
      </c>
      <c r="O1355">
        <f>VLOOKUP(B1355,Raw_Suppliers!$A$2:$G$101,7,FALSE)</f>
        <v>1</v>
      </c>
      <c r="P1355" t="str">
        <f t="shared" si="127"/>
        <v>Yes</v>
      </c>
      <c r="Q1355">
        <f t="shared" si="128"/>
        <v>0</v>
      </c>
      <c r="R1355" t="str">
        <f t="shared" si="129"/>
        <v>Late</v>
      </c>
      <c r="S1355">
        <f t="shared" si="130"/>
        <v>2022</v>
      </c>
      <c r="T1355">
        <f t="shared" si="131"/>
        <v>3</v>
      </c>
    </row>
    <row r="1356" spans="1:20" x14ac:dyDescent="0.25">
      <c r="A1356" t="s">
        <v>1663</v>
      </c>
      <c r="B1356" t="s">
        <v>49</v>
      </c>
      <c r="C1356" t="s">
        <v>691</v>
      </c>
      <c r="D1356" s="1">
        <v>44773</v>
      </c>
      <c r="E1356">
        <v>20</v>
      </c>
      <c r="F1356">
        <v>40.728325654877899</v>
      </c>
      <c r="G1356" s="1">
        <v>44796</v>
      </c>
      <c r="H1356" s="1">
        <v>44793</v>
      </c>
      <c r="I1356">
        <v>814.56651309755898</v>
      </c>
      <c r="J1356">
        <f t="shared" si="126"/>
        <v>-3</v>
      </c>
      <c r="K1356" t="str">
        <f>VLOOKUP(B1356,Raw_Suppliers!$A$2:$G$101,2,FALSE)</f>
        <v>Prime Prime Corp</v>
      </c>
      <c r="L1356" t="str">
        <f>VLOOKUP(B1356,Raw_Suppliers!$A$2:$G$101,3,FALSE)</f>
        <v>China</v>
      </c>
      <c r="M1356" t="str">
        <f>VLOOKUP(B1356,Raw_Suppliers!$A$2:$G$101,4,FALSE)</f>
        <v>North</v>
      </c>
      <c r="N1356" t="str">
        <f>VLOOKUP(B1356,Raw_Suppliers!$A$2:$G$101,6,FALSE)</f>
        <v>ISO 45001</v>
      </c>
      <c r="O1356">
        <f>VLOOKUP(B1356,Raw_Suppliers!$A$2:$G$101,7,FALSE)</f>
        <v>0</v>
      </c>
      <c r="P1356" t="str">
        <f t="shared" si="127"/>
        <v>No</v>
      </c>
      <c r="Q1356">
        <f t="shared" si="128"/>
        <v>1</v>
      </c>
      <c r="R1356" t="str">
        <f t="shared" si="129"/>
        <v>On Time</v>
      </c>
      <c r="S1356">
        <f t="shared" si="130"/>
        <v>2022</v>
      </c>
      <c r="T1356">
        <f t="shared" si="131"/>
        <v>7</v>
      </c>
    </row>
    <row r="1357" spans="1:20" x14ac:dyDescent="0.25">
      <c r="A1357" t="s">
        <v>1664</v>
      </c>
      <c r="B1357" t="s">
        <v>247</v>
      </c>
      <c r="C1357" t="s">
        <v>383</v>
      </c>
      <c r="D1357" s="1">
        <v>44779</v>
      </c>
      <c r="E1357">
        <v>10</v>
      </c>
      <c r="F1357">
        <v>46.490504428629997</v>
      </c>
      <c r="G1357" s="1">
        <v>44792</v>
      </c>
      <c r="H1357" s="1">
        <v>44797</v>
      </c>
      <c r="I1357">
        <v>464.90504428629998</v>
      </c>
      <c r="J1357">
        <f t="shared" si="126"/>
        <v>5</v>
      </c>
      <c r="K1357" t="str">
        <f>VLOOKUP(B1357,Raw_Suppliers!$A$2:$G$101,2,FALSE)</f>
        <v>Ultra Apex LLC</v>
      </c>
      <c r="L1357" t="str">
        <f>VLOOKUP(B1357,Raw_Suppliers!$A$2:$G$101,3,FALSE)</f>
        <v>Germany</v>
      </c>
      <c r="M1357" t="str">
        <f>VLOOKUP(B1357,Raw_Suppliers!$A$2:$G$101,4,FALSE)</f>
        <v>West</v>
      </c>
      <c r="N1357" t="str">
        <f>VLOOKUP(B1357,Raw_Suppliers!$A$2:$G$101,6,FALSE)</f>
        <v>ISO 9001</v>
      </c>
      <c r="O1357">
        <f>VLOOKUP(B1357,Raw_Suppliers!$A$2:$G$101,7,FALSE)</f>
        <v>0</v>
      </c>
      <c r="P1357" t="str">
        <f t="shared" si="127"/>
        <v>No</v>
      </c>
      <c r="Q1357">
        <f t="shared" si="128"/>
        <v>0</v>
      </c>
      <c r="R1357" t="str">
        <f t="shared" si="129"/>
        <v>Late</v>
      </c>
      <c r="S1357">
        <f t="shared" si="130"/>
        <v>2022</v>
      </c>
      <c r="T1357">
        <f t="shared" si="131"/>
        <v>8</v>
      </c>
    </row>
    <row r="1358" spans="1:20" x14ac:dyDescent="0.25">
      <c r="A1358" t="s">
        <v>1665</v>
      </c>
      <c r="B1358" t="s">
        <v>394</v>
      </c>
      <c r="C1358" t="s">
        <v>413</v>
      </c>
      <c r="D1358" s="1">
        <v>45324</v>
      </c>
      <c r="E1358">
        <v>10</v>
      </c>
      <c r="F1358">
        <v>7.5946994263204699</v>
      </c>
      <c r="G1358" s="1">
        <v>45334</v>
      </c>
      <c r="H1358" s="1">
        <v>45337</v>
      </c>
      <c r="I1358">
        <v>75.946994263204701</v>
      </c>
      <c r="J1358">
        <f t="shared" si="126"/>
        <v>3</v>
      </c>
      <c r="K1358" t="str">
        <f>VLOOKUP(B1358,Raw_Suppliers!$A$2:$G$101,2,FALSE)</f>
        <v>Ultra Prime Inc</v>
      </c>
      <c r="L1358" t="str">
        <f>VLOOKUP(B1358,Raw_Suppliers!$A$2:$G$101,3,FALSE)</f>
        <v>Brazil</v>
      </c>
      <c r="M1358" t="str">
        <f>VLOOKUP(B1358,Raw_Suppliers!$A$2:$G$101,4,FALSE)</f>
        <v>West</v>
      </c>
      <c r="N1358" t="str">
        <f>VLOOKUP(B1358,Raw_Suppliers!$A$2:$G$101,6,FALSE)</f>
        <v>ISO 9001</v>
      </c>
      <c r="O1358">
        <f>VLOOKUP(B1358,Raw_Suppliers!$A$2:$G$101,7,FALSE)</f>
        <v>1</v>
      </c>
      <c r="P1358" t="str">
        <f t="shared" si="127"/>
        <v>Yes</v>
      </c>
      <c r="Q1358">
        <f t="shared" si="128"/>
        <v>0</v>
      </c>
      <c r="R1358" t="str">
        <f t="shared" si="129"/>
        <v>Late</v>
      </c>
      <c r="S1358">
        <f t="shared" si="130"/>
        <v>2024</v>
      </c>
      <c r="T1358">
        <f t="shared" si="131"/>
        <v>2</v>
      </c>
    </row>
    <row r="1359" spans="1:20" x14ac:dyDescent="0.25">
      <c r="A1359" t="s">
        <v>1666</v>
      </c>
      <c r="B1359" t="s">
        <v>31</v>
      </c>
      <c r="C1359" t="s">
        <v>68</v>
      </c>
      <c r="D1359" s="1">
        <v>44744</v>
      </c>
      <c r="E1359">
        <v>12</v>
      </c>
      <c r="F1359">
        <v>39.912417614107198</v>
      </c>
      <c r="G1359" s="1">
        <v>44757</v>
      </c>
      <c r="H1359" s="1">
        <v>44755</v>
      </c>
      <c r="I1359">
        <v>478.94901136928598</v>
      </c>
      <c r="J1359">
        <f t="shared" si="126"/>
        <v>-2</v>
      </c>
      <c r="K1359" t="str">
        <f>VLOOKUP(B1359,Raw_Suppliers!$A$2:$G$101,2,FALSE)</f>
        <v>Nova Nano GmbH</v>
      </c>
      <c r="L1359" t="str">
        <f>VLOOKUP(B1359,Raw_Suppliers!$A$2:$G$101,3,FALSE)</f>
        <v>Denmark</v>
      </c>
      <c r="M1359" t="str">
        <f>VLOOKUP(B1359,Raw_Suppliers!$A$2:$G$101,4,FALSE)</f>
        <v>South</v>
      </c>
      <c r="N1359" t="str">
        <f>VLOOKUP(B1359,Raw_Suppliers!$A$2:$G$101,6,FALSE)</f>
        <v>ISO 14001</v>
      </c>
      <c r="O1359">
        <f>VLOOKUP(B1359,Raw_Suppliers!$A$2:$G$101,7,FALSE)</f>
        <v>1</v>
      </c>
      <c r="P1359" t="str">
        <f t="shared" si="127"/>
        <v>Yes</v>
      </c>
      <c r="Q1359">
        <f t="shared" si="128"/>
        <v>1</v>
      </c>
      <c r="R1359" t="str">
        <f t="shared" si="129"/>
        <v>On Time</v>
      </c>
      <c r="S1359">
        <f t="shared" si="130"/>
        <v>2022</v>
      </c>
      <c r="T1359">
        <f t="shared" si="131"/>
        <v>7</v>
      </c>
    </row>
    <row r="1360" spans="1:20" x14ac:dyDescent="0.25">
      <c r="A1360" t="s">
        <v>1667</v>
      </c>
      <c r="B1360" t="s">
        <v>82</v>
      </c>
      <c r="C1360" t="s">
        <v>86</v>
      </c>
      <c r="D1360" s="1">
        <v>45235</v>
      </c>
      <c r="E1360">
        <v>11</v>
      </c>
      <c r="F1360">
        <v>31.657352984551199</v>
      </c>
      <c r="G1360" s="1">
        <v>45250</v>
      </c>
      <c r="H1360" s="1">
        <v>45253</v>
      </c>
      <c r="I1360">
        <v>348.23088283006399</v>
      </c>
      <c r="J1360">
        <f t="shared" si="126"/>
        <v>3</v>
      </c>
      <c r="K1360" t="str">
        <f>VLOOKUP(B1360,Raw_Suppliers!$A$2:$G$101,2,FALSE)</f>
        <v>Gamma Quantum LLC</v>
      </c>
      <c r="L1360" t="str">
        <f>VLOOKUP(B1360,Raw_Suppliers!$A$2:$G$101,3,FALSE)</f>
        <v>Canada</v>
      </c>
      <c r="M1360" t="str">
        <f>VLOOKUP(B1360,Raw_Suppliers!$A$2:$G$101,4,FALSE)</f>
        <v>Central</v>
      </c>
      <c r="N1360" t="str">
        <f>VLOOKUP(B1360,Raw_Suppliers!$A$2:$G$101,6,FALSE)</f>
        <v>None</v>
      </c>
      <c r="O1360">
        <f>VLOOKUP(B1360,Raw_Suppliers!$A$2:$G$101,7,FALSE)</f>
        <v>1</v>
      </c>
      <c r="P1360" t="str">
        <f t="shared" si="127"/>
        <v>Yes</v>
      </c>
      <c r="Q1360">
        <f t="shared" si="128"/>
        <v>0</v>
      </c>
      <c r="R1360" t="str">
        <f t="shared" si="129"/>
        <v>Late</v>
      </c>
      <c r="S1360">
        <f t="shared" si="130"/>
        <v>2023</v>
      </c>
      <c r="T1360">
        <f t="shared" si="131"/>
        <v>11</v>
      </c>
    </row>
    <row r="1361" spans="1:20" x14ac:dyDescent="0.25">
      <c r="A1361" t="s">
        <v>1668</v>
      </c>
      <c r="B1361" t="s">
        <v>28</v>
      </c>
      <c r="C1361" t="s">
        <v>224</v>
      </c>
      <c r="D1361" s="1">
        <v>44892</v>
      </c>
      <c r="E1361">
        <v>13</v>
      </c>
      <c r="F1361">
        <v>72.512917065646505</v>
      </c>
      <c r="G1361" s="1">
        <v>44902</v>
      </c>
      <c r="H1361" s="1">
        <v>44905</v>
      </c>
      <c r="I1361">
        <v>942.66792185340501</v>
      </c>
      <c r="J1361">
        <f t="shared" si="126"/>
        <v>3</v>
      </c>
      <c r="K1361" t="str">
        <f>VLOOKUP(B1361,Raw_Suppliers!$A$2:$G$101,2,FALSE)</f>
        <v>Fusion Vertex Inc</v>
      </c>
      <c r="L1361" t="str">
        <f>VLOOKUP(B1361,Raw_Suppliers!$A$2:$G$101,3,FALSE)</f>
        <v>Denmark</v>
      </c>
      <c r="M1361" t="str">
        <f>VLOOKUP(B1361,Raw_Suppliers!$A$2:$G$101,4,FALSE)</f>
        <v>Central</v>
      </c>
      <c r="N1361" t="str">
        <f>VLOOKUP(B1361,Raw_Suppliers!$A$2:$G$101,6,FALSE)</f>
        <v>ISO 45001</v>
      </c>
      <c r="O1361">
        <f>VLOOKUP(B1361,Raw_Suppliers!$A$2:$G$101,7,FALSE)</f>
        <v>0</v>
      </c>
      <c r="P1361" t="str">
        <f t="shared" si="127"/>
        <v>No</v>
      </c>
      <c r="Q1361">
        <f t="shared" si="128"/>
        <v>0</v>
      </c>
      <c r="R1361" t="str">
        <f t="shared" si="129"/>
        <v>Late</v>
      </c>
      <c r="S1361">
        <f t="shared" si="130"/>
        <v>2022</v>
      </c>
      <c r="T1361">
        <f t="shared" si="131"/>
        <v>11</v>
      </c>
    </row>
    <row r="1362" spans="1:20" x14ac:dyDescent="0.25">
      <c r="A1362" t="s">
        <v>1669</v>
      </c>
      <c r="B1362" t="s">
        <v>379</v>
      </c>
      <c r="C1362" t="s">
        <v>346</v>
      </c>
      <c r="D1362" s="1">
        <v>44544</v>
      </c>
      <c r="E1362">
        <v>10</v>
      </c>
      <c r="F1362">
        <v>70.225962227351005</v>
      </c>
      <c r="G1362" s="1">
        <v>44560</v>
      </c>
      <c r="H1362" s="1">
        <v>44562</v>
      </c>
      <c r="I1362">
        <v>702.25962227350999</v>
      </c>
      <c r="J1362">
        <f t="shared" si="126"/>
        <v>2</v>
      </c>
      <c r="K1362" t="str">
        <f>VLOOKUP(B1362,Raw_Suppliers!$A$2:$G$101,2,FALSE)</f>
        <v>Apex Fusion Ltd</v>
      </c>
      <c r="L1362" t="str">
        <f>VLOOKUP(B1362,Raw_Suppliers!$A$2:$G$101,3,FALSE)</f>
        <v>USA</v>
      </c>
      <c r="M1362" t="str">
        <f>VLOOKUP(B1362,Raw_Suppliers!$A$2:$G$101,4,FALSE)</f>
        <v>East</v>
      </c>
      <c r="N1362" t="str">
        <f>VLOOKUP(B1362,Raw_Suppliers!$A$2:$G$101,6,FALSE)</f>
        <v>ISO 14001</v>
      </c>
      <c r="O1362">
        <f>VLOOKUP(B1362,Raw_Suppliers!$A$2:$G$101,7,FALSE)</f>
        <v>1</v>
      </c>
      <c r="P1362" t="str">
        <f t="shared" si="127"/>
        <v>Yes</v>
      </c>
      <c r="Q1362">
        <f t="shared" si="128"/>
        <v>0</v>
      </c>
      <c r="R1362" t="str">
        <f t="shared" si="129"/>
        <v>Late</v>
      </c>
      <c r="S1362">
        <f t="shared" si="130"/>
        <v>2021</v>
      </c>
      <c r="T1362">
        <f t="shared" si="131"/>
        <v>12</v>
      </c>
    </row>
    <row r="1363" spans="1:20" x14ac:dyDescent="0.25">
      <c r="A1363" t="s">
        <v>1670</v>
      </c>
      <c r="B1363" t="s">
        <v>121</v>
      </c>
      <c r="C1363" t="s">
        <v>396</v>
      </c>
      <c r="D1363" s="1">
        <v>44302</v>
      </c>
      <c r="E1363">
        <v>12</v>
      </c>
      <c r="F1363">
        <v>37.283731481274003</v>
      </c>
      <c r="G1363" s="1">
        <v>44326</v>
      </c>
      <c r="H1363" s="1">
        <v>44325</v>
      </c>
      <c r="I1363">
        <v>447.40477777528798</v>
      </c>
      <c r="J1363">
        <f t="shared" si="126"/>
        <v>-1</v>
      </c>
      <c r="K1363" t="str">
        <f>VLOOKUP(B1363,Raw_Suppliers!$A$2:$G$101,2,FALSE)</f>
        <v>Vertex Vertex Inc</v>
      </c>
      <c r="L1363" t="str">
        <f>VLOOKUP(B1363,Raw_Suppliers!$A$2:$G$101,3,FALSE)</f>
        <v>USA</v>
      </c>
      <c r="M1363" t="str">
        <f>VLOOKUP(B1363,Raw_Suppliers!$A$2:$G$101,4,FALSE)</f>
        <v>West</v>
      </c>
      <c r="N1363" t="str">
        <f>VLOOKUP(B1363,Raw_Suppliers!$A$2:$G$101,6,FALSE)</f>
        <v>None</v>
      </c>
      <c r="O1363">
        <f>VLOOKUP(B1363,Raw_Suppliers!$A$2:$G$101,7,FALSE)</f>
        <v>0</v>
      </c>
      <c r="P1363" t="str">
        <f t="shared" si="127"/>
        <v>No</v>
      </c>
      <c r="Q1363">
        <f t="shared" si="128"/>
        <v>1</v>
      </c>
      <c r="R1363" t="str">
        <f t="shared" si="129"/>
        <v>On Time</v>
      </c>
      <c r="S1363">
        <f t="shared" si="130"/>
        <v>2021</v>
      </c>
      <c r="T1363">
        <f t="shared" si="131"/>
        <v>4</v>
      </c>
    </row>
    <row r="1364" spans="1:20" x14ac:dyDescent="0.25">
      <c r="A1364" t="s">
        <v>1671</v>
      </c>
      <c r="B1364" t="s">
        <v>686</v>
      </c>
      <c r="C1364" t="s">
        <v>701</v>
      </c>
      <c r="D1364" s="1">
        <v>45328</v>
      </c>
      <c r="E1364">
        <v>10</v>
      </c>
      <c r="F1364">
        <v>63.525971159392697</v>
      </c>
      <c r="G1364" s="1">
        <v>45346</v>
      </c>
      <c r="H1364" s="1">
        <v>45345</v>
      </c>
      <c r="I1364">
        <v>635.25971159392702</v>
      </c>
      <c r="J1364">
        <f t="shared" si="126"/>
        <v>-1</v>
      </c>
      <c r="K1364" t="str">
        <f>VLOOKUP(B1364,Raw_Suppliers!$A$2:$G$101,2,FALSE)</f>
        <v>Eco Gamma GmbH</v>
      </c>
      <c r="L1364" t="str">
        <f>VLOOKUP(B1364,Raw_Suppliers!$A$2:$G$101,3,FALSE)</f>
        <v>China</v>
      </c>
      <c r="M1364" t="str">
        <f>VLOOKUP(B1364,Raw_Suppliers!$A$2:$G$101,4,FALSE)</f>
        <v>South</v>
      </c>
      <c r="N1364" t="str">
        <f>VLOOKUP(B1364,Raw_Suppliers!$A$2:$G$101,6,FALSE)</f>
        <v>ISO 9001</v>
      </c>
      <c r="O1364">
        <f>VLOOKUP(B1364,Raw_Suppliers!$A$2:$G$101,7,FALSE)</f>
        <v>0</v>
      </c>
      <c r="P1364" t="str">
        <f t="shared" si="127"/>
        <v>No</v>
      </c>
      <c r="Q1364">
        <f t="shared" si="128"/>
        <v>1</v>
      </c>
      <c r="R1364" t="str">
        <f t="shared" si="129"/>
        <v>On Time</v>
      </c>
      <c r="S1364">
        <f t="shared" si="130"/>
        <v>2024</v>
      </c>
      <c r="T1364">
        <f t="shared" si="131"/>
        <v>2</v>
      </c>
    </row>
    <row r="1365" spans="1:20" x14ac:dyDescent="0.25">
      <c r="A1365" t="s">
        <v>1672</v>
      </c>
      <c r="B1365" t="s">
        <v>34</v>
      </c>
      <c r="C1365" t="s">
        <v>432</v>
      </c>
      <c r="D1365" s="1">
        <v>44567</v>
      </c>
      <c r="E1365">
        <v>11</v>
      </c>
      <c r="F1365">
        <v>37.568346471567601</v>
      </c>
      <c r="G1365" s="1">
        <v>44582</v>
      </c>
      <c r="H1365" s="1">
        <v>44582</v>
      </c>
      <c r="I1365">
        <v>413.25181118724402</v>
      </c>
      <c r="J1365">
        <f t="shared" si="126"/>
        <v>0</v>
      </c>
      <c r="K1365" t="str">
        <f>VLOOKUP(B1365,Raw_Suppliers!$A$2:$G$101,2,FALSE)</f>
        <v>Omega Alpha Corp</v>
      </c>
      <c r="L1365" t="str">
        <f>VLOOKUP(B1365,Raw_Suppliers!$A$2:$G$101,3,FALSE)</f>
        <v>UK</v>
      </c>
      <c r="M1365" t="str">
        <f>VLOOKUP(B1365,Raw_Suppliers!$A$2:$G$101,4,FALSE)</f>
        <v>West</v>
      </c>
      <c r="N1365" t="str">
        <f>VLOOKUP(B1365,Raw_Suppliers!$A$2:$G$101,6,FALSE)</f>
        <v>ISO 45001</v>
      </c>
      <c r="O1365">
        <f>VLOOKUP(B1365,Raw_Suppliers!$A$2:$G$101,7,FALSE)</f>
        <v>0</v>
      </c>
      <c r="P1365" t="str">
        <f t="shared" si="127"/>
        <v>No</v>
      </c>
      <c r="Q1365">
        <f t="shared" si="128"/>
        <v>1</v>
      </c>
      <c r="R1365" t="str">
        <f t="shared" si="129"/>
        <v>On Time</v>
      </c>
      <c r="S1365">
        <f t="shared" si="130"/>
        <v>2022</v>
      </c>
      <c r="T1365">
        <f t="shared" si="131"/>
        <v>1</v>
      </c>
    </row>
    <row r="1366" spans="1:20" x14ac:dyDescent="0.25">
      <c r="A1366" t="s">
        <v>1673</v>
      </c>
      <c r="B1366" t="s">
        <v>119</v>
      </c>
      <c r="C1366" t="s">
        <v>818</v>
      </c>
      <c r="D1366" s="1">
        <v>44898</v>
      </c>
      <c r="E1366">
        <v>15</v>
      </c>
      <c r="F1366">
        <v>74.288360605538401</v>
      </c>
      <c r="G1366" s="1">
        <v>44922</v>
      </c>
      <c r="H1366" s="1">
        <v>44920</v>
      </c>
      <c r="I1366">
        <v>1114.3254090830701</v>
      </c>
      <c r="J1366">
        <f t="shared" si="126"/>
        <v>-2</v>
      </c>
      <c r="K1366" t="str">
        <f>VLOOKUP(B1366,Raw_Suppliers!$A$2:$G$101,2,FALSE)</f>
        <v>Pioneer Apex Corp</v>
      </c>
      <c r="L1366" t="str">
        <f>VLOOKUP(B1366,Raw_Suppliers!$A$2:$G$101,3,FALSE)</f>
        <v>USA</v>
      </c>
      <c r="M1366" t="str">
        <f>VLOOKUP(B1366,Raw_Suppliers!$A$2:$G$101,4,FALSE)</f>
        <v>Central</v>
      </c>
      <c r="N1366" t="str">
        <f>VLOOKUP(B1366,Raw_Suppliers!$A$2:$G$101,6,FALSE)</f>
        <v>None</v>
      </c>
      <c r="O1366">
        <f>VLOOKUP(B1366,Raw_Suppliers!$A$2:$G$101,7,FALSE)</f>
        <v>0</v>
      </c>
      <c r="P1366" t="str">
        <f t="shared" si="127"/>
        <v>No</v>
      </c>
      <c r="Q1366">
        <f t="shared" si="128"/>
        <v>1</v>
      </c>
      <c r="R1366" t="str">
        <f t="shared" si="129"/>
        <v>On Time</v>
      </c>
      <c r="S1366">
        <f t="shared" si="130"/>
        <v>2022</v>
      </c>
      <c r="T1366">
        <f t="shared" si="131"/>
        <v>12</v>
      </c>
    </row>
    <row r="1367" spans="1:20" x14ac:dyDescent="0.25">
      <c r="A1367" t="s">
        <v>1674</v>
      </c>
      <c r="B1367" t="s">
        <v>58</v>
      </c>
      <c r="C1367" t="s">
        <v>117</v>
      </c>
      <c r="D1367" s="1">
        <v>44708</v>
      </c>
      <c r="E1367">
        <v>8</v>
      </c>
      <c r="F1367">
        <v>54.647194381151898</v>
      </c>
      <c r="G1367" s="1">
        <v>44718</v>
      </c>
      <c r="H1367" s="1">
        <v>44716</v>
      </c>
      <c r="I1367">
        <v>437.17755504921502</v>
      </c>
      <c r="J1367">
        <f t="shared" si="126"/>
        <v>-2</v>
      </c>
      <c r="K1367" t="str">
        <f>VLOOKUP(B1367,Raw_Suppliers!$A$2:$G$101,2,FALSE)</f>
        <v>Quantum Nano Inc</v>
      </c>
      <c r="L1367" t="str">
        <f>VLOOKUP(B1367,Raw_Suppliers!$A$2:$G$101,3,FALSE)</f>
        <v>Brazil</v>
      </c>
      <c r="M1367" t="str">
        <f>VLOOKUP(B1367,Raw_Suppliers!$A$2:$G$101,4,FALSE)</f>
        <v>East</v>
      </c>
      <c r="N1367" t="str">
        <f>VLOOKUP(B1367,Raw_Suppliers!$A$2:$G$101,6,FALSE)</f>
        <v>ISO 9001</v>
      </c>
      <c r="O1367">
        <f>VLOOKUP(B1367,Raw_Suppliers!$A$2:$G$101,7,FALSE)</f>
        <v>1</v>
      </c>
      <c r="P1367" t="str">
        <f t="shared" si="127"/>
        <v>Yes</v>
      </c>
      <c r="Q1367">
        <f t="shared" si="128"/>
        <v>1</v>
      </c>
      <c r="R1367" t="str">
        <f t="shared" si="129"/>
        <v>On Time</v>
      </c>
      <c r="S1367">
        <f t="shared" si="130"/>
        <v>2022</v>
      </c>
      <c r="T1367">
        <f t="shared" si="131"/>
        <v>5</v>
      </c>
    </row>
    <row r="1368" spans="1:20" x14ac:dyDescent="0.25">
      <c r="A1368" t="s">
        <v>1675</v>
      </c>
      <c r="B1368" t="s">
        <v>472</v>
      </c>
      <c r="C1368" t="s">
        <v>144</v>
      </c>
      <c r="D1368" s="1">
        <v>45142</v>
      </c>
      <c r="E1368">
        <v>11</v>
      </c>
      <c r="F1368">
        <v>55.786705333379899</v>
      </c>
      <c r="G1368" s="1">
        <v>45152</v>
      </c>
      <c r="H1368" s="1">
        <v>45151</v>
      </c>
      <c r="I1368">
        <v>613.65375866717898</v>
      </c>
      <c r="J1368">
        <f t="shared" si="126"/>
        <v>-1</v>
      </c>
      <c r="K1368" t="str">
        <f>VLOOKUP(B1368,Raw_Suppliers!$A$2:$G$101,2,FALSE)</f>
        <v>Pioneer Alpha Corp</v>
      </c>
      <c r="L1368" t="str">
        <f>VLOOKUP(B1368,Raw_Suppliers!$A$2:$G$101,3,FALSE)</f>
        <v>Canada</v>
      </c>
      <c r="M1368" t="str">
        <f>VLOOKUP(B1368,Raw_Suppliers!$A$2:$G$101,4,FALSE)</f>
        <v>North</v>
      </c>
      <c r="N1368" t="str">
        <f>VLOOKUP(B1368,Raw_Suppliers!$A$2:$G$101,6,FALSE)</f>
        <v>None</v>
      </c>
      <c r="O1368">
        <f>VLOOKUP(B1368,Raw_Suppliers!$A$2:$G$101,7,FALSE)</f>
        <v>1</v>
      </c>
      <c r="P1368" t="str">
        <f t="shared" si="127"/>
        <v>Yes</v>
      </c>
      <c r="Q1368">
        <f t="shared" si="128"/>
        <v>1</v>
      </c>
      <c r="R1368" t="str">
        <f t="shared" si="129"/>
        <v>On Time</v>
      </c>
      <c r="S1368">
        <f t="shared" si="130"/>
        <v>2023</v>
      </c>
      <c r="T1368">
        <f t="shared" si="131"/>
        <v>8</v>
      </c>
    </row>
    <row r="1369" spans="1:20" x14ac:dyDescent="0.25">
      <c r="A1369" t="s">
        <v>1676</v>
      </c>
      <c r="B1369" t="s">
        <v>16</v>
      </c>
      <c r="C1369" t="s">
        <v>71</v>
      </c>
      <c r="D1369" s="1">
        <v>44856</v>
      </c>
      <c r="E1369">
        <v>15</v>
      </c>
      <c r="F1369">
        <v>58.167978174453303</v>
      </c>
      <c r="G1369" s="1">
        <v>44869</v>
      </c>
      <c r="H1369" s="1">
        <v>44875</v>
      </c>
      <c r="I1369">
        <v>872.51967261679999</v>
      </c>
      <c r="J1369">
        <f t="shared" si="126"/>
        <v>6</v>
      </c>
      <c r="K1369" t="str">
        <f>VLOOKUP(B1369,Raw_Suppliers!$A$2:$G$101,2,FALSE)</f>
        <v>Beta Pioneer Inc</v>
      </c>
      <c r="L1369" t="str">
        <f>VLOOKUP(B1369,Raw_Suppliers!$A$2:$G$101,3,FALSE)</f>
        <v>USA</v>
      </c>
      <c r="M1369" t="str">
        <f>VLOOKUP(B1369,Raw_Suppliers!$A$2:$G$101,4,FALSE)</f>
        <v>Central</v>
      </c>
      <c r="N1369" t="str">
        <f>VLOOKUP(B1369,Raw_Suppliers!$A$2:$G$101,6,FALSE)</f>
        <v>ISO 45001</v>
      </c>
      <c r="O1369">
        <f>VLOOKUP(B1369,Raw_Suppliers!$A$2:$G$101,7,FALSE)</f>
        <v>1</v>
      </c>
      <c r="P1369" t="str">
        <f t="shared" si="127"/>
        <v>Yes</v>
      </c>
      <c r="Q1369">
        <f t="shared" si="128"/>
        <v>0</v>
      </c>
      <c r="R1369" t="str">
        <f t="shared" si="129"/>
        <v>Late</v>
      </c>
      <c r="S1369">
        <f t="shared" si="130"/>
        <v>2022</v>
      </c>
      <c r="T1369">
        <f t="shared" si="131"/>
        <v>10</v>
      </c>
    </row>
    <row r="1370" spans="1:20" x14ac:dyDescent="0.25">
      <c r="A1370" t="s">
        <v>1677</v>
      </c>
      <c r="B1370" t="s">
        <v>247</v>
      </c>
      <c r="C1370" t="s">
        <v>1051</v>
      </c>
      <c r="D1370" s="1">
        <v>45289</v>
      </c>
      <c r="E1370">
        <v>8</v>
      </c>
      <c r="F1370">
        <v>46.410083988097298</v>
      </c>
      <c r="G1370" s="1">
        <v>45313</v>
      </c>
      <c r="H1370" s="1">
        <v>45314</v>
      </c>
      <c r="I1370">
        <v>371.28067190477901</v>
      </c>
      <c r="J1370">
        <f t="shared" si="126"/>
        <v>1</v>
      </c>
      <c r="K1370" t="str">
        <f>VLOOKUP(B1370,Raw_Suppliers!$A$2:$G$101,2,FALSE)</f>
        <v>Ultra Apex LLC</v>
      </c>
      <c r="L1370" t="str">
        <f>VLOOKUP(B1370,Raw_Suppliers!$A$2:$G$101,3,FALSE)</f>
        <v>Germany</v>
      </c>
      <c r="M1370" t="str">
        <f>VLOOKUP(B1370,Raw_Suppliers!$A$2:$G$101,4,FALSE)</f>
        <v>West</v>
      </c>
      <c r="N1370" t="str">
        <f>VLOOKUP(B1370,Raw_Suppliers!$A$2:$G$101,6,FALSE)</f>
        <v>ISO 9001</v>
      </c>
      <c r="O1370">
        <f>VLOOKUP(B1370,Raw_Suppliers!$A$2:$G$101,7,FALSE)</f>
        <v>0</v>
      </c>
      <c r="P1370" t="str">
        <f t="shared" si="127"/>
        <v>No</v>
      </c>
      <c r="Q1370">
        <f t="shared" si="128"/>
        <v>0</v>
      </c>
      <c r="R1370" t="str">
        <f t="shared" si="129"/>
        <v>Late</v>
      </c>
      <c r="S1370">
        <f t="shared" si="130"/>
        <v>2023</v>
      </c>
      <c r="T1370">
        <f t="shared" si="131"/>
        <v>12</v>
      </c>
    </row>
    <row r="1371" spans="1:20" x14ac:dyDescent="0.25">
      <c r="A1371" t="s">
        <v>1678</v>
      </c>
      <c r="B1371" t="s">
        <v>25</v>
      </c>
      <c r="C1371" t="s">
        <v>521</v>
      </c>
      <c r="D1371" s="1">
        <v>44635</v>
      </c>
      <c r="E1371">
        <v>13</v>
      </c>
      <c r="F1371">
        <v>39.074459051402002</v>
      </c>
      <c r="G1371" s="1">
        <v>44645</v>
      </c>
      <c r="H1371" s="1">
        <v>44645</v>
      </c>
      <c r="I1371">
        <v>507.96796766822598</v>
      </c>
      <c r="J1371">
        <f t="shared" si="126"/>
        <v>0</v>
      </c>
      <c r="K1371" t="str">
        <f>VLOOKUP(B1371,Raw_Suppliers!$A$2:$G$101,2,FALSE)</f>
        <v>Quantum Fusion Corp</v>
      </c>
      <c r="L1371" t="str">
        <f>VLOOKUP(B1371,Raw_Suppliers!$A$2:$G$101,3,FALSE)</f>
        <v>UK</v>
      </c>
      <c r="M1371" t="str">
        <f>VLOOKUP(B1371,Raw_Suppliers!$A$2:$G$101,4,FALSE)</f>
        <v>North</v>
      </c>
      <c r="N1371" t="str">
        <f>VLOOKUP(B1371,Raw_Suppliers!$A$2:$G$101,6,FALSE)</f>
        <v>ISO 9001</v>
      </c>
      <c r="O1371">
        <f>VLOOKUP(B1371,Raw_Suppliers!$A$2:$G$101,7,FALSE)</f>
        <v>0</v>
      </c>
      <c r="P1371" t="str">
        <f t="shared" si="127"/>
        <v>No</v>
      </c>
      <c r="Q1371">
        <f t="shared" si="128"/>
        <v>1</v>
      </c>
      <c r="R1371" t="str">
        <f t="shared" si="129"/>
        <v>On Time</v>
      </c>
      <c r="S1371">
        <f t="shared" si="130"/>
        <v>2022</v>
      </c>
      <c r="T1371">
        <f t="shared" si="131"/>
        <v>3</v>
      </c>
    </row>
    <row r="1372" spans="1:20" x14ac:dyDescent="0.25">
      <c r="A1372" t="s">
        <v>1679</v>
      </c>
      <c r="B1372" t="s">
        <v>256</v>
      </c>
      <c r="C1372" t="s">
        <v>62</v>
      </c>
      <c r="D1372" s="1">
        <v>44645</v>
      </c>
      <c r="E1372">
        <v>8</v>
      </c>
      <c r="F1372">
        <v>16.694601665531501</v>
      </c>
      <c r="G1372" s="1">
        <v>44663</v>
      </c>
      <c r="H1372" s="1">
        <v>44665</v>
      </c>
      <c r="I1372">
        <v>133.556813324252</v>
      </c>
      <c r="J1372">
        <f t="shared" si="126"/>
        <v>2</v>
      </c>
      <c r="K1372" t="str">
        <f>VLOOKUP(B1372,Raw_Suppliers!$A$2:$G$101,2,FALSE)</f>
        <v>Apex Eco Ltd</v>
      </c>
      <c r="L1372" t="str">
        <f>VLOOKUP(B1372,Raw_Suppliers!$A$2:$G$101,3,FALSE)</f>
        <v>USA</v>
      </c>
      <c r="M1372" t="str">
        <f>VLOOKUP(B1372,Raw_Suppliers!$A$2:$G$101,4,FALSE)</f>
        <v>North</v>
      </c>
      <c r="N1372" t="str">
        <f>VLOOKUP(B1372,Raw_Suppliers!$A$2:$G$101,6,FALSE)</f>
        <v>ISO 45001</v>
      </c>
      <c r="O1372">
        <f>VLOOKUP(B1372,Raw_Suppliers!$A$2:$G$101,7,FALSE)</f>
        <v>0</v>
      </c>
      <c r="P1372" t="str">
        <f t="shared" si="127"/>
        <v>No</v>
      </c>
      <c r="Q1372">
        <f t="shared" si="128"/>
        <v>0</v>
      </c>
      <c r="R1372" t="str">
        <f t="shared" si="129"/>
        <v>Late</v>
      </c>
      <c r="S1372">
        <f t="shared" si="130"/>
        <v>2022</v>
      </c>
      <c r="T1372">
        <f t="shared" si="131"/>
        <v>3</v>
      </c>
    </row>
    <row r="1373" spans="1:20" x14ac:dyDescent="0.25">
      <c r="A1373" t="s">
        <v>1680</v>
      </c>
      <c r="B1373" t="s">
        <v>46</v>
      </c>
      <c r="C1373" t="s">
        <v>74</v>
      </c>
      <c r="D1373" s="1">
        <v>45080</v>
      </c>
      <c r="E1373">
        <v>8</v>
      </c>
      <c r="F1373">
        <v>62.759888928552897</v>
      </c>
      <c r="G1373" s="1">
        <v>45090</v>
      </c>
      <c r="H1373" s="1">
        <v>45087</v>
      </c>
      <c r="I1373">
        <v>502.079111428423</v>
      </c>
      <c r="J1373">
        <f t="shared" si="126"/>
        <v>-3</v>
      </c>
      <c r="K1373" t="str">
        <f>VLOOKUP(B1373,Raw_Suppliers!$A$2:$G$101,2,FALSE)</f>
        <v>Prime Prime Inc</v>
      </c>
      <c r="L1373" t="str">
        <f>VLOOKUP(B1373,Raw_Suppliers!$A$2:$G$101,3,FALSE)</f>
        <v>UK</v>
      </c>
      <c r="M1373" t="str">
        <f>VLOOKUP(B1373,Raw_Suppliers!$A$2:$G$101,4,FALSE)</f>
        <v>South</v>
      </c>
      <c r="N1373" t="str">
        <f>VLOOKUP(B1373,Raw_Suppliers!$A$2:$G$101,6,FALSE)</f>
        <v>None</v>
      </c>
      <c r="O1373">
        <f>VLOOKUP(B1373,Raw_Suppliers!$A$2:$G$101,7,FALSE)</f>
        <v>1</v>
      </c>
      <c r="P1373" t="str">
        <f t="shared" si="127"/>
        <v>Yes</v>
      </c>
      <c r="Q1373">
        <f t="shared" si="128"/>
        <v>1</v>
      </c>
      <c r="R1373" t="str">
        <f t="shared" si="129"/>
        <v>On Time</v>
      </c>
      <c r="S1373">
        <f t="shared" si="130"/>
        <v>2023</v>
      </c>
      <c r="T1373">
        <f t="shared" si="131"/>
        <v>6</v>
      </c>
    </row>
    <row r="1374" spans="1:20" x14ac:dyDescent="0.25">
      <c r="A1374" t="s">
        <v>1681</v>
      </c>
      <c r="B1374" t="s">
        <v>58</v>
      </c>
      <c r="C1374" t="s">
        <v>718</v>
      </c>
      <c r="D1374" s="1">
        <v>44593</v>
      </c>
      <c r="E1374">
        <v>12</v>
      </c>
      <c r="F1374">
        <v>27.6598588464411</v>
      </c>
      <c r="G1374" s="1">
        <v>44611</v>
      </c>
      <c r="H1374" s="1">
        <v>44613</v>
      </c>
      <c r="I1374">
        <v>331.91830615729401</v>
      </c>
      <c r="J1374">
        <f t="shared" si="126"/>
        <v>2</v>
      </c>
      <c r="K1374" t="str">
        <f>VLOOKUP(B1374,Raw_Suppliers!$A$2:$G$101,2,FALSE)</f>
        <v>Quantum Nano Inc</v>
      </c>
      <c r="L1374" t="str">
        <f>VLOOKUP(B1374,Raw_Suppliers!$A$2:$G$101,3,FALSE)</f>
        <v>Brazil</v>
      </c>
      <c r="M1374" t="str">
        <f>VLOOKUP(B1374,Raw_Suppliers!$A$2:$G$101,4,FALSE)</f>
        <v>East</v>
      </c>
      <c r="N1374" t="str">
        <f>VLOOKUP(B1374,Raw_Suppliers!$A$2:$G$101,6,FALSE)</f>
        <v>ISO 9001</v>
      </c>
      <c r="O1374">
        <f>VLOOKUP(B1374,Raw_Suppliers!$A$2:$G$101,7,FALSE)</f>
        <v>1</v>
      </c>
      <c r="P1374" t="str">
        <f t="shared" si="127"/>
        <v>Yes</v>
      </c>
      <c r="Q1374">
        <f t="shared" si="128"/>
        <v>0</v>
      </c>
      <c r="R1374" t="str">
        <f t="shared" si="129"/>
        <v>Late</v>
      </c>
      <c r="S1374">
        <f t="shared" si="130"/>
        <v>2022</v>
      </c>
      <c r="T1374">
        <f t="shared" si="131"/>
        <v>2</v>
      </c>
    </row>
    <row r="1375" spans="1:20" x14ac:dyDescent="0.25">
      <c r="A1375" t="s">
        <v>1682</v>
      </c>
      <c r="B1375" t="s">
        <v>109</v>
      </c>
      <c r="C1375" t="s">
        <v>102</v>
      </c>
      <c r="D1375" s="1">
        <v>44810</v>
      </c>
      <c r="E1375">
        <v>17</v>
      </c>
      <c r="F1375">
        <v>79.405589274618293</v>
      </c>
      <c r="G1375" s="1">
        <v>44831</v>
      </c>
      <c r="H1375" s="1">
        <v>44832</v>
      </c>
      <c r="I1375">
        <v>1349.89501766851</v>
      </c>
      <c r="J1375">
        <f t="shared" si="126"/>
        <v>1</v>
      </c>
      <c r="K1375" t="str">
        <f>VLOOKUP(B1375,Raw_Suppliers!$A$2:$G$101,2,FALSE)</f>
        <v>Nano Fusion GmbH</v>
      </c>
      <c r="L1375" t="str">
        <f>VLOOKUP(B1375,Raw_Suppliers!$A$2:$G$101,3,FALSE)</f>
        <v>Denmark</v>
      </c>
      <c r="M1375" t="str">
        <f>VLOOKUP(B1375,Raw_Suppliers!$A$2:$G$101,4,FALSE)</f>
        <v>North</v>
      </c>
      <c r="N1375" t="str">
        <f>VLOOKUP(B1375,Raw_Suppliers!$A$2:$G$101,6,FALSE)</f>
        <v>ISO 9001</v>
      </c>
      <c r="O1375">
        <f>VLOOKUP(B1375,Raw_Suppliers!$A$2:$G$101,7,FALSE)</f>
        <v>0</v>
      </c>
      <c r="P1375" t="str">
        <f t="shared" si="127"/>
        <v>No</v>
      </c>
      <c r="Q1375">
        <f t="shared" si="128"/>
        <v>0</v>
      </c>
      <c r="R1375" t="str">
        <f t="shared" si="129"/>
        <v>Late</v>
      </c>
      <c r="S1375">
        <f t="shared" si="130"/>
        <v>2022</v>
      </c>
      <c r="T1375">
        <f t="shared" si="131"/>
        <v>9</v>
      </c>
    </row>
    <row r="1376" spans="1:20" x14ac:dyDescent="0.25">
      <c r="A1376" t="s">
        <v>1683</v>
      </c>
      <c r="B1376" t="s">
        <v>70</v>
      </c>
      <c r="C1376" t="s">
        <v>312</v>
      </c>
      <c r="D1376" s="1">
        <v>44755</v>
      </c>
      <c r="E1376">
        <v>5</v>
      </c>
      <c r="F1376">
        <v>43.345534294064898</v>
      </c>
      <c r="G1376" s="1">
        <v>44766</v>
      </c>
      <c r="H1376" s="1">
        <v>44766</v>
      </c>
      <c r="I1376">
        <v>216.727671470324</v>
      </c>
      <c r="J1376">
        <f t="shared" si="126"/>
        <v>0</v>
      </c>
      <c r="K1376" t="str">
        <f>VLOOKUP(B1376,Raw_Suppliers!$A$2:$G$101,2,FALSE)</f>
        <v>Prime Nano Ltd</v>
      </c>
      <c r="L1376" t="str">
        <f>VLOOKUP(B1376,Raw_Suppliers!$A$2:$G$101,3,FALSE)</f>
        <v>USA</v>
      </c>
      <c r="M1376" t="str">
        <f>VLOOKUP(B1376,Raw_Suppliers!$A$2:$G$101,4,FALSE)</f>
        <v>Central</v>
      </c>
      <c r="N1376" t="str">
        <f>VLOOKUP(B1376,Raw_Suppliers!$A$2:$G$101,6,FALSE)</f>
        <v>ISO 45001</v>
      </c>
      <c r="O1376">
        <f>VLOOKUP(B1376,Raw_Suppliers!$A$2:$G$101,7,FALSE)</f>
        <v>0</v>
      </c>
      <c r="P1376" t="str">
        <f t="shared" si="127"/>
        <v>No</v>
      </c>
      <c r="Q1376">
        <f t="shared" si="128"/>
        <v>1</v>
      </c>
      <c r="R1376" t="str">
        <f t="shared" si="129"/>
        <v>On Time</v>
      </c>
      <c r="S1376">
        <f t="shared" si="130"/>
        <v>2022</v>
      </c>
      <c r="T1376">
        <f t="shared" si="131"/>
        <v>7</v>
      </c>
    </row>
    <row r="1377" spans="1:20" x14ac:dyDescent="0.25">
      <c r="A1377" t="s">
        <v>1684</v>
      </c>
      <c r="B1377" t="s">
        <v>442</v>
      </c>
      <c r="C1377" t="s">
        <v>44</v>
      </c>
      <c r="D1377" s="1">
        <v>45156</v>
      </c>
      <c r="E1377">
        <v>8</v>
      </c>
      <c r="F1377">
        <v>3.9130017716348</v>
      </c>
      <c r="G1377" s="1">
        <v>45169</v>
      </c>
      <c r="H1377" s="1">
        <v>45174</v>
      </c>
      <c r="I1377">
        <v>31.3040141730784</v>
      </c>
      <c r="J1377">
        <f t="shared" si="126"/>
        <v>5</v>
      </c>
      <c r="K1377" t="str">
        <f>VLOOKUP(B1377,Raw_Suppliers!$A$2:$G$101,2,FALSE)</f>
        <v>Vertex Delta LLC</v>
      </c>
      <c r="L1377" t="str">
        <f>VLOOKUP(B1377,Raw_Suppliers!$A$2:$G$101,3,FALSE)</f>
        <v>Canada</v>
      </c>
      <c r="M1377" t="str">
        <f>VLOOKUP(B1377,Raw_Suppliers!$A$2:$G$101,4,FALSE)</f>
        <v>East</v>
      </c>
      <c r="N1377" t="str">
        <f>VLOOKUP(B1377,Raw_Suppliers!$A$2:$G$101,6,FALSE)</f>
        <v>ISO 14001</v>
      </c>
      <c r="O1377">
        <f>VLOOKUP(B1377,Raw_Suppliers!$A$2:$G$101,7,FALSE)</f>
        <v>1</v>
      </c>
      <c r="P1377" t="str">
        <f t="shared" si="127"/>
        <v>Yes</v>
      </c>
      <c r="Q1377">
        <f t="shared" si="128"/>
        <v>0</v>
      </c>
      <c r="R1377" t="str">
        <f t="shared" si="129"/>
        <v>Late</v>
      </c>
      <c r="S1377">
        <f t="shared" si="130"/>
        <v>2023</v>
      </c>
      <c r="T1377">
        <f t="shared" si="131"/>
        <v>8</v>
      </c>
    </row>
    <row r="1378" spans="1:20" x14ac:dyDescent="0.25">
      <c r="A1378" t="s">
        <v>1685</v>
      </c>
      <c r="B1378" t="s">
        <v>58</v>
      </c>
      <c r="C1378" t="s">
        <v>495</v>
      </c>
      <c r="D1378" s="1">
        <v>44788</v>
      </c>
      <c r="E1378">
        <v>15</v>
      </c>
      <c r="F1378">
        <v>34.0456365655388</v>
      </c>
      <c r="G1378" s="1">
        <v>44800</v>
      </c>
      <c r="H1378" s="1">
        <v>44802</v>
      </c>
      <c r="I1378">
        <v>510.68454848308198</v>
      </c>
      <c r="J1378">
        <f t="shared" si="126"/>
        <v>2</v>
      </c>
      <c r="K1378" t="str">
        <f>VLOOKUP(B1378,Raw_Suppliers!$A$2:$G$101,2,FALSE)</f>
        <v>Quantum Nano Inc</v>
      </c>
      <c r="L1378" t="str">
        <f>VLOOKUP(B1378,Raw_Suppliers!$A$2:$G$101,3,FALSE)</f>
        <v>Brazil</v>
      </c>
      <c r="M1378" t="str">
        <f>VLOOKUP(B1378,Raw_Suppliers!$A$2:$G$101,4,FALSE)</f>
        <v>East</v>
      </c>
      <c r="N1378" t="str">
        <f>VLOOKUP(B1378,Raw_Suppliers!$A$2:$G$101,6,FALSE)</f>
        <v>ISO 9001</v>
      </c>
      <c r="O1378">
        <f>VLOOKUP(B1378,Raw_Suppliers!$A$2:$G$101,7,FALSE)</f>
        <v>1</v>
      </c>
      <c r="P1378" t="str">
        <f t="shared" si="127"/>
        <v>Yes</v>
      </c>
      <c r="Q1378">
        <f t="shared" si="128"/>
        <v>0</v>
      </c>
      <c r="R1378" t="str">
        <f t="shared" si="129"/>
        <v>Late</v>
      </c>
      <c r="S1378">
        <f t="shared" si="130"/>
        <v>2022</v>
      </c>
      <c r="T1378">
        <f t="shared" si="131"/>
        <v>8</v>
      </c>
    </row>
    <row r="1379" spans="1:20" x14ac:dyDescent="0.25">
      <c r="A1379" t="s">
        <v>1686</v>
      </c>
      <c r="B1379" t="s">
        <v>472</v>
      </c>
      <c r="C1379" t="s">
        <v>283</v>
      </c>
      <c r="D1379" s="1">
        <v>44733</v>
      </c>
      <c r="E1379">
        <v>12</v>
      </c>
      <c r="F1379">
        <v>39.527993464775498</v>
      </c>
      <c r="G1379" s="1">
        <v>44749</v>
      </c>
      <c r="H1379" s="1">
        <v>44753</v>
      </c>
      <c r="I1379">
        <v>474.33592157730601</v>
      </c>
      <c r="J1379">
        <f t="shared" si="126"/>
        <v>4</v>
      </c>
      <c r="K1379" t="str">
        <f>VLOOKUP(B1379,Raw_Suppliers!$A$2:$G$101,2,FALSE)</f>
        <v>Pioneer Alpha Corp</v>
      </c>
      <c r="L1379" t="str">
        <f>VLOOKUP(B1379,Raw_Suppliers!$A$2:$G$101,3,FALSE)</f>
        <v>Canada</v>
      </c>
      <c r="M1379" t="str">
        <f>VLOOKUP(B1379,Raw_Suppliers!$A$2:$G$101,4,FALSE)</f>
        <v>North</v>
      </c>
      <c r="N1379" t="str">
        <f>VLOOKUP(B1379,Raw_Suppliers!$A$2:$G$101,6,FALSE)</f>
        <v>None</v>
      </c>
      <c r="O1379">
        <f>VLOOKUP(B1379,Raw_Suppliers!$A$2:$G$101,7,FALSE)</f>
        <v>1</v>
      </c>
      <c r="P1379" t="str">
        <f t="shared" si="127"/>
        <v>Yes</v>
      </c>
      <c r="Q1379">
        <f t="shared" si="128"/>
        <v>0</v>
      </c>
      <c r="R1379" t="str">
        <f t="shared" si="129"/>
        <v>Late</v>
      </c>
      <c r="S1379">
        <f t="shared" si="130"/>
        <v>2022</v>
      </c>
      <c r="T1379">
        <f t="shared" si="131"/>
        <v>6</v>
      </c>
    </row>
    <row r="1380" spans="1:20" x14ac:dyDescent="0.25">
      <c r="A1380" t="s">
        <v>1687</v>
      </c>
      <c r="B1380" t="s">
        <v>85</v>
      </c>
      <c r="C1380" t="s">
        <v>430</v>
      </c>
      <c r="D1380" s="1">
        <v>45043</v>
      </c>
      <c r="E1380">
        <v>12</v>
      </c>
      <c r="F1380">
        <v>41.320361187393601</v>
      </c>
      <c r="G1380" s="1">
        <v>45053</v>
      </c>
      <c r="H1380" s="1">
        <v>45056</v>
      </c>
      <c r="I1380">
        <v>495.84433424872299</v>
      </c>
      <c r="J1380">
        <f t="shared" si="126"/>
        <v>3</v>
      </c>
      <c r="K1380" t="str">
        <f>VLOOKUP(B1380,Raw_Suppliers!$A$2:$G$101,2,FALSE)</f>
        <v>Fusion Gamma LLC</v>
      </c>
      <c r="L1380" t="str">
        <f>VLOOKUP(B1380,Raw_Suppliers!$A$2:$G$101,3,FALSE)</f>
        <v>China</v>
      </c>
      <c r="M1380" t="str">
        <f>VLOOKUP(B1380,Raw_Suppliers!$A$2:$G$101,4,FALSE)</f>
        <v>East</v>
      </c>
      <c r="N1380" t="str">
        <f>VLOOKUP(B1380,Raw_Suppliers!$A$2:$G$101,6,FALSE)</f>
        <v>ISO 9001</v>
      </c>
      <c r="O1380">
        <f>VLOOKUP(B1380,Raw_Suppliers!$A$2:$G$101,7,FALSE)</f>
        <v>1</v>
      </c>
      <c r="P1380" t="str">
        <f t="shared" si="127"/>
        <v>Yes</v>
      </c>
      <c r="Q1380">
        <f t="shared" si="128"/>
        <v>0</v>
      </c>
      <c r="R1380" t="str">
        <f t="shared" si="129"/>
        <v>Late</v>
      </c>
      <c r="S1380">
        <f t="shared" si="130"/>
        <v>2023</v>
      </c>
      <c r="T1380">
        <f t="shared" si="131"/>
        <v>4</v>
      </c>
    </row>
    <row r="1381" spans="1:20" x14ac:dyDescent="0.25">
      <c r="A1381" t="s">
        <v>1688</v>
      </c>
      <c r="B1381" t="s">
        <v>16</v>
      </c>
      <c r="C1381" t="s">
        <v>80</v>
      </c>
      <c r="D1381" s="1">
        <v>45275</v>
      </c>
      <c r="E1381">
        <v>5</v>
      </c>
      <c r="F1381">
        <v>77.231261828942294</v>
      </c>
      <c r="G1381" s="1">
        <v>45287</v>
      </c>
      <c r="H1381" s="1">
        <v>45286</v>
      </c>
      <c r="I1381">
        <v>386.15630914471097</v>
      </c>
      <c r="J1381">
        <f t="shared" si="126"/>
        <v>-1</v>
      </c>
      <c r="K1381" t="str">
        <f>VLOOKUP(B1381,Raw_Suppliers!$A$2:$G$101,2,FALSE)</f>
        <v>Beta Pioneer Inc</v>
      </c>
      <c r="L1381" t="str">
        <f>VLOOKUP(B1381,Raw_Suppliers!$A$2:$G$101,3,FALSE)</f>
        <v>USA</v>
      </c>
      <c r="M1381" t="str">
        <f>VLOOKUP(B1381,Raw_Suppliers!$A$2:$G$101,4,FALSE)</f>
        <v>Central</v>
      </c>
      <c r="N1381" t="str">
        <f>VLOOKUP(B1381,Raw_Suppliers!$A$2:$G$101,6,FALSE)</f>
        <v>ISO 45001</v>
      </c>
      <c r="O1381">
        <f>VLOOKUP(B1381,Raw_Suppliers!$A$2:$G$101,7,FALSE)</f>
        <v>1</v>
      </c>
      <c r="P1381" t="str">
        <f t="shared" si="127"/>
        <v>Yes</v>
      </c>
      <c r="Q1381">
        <f t="shared" si="128"/>
        <v>1</v>
      </c>
      <c r="R1381" t="str">
        <f t="shared" si="129"/>
        <v>On Time</v>
      </c>
      <c r="S1381">
        <f t="shared" si="130"/>
        <v>2023</v>
      </c>
      <c r="T1381">
        <f t="shared" si="131"/>
        <v>12</v>
      </c>
    </row>
    <row r="1382" spans="1:20" x14ac:dyDescent="0.25">
      <c r="A1382" t="s">
        <v>1689</v>
      </c>
      <c r="B1382" t="s">
        <v>475</v>
      </c>
      <c r="C1382" t="s">
        <v>722</v>
      </c>
      <c r="D1382" s="1">
        <v>44867</v>
      </c>
      <c r="E1382">
        <v>13</v>
      </c>
      <c r="F1382">
        <v>54.788530678509801</v>
      </c>
      <c r="G1382" s="1">
        <v>44877</v>
      </c>
      <c r="H1382" s="1">
        <v>44879</v>
      </c>
      <c r="I1382">
        <v>712.25089882062696</v>
      </c>
      <c r="J1382">
        <f t="shared" si="126"/>
        <v>2</v>
      </c>
      <c r="K1382" t="str">
        <f>VLOOKUP(B1382,Raw_Suppliers!$A$2:$G$101,2,FALSE)</f>
        <v>Ultra Delta LLC</v>
      </c>
      <c r="L1382" t="str">
        <f>VLOOKUP(B1382,Raw_Suppliers!$A$2:$G$101,3,FALSE)</f>
        <v>UK</v>
      </c>
      <c r="M1382" t="str">
        <f>VLOOKUP(B1382,Raw_Suppliers!$A$2:$G$101,4,FALSE)</f>
        <v>North</v>
      </c>
      <c r="N1382" t="str">
        <f>VLOOKUP(B1382,Raw_Suppliers!$A$2:$G$101,6,FALSE)</f>
        <v>None</v>
      </c>
      <c r="O1382">
        <f>VLOOKUP(B1382,Raw_Suppliers!$A$2:$G$101,7,FALSE)</f>
        <v>1</v>
      </c>
      <c r="P1382" t="str">
        <f t="shared" si="127"/>
        <v>Yes</v>
      </c>
      <c r="Q1382">
        <f t="shared" si="128"/>
        <v>0</v>
      </c>
      <c r="R1382" t="str">
        <f t="shared" si="129"/>
        <v>Late</v>
      </c>
      <c r="S1382">
        <f t="shared" si="130"/>
        <v>2022</v>
      </c>
      <c r="T1382">
        <f t="shared" si="131"/>
        <v>11</v>
      </c>
    </row>
    <row r="1383" spans="1:20" x14ac:dyDescent="0.25">
      <c r="A1383" t="s">
        <v>1690</v>
      </c>
      <c r="B1383" t="s">
        <v>442</v>
      </c>
      <c r="C1383" t="s">
        <v>693</v>
      </c>
      <c r="D1383" s="1">
        <v>45053</v>
      </c>
      <c r="E1383">
        <v>12</v>
      </c>
      <c r="F1383">
        <v>59.951207101458401</v>
      </c>
      <c r="G1383" s="1">
        <v>45069</v>
      </c>
      <c r="H1383" s="1">
        <v>45068</v>
      </c>
      <c r="I1383">
        <v>719.41448521750101</v>
      </c>
      <c r="J1383">
        <f t="shared" si="126"/>
        <v>-1</v>
      </c>
      <c r="K1383" t="str">
        <f>VLOOKUP(B1383,Raw_Suppliers!$A$2:$G$101,2,FALSE)</f>
        <v>Vertex Delta LLC</v>
      </c>
      <c r="L1383" t="str">
        <f>VLOOKUP(B1383,Raw_Suppliers!$A$2:$G$101,3,FALSE)</f>
        <v>Canada</v>
      </c>
      <c r="M1383" t="str">
        <f>VLOOKUP(B1383,Raw_Suppliers!$A$2:$G$101,4,FALSE)</f>
        <v>East</v>
      </c>
      <c r="N1383" t="str">
        <f>VLOOKUP(B1383,Raw_Suppliers!$A$2:$G$101,6,FALSE)</f>
        <v>ISO 14001</v>
      </c>
      <c r="O1383">
        <f>VLOOKUP(B1383,Raw_Suppliers!$A$2:$G$101,7,FALSE)</f>
        <v>1</v>
      </c>
      <c r="P1383" t="str">
        <f t="shared" si="127"/>
        <v>Yes</v>
      </c>
      <c r="Q1383">
        <f t="shared" si="128"/>
        <v>1</v>
      </c>
      <c r="R1383" t="str">
        <f t="shared" si="129"/>
        <v>On Time</v>
      </c>
      <c r="S1383">
        <f t="shared" si="130"/>
        <v>2023</v>
      </c>
      <c r="T1383">
        <f t="shared" si="131"/>
        <v>5</v>
      </c>
    </row>
    <row r="1384" spans="1:20" x14ac:dyDescent="0.25">
      <c r="A1384" t="s">
        <v>1691</v>
      </c>
      <c r="B1384" t="s">
        <v>369</v>
      </c>
      <c r="C1384" t="s">
        <v>133</v>
      </c>
      <c r="D1384" s="1">
        <v>45040</v>
      </c>
      <c r="E1384">
        <v>9</v>
      </c>
      <c r="F1384">
        <v>51.782150935891799</v>
      </c>
      <c r="G1384" s="1">
        <v>45064</v>
      </c>
      <c r="H1384" s="1">
        <v>45066</v>
      </c>
      <c r="I1384">
        <v>466.03935842302599</v>
      </c>
      <c r="J1384">
        <f t="shared" si="126"/>
        <v>2</v>
      </c>
      <c r="K1384" t="str">
        <f>VLOOKUP(B1384,Raw_Suppliers!$A$2:$G$101,2,FALSE)</f>
        <v>Beta Fusion GmbH</v>
      </c>
      <c r="L1384" t="str">
        <f>VLOOKUP(B1384,Raw_Suppliers!$A$2:$G$101,3,FALSE)</f>
        <v>China</v>
      </c>
      <c r="M1384" t="str">
        <f>VLOOKUP(B1384,Raw_Suppliers!$A$2:$G$101,4,FALSE)</f>
        <v>South</v>
      </c>
      <c r="N1384" t="str">
        <f>VLOOKUP(B1384,Raw_Suppliers!$A$2:$G$101,6,FALSE)</f>
        <v>ISO 9001</v>
      </c>
      <c r="O1384">
        <f>VLOOKUP(B1384,Raw_Suppliers!$A$2:$G$101,7,FALSE)</f>
        <v>0</v>
      </c>
      <c r="P1384" t="str">
        <f t="shared" si="127"/>
        <v>No</v>
      </c>
      <c r="Q1384">
        <f t="shared" si="128"/>
        <v>0</v>
      </c>
      <c r="R1384" t="str">
        <f t="shared" si="129"/>
        <v>Late</v>
      </c>
      <c r="S1384">
        <f t="shared" si="130"/>
        <v>2023</v>
      </c>
      <c r="T1384">
        <f t="shared" si="131"/>
        <v>4</v>
      </c>
    </row>
    <row r="1385" spans="1:20" x14ac:dyDescent="0.25">
      <c r="A1385" t="s">
        <v>1692</v>
      </c>
      <c r="B1385" t="s">
        <v>198</v>
      </c>
      <c r="C1385" t="s">
        <v>336</v>
      </c>
      <c r="D1385" s="1">
        <v>45309</v>
      </c>
      <c r="E1385">
        <v>15</v>
      </c>
      <c r="F1385">
        <v>59.653543898530401</v>
      </c>
      <c r="G1385" s="1">
        <v>45326</v>
      </c>
      <c r="H1385" s="1">
        <v>45327</v>
      </c>
      <c r="I1385">
        <v>894.80315847795703</v>
      </c>
      <c r="J1385">
        <f t="shared" si="126"/>
        <v>1</v>
      </c>
      <c r="K1385" t="str">
        <f>VLOOKUP(B1385,Raw_Suppliers!$A$2:$G$101,2,FALSE)</f>
        <v>Gamma Vertex Corp</v>
      </c>
      <c r="L1385" t="str">
        <f>VLOOKUP(B1385,Raw_Suppliers!$A$2:$G$101,3,FALSE)</f>
        <v>Denmark</v>
      </c>
      <c r="M1385" t="str">
        <f>VLOOKUP(B1385,Raw_Suppliers!$A$2:$G$101,4,FALSE)</f>
        <v>South</v>
      </c>
      <c r="N1385" t="str">
        <f>VLOOKUP(B1385,Raw_Suppliers!$A$2:$G$101,6,FALSE)</f>
        <v>None</v>
      </c>
      <c r="O1385">
        <f>VLOOKUP(B1385,Raw_Suppliers!$A$2:$G$101,7,FALSE)</f>
        <v>1</v>
      </c>
      <c r="P1385" t="str">
        <f t="shared" si="127"/>
        <v>Yes</v>
      </c>
      <c r="Q1385">
        <f t="shared" si="128"/>
        <v>0</v>
      </c>
      <c r="R1385" t="str">
        <f t="shared" si="129"/>
        <v>Late</v>
      </c>
      <c r="S1385">
        <f t="shared" si="130"/>
        <v>2024</v>
      </c>
      <c r="T1385">
        <f t="shared" si="131"/>
        <v>1</v>
      </c>
    </row>
    <row r="1386" spans="1:20" x14ac:dyDescent="0.25">
      <c r="A1386" t="s">
        <v>1693</v>
      </c>
      <c r="B1386" t="s">
        <v>247</v>
      </c>
      <c r="C1386" t="s">
        <v>302</v>
      </c>
      <c r="D1386" s="1">
        <v>44565</v>
      </c>
      <c r="E1386">
        <v>7</v>
      </c>
      <c r="F1386">
        <v>12.7964182143358</v>
      </c>
      <c r="G1386" s="1">
        <v>44588</v>
      </c>
      <c r="H1386" s="1">
        <v>44586</v>
      </c>
      <c r="I1386">
        <v>89.574927500351095</v>
      </c>
      <c r="J1386">
        <f t="shared" si="126"/>
        <v>-2</v>
      </c>
      <c r="K1386" t="str">
        <f>VLOOKUP(B1386,Raw_Suppliers!$A$2:$G$101,2,FALSE)</f>
        <v>Ultra Apex LLC</v>
      </c>
      <c r="L1386" t="str">
        <f>VLOOKUP(B1386,Raw_Suppliers!$A$2:$G$101,3,FALSE)</f>
        <v>Germany</v>
      </c>
      <c r="M1386" t="str">
        <f>VLOOKUP(B1386,Raw_Suppliers!$A$2:$G$101,4,FALSE)</f>
        <v>West</v>
      </c>
      <c r="N1386" t="str">
        <f>VLOOKUP(B1386,Raw_Suppliers!$A$2:$G$101,6,FALSE)</f>
        <v>ISO 9001</v>
      </c>
      <c r="O1386">
        <f>VLOOKUP(B1386,Raw_Suppliers!$A$2:$G$101,7,FALSE)</f>
        <v>0</v>
      </c>
      <c r="P1386" t="str">
        <f t="shared" si="127"/>
        <v>No</v>
      </c>
      <c r="Q1386">
        <f t="shared" si="128"/>
        <v>1</v>
      </c>
      <c r="R1386" t="str">
        <f t="shared" si="129"/>
        <v>On Time</v>
      </c>
      <c r="S1386">
        <f t="shared" si="130"/>
        <v>2022</v>
      </c>
      <c r="T1386">
        <f t="shared" si="131"/>
        <v>1</v>
      </c>
    </row>
    <row r="1387" spans="1:20" x14ac:dyDescent="0.25">
      <c r="A1387" t="s">
        <v>1694</v>
      </c>
      <c r="B1387" t="s">
        <v>240</v>
      </c>
      <c r="C1387" t="s">
        <v>446</v>
      </c>
      <c r="D1387" s="1">
        <v>45042</v>
      </c>
      <c r="E1387">
        <v>16</v>
      </c>
      <c r="F1387">
        <v>73.129608431898504</v>
      </c>
      <c r="G1387" s="1">
        <v>45062</v>
      </c>
      <c r="H1387" s="1">
        <v>45059</v>
      </c>
      <c r="I1387">
        <v>1170.0737349103699</v>
      </c>
      <c r="J1387">
        <f t="shared" si="126"/>
        <v>-3</v>
      </c>
      <c r="K1387" t="str">
        <f>VLOOKUP(B1387,Raw_Suppliers!$A$2:$G$101,2,FALSE)</f>
        <v>Apex Omega LLC</v>
      </c>
      <c r="L1387" t="str">
        <f>VLOOKUP(B1387,Raw_Suppliers!$A$2:$G$101,3,FALSE)</f>
        <v>UK</v>
      </c>
      <c r="M1387" t="str">
        <f>VLOOKUP(B1387,Raw_Suppliers!$A$2:$G$101,4,FALSE)</f>
        <v>South</v>
      </c>
      <c r="N1387" t="str">
        <f>VLOOKUP(B1387,Raw_Suppliers!$A$2:$G$101,6,FALSE)</f>
        <v>ISO 9001</v>
      </c>
      <c r="O1387">
        <f>VLOOKUP(B1387,Raw_Suppliers!$A$2:$G$101,7,FALSE)</f>
        <v>0</v>
      </c>
      <c r="P1387" t="str">
        <f t="shared" si="127"/>
        <v>No</v>
      </c>
      <c r="Q1387">
        <f t="shared" si="128"/>
        <v>1</v>
      </c>
      <c r="R1387" t="str">
        <f t="shared" si="129"/>
        <v>On Time</v>
      </c>
      <c r="S1387">
        <f t="shared" si="130"/>
        <v>2023</v>
      </c>
      <c r="T1387">
        <f t="shared" si="131"/>
        <v>4</v>
      </c>
    </row>
    <row r="1388" spans="1:20" x14ac:dyDescent="0.25">
      <c r="A1388" t="s">
        <v>1695</v>
      </c>
      <c r="B1388" t="s">
        <v>34</v>
      </c>
      <c r="C1388" t="s">
        <v>20</v>
      </c>
      <c r="D1388" s="1">
        <v>45390</v>
      </c>
      <c r="E1388">
        <v>8</v>
      </c>
      <c r="F1388">
        <v>46.609824826135799</v>
      </c>
      <c r="G1388" s="1">
        <v>45403</v>
      </c>
      <c r="H1388" s="1">
        <v>45404</v>
      </c>
      <c r="I1388">
        <v>372.878598609086</v>
      </c>
      <c r="J1388">
        <f t="shared" si="126"/>
        <v>1</v>
      </c>
      <c r="K1388" t="str">
        <f>VLOOKUP(B1388,Raw_Suppliers!$A$2:$G$101,2,FALSE)</f>
        <v>Omega Alpha Corp</v>
      </c>
      <c r="L1388" t="str">
        <f>VLOOKUP(B1388,Raw_Suppliers!$A$2:$G$101,3,FALSE)</f>
        <v>UK</v>
      </c>
      <c r="M1388" t="str">
        <f>VLOOKUP(B1388,Raw_Suppliers!$A$2:$G$101,4,FALSE)</f>
        <v>West</v>
      </c>
      <c r="N1388" t="str">
        <f>VLOOKUP(B1388,Raw_Suppliers!$A$2:$G$101,6,FALSE)</f>
        <v>ISO 45001</v>
      </c>
      <c r="O1388">
        <f>VLOOKUP(B1388,Raw_Suppliers!$A$2:$G$101,7,FALSE)</f>
        <v>0</v>
      </c>
      <c r="P1388" t="str">
        <f t="shared" si="127"/>
        <v>No</v>
      </c>
      <c r="Q1388">
        <f t="shared" si="128"/>
        <v>0</v>
      </c>
      <c r="R1388" t="str">
        <f t="shared" si="129"/>
        <v>Late</v>
      </c>
      <c r="S1388">
        <f t="shared" si="130"/>
        <v>2024</v>
      </c>
      <c r="T1388">
        <f t="shared" si="131"/>
        <v>4</v>
      </c>
    </row>
    <row r="1389" spans="1:20" x14ac:dyDescent="0.25">
      <c r="A1389" t="s">
        <v>1696</v>
      </c>
      <c r="B1389" t="s">
        <v>442</v>
      </c>
      <c r="C1389" t="s">
        <v>230</v>
      </c>
      <c r="D1389" s="1">
        <v>44396</v>
      </c>
      <c r="E1389">
        <v>8</v>
      </c>
      <c r="F1389">
        <v>60.527086290548198</v>
      </c>
      <c r="G1389" s="1">
        <v>44413</v>
      </c>
      <c r="H1389" s="1">
        <v>44415</v>
      </c>
      <c r="I1389">
        <v>484.21669032438501</v>
      </c>
      <c r="J1389">
        <f t="shared" si="126"/>
        <v>2</v>
      </c>
      <c r="K1389" t="str">
        <f>VLOOKUP(B1389,Raw_Suppliers!$A$2:$G$101,2,FALSE)</f>
        <v>Vertex Delta LLC</v>
      </c>
      <c r="L1389" t="str">
        <f>VLOOKUP(B1389,Raw_Suppliers!$A$2:$G$101,3,FALSE)</f>
        <v>Canada</v>
      </c>
      <c r="M1389" t="str">
        <f>VLOOKUP(B1389,Raw_Suppliers!$A$2:$G$101,4,FALSE)</f>
        <v>East</v>
      </c>
      <c r="N1389" t="str">
        <f>VLOOKUP(B1389,Raw_Suppliers!$A$2:$G$101,6,FALSE)</f>
        <v>ISO 14001</v>
      </c>
      <c r="O1389">
        <f>VLOOKUP(B1389,Raw_Suppliers!$A$2:$G$101,7,FALSE)</f>
        <v>1</v>
      </c>
      <c r="P1389" t="str">
        <f t="shared" si="127"/>
        <v>Yes</v>
      </c>
      <c r="Q1389">
        <f t="shared" si="128"/>
        <v>0</v>
      </c>
      <c r="R1389" t="str">
        <f t="shared" si="129"/>
        <v>Late</v>
      </c>
      <c r="S1389">
        <f t="shared" si="130"/>
        <v>2021</v>
      </c>
      <c r="T1389">
        <f t="shared" si="131"/>
        <v>7</v>
      </c>
    </row>
    <row r="1390" spans="1:20" x14ac:dyDescent="0.25">
      <c r="A1390" t="s">
        <v>1697</v>
      </c>
      <c r="B1390" t="s">
        <v>114</v>
      </c>
      <c r="C1390" t="s">
        <v>214</v>
      </c>
      <c r="D1390" s="1">
        <v>44716</v>
      </c>
      <c r="E1390">
        <v>11</v>
      </c>
      <c r="F1390">
        <v>4.9890454458705804</v>
      </c>
      <c r="G1390" s="1">
        <v>44726</v>
      </c>
      <c r="H1390" s="1">
        <v>44730</v>
      </c>
      <c r="I1390">
        <v>54.879499904576399</v>
      </c>
      <c r="J1390">
        <f t="shared" si="126"/>
        <v>4</v>
      </c>
      <c r="K1390" t="str">
        <f>VLOOKUP(B1390,Raw_Suppliers!$A$2:$G$101,2,FALSE)</f>
        <v>Fusion Fusion LLC</v>
      </c>
      <c r="L1390" t="str">
        <f>VLOOKUP(B1390,Raw_Suppliers!$A$2:$G$101,3,FALSE)</f>
        <v>China</v>
      </c>
      <c r="M1390" t="str">
        <f>VLOOKUP(B1390,Raw_Suppliers!$A$2:$G$101,4,FALSE)</f>
        <v>North</v>
      </c>
      <c r="N1390" t="str">
        <f>VLOOKUP(B1390,Raw_Suppliers!$A$2:$G$101,6,FALSE)</f>
        <v>ISO 45001</v>
      </c>
      <c r="O1390">
        <f>VLOOKUP(B1390,Raw_Suppliers!$A$2:$G$101,7,FALSE)</f>
        <v>1</v>
      </c>
      <c r="P1390" t="str">
        <f t="shared" si="127"/>
        <v>Yes</v>
      </c>
      <c r="Q1390">
        <f t="shared" si="128"/>
        <v>0</v>
      </c>
      <c r="R1390" t="str">
        <f t="shared" si="129"/>
        <v>Late</v>
      </c>
      <c r="S1390">
        <f t="shared" si="130"/>
        <v>2022</v>
      </c>
      <c r="T1390">
        <f t="shared" si="131"/>
        <v>6</v>
      </c>
    </row>
    <row r="1391" spans="1:20" x14ac:dyDescent="0.25">
      <c r="A1391" t="s">
        <v>1698</v>
      </c>
      <c r="B1391" t="s">
        <v>539</v>
      </c>
      <c r="C1391" t="s">
        <v>1108</v>
      </c>
      <c r="D1391" s="1">
        <v>44814</v>
      </c>
      <c r="E1391">
        <v>11</v>
      </c>
      <c r="F1391">
        <v>33.636636622644303</v>
      </c>
      <c r="G1391" s="1">
        <v>44824</v>
      </c>
      <c r="H1391" s="1">
        <v>44828</v>
      </c>
      <c r="I1391">
        <v>370.00300284908701</v>
      </c>
      <c r="J1391">
        <f t="shared" si="126"/>
        <v>4</v>
      </c>
      <c r="K1391" t="str">
        <f>VLOOKUP(B1391,Raw_Suppliers!$A$2:$G$101,2,FALSE)</f>
        <v>Eco Eco Ltd</v>
      </c>
      <c r="L1391" t="str">
        <f>VLOOKUP(B1391,Raw_Suppliers!$A$2:$G$101,3,FALSE)</f>
        <v>USA</v>
      </c>
      <c r="M1391" t="str">
        <f>VLOOKUP(B1391,Raw_Suppliers!$A$2:$G$101,4,FALSE)</f>
        <v>South</v>
      </c>
      <c r="N1391" t="str">
        <f>VLOOKUP(B1391,Raw_Suppliers!$A$2:$G$101,6,FALSE)</f>
        <v>ISO 45001</v>
      </c>
      <c r="O1391">
        <f>VLOOKUP(B1391,Raw_Suppliers!$A$2:$G$101,7,FALSE)</f>
        <v>1</v>
      </c>
      <c r="P1391" t="str">
        <f t="shared" si="127"/>
        <v>Yes</v>
      </c>
      <c r="Q1391">
        <f t="shared" si="128"/>
        <v>0</v>
      </c>
      <c r="R1391" t="str">
        <f t="shared" si="129"/>
        <v>Late</v>
      </c>
      <c r="S1391">
        <f t="shared" si="130"/>
        <v>2022</v>
      </c>
      <c r="T1391">
        <f t="shared" si="131"/>
        <v>9</v>
      </c>
    </row>
    <row r="1392" spans="1:20" x14ac:dyDescent="0.25">
      <c r="A1392" t="s">
        <v>1699</v>
      </c>
      <c r="B1392" t="s">
        <v>64</v>
      </c>
      <c r="C1392" t="s">
        <v>165</v>
      </c>
      <c r="D1392" s="1">
        <v>44257</v>
      </c>
      <c r="E1392">
        <v>14</v>
      </c>
      <c r="F1392">
        <v>39.663511406532599</v>
      </c>
      <c r="G1392" s="1">
        <v>44281</v>
      </c>
      <c r="H1392" s="1">
        <v>44287</v>
      </c>
      <c r="I1392">
        <v>555.28915969145703</v>
      </c>
      <c r="J1392">
        <f t="shared" si="126"/>
        <v>6</v>
      </c>
      <c r="K1392" t="str">
        <f>VLOOKUP(B1392,Raw_Suppliers!$A$2:$G$101,2,FALSE)</f>
        <v>Apex Quantum Inc</v>
      </c>
      <c r="L1392" t="str">
        <f>VLOOKUP(B1392,Raw_Suppliers!$A$2:$G$101,3,FALSE)</f>
        <v>India</v>
      </c>
      <c r="M1392" t="str">
        <f>VLOOKUP(B1392,Raw_Suppliers!$A$2:$G$101,4,FALSE)</f>
        <v>North</v>
      </c>
      <c r="N1392" t="str">
        <f>VLOOKUP(B1392,Raw_Suppliers!$A$2:$G$101,6,FALSE)</f>
        <v>ISO 45001</v>
      </c>
      <c r="O1392">
        <f>VLOOKUP(B1392,Raw_Suppliers!$A$2:$G$101,7,FALSE)</f>
        <v>1</v>
      </c>
      <c r="P1392" t="str">
        <f t="shared" si="127"/>
        <v>Yes</v>
      </c>
      <c r="Q1392">
        <f t="shared" si="128"/>
        <v>0</v>
      </c>
      <c r="R1392" t="str">
        <f t="shared" si="129"/>
        <v>Late</v>
      </c>
      <c r="S1392">
        <f t="shared" si="130"/>
        <v>2021</v>
      </c>
      <c r="T1392">
        <f t="shared" si="131"/>
        <v>3</v>
      </c>
    </row>
    <row r="1393" spans="1:20" x14ac:dyDescent="0.25">
      <c r="A1393" t="s">
        <v>1700</v>
      </c>
      <c r="B1393" t="s">
        <v>31</v>
      </c>
      <c r="C1393" t="s">
        <v>748</v>
      </c>
      <c r="D1393" s="1">
        <v>44537</v>
      </c>
      <c r="E1393">
        <v>12</v>
      </c>
      <c r="F1393">
        <v>47.331897029377203</v>
      </c>
      <c r="G1393" s="1">
        <v>44550</v>
      </c>
      <c r="H1393" s="1">
        <v>44553</v>
      </c>
      <c r="I1393">
        <v>567.98276435252603</v>
      </c>
      <c r="J1393">
        <f t="shared" si="126"/>
        <v>3</v>
      </c>
      <c r="K1393" t="str">
        <f>VLOOKUP(B1393,Raw_Suppliers!$A$2:$G$101,2,FALSE)</f>
        <v>Nova Nano GmbH</v>
      </c>
      <c r="L1393" t="str">
        <f>VLOOKUP(B1393,Raw_Suppliers!$A$2:$G$101,3,FALSE)</f>
        <v>Denmark</v>
      </c>
      <c r="M1393" t="str">
        <f>VLOOKUP(B1393,Raw_Suppliers!$A$2:$G$101,4,FALSE)</f>
        <v>South</v>
      </c>
      <c r="N1393" t="str">
        <f>VLOOKUP(B1393,Raw_Suppliers!$A$2:$G$101,6,FALSE)</f>
        <v>ISO 14001</v>
      </c>
      <c r="O1393">
        <f>VLOOKUP(B1393,Raw_Suppliers!$A$2:$G$101,7,FALSE)</f>
        <v>1</v>
      </c>
      <c r="P1393" t="str">
        <f t="shared" si="127"/>
        <v>Yes</v>
      </c>
      <c r="Q1393">
        <f t="shared" si="128"/>
        <v>0</v>
      </c>
      <c r="R1393" t="str">
        <f t="shared" si="129"/>
        <v>Late</v>
      </c>
      <c r="S1393">
        <f t="shared" si="130"/>
        <v>2021</v>
      </c>
      <c r="T1393">
        <f t="shared" si="131"/>
        <v>12</v>
      </c>
    </row>
    <row r="1394" spans="1:20" x14ac:dyDescent="0.25">
      <c r="A1394" t="s">
        <v>1701</v>
      </c>
      <c r="B1394" t="s">
        <v>617</v>
      </c>
      <c r="C1394" t="s">
        <v>214</v>
      </c>
      <c r="D1394" s="1">
        <v>44967</v>
      </c>
      <c r="E1394">
        <v>8</v>
      </c>
      <c r="F1394">
        <v>28.172802177379602</v>
      </c>
      <c r="G1394" s="1">
        <v>44984</v>
      </c>
      <c r="H1394" s="1">
        <v>44984</v>
      </c>
      <c r="I1394">
        <v>225.38241741903599</v>
      </c>
      <c r="J1394">
        <f t="shared" si="126"/>
        <v>0</v>
      </c>
      <c r="K1394" t="str">
        <f>VLOOKUP(B1394,Raw_Suppliers!$A$2:$G$101,2,FALSE)</f>
        <v>Eco Vertex Ltd</v>
      </c>
      <c r="L1394" t="str">
        <f>VLOOKUP(B1394,Raw_Suppliers!$A$2:$G$101,3,FALSE)</f>
        <v>UK</v>
      </c>
      <c r="M1394" t="str">
        <f>VLOOKUP(B1394,Raw_Suppliers!$A$2:$G$101,4,FALSE)</f>
        <v>Central</v>
      </c>
      <c r="N1394" t="str">
        <f>VLOOKUP(B1394,Raw_Suppliers!$A$2:$G$101,6,FALSE)</f>
        <v>None</v>
      </c>
      <c r="O1394">
        <f>VLOOKUP(B1394,Raw_Suppliers!$A$2:$G$101,7,FALSE)</f>
        <v>0</v>
      </c>
      <c r="P1394" t="str">
        <f t="shared" si="127"/>
        <v>No</v>
      </c>
      <c r="Q1394">
        <f t="shared" si="128"/>
        <v>1</v>
      </c>
      <c r="R1394" t="str">
        <f t="shared" si="129"/>
        <v>On Time</v>
      </c>
      <c r="S1394">
        <f t="shared" si="130"/>
        <v>2023</v>
      </c>
      <c r="T1394">
        <f t="shared" si="131"/>
        <v>2</v>
      </c>
    </row>
    <row r="1395" spans="1:20" x14ac:dyDescent="0.25">
      <c r="A1395" t="s">
        <v>1702</v>
      </c>
      <c r="B1395" t="s">
        <v>127</v>
      </c>
      <c r="C1395" t="s">
        <v>385</v>
      </c>
      <c r="D1395" s="1">
        <v>44934</v>
      </c>
      <c r="E1395">
        <v>12</v>
      </c>
      <c r="F1395">
        <v>16.789653282179401</v>
      </c>
      <c r="G1395" s="1">
        <v>44947</v>
      </c>
      <c r="H1395" s="1">
        <v>44948</v>
      </c>
      <c r="I1395">
        <v>201.47583938615199</v>
      </c>
      <c r="J1395">
        <f t="shared" si="126"/>
        <v>1</v>
      </c>
      <c r="K1395" t="str">
        <f>VLOOKUP(B1395,Raw_Suppliers!$A$2:$G$101,2,FALSE)</f>
        <v>Eco Gamma LLC</v>
      </c>
      <c r="L1395" t="str">
        <f>VLOOKUP(B1395,Raw_Suppliers!$A$2:$G$101,3,FALSE)</f>
        <v>Canada</v>
      </c>
      <c r="M1395" t="str">
        <f>VLOOKUP(B1395,Raw_Suppliers!$A$2:$G$101,4,FALSE)</f>
        <v>West</v>
      </c>
      <c r="N1395" t="str">
        <f>VLOOKUP(B1395,Raw_Suppliers!$A$2:$G$101,6,FALSE)</f>
        <v>ISO 9001</v>
      </c>
      <c r="O1395">
        <f>VLOOKUP(B1395,Raw_Suppliers!$A$2:$G$101,7,FALSE)</f>
        <v>1</v>
      </c>
      <c r="P1395" t="str">
        <f t="shared" si="127"/>
        <v>Yes</v>
      </c>
      <c r="Q1395">
        <f t="shared" si="128"/>
        <v>0</v>
      </c>
      <c r="R1395" t="str">
        <f t="shared" si="129"/>
        <v>Late</v>
      </c>
      <c r="S1395">
        <f t="shared" si="130"/>
        <v>2023</v>
      </c>
      <c r="T1395">
        <f t="shared" si="131"/>
        <v>1</v>
      </c>
    </row>
    <row r="1396" spans="1:20" x14ac:dyDescent="0.25">
      <c r="A1396" t="s">
        <v>1703</v>
      </c>
      <c r="B1396" t="s">
        <v>578</v>
      </c>
      <c r="C1396" t="s">
        <v>402</v>
      </c>
      <c r="D1396" s="1">
        <v>44774</v>
      </c>
      <c r="E1396">
        <v>7</v>
      </c>
      <c r="F1396">
        <v>14.5353561475243</v>
      </c>
      <c r="G1396" s="1">
        <v>44787</v>
      </c>
      <c r="H1396" s="1">
        <v>44785</v>
      </c>
      <c r="I1396">
        <v>101.74749303266999</v>
      </c>
      <c r="J1396">
        <f t="shared" si="126"/>
        <v>-2</v>
      </c>
      <c r="K1396" t="str">
        <f>VLOOKUP(B1396,Raw_Suppliers!$A$2:$G$101,2,FALSE)</f>
        <v>Beta Eco Ltd</v>
      </c>
      <c r="L1396" t="str">
        <f>VLOOKUP(B1396,Raw_Suppliers!$A$2:$G$101,3,FALSE)</f>
        <v>Canada</v>
      </c>
      <c r="M1396" t="str">
        <f>VLOOKUP(B1396,Raw_Suppliers!$A$2:$G$101,4,FALSE)</f>
        <v>East</v>
      </c>
      <c r="N1396" t="str">
        <f>VLOOKUP(B1396,Raw_Suppliers!$A$2:$G$101,6,FALSE)</f>
        <v>None</v>
      </c>
      <c r="O1396">
        <f>VLOOKUP(B1396,Raw_Suppliers!$A$2:$G$101,7,FALSE)</f>
        <v>0</v>
      </c>
      <c r="P1396" t="str">
        <f t="shared" si="127"/>
        <v>No</v>
      </c>
      <c r="Q1396">
        <f t="shared" si="128"/>
        <v>1</v>
      </c>
      <c r="R1396" t="str">
        <f t="shared" si="129"/>
        <v>On Time</v>
      </c>
      <c r="S1396">
        <f t="shared" si="130"/>
        <v>2022</v>
      </c>
      <c r="T1396">
        <f t="shared" si="131"/>
        <v>8</v>
      </c>
    </row>
    <row r="1397" spans="1:20" x14ac:dyDescent="0.25">
      <c r="A1397" t="s">
        <v>1704</v>
      </c>
      <c r="B1397" t="s">
        <v>43</v>
      </c>
      <c r="C1397" t="s">
        <v>23</v>
      </c>
      <c r="D1397" s="1">
        <v>45191</v>
      </c>
      <c r="E1397">
        <v>12</v>
      </c>
      <c r="F1397">
        <v>63.434612941441202</v>
      </c>
      <c r="G1397" s="1">
        <v>45203</v>
      </c>
      <c r="H1397" s="1">
        <v>45209</v>
      </c>
      <c r="I1397">
        <v>761.21535529729499</v>
      </c>
      <c r="J1397">
        <f t="shared" si="126"/>
        <v>6</v>
      </c>
      <c r="K1397" t="str">
        <f>VLOOKUP(B1397,Raw_Suppliers!$A$2:$G$101,2,FALSE)</f>
        <v>Alpha Ultra Corp</v>
      </c>
      <c r="L1397" t="str">
        <f>VLOOKUP(B1397,Raw_Suppliers!$A$2:$G$101,3,FALSE)</f>
        <v>USA</v>
      </c>
      <c r="M1397" t="str">
        <f>VLOOKUP(B1397,Raw_Suppliers!$A$2:$G$101,4,FALSE)</f>
        <v>Central</v>
      </c>
      <c r="N1397" t="str">
        <f>VLOOKUP(B1397,Raw_Suppliers!$A$2:$G$101,6,FALSE)</f>
        <v>ISO 9001</v>
      </c>
      <c r="O1397">
        <f>VLOOKUP(B1397,Raw_Suppliers!$A$2:$G$101,7,FALSE)</f>
        <v>1</v>
      </c>
      <c r="P1397" t="str">
        <f t="shared" si="127"/>
        <v>Yes</v>
      </c>
      <c r="Q1397">
        <f t="shared" si="128"/>
        <v>0</v>
      </c>
      <c r="R1397" t="str">
        <f t="shared" si="129"/>
        <v>Late</v>
      </c>
      <c r="S1397">
        <f t="shared" si="130"/>
        <v>2023</v>
      </c>
      <c r="T1397">
        <f t="shared" si="131"/>
        <v>9</v>
      </c>
    </row>
    <row r="1398" spans="1:20" x14ac:dyDescent="0.25">
      <c r="A1398" t="s">
        <v>1705</v>
      </c>
      <c r="B1398" t="s">
        <v>10</v>
      </c>
      <c r="C1398" t="s">
        <v>74</v>
      </c>
      <c r="D1398" s="1">
        <v>45042</v>
      </c>
      <c r="E1398">
        <v>8</v>
      </c>
      <c r="F1398">
        <v>71.949943204215302</v>
      </c>
      <c r="G1398" s="1">
        <v>45065</v>
      </c>
      <c r="H1398" s="1">
        <v>45062</v>
      </c>
      <c r="I1398">
        <v>575.59954563372196</v>
      </c>
      <c r="J1398">
        <f t="shared" si="126"/>
        <v>-3</v>
      </c>
      <c r="K1398" t="str">
        <f>VLOOKUP(B1398,Raw_Suppliers!$A$2:$G$101,2,FALSE)</f>
        <v>Vertex Beta GmbH</v>
      </c>
      <c r="L1398" t="str">
        <f>VLOOKUP(B1398,Raw_Suppliers!$A$2:$G$101,3,FALSE)</f>
        <v>India</v>
      </c>
      <c r="M1398" t="str">
        <f>VLOOKUP(B1398,Raw_Suppliers!$A$2:$G$101,4,FALSE)</f>
        <v>North</v>
      </c>
      <c r="N1398" t="str">
        <f>VLOOKUP(B1398,Raw_Suppliers!$A$2:$G$101,6,FALSE)</f>
        <v>ISO 14001</v>
      </c>
      <c r="O1398">
        <f>VLOOKUP(B1398,Raw_Suppliers!$A$2:$G$101,7,FALSE)</f>
        <v>0</v>
      </c>
      <c r="P1398" t="str">
        <f t="shared" si="127"/>
        <v>No</v>
      </c>
      <c r="Q1398">
        <f t="shared" si="128"/>
        <v>1</v>
      </c>
      <c r="R1398" t="str">
        <f t="shared" si="129"/>
        <v>On Time</v>
      </c>
      <c r="S1398">
        <f t="shared" si="130"/>
        <v>2023</v>
      </c>
      <c r="T1398">
        <f t="shared" si="131"/>
        <v>4</v>
      </c>
    </row>
    <row r="1399" spans="1:20" x14ac:dyDescent="0.25">
      <c r="A1399" t="s">
        <v>1706</v>
      </c>
      <c r="B1399" t="s">
        <v>301</v>
      </c>
      <c r="C1399" t="s">
        <v>115</v>
      </c>
      <c r="D1399" s="1">
        <v>44395</v>
      </c>
      <c r="E1399">
        <v>10</v>
      </c>
      <c r="F1399">
        <v>42.955083655617699</v>
      </c>
      <c r="G1399" s="1">
        <v>44415</v>
      </c>
      <c r="H1399" s="1">
        <v>44418</v>
      </c>
      <c r="I1399">
        <v>429.55083655617699</v>
      </c>
      <c r="J1399">
        <f t="shared" si="126"/>
        <v>3</v>
      </c>
      <c r="K1399" t="str">
        <f>VLOOKUP(B1399,Raw_Suppliers!$A$2:$G$101,2,FALSE)</f>
        <v>Beta Eco Inc</v>
      </c>
      <c r="L1399" t="str">
        <f>VLOOKUP(B1399,Raw_Suppliers!$A$2:$G$101,3,FALSE)</f>
        <v>Denmark</v>
      </c>
      <c r="M1399" t="str">
        <f>VLOOKUP(B1399,Raw_Suppliers!$A$2:$G$101,4,FALSE)</f>
        <v>South</v>
      </c>
      <c r="N1399" t="str">
        <f>VLOOKUP(B1399,Raw_Suppliers!$A$2:$G$101,6,FALSE)</f>
        <v>ISO 14001</v>
      </c>
      <c r="O1399">
        <f>VLOOKUP(B1399,Raw_Suppliers!$A$2:$G$101,7,FALSE)</f>
        <v>1</v>
      </c>
      <c r="P1399" t="str">
        <f t="shared" si="127"/>
        <v>Yes</v>
      </c>
      <c r="Q1399">
        <f t="shared" si="128"/>
        <v>0</v>
      </c>
      <c r="R1399" t="str">
        <f t="shared" si="129"/>
        <v>Late</v>
      </c>
      <c r="S1399">
        <f t="shared" si="130"/>
        <v>2021</v>
      </c>
      <c r="T1399">
        <f t="shared" si="131"/>
        <v>7</v>
      </c>
    </row>
    <row r="1400" spans="1:20" x14ac:dyDescent="0.25">
      <c r="A1400" t="s">
        <v>1707</v>
      </c>
      <c r="B1400" t="s">
        <v>326</v>
      </c>
      <c r="C1400" t="s">
        <v>430</v>
      </c>
      <c r="D1400" s="1">
        <v>45089</v>
      </c>
      <c r="E1400">
        <v>10</v>
      </c>
      <c r="F1400">
        <v>55.019463279045702</v>
      </c>
      <c r="G1400" s="1">
        <v>45101</v>
      </c>
      <c r="H1400" s="1">
        <v>45101</v>
      </c>
      <c r="I1400">
        <v>550.19463279045704</v>
      </c>
      <c r="J1400">
        <f t="shared" si="126"/>
        <v>0</v>
      </c>
      <c r="K1400" t="str">
        <f>VLOOKUP(B1400,Raw_Suppliers!$A$2:$G$101,2,FALSE)</f>
        <v>Ultra Fusion Corp</v>
      </c>
      <c r="L1400" t="str">
        <f>VLOOKUP(B1400,Raw_Suppliers!$A$2:$G$101,3,FALSE)</f>
        <v>Canada</v>
      </c>
      <c r="M1400" t="str">
        <f>VLOOKUP(B1400,Raw_Suppliers!$A$2:$G$101,4,FALSE)</f>
        <v>South</v>
      </c>
      <c r="N1400" t="str">
        <f>VLOOKUP(B1400,Raw_Suppliers!$A$2:$G$101,6,FALSE)</f>
        <v>None</v>
      </c>
      <c r="O1400">
        <f>VLOOKUP(B1400,Raw_Suppliers!$A$2:$G$101,7,FALSE)</f>
        <v>1</v>
      </c>
      <c r="P1400" t="str">
        <f t="shared" si="127"/>
        <v>Yes</v>
      </c>
      <c r="Q1400">
        <f t="shared" si="128"/>
        <v>1</v>
      </c>
      <c r="R1400" t="str">
        <f t="shared" si="129"/>
        <v>On Time</v>
      </c>
      <c r="S1400">
        <f t="shared" si="130"/>
        <v>2023</v>
      </c>
      <c r="T1400">
        <f t="shared" si="131"/>
        <v>6</v>
      </c>
    </row>
    <row r="1401" spans="1:20" x14ac:dyDescent="0.25">
      <c r="A1401" t="s">
        <v>1708</v>
      </c>
      <c r="B1401" t="s">
        <v>96</v>
      </c>
      <c r="C1401" t="s">
        <v>759</v>
      </c>
      <c r="D1401" s="1">
        <v>45208</v>
      </c>
      <c r="E1401">
        <v>18</v>
      </c>
      <c r="F1401">
        <v>39.314548289557997</v>
      </c>
      <c r="G1401" s="1">
        <v>45224</v>
      </c>
      <c r="H1401" s="1">
        <v>45229</v>
      </c>
      <c r="I1401">
        <v>707.66186921204496</v>
      </c>
      <c r="J1401">
        <f t="shared" si="126"/>
        <v>5</v>
      </c>
      <c r="K1401" t="str">
        <f>VLOOKUP(B1401,Raw_Suppliers!$A$2:$G$101,2,FALSE)</f>
        <v>Alpha Nova Ltd</v>
      </c>
      <c r="L1401" t="str">
        <f>VLOOKUP(B1401,Raw_Suppliers!$A$2:$G$101,3,FALSE)</f>
        <v>UK</v>
      </c>
      <c r="M1401" t="str">
        <f>VLOOKUP(B1401,Raw_Suppliers!$A$2:$G$101,4,FALSE)</f>
        <v>West</v>
      </c>
      <c r="N1401" t="str">
        <f>VLOOKUP(B1401,Raw_Suppliers!$A$2:$G$101,6,FALSE)</f>
        <v>ISO 14001</v>
      </c>
      <c r="O1401">
        <f>VLOOKUP(B1401,Raw_Suppliers!$A$2:$G$101,7,FALSE)</f>
        <v>0</v>
      </c>
      <c r="P1401" t="str">
        <f t="shared" si="127"/>
        <v>No</v>
      </c>
      <c r="Q1401">
        <f t="shared" si="128"/>
        <v>0</v>
      </c>
      <c r="R1401" t="str">
        <f t="shared" si="129"/>
        <v>Late</v>
      </c>
      <c r="S1401">
        <f t="shared" si="130"/>
        <v>2023</v>
      </c>
      <c r="T1401">
        <f t="shared" si="131"/>
        <v>10</v>
      </c>
    </row>
    <row r="1402" spans="1:20" x14ac:dyDescent="0.25">
      <c r="A1402" t="s">
        <v>1709</v>
      </c>
      <c r="B1402" t="s">
        <v>169</v>
      </c>
      <c r="C1402" t="s">
        <v>230</v>
      </c>
      <c r="D1402" s="1">
        <v>44575</v>
      </c>
      <c r="E1402">
        <v>9</v>
      </c>
      <c r="F1402">
        <v>24.743531235629099</v>
      </c>
      <c r="G1402" s="1">
        <v>44595</v>
      </c>
      <c r="H1402" s="1">
        <v>44597</v>
      </c>
      <c r="I1402">
        <v>222.691781120662</v>
      </c>
      <c r="J1402">
        <f t="shared" si="126"/>
        <v>2</v>
      </c>
      <c r="K1402" t="str">
        <f>VLOOKUP(B1402,Raw_Suppliers!$A$2:$G$101,2,FALSE)</f>
        <v>Vertex Beta LLC</v>
      </c>
      <c r="L1402" t="str">
        <f>VLOOKUP(B1402,Raw_Suppliers!$A$2:$G$101,3,FALSE)</f>
        <v>China</v>
      </c>
      <c r="M1402" t="str">
        <f>VLOOKUP(B1402,Raw_Suppliers!$A$2:$G$101,4,FALSE)</f>
        <v>South</v>
      </c>
      <c r="N1402" t="str">
        <f>VLOOKUP(B1402,Raw_Suppliers!$A$2:$G$101,6,FALSE)</f>
        <v>ISO 14001</v>
      </c>
      <c r="O1402">
        <f>VLOOKUP(B1402,Raw_Suppliers!$A$2:$G$101,7,FALSE)</f>
        <v>0</v>
      </c>
      <c r="P1402" t="str">
        <f t="shared" si="127"/>
        <v>No</v>
      </c>
      <c r="Q1402">
        <f t="shared" si="128"/>
        <v>0</v>
      </c>
      <c r="R1402" t="str">
        <f t="shared" si="129"/>
        <v>Late</v>
      </c>
      <c r="S1402">
        <f t="shared" si="130"/>
        <v>2022</v>
      </c>
      <c r="T1402">
        <f t="shared" si="131"/>
        <v>1</v>
      </c>
    </row>
    <row r="1403" spans="1:20" x14ac:dyDescent="0.25">
      <c r="A1403" t="s">
        <v>1710</v>
      </c>
      <c r="B1403" t="s">
        <v>442</v>
      </c>
      <c r="C1403" t="s">
        <v>400</v>
      </c>
      <c r="D1403" s="1">
        <v>45129</v>
      </c>
      <c r="E1403">
        <v>13</v>
      </c>
      <c r="F1403">
        <v>25.190390607041198</v>
      </c>
      <c r="G1403" s="1">
        <v>45153</v>
      </c>
      <c r="H1403" s="1">
        <v>45156</v>
      </c>
      <c r="I1403">
        <v>327.47507789153502</v>
      </c>
      <c r="J1403">
        <f t="shared" si="126"/>
        <v>3</v>
      </c>
      <c r="K1403" t="str">
        <f>VLOOKUP(B1403,Raw_Suppliers!$A$2:$G$101,2,FALSE)</f>
        <v>Vertex Delta LLC</v>
      </c>
      <c r="L1403" t="str">
        <f>VLOOKUP(B1403,Raw_Suppliers!$A$2:$G$101,3,FALSE)</f>
        <v>Canada</v>
      </c>
      <c r="M1403" t="str">
        <f>VLOOKUP(B1403,Raw_Suppliers!$A$2:$G$101,4,FALSE)</f>
        <v>East</v>
      </c>
      <c r="N1403" t="str">
        <f>VLOOKUP(B1403,Raw_Suppliers!$A$2:$G$101,6,FALSE)</f>
        <v>ISO 14001</v>
      </c>
      <c r="O1403">
        <f>VLOOKUP(B1403,Raw_Suppliers!$A$2:$G$101,7,FALSE)</f>
        <v>1</v>
      </c>
      <c r="P1403" t="str">
        <f t="shared" si="127"/>
        <v>Yes</v>
      </c>
      <c r="Q1403">
        <f t="shared" si="128"/>
        <v>0</v>
      </c>
      <c r="R1403" t="str">
        <f t="shared" si="129"/>
        <v>Late</v>
      </c>
      <c r="S1403">
        <f t="shared" si="130"/>
        <v>2023</v>
      </c>
      <c r="T1403">
        <f t="shared" si="131"/>
        <v>7</v>
      </c>
    </row>
    <row r="1404" spans="1:20" x14ac:dyDescent="0.25">
      <c r="A1404" t="s">
        <v>1711</v>
      </c>
      <c r="B1404" t="s">
        <v>394</v>
      </c>
      <c r="C1404" t="s">
        <v>1129</v>
      </c>
      <c r="D1404" s="1">
        <v>45304</v>
      </c>
      <c r="E1404">
        <v>17</v>
      </c>
      <c r="F1404">
        <v>22.437737672944898</v>
      </c>
      <c r="G1404" s="1">
        <v>45317</v>
      </c>
      <c r="H1404" s="1">
        <v>45314</v>
      </c>
      <c r="I1404">
        <v>381.44154044006302</v>
      </c>
      <c r="J1404">
        <f t="shared" si="126"/>
        <v>-3</v>
      </c>
      <c r="K1404" t="str">
        <f>VLOOKUP(B1404,Raw_Suppliers!$A$2:$G$101,2,FALSE)</f>
        <v>Ultra Prime Inc</v>
      </c>
      <c r="L1404" t="str">
        <f>VLOOKUP(B1404,Raw_Suppliers!$A$2:$G$101,3,FALSE)</f>
        <v>Brazil</v>
      </c>
      <c r="M1404" t="str">
        <f>VLOOKUP(B1404,Raw_Suppliers!$A$2:$G$101,4,FALSE)</f>
        <v>West</v>
      </c>
      <c r="N1404" t="str">
        <f>VLOOKUP(B1404,Raw_Suppliers!$A$2:$G$101,6,FALSE)</f>
        <v>ISO 9001</v>
      </c>
      <c r="O1404">
        <f>VLOOKUP(B1404,Raw_Suppliers!$A$2:$G$101,7,FALSE)</f>
        <v>1</v>
      </c>
      <c r="P1404" t="str">
        <f t="shared" si="127"/>
        <v>Yes</v>
      </c>
      <c r="Q1404">
        <f t="shared" si="128"/>
        <v>1</v>
      </c>
      <c r="R1404" t="str">
        <f t="shared" si="129"/>
        <v>On Time</v>
      </c>
      <c r="S1404">
        <f t="shared" si="130"/>
        <v>2024</v>
      </c>
      <c r="T1404">
        <f t="shared" si="131"/>
        <v>1</v>
      </c>
    </row>
    <row r="1405" spans="1:20" x14ac:dyDescent="0.25">
      <c r="A1405" t="s">
        <v>1712</v>
      </c>
      <c r="B1405" t="s">
        <v>205</v>
      </c>
      <c r="C1405" t="s">
        <v>795</v>
      </c>
      <c r="D1405" s="1">
        <v>44802</v>
      </c>
      <c r="E1405">
        <v>12</v>
      </c>
      <c r="F1405">
        <v>50.585584090943797</v>
      </c>
      <c r="G1405" s="1">
        <v>44818</v>
      </c>
      <c r="H1405" s="1">
        <v>44821</v>
      </c>
      <c r="I1405">
        <v>607.02700909132602</v>
      </c>
      <c r="J1405">
        <f t="shared" si="126"/>
        <v>3</v>
      </c>
      <c r="K1405" t="str">
        <f>VLOOKUP(B1405,Raw_Suppliers!$A$2:$G$101,2,FALSE)</f>
        <v>Ultra Eco LLC</v>
      </c>
      <c r="L1405" t="str">
        <f>VLOOKUP(B1405,Raw_Suppliers!$A$2:$G$101,3,FALSE)</f>
        <v>China</v>
      </c>
      <c r="M1405" t="str">
        <f>VLOOKUP(B1405,Raw_Suppliers!$A$2:$G$101,4,FALSE)</f>
        <v>South</v>
      </c>
      <c r="N1405" t="str">
        <f>VLOOKUP(B1405,Raw_Suppliers!$A$2:$G$101,6,FALSE)</f>
        <v>ISO 14001</v>
      </c>
      <c r="O1405">
        <f>VLOOKUP(B1405,Raw_Suppliers!$A$2:$G$101,7,FALSE)</f>
        <v>1</v>
      </c>
      <c r="P1405" t="str">
        <f t="shared" si="127"/>
        <v>Yes</v>
      </c>
      <c r="Q1405">
        <f t="shared" si="128"/>
        <v>0</v>
      </c>
      <c r="R1405" t="str">
        <f t="shared" si="129"/>
        <v>Late</v>
      </c>
      <c r="S1405">
        <f t="shared" si="130"/>
        <v>2022</v>
      </c>
      <c r="T1405">
        <f t="shared" si="131"/>
        <v>8</v>
      </c>
    </row>
    <row r="1406" spans="1:20" x14ac:dyDescent="0.25">
      <c r="A1406" t="s">
        <v>1713</v>
      </c>
      <c r="B1406" t="s">
        <v>130</v>
      </c>
      <c r="C1406" t="s">
        <v>818</v>
      </c>
      <c r="D1406" s="1">
        <v>44295</v>
      </c>
      <c r="E1406">
        <v>10</v>
      </c>
      <c r="F1406">
        <v>31.583640815433899</v>
      </c>
      <c r="G1406" s="1">
        <v>44317</v>
      </c>
      <c r="H1406" s="1">
        <v>44323</v>
      </c>
      <c r="I1406">
        <v>315.83640815433898</v>
      </c>
      <c r="J1406">
        <f t="shared" si="126"/>
        <v>6</v>
      </c>
      <c r="K1406" t="str">
        <f>VLOOKUP(B1406,Raw_Suppliers!$A$2:$G$101,2,FALSE)</f>
        <v>Beta Gamma Corp</v>
      </c>
      <c r="L1406" t="str">
        <f>VLOOKUP(B1406,Raw_Suppliers!$A$2:$G$101,3,FALSE)</f>
        <v>USA</v>
      </c>
      <c r="M1406" t="str">
        <f>VLOOKUP(B1406,Raw_Suppliers!$A$2:$G$101,4,FALSE)</f>
        <v>West</v>
      </c>
      <c r="N1406" t="str">
        <f>VLOOKUP(B1406,Raw_Suppliers!$A$2:$G$101,6,FALSE)</f>
        <v>None</v>
      </c>
      <c r="O1406">
        <f>VLOOKUP(B1406,Raw_Suppliers!$A$2:$G$101,7,FALSE)</f>
        <v>0</v>
      </c>
      <c r="P1406" t="str">
        <f t="shared" si="127"/>
        <v>No</v>
      </c>
      <c r="Q1406">
        <f t="shared" si="128"/>
        <v>0</v>
      </c>
      <c r="R1406" t="str">
        <f t="shared" si="129"/>
        <v>Late</v>
      </c>
      <c r="S1406">
        <f t="shared" si="130"/>
        <v>2021</v>
      </c>
      <c r="T1406">
        <f t="shared" si="131"/>
        <v>4</v>
      </c>
    </row>
    <row r="1407" spans="1:20" x14ac:dyDescent="0.25">
      <c r="A1407" t="s">
        <v>1714</v>
      </c>
      <c r="B1407" t="s">
        <v>176</v>
      </c>
      <c r="C1407" t="s">
        <v>428</v>
      </c>
      <c r="D1407" s="1">
        <v>45001</v>
      </c>
      <c r="E1407">
        <v>12</v>
      </c>
      <c r="F1407">
        <v>24.156574199426998</v>
      </c>
      <c r="G1407" s="1">
        <v>45022</v>
      </c>
      <c r="H1407" s="1">
        <v>45024</v>
      </c>
      <c r="I1407">
        <v>289.87889039312398</v>
      </c>
      <c r="J1407">
        <f t="shared" si="126"/>
        <v>2</v>
      </c>
      <c r="K1407" t="str">
        <f>VLOOKUP(B1407,Raw_Suppliers!$A$2:$G$101,2,FALSE)</f>
        <v>Nano Ultra Corp</v>
      </c>
      <c r="L1407" t="str">
        <f>VLOOKUP(B1407,Raw_Suppliers!$A$2:$G$101,3,FALSE)</f>
        <v>Canada</v>
      </c>
      <c r="M1407" t="str">
        <f>VLOOKUP(B1407,Raw_Suppliers!$A$2:$G$101,4,FALSE)</f>
        <v>Central</v>
      </c>
      <c r="N1407" t="str">
        <f>VLOOKUP(B1407,Raw_Suppliers!$A$2:$G$101,6,FALSE)</f>
        <v>ISO 9001</v>
      </c>
      <c r="O1407">
        <f>VLOOKUP(B1407,Raw_Suppliers!$A$2:$G$101,7,FALSE)</f>
        <v>0</v>
      </c>
      <c r="P1407" t="str">
        <f t="shared" si="127"/>
        <v>No</v>
      </c>
      <c r="Q1407">
        <f t="shared" si="128"/>
        <v>0</v>
      </c>
      <c r="R1407" t="str">
        <f t="shared" si="129"/>
        <v>Late</v>
      </c>
      <c r="S1407">
        <f t="shared" si="130"/>
        <v>2023</v>
      </c>
      <c r="T1407">
        <f t="shared" si="131"/>
        <v>3</v>
      </c>
    </row>
    <row r="1408" spans="1:20" x14ac:dyDescent="0.25">
      <c r="A1408" t="s">
        <v>1715</v>
      </c>
      <c r="B1408" t="s">
        <v>578</v>
      </c>
      <c r="C1408" t="s">
        <v>1051</v>
      </c>
      <c r="D1408" s="1">
        <v>44890</v>
      </c>
      <c r="E1408">
        <v>9</v>
      </c>
      <c r="F1408">
        <v>25.6011499987547</v>
      </c>
      <c r="G1408" s="1">
        <v>44914</v>
      </c>
      <c r="H1408" s="1">
        <v>44916</v>
      </c>
      <c r="I1408">
        <v>230.41034998879201</v>
      </c>
      <c r="J1408">
        <f t="shared" si="126"/>
        <v>2</v>
      </c>
      <c r="K1408" t="str">
        <f>VLOOKUP(B1408,Raw_Suppliers!$A$2:$G$101,2,FALSE)</f>
        <v>Beta Eco Ltd</v>
      </c>
      <c r="L1408" t="str">
        <f>VLOOKUP(B1408,Raw_Suppliers!$A$2:$G$101,3,FALSE)</f>
        <v>Canada</v>
      </c>
      <c r="M1408" t="str">
        <f>VLOOKUP(B1408,Raw_Suppliers!$A$2:$G$101,4,FALSE)</f>
        <v>East</v>
      </c>
      <c r="N1408" t="str">
        <f>VLOOKUP(B1408,Raw_Suppliers!$A$2:$G$101,6,FALSE)</f>
        <v>None</v>
      </c>
      <c r="O1408">
        <f>VLOOKUP(B1408,Raw_Suppliers!$A$2:$G$101,7,FALSE)</f>
        <v>0</v>
      </c>
      <c r="P1408" t="str">
        <f t="shared" si="127"/>
        <v>No</v>
      </c>
      <c r="Q1408">
        <f t="shared" si="128"/>
        <v>0</v>
      </c>
      <c r="R1408" t="str">
        <f t="shared" si="129"/>
        <v>Late</v>
      </c>
      <c r="S1408">
        <f t="shared" si="130"/>
        <v>2022</v>
      </c>
      <c r="T1408">
        <f t="shared" si="131"/>
        <v>11</v>
      </c>
    </row>
    <row r="1409" spans="1:20" x14ac:dyDescent="0.25">
      <c r="A1409" t="s">
        <v>1716</v>
      </c>
      <c r="B1409" t="s">
        <v>16</v>
      </c>
      <c r="C1409" t="s">
        <v>415</v>
      </c>
      <c r="D1409" s="1">
        <v>44894</v>
      </c>
      <c r="E1409">
        <v>11</v>
      </c>
      <c r="F1409">
        <v>64.182658793275905</v>
      </c>
      <c r="G1409" s="1">
        <v>44912</v>
      </c>
      <c r="H1409" s="1">
        <v>44917</v>
      </c>
      <c r="I1409">
        <v>706.00924672603503</v>
      </c>
      <c r="J1409">
        <f t="shared" si="126"/>
        <v>5</v>
      </c>
      <c r="K1409" t="str">
        <f>VLOOKUP(B1409,Raw_Suppliers!$A$2:$G$101,2,FALSE)</f>
        <v>Beta Pioneer Inc</v>
      </c>
      <c r="L1409" t="str">
        <f>VLOOKUP(B1409,Raw_Suppliers!$A$2:$G$101,3,FALSE)</f>
        <v>USA</v>
      </c>
      <c r="M1409" t="str">
        <f>VLOOKUP(B1409,Raw_Suppliers!$A$2:$G$101,4,FALSE)</f>
        <v>Central</v>
      </c>
      <c r="N1409" t="str">
        <f>VLOOKUP(B1409,Raw_Suppliers!$A$2:$G$101,6,FALSE)</f>
        <v>ISO 45001</v>
      </c>
      <c r="O1409">
        <f>VLOOKUP(B1409,Raw_Suppliers!$A$2:$G$101,7,FALSE)</f>
        <v>1</v>
      </c>
      <c r="P1409" t="str">
        <f t="shared" si="127"/>
        <v>Yes</v>
      </c>
      <c r="Q1409">
        <f t="shared" si="128"/>
        <v>0</v>
      </c>
      <c r="R1409" t="str">
        <f t="shared" si="129"/>
        <v>Late</v>
      </c>
      <c r="S1409">
        <f t="shared" si="130"/>
        <v>2022</v>
      </c>
      <c r="T1409">
        <f t="shared" si="131"/>
        <v>11</v>
      </c>
    </row>
    <row r="1410" spans="1:20" x14ac:dyDescent="0.25">
      <c r="A1410" t="s">
        <v>1717</v>
      </c>
      <c r="B1410" t="s">
        <v>299</v>
      </c>
      <c r="C1410" t="s">
        <v>167</v>
      </c>
      <c r="D1410" s="1">
        <v>45377</v>
      </c>
      <c r="E1410">
        <v>11</v>
      </c>
      <c r="F1410">
        <v>33.632038938297697</v>
      </c>
      <c r="G1410" s="1">
        <v>45401</v>
      </c>
      <c r="H1410" s="1">
        <v>45406</v>
      </c>
      <c r="I1410">
        <v>369.952428321274</v>
      </c>
      <c r="J1410">
        <f t="shared" si="126"/>
        <v>5</v>
      </c>
      <c r="K1410" t="str">
        <f>VLOOKUP(B1410,Raw_Suppliers!$A$2:$G$101,2,FALSE)</f>
        <v>Nova Alpha Inc</v>
      </c>
      <c r="L1410" t="str">
        <f>VLOOKUP(B1410,Raw_Suppliers!$A$2:$G$101,3,FALSE)</f>
        <v>UK</v>
      </c>
      <c r="M1410" t="str">
        <f>VLOOKUP(B1410,Raw_Suppliers!$A$2:$G$101,4,FALSE)</f>
        <v>South</v>
      </c>
      <c r="N1410" t="str">
        <f>VLOOKUP(B1410,Raw_Suppliers!$A$2:$G$101,6,FALSE)</f>
        <v>None</v>
      </c>
      <c r="O1410">
        <f>VLOOKUP(B1410,Raw_Suppliers!$A$2:$G$101,7,FALSE)</f>
        <v>1</v>
      </c>
      <c r="P1410" t="str">
        <f t="shared" si="127"/>
        <v>Yes</v>
      </c>
      <c r="Q1410">
        <f t="shared" si="128"/>
        <v>0</v>
      </c>
      <c r="R1410" t="str">
        <f t="shared" si="129"/>
        <v>Late</v>
      </c>
      <c r="S1410">
        <f t="shared" si="130"/>
        <v>2024</v>
      </c>
      <c r="T1410">
        <f t="shared" si="131"/>
        <v>3</v>
      </c>
    </row>
    <row r="1411" spans="1:20" x14ac:dyDescent="0.25">
      <c r="A1411" t="s">
        <v>1718</v>
      </c>
      <c r="B1411" t="s">
        <v>299</v>
      </c>
      <c r="C1411" t="s">
        <v>759</v>
      </c>
      <c r="D1411" s="1">
        <v>44215</v>
      </c>
      <c r="E1411">
        <v>6</v>
      </c>
      <c r="F1411">
        <v>13.954517751493601</v>
      </c>
      <c r="G1411" s="1">
        <v>44231</v>
      </c>
      <c r="H1411" s="1">
        <v>44237</v>
      </c>
      <c r="I1411">
        <v>83.727106508961896</v>
      </c>
      <c r="J1411">
        <f t="shared" ref="J1411:J1474" si="132">H1411-G1411</f>
        <v>6</v>
      </c>
      <c r="K1411" t="str">
        <f>VLOOKUP(B1411,Raw_Suppliers!$A$2:$G$101,2,FALSE)</f>
        <v>Nova Alpha Inc</v>
      </c>
      <c r="L1411" t="str">
        <f>VLOOKUP(B1411,Raw_Suppliers!$A$2:$G$101,3,FALSE)</f>
        <v>UK</v>
      </c>
      <c r="M1411" t="str">
        <f>VLOOKUP(B1411,Raw_Suppliers!$A$2:$G$101,4,FALSE)</f>
        <v>South</v>
      </c>
      <c r="N1411" t="str">
        <f>VLOOKUP(B1411,Raw_Suppliers!$A$2:$G$101,6,FALSE)</f>
        <v>None</v>
      </c>
      <c r="O1411">
        <f>VLOOKUP(B1411,Raw_Suppliers!$A$2:$G$101,7,FALSE)</f>
        <v>1</v>
      </c>
      <c r="P1411" t="str">
        <f t="shared" ref="P1411:P1474" si="133">IF(O1411=1,"Yes","No")</f>
        <v>Yes</v>
      </c>
      <c r="Q1411">
        <f t="shared" ref="Q1411:Q1474" si="134">IF(J1411&lt;=0,1,0)</f>
        <v>0</v>
      </c>
      <c r="R1411" t="str">
        <f t="shared" ref="R1411:R1474" si="135">IF(Q1411=1,"On Time","Late")</f>
        <v>Late</v>
      </c>
      <c r="S1411">
        <f t="shared" ref="S1411:S1474" si="136">YEAR(D1411)</f>
        <v>2021</v>
      </c>
      <c r="T1411">
        <f t="shared" ref="T1411:T1474" si="137">MONTH(D1411)</f>
        <v>1</v>
      </c>
    </row>
    <row r="1412" spans="1:20" x14ac:dyDescent="0.25">
      <c r="A1412" t="s">
        <v>1719</v>
      </c>
      <c r="B1412" t="s">
        <v>686</v>
      </c>
      <c r="C1412" t="s">
        <v>693</v>
      </c>
      <c r="D1412" s="1">
        <v>44234</v>
      </c>
      <c r="E1412">
        <v>8</v>
      </c>
      <c r="F1412">
        <v>66.999543227100006</v>
      </c>
      <c r="G1412" s="1">
        <v>44245</v>
      </c>
      <c r="H1412" s="1">
        <v>44247</v>
      </c>
      <c r="I1412">
        <v>535.99634581680004</v>
      </c>
      <c r="J1412">
        <f t="shared" si="132"/>
        <v>2</v>
      </c>
      <c r="K1412" t="str">
        <f>VLOOKUP(B1412,Raw_Suppliers!$A$2:$G$101,2,FALSE)</f>
        <v>Eco Gamma GmbH</v>
      </c>
      <c r="L1412" t="str">
        <f>VLOOKUP(B1412,Raw_Suppliers!$A$2:$G$101,3,FALSE)</f>
        <v>China</v>
      </c>
      <c r="M1412" t="str">
        <f>VLOOKUP(B1412,Raw_Suppliers!$A$2:$G$101,4,FALSE)</f>
        <v>South</v>
      </c>
      <c r="N1412" t="str">
        <f>VLOOKUP(B1412,Raw_Suppliers!$A$2:$G$101,6,FALSE)</f>
        <v>ISO 9001</v>
      </c>
      <c r="O1412">
        <f>VLOOKUP(B1412,Raw_Suppliers!$A$2:$G$101,7,FALSE)</f>
        <v>0</v>
      </c>
      <c r="P1412" t="str">
        <f t="shared" si="133"/>
        <v>No</v>
      </c>
      <c r="Q1412">
        <f t="shared" si="134"/>
        <v>0</v>
      </c>
      <c r="R1412" t="str">
        <f t="shared" si="135"/>
        <v>Late</v>
      </c>
      <c r="S1412">
        <f t="shared" si="136"/>
        <v>2021</v>
      </c>
      <c r="T1412">
        <f t="shared" si="137"/>
        <v>2</v>
      </c>
    </row>
    <row r="1413" spans="1:20" x14ac:dyDescent="0.25">
      <c r="A1413" t="s">
        <v>1720</v>
      </c>
      <c r="B1413" t="s">
        <v>49</v>
      </c>
      <c r="C1413" t="s">
        <v>80</v>
      </c>
      <c r="D1413" s="1">
        <v>44414</v>
      </c>
      <c r="E1413">
        <v>6</v>
      </c>
      <c r="F1413">
        <v>60.769133880971303</v>
      </c>
      <c r="G1413" s="1">
        <v>44425</v>
      </c>
      <c r="H1413" s="1">
        <v>44423</v>
      </c>
      <c r="I1413">
        <v>364.61480328582701</v>
      </c>
      <c r="J1413">
        <f t="shared" si="132"/>
        <v>-2</v>
      </c>
      <c r="K1413" t="str">
        <f>VLOOKUP(B1413,Raw_Suppliers!$A$2:$G$101,2,FALSE)</f>
        <v>Prime Prime Corp</v>
      </c>
      <c r="L1413" t="str">
        <f>VLOOKUP(B1413,Raw_Suppliers!$A$2:$G$101,3,FALSE)</f>
        <v>China</v>
      </c>
      <c r="M1413" t="str">
        <f>VLOOKUP(B1413,Raw_Suppliers!$A$2:$G$101,4,FALSE)</f>
        <v>North</v>
      </c>
      <c r="N1413" t="str">
        <f>VLOOKUP(B1413,Raw_Suppliers!$A$2:$G$101,6,FALSE)</f>
        <v>ISO 45001</v>
      </c>
      <c r="O1413">
        <f>VLOOKUP(B1413,Raw_Suppliers!$A$2:$G$101,7,FALSE)</f>
        <v>0</v>
      </c>
      <c r="P1413" t="str">
        <f t="shared" si="133"/>
        <v>No</v>
      </c>
      <c r="Q1413">
        <f t="shared" si="134"/>
        <v>1</v>
      </c>
      <c r="R1413" t="str">
        <f t="shared" si="135"/>
        <v>On Time</v>
      </c>
      <c r="S1413">
        <f t="shared" si="136"/>
        <v>2021</v>
      </c>
      <c r="T1413">
        <f t="shared" si="137"/>
        <v>8</v>
      </c>
    </row>
    <row r="1414" spans="1:20" x14ac:dyDescent="0.25">
      <c r="A1414" t="s">
        <v>1721</v>
      </c>
      <c r="B1414" t="s">
        <v>13</v>
      </c>
      <c r="C1414" t="s">
        <v>117</v>
      </c>
      <c r="D1414" s="1">
        <v>44895</v>
      </c>
      <c r="E1414">
        <v>9</v>
      </c>
      <c r="F1414">
        <v>79.155577293160903</v>
      </c>
      <c r="G1414" s="1">
        <v>44911</v>
      </c>
      <c r="H1414" s="1">
        <v>44913</v>
      </c>
      <c r="I1414">
        <v>712.40019563844805</v>
      </c>
      <c r="J1414">
        <f t="shared" si="132"/>
        <v>2</v>
      </c>
      <c r="K1414" t="str">
        <f>VLOOKUP(B1414,Raw_Suppliers!$A$2:$G$101,2,FALSE)</f>
        <v>Beta Delta LLC</v>
      </c>
      <c r="L1414" t="str">
        <f>VLOOKUP(B1414,Raw_Suppliers!$A$2:$G$101,3,FALSE)</f>
        <v>Germany</v>
      </c>
      <c r="M1414" t="str">
        <f>VLOOKUP(B1414,Raw_Suppliers!$A$2:$G$101,4,FALSE)</f>
        <v>Central</v>
      </c>
      <c r="N1414" t="str">
        <f>VLOOKUP(B1414,Raw_Suppliers!$A$2:$G$101,6,FALSE)</f>
        <v>ISO 9001</v>
      </c>
      <c r="O1414">
        <f>VLOOKUP(B1414,Raw_Suppliers!$A$2:$G$101,7,FALSE)</f>
        <v>1</v>
      </c>
      <c r="P1414" t="str">
        <f t="shared" si="133"/>
        <v>Yes</v>
      </c>
      <c r="Q1414">
        <f t="shared" si="134"/>
        <v>0</v>
      </c>
      <c r="R1414" t="str">
        <f t="shared" si="135"/>
        <v>Late</v>
      </c>
      <c r="S1414">
        <f t="shared" si="136"/>
        <v>2022</v>
      </c>
      <c r="T1414">
        <f t="shared" si="137"/>
        <v>11</v>
      </c>
    </row>
    <row r="1415" spans="1:20" x14ac:dyDescent="0.25">
      <c r="A1415" t="s">
        <v>1722</v>
      </c>
      <c r="B1415" t="s">
        <v>58</v>
      </c>
      <c r="C1415" t="s">
        <v>290</v>
      </c>
      <c r="D1415" s="1">
        <v>44329</v>
      </c>
      <c r="E1415">
        <v>18</v>
      </c>
      <c r="F1415">
        <v>55.371359924797702</v>
      </c>
      <c r="G1415" s="1">
        <v>44343</v>
      </c>
      <c r="H1415" s="1">
        <v>44345</v>
      </c>
      <c r="I1415">
        <v>996.68447864635903</v>
      </c>
      <c r="J1415">
        <f t="shared" si="132"/>
        <v>2</v>
      </c>
      <c r="K1415" t="str">
        <f>VLOOKUP(B1415,Raw_Suppliers!$A$2:$G$101,2,FALSE)</f>
        <v>Quantum Nano Inc</v>
      </c>
      <c r="L1415" t="str">
        <f>VLOOKUP(B1415,Raw_Suppliers!$A$2:$G$101,3,FALSE)</f>
        <v>Brazil</v>
      </c>
      <c r="M1415" t="str">
        <f>VLOOKUP(B1415,Raw_Suppliers!$A$2:$G$101,4,FALSE)</f>
        <v>East</v>
      </c>
      <c r="N1415" t="str">
        <f>VLOOKUP(B1415,Raw_Suppliers!$A$2:$G$101,6,FALSE)</f>
        <v>ISO 9001</v>
      </c>
      <c r="O1415">
        <f>VLOOKUP(B1415,Raw_Suppliers!$A$2:$G$101,7,FALSE)</f>
        <v>1</v>
      </c>
      <c r="P1415" t="str">
        <f t="shared" si="133"/>
        <v>Yes</v>
      </c>
      <c r="Q1415">
        <f t="shared" si="134"/>
        <v>0</v>
      </c>
      <c r="R1415" t="str">
        <f t="shared" si="135"/>
        <v>Late</v>
      </c>
      <c r="S1415">
        <f t="shared" si="136"/>
        <v>2021</v>
      </c>
      <c r="T1415">
        <f t="shared" si="137"/>
        <v>5</v>
      </c>
    </row>
    <row r="1416" spans="1:20" x14ac:dyDescent="0.25">
      <c r="A1416" t="s">
        <v>1723</v>
      </c>
      <c r="B1416" t="s">
        <v>394</v>
      </c>
      <c r="C1416" t="s">
        <v>115</v>
      </c>
      <c r="D1416" s="1">
        <v>44605</v>
      </c>
      <c r="E1416">
        <v>12</v>
      </c>
      <c r="F1416">
        <v>40.882847108514</v>
      </c>
      <c r="G1416" s="1">
        <v>44615</v>
      </c>
      <c r="H1416" s="1">
        <v>44621</v>
      </c>
      <c r="I1416">
        <v>490.59416530216799</v>
      </c>
      <c r="J1416">
        <f t="shared" si="132"/>
        <v>6</v>
      </c>
      <c r="K1416" t="str">
        <f>VLOOKUP(B1416,Raw_Suppliers!$A$2:$G$101,2,FALSE)</f>
        <v>Ultra Prime Inc</v>
      </c>
      <c r="L1416" t="str">
        <f>VLOOKUP(B1416,Raw_Suppliers!$A$2:$G$101,3,FALSE)</f>
        <v>Brazil</v>
      </c>
      <c r="M1416" t="str">
        <f>VLOOKUP(B1416,Raw_Suppliers!$A$2:$G$101,4,FALSE)</f>
        <v>West</v>
      </c>
      <c r="N1416" t="str">
        <f>VLOOKUP(B1416,Raw_Suppliers!$A$2:$G$101,6,FALSE)</f>
        <v>ISO 9001</v>
      </c>
      <c r="O1416">
        <f>VLOOKUP(B1416,Raw_Suppliers!$A$2:$G$101,7,FALSE)</f>
        <v>1</v>
      </c>
      <c r="P1416" t="str">
        <f t="shared" si="133"/>
        <v>Yes</v>
      </c>
      <c r="Q1416">
        <f t="shared" si="134"/>
        <v>0</v>
      </c>
      <c r="R1416" t="str">
        <f t="shared" si="135"/>
        <v>Late</v>
      </c>
      <c r="S1416">
        <f t="shared" si="136"/>
        <v>2022</v>
      </c>
      <c r="T1416">
        <f t="shared" si="137"/>
        <v>2</v>
      </c>
    </row>
    <row r="1417" spans="1:20" x14ac:dyDescent="0.25">
      <c r="A1417" t="s">
        <v>1724</v>
      </c>
      <c r="B1417" t="s">
        <v>475</v>
      </c>
      <c r="C1417" t="s">
        <v>11</v>
      </c>
      <c r="D1417" s="1">
        <v>44474</v>
      </c>
      <c r="E1417">
        <v>8</v>
      </c>
      <c r="F1417">
        <v>21.7928848958719</v>
      </c>
      <c r="G1417" s="1">
        <v>44494</v>
      </c>
      <c r="H1417" s="1">
        <v>44499</v>
      </c>
      <c r="I1417">
        <v>174.343079166975</v>
      </c>
      <c r="J1417">
        <f t="shared" si="132"/>
        <v>5</v>
      </c>
      <c r="K1417" t="str">
        <f>VLOOKUP(B1417,Raw_Suppliers!$A$2:$G$101,2,FALSE)</f>
        <v>Ultra Delta LLC</v>
      </c>
      <c r="L1417" t="str">
        <f>VLOOKUP(B1417,Raw_Suppliers!$A$2:$G$101,3,FALSE)</f>
        <v>UK</v>
      </c>
      <c r="M1417" t="str">
        <f>VLOOKUP(B1417,Raw_Suppliers!$A$2:$G$101,4,FALSE)</f>
        <v>North</v>
      </c>
      <c r="N1417" t="str">
        <f>VLOOKUP(B1417,Raw_Suppliers!$A$2:$G$101,6,FALSE)</f>
        <v>None</v>
      </c>
      <c r="O1417">
        <f>VLOOKUP(B1417,Raw_Suppliers!$A$2:$G$101,7,FALSE)</f>
        <v>1</v>
      </c>
      <c r="P1417" t="str">
        <f t="shared" si="133"/>
        <v>Yes</v>
      </c>
      <c r="Q1417">
        <f t="shared" si="134"/>
        <v>0</v>
      </c>
      <c r="R1417" t="str">
        <f t="shared" si="135"/>
        <v>Late</v>
      </c>
      <c r="S1417">
        <f t="shared" si="136"/>
        <v>2021</v>
      </c>
      <c r="T1417">
        <f t="shared" si="137"/>
        <v>10</v>
      </c>
    </row>
    <row r="1418" spans="1:20" x14ac:dyDescent="0.25">
      <c r="A1418" t="s">
        <v>1725</v>
      </c>
      <c r="B1418" t="s">
        <v>216</v>
      </c>
      <c r="C1418" t="s">
        <v>210</v>
      </c>
      <c r="D1418" s="1">
        <v>44515</v>
      </c>
      <c r="E1418">
        <v>17</v>
      </c>
      <c r="F1418">
        <v>66.467850443654299</v>
      </c>
      <c r="G1418" s="1">
        <v>44538</v>
      </c>
      <c r="H1418" s="1">
        <v>44543</v>
      </c>
      <c r="I1418">
        <v>1129.9534575421201</v>
      </c>
      <c r="J1418">
        <f t="shared" si="132"/>
        <v>5</v>
      </c>
      <c r="K1418" t="str">
        <f>VLOOKUP(B1418,Raw_Suppliers!$A$2:$G$101,2,FALSE)</f>
        <v>Fusion Delta LLC</v>
      </c>
      <c r="L1418" t="str">
        <f>VLOOKUP(B1418,Raw_Suppliers!$A$2:$G$101,3,FALSE)</f>
        <v>Brazil</v>
      </c>
      <c r="M1418" t="str">
        <f>VLOOKUP(B1418,Raw_Suppliers!$A$2:$G$101,4,FALSE)</f>
        <v>Central</v>
      </c>
      <c r="N1418" t="str">
        <f>VLOOKUP(B1418,Raw_Suppliers!$A$2:$G$101,6,FALSE)</f>
        <v>ISO 14001</v>
      </c>
      <c r="O1418">
        <f>VLOOKUP(B1418,Raw_Suppliers!$A$2:$G$101,7,FALSE)</f>
        <v>0</v>
      </c>
      <c r="P1418" t="str">
        <f t="shared" si="133"/>
        <v>No</v>
      </c>
      <c r="Q1418">
        <f t="shared" si="134"/>
        <v>0</v>
      </c>
      <c r="R1418" t="str">
        <f t="shared" si="135"/>
        <v>Late</v>
      </c>
      <c r="S1418">
        <f t="shared" si="136"/>
        <v>2021</v>
      </c>
      <c r="T1418">
        <f t="shared" si="137"/>
        <v>11</v>
      </c>
    </row>
    <row r="1419" spans="1:20" x14ac:dyDescent="0.25">
      <c r="A1419" t="s">
        <v>1726</v>
      </c>
      <c r="B1419" t="s">
        <v>216</v>
      </c>
      <c r="C1419" t="s">
        <v>44</v>
      </c>
      <c r="D1419" s="1">
        <v>45391</v>
      </c>
      <c r="E1419">
        <v>10</v>
      </c>
      <c r="F1419">
        <v>11.6777114795233</v>
      </c>
      <c r="G1419" s="1">
        <v>45408</v>
      </c>
      <c r="H1419" s="1">
        <v>45409</v>
      </c>
      <c r="I1419">
        <v>116.777114795233</v>
      </c>
      <c r="J1419">
        <f t="shared" si="132"/>
        <v>1</v>
      </c>
      <c r="K1419" t="str">
        <f>VLOOKUP(B1419,Raw_Suppliers!$A$2:$G$101,2,FALSE)</f>
        <v>Fusion Delta LLC</v>
      </c>
      <c r="L1419" t="str">
        <f>VLOOKUP(B1419,Raw_Suppliers!$A$2:$G$101,3,FALSE)</f>
        <v>Brazil</v>
      </c>
      <c r="M1419" t="str">
        <f>VLOOKUP(B1419,Raw_Suppliers!$A$2:$G$101,4,FALSE)</f>
        <v>Central</v>
      </c>
      <c r="N1419" t="str">
        <f>VLOOKUP(B1419,Raw_Suppliers!$A$2:$G$101,6,FALSE)</f>
        <v>ISO 14001</v>
      </c>
      <c r="O1419">
        <f>VLOOKUP(B1419,Raw_Suppliers!$A$2:$G$101,7,FALSE)</f>
        <v>0</v>
      </c>
      <c r="P1419" t="str">
        <f t="shared" si="133"/>
        <v>No</v>
      </c>
      <c r="Q1419">
        <f t="shared" si="134"/>
        <v>0</v>
      </c>
      <c r="R1419" t="str">
        <f t="shared" si="135"/>
        <v>Late</v>
      </c>
      <c r="S1419">
        <f t="shared" si="136"/>
        <v>2024</v>
      </c>
      <c r="T1419">
        <f t="shared" si="137"/>
        <v>4</v>
      </c>
    </row>
    <row r="1420" spans="1:20" x14ac:dyDescent="0.25">
      <c r="A1420" t="s">
        <v>1727</v>
      </c>
      <c r="B1420" t="s">
        <v>135</v>
      </c>
      <c r="C1420" t="s">
        <v>257</v>
      </c>
      <c r="D1420" s="1">
        <v>45162</v>
      </c>
      <c r="E1420">
        <v>15</v>
      </c>
      <c r="F1420">
        <v>23.0211981658999</v>
      </c>
      <c r="G1420" s="1">
        <v>45178</v>
      </c>
      <c r="H1420" s="1">
        <v>45180</v>
      </c>
      <c r="I1420">
        <v>345.31797248849801</v>
      </c>
      <c r="J1420">
        <f t="shared" si="132"/>
        <v>2</v>
      </c>
      <c r="K1420" t="str">
        <f>VLOOKUP(B1420,Raw_Suppliers!$A$2:$G$101,2,FALSE)</f>
        <v>Alpha Prime Ltd</v>
      </c>
      <c r="L1420" t="str">
        <f>VLOOKUP(B1420,Raw_Suppliers!$A$2:$G$101,3,FALSE)</f>
        <v>UK</v>
      </c>
      <c r="M1420" t="str">
        <f>VLOOKUP(B1420,Raw_Suppliers!$A$2:$G$101,4,FALSE)</f>
        <v>East</v>
      </c>
      <c r="N1420" t="str">
        <f>VLOOKUP(B1420,Raw_Suppliers!$A$2:$G$101,6,FALSE)</f>
        <v>None</v>
      </c>
      <c r="O1420">
        <f>VLOOKUP(B1420,Raw_Suppliers!$A$2:$G$101,7,FALSE)</f>
        <v>1</v>
      </c>
      <c r="P1420" t="str">
        <f t="shared" si="133"/>
        <v>Yes</v>
      </c>
      <c r="Q1420">
        <f t="shared" si="134"/>
        <v>0</v>
      </c>
      <c r="R1420" t="str">
        <f t="shared" si="135"/>
        <v>Late</v>
      </c>
      <c r="S1420">
        <f t="shared" si="136"/>
        <v>2023</v>
      </c>
      <c r="T1420">
        <f t="shared" si="137"/>
        <v>8</v>
      </c>
    </row>
    <row r="1421" spans="1:20" x14ac:dyDescent="0.25">
      <c r="A1421" t="s">
        <v>1728</v>
      </c>
      <c r="B1421" t="s">
        <v>10</v>
      </c>
      <c r="C1421" t="s">
        <v>400</v>
      </c>
      <c r="D1421" s="1">
        <v>45111</v>
      </c>
      <c r="E1421">
        <v>9</v>
      </c>
      <c r="F1421">
        <v>28.007243966185001</v>
      </c>
      <c r="G1421" s="1">
        <v>45129</v>
      </c>
      <c r="H1421" s="1">
        <v>45135</v>
      </c>
      <c r="I1421">
        <v>252.06519569566501</v>
      </c>
      <c r="J1421">
        <f t="shared" si="132"/>
        <v>6</v>
      </c>
      <c r="K1421" t="str">
        <f>VLOOKUP(B1421,Raw_Suppliers!$A$2:$G$101,2,FALSE)</f>
        <v>Vertex Beta GmbH</v>
      </c>
      <c r="L1421" t="str">
        <f>VLOOKUP(B1421,Raw_Suppliers!$A$2:$G$101,3,FALSE)</f>
        <v>India</v>
      </c>
      <c r="M1421" t="str">
        <f>VLOOKUP(B1421,Raw_Suppliers!$A$2:$G$101,4,FALSE)</f>
        <v>North</v>
      </c>
      <c r="N1421" t="str">
        <f>VLOOKUP(B1421,Raw_Suppliers!$A$2:$G$101,6,FALSE)</f>
        <v>ISO 14001</v>
      </c>
      <c r="O1421">
        <f>VLOOKUP(B1421,Raw_Suppliers!$A$2:$G$101,7,FALSE)</f>
        <v>0</v>
      </c>
      <c r="P1421" t="str">
        <f t="shared" si="133"/>
        <v>No</v>
      </c>
      <c r="Q1421">
        <f t="shared" si="134"/>
        <v>0</v>
      </c>
      <c r="R1421" t="str">
        <f t="shared" si="135"/>
        <v>Late</v>
      </c>
      <c r="S1421">
        <f t="shared" si="136"/>
        <v>2023</v>
      </c>
      <c r="T1421">
        <f t="shared" si="137"/>
        <v>7</v>
      </c>
    </row>
    <row r="1422" spans="1:20" x14ac:dyDescent="0.25">
      <c r="A1422" t="s">
        <v>1729</v>
      </c>
      <c r="B1422" t="s">
        <v>37</v>
      </c>
      <c r="C1422" t="s">
        <v>718</v>
      </c>
      <c r="D1422" s="1">
        <v>44429</v>
      </c>
      <c r="E1422">
        <v>14</v>
      </c>
      <c r="F1422">
        <v>20.412213386241302</v>
      </c>
      <c r="G1422" s="1">
        <v>44443</v>
      </c>
      <c r="H1422" s="1">
        <v>44442</v>
      </c>
      <c r="I1422">
        <v>285.77098740737898</v>
      </c>
      <c r="J1422">
        <f t="shared" si="132"/>
        <v>-1</v>
      </c>
      <c r="K1422" t="str">
        <f>VLOOKUP(B1422,Raw_Suppliers!$A$2:$G$101,2,FALSE)</f>
        <v>Apex Apex Ltd</v>
      </c>
      <c r="L1422" t="str">
        <f>VLOOKUP(B1422,Raw_Suppliers!$A$2:$G$101,3,FALSE)</f>
        <v>Canada</v>
      </c>
      <c r="M1422" t="str">
        <f>VLOOKUP(B1422,Raw_Suppliers!$A$2:$G$101,4,FALSE)</f>
        <v>East</v>
      </c>
      <c r="N1422" t="str">
        <f>VLOOKUP(B1422,Raw_Suppliers!$A$2:$G$101,6,FALSE)</f>
        <v>ISO 9001</v>
      </c>
      <c r="O1422">
        <f>VLOOKUP(B1422,Raw_Suppliers!$A$2:$G$101,7,FALSE)</f>
        <v>1</v>
      </c>
      <c r="P1422" t="str">
        <f t="shared" si="133"/>
        <v>Yes</v>
      </c>
      <c r="Q1422">
        <f t="shared" si="134"/>
        <v>1</v>
      </c>
      <c r="R1422" t="str">
        <f t="shared" si="135"/>
        <v>On Time</v>
      </c>
      <c r="S1422">
        <f t="shared" si="136"/>
        <v>2021</v>
      </c>
      <c r="T1422">
        <f t="shared" si="137"/>
        <v>8</v>
      </c>
    </row>
    <row r="1423" spans="1:20" x14ac:dyDescent="0.25">
      <c r="A1423" t="s">
        <v>1730</v>
      </c>
      <c r="B1423" t="s">
        <v>219</v>
      </c>
      <c r="C1423" t="s">
        <v>297</v>
      </c>
      <c r="D1423" s="1">
        <v>45203</v>
      </c>
      <c r="E1423">
        <v>7</v>
      </c>
      <c r="F1423">
        <v>53.657222762253497</v>
      </c>
      <c r="G1423" s="1">
        <v>45226</v>
      </c>
      <c r="H1423" s="1">
        <v>45228</v>
      </c>
      <c r="I1423">
        <v>375.60055933577502</v>
      </c>
      <c r="J1423">
        <f t="shared" si="132"/>
        <v>2</v>
      </c>
      <c r="K1423" t="str">
        <f>VLOOKUP(B1423,Raw_Suppliers!$A$2:$G$101,2,FALSE)</f>
        <v>Quantum Quantum Ltd</v>
      </c>
      <c r="L1423" t="str">
        <f>VLOOKUP(B1423,Raw_Suppliers!$A$2:$G$101,3,FALSE)</f>
        <v>USA</v>
      </c>
      <c r="M1423" t="str">
        <f>VLOOKUP(B1423,Raw_Suppliers!$A$2:$G$101,4,FALSE)</f>
        <v>South</v>
      </c>
      <c r="N1423" t="str">
        <f>VLOOKUP(B1423,Raw_Suppliers!$A$2:$G$101,6,FALSE)</f>
        <v>ISO 14001</v>
      </c>
      <c r="O1423">
        <f>VLOOKUP(B1423,Raw_Suppliers!$A$2:$G$101,7,FALSE)</f>
        <v>0</v>
      </c>
      <c r="P1423" t="str">
        <f t="shared" si="133"/>
        <v>No</v>
      </c>
      <c r="Q1423">
        <f t="shared" si="134"/>
        <v>0</v>
      </c>
      <c r="R1423" t="str">
        <f t="shared" si="135"/>
        <v>Late</v>
      </c>
      <c r="S1423">
        <f t="shared" si="136"/>
        <v>2023</v>
      </c>
      <c r="T1423">
        <f t="shared" si="137"/>
        <v>10</v>
      </c>
    </row>
    <row r="1424" spans="1:20" x14ac:dyDescent="0.25">
      <c r="A1424" t="s">
        <v>1731</v>
      </c>
      <c r="B1424" t="s">
        <v>256</v>
      </c>
      <c r="C1424" t="s">
        <v>110</v>
      </c>
      <c r="D1424" s="1">
        <v>44812</v>
      </c>
      <c r="E1424">
        <v>9</v>
      </c>
      <c r="F1424">
        <v>47.002487630424703</v>
      </c>
      <c r="G1424" s="1">
        <v>44823</v>
      </c>
      <c r="H1424" s="1">
        <v>44827</v>
      </c>
      <c r="I1424">
        <v>423.02238867382198</v>
      </c>
      <c r="J1424">
        <f t="shared" si="132"/>
        <v>4</v>
      </c>
      <c r="K1424" t="str">
        <f>VLOOKUP(B1424,Raw_Suppliers!$A$2:$G$101,2,FALSE)</f>
        <v>Apex Eco Ltd</v>
      </c>
      <c r="L1424" t="str">
        <f>VLOOKUP(B1424,Raw_Suppliers!$A$2:$G$101,3,FALSE)</f>
        <v>USA</v>
      </c>
      <c r="M1424" t="str">
        <f>VLOOKUP(B1424,Raw_Suppliers!$A$2:$G$101,4,FALSE)</f>
        <v>North</v>
      </c>
      <c r="N1424" t="str">
        <f>VLOOKUP(B1424,Raw_Suppliers!$A$2:$G$101,6,FALSE)</f>
        <v>ISO 45001</v>
      </c>
      <c r="O1424">
        <f>VLOOKUP(B1424,Raw_Suppliers!$A$2:$G$101,7,FALSE)</f>
        <v>0</v>
      </c>
      <c r="P1424" t="str">
        <f t="shared" si="133"/>
        <v>No</v>
      </c>
      <c r="Q1424">
        <f t="shared" si="134"/>
        <v>0</v>
      </c>
      <c r="R1424" t="str">
        <f t="shared" si="135"/>
        <v>Late</v>
      </c>
      <c r="S1424">
        <f t="shared" si="136"/>
        <v>2022</v>
      </c>
      <c r="T1424">
        <f t="shared" si="137"/>
        <v>9</v>
      </c>
    </row>
    <row r="1425" spans="1:20" x14ac:dyDescent="0.25">
      <c r="A1425" t="s">
        <v>1732</v>
      </c>
      <c r="B1425" t="s">
        <v>442</v>
      </c>
      <c r="C1425" t="s">
        <v>170</v>
      </c>
      <c r="D1425" s="1">
        <v>44999</v>
      </c>
      <c r="E1425">
        <v>14</v>
      </c>
      <c r="F1425">
        <v>66.386453591938505</v>
      </c>
      <c r="G1425" s="1">
        <v>45017</v>
      </c>
      <c r="H1425" s="1">
        <v>45015</v>
      </c>
      <c r="I1425">
        <v>929.41035028713895</v>
      </c>
      <c r="J1425">
        <f t="shared" si="132"/>
        <v>-2</v>
      </c>
      <c r="K1425" t="str">
        <f>VLOOKUP(B1425,Raw_Suppliers!$A$2:$G$101,2,FALSE)</f>
        <v>Vertex Delta LLC</v>
      </c>
      <c r="L1425" t="str">
        <f>VLOOKUP(B1425,Raw_Suppliers!$A$2:$G$101,3,FALSE)</f>
        <v>Canada</v>
      </c>
      <c r="M1425" t="str">
        <f>VLOOKUP(B1425,Raw_Suppliers!$A$2:$G$101,4,FALSE)</f>
        <v>East</v>
      </c>
      <c r="N1425" t="str">
        <f>VLOOKUP(B1425,Raw_Suppliers!$A$2:$G$101,6,FALSE)</f>
        <v>ISO 14001</v>
      </c>
      <c r="O1425">
        <f>VLOOKUP(B1425,Raw_Suppliers!$A$2:$G$101,7,FALSE)</f>
        <v>1</v>
      </c>
      <c r="P1425" t="str">
        <f t="shared" si="133"/>
        <v>Yes</v>
      </c>
      <c r="Q1425">
        <f t="shared" si="134"/>
        <v>1</v>
      </c>
      <c r="R1425" t="str">
        <f t="shared" si="135"/>
        <v>On Time</v>
      </c>
      <c r="S1425">
        <f t="shared" si="136"/>
        <v>2023</v>
      </c>
      <c r="T1425">
        <f t="shared" si="137"/>
        <v>3</v>
      </c>
    </row>
    <row r="1426" spans="1:20" x14ac:dyDescent="0.25">
      <c r="A1426" t="s">
        <v>1733</v>
      </c>
      <c r="B1426" t="s">
        <v>130</v>
      </c>
      <c r="C1426" t="s">
        <v>477</v>
      </c>
      <c r="D1426" s="1">
        <v>44830</v>
      </c>
      <c r="E1426">
        <v>12</v>
      </c>
      <c r="F1426">
        <v>79.6506105066033</v>
      </c>
      <c r="G1426" s="1">
        <v>44854</v>
      </c>
      <c r="H1426" s="1">
        <v>44852</v>
      </c>
      <c r="I1426">
        <v>955.80732607924006</v>
      </c>
      <c r="J1426">
        <f t="shared" si="132"/>
        <v>-2</v>
      </c>
      <c r="K1426" t="str">
        <f>VLOOKUP(B1426,Raw_Suppliers!$A$2:$G$101,2,FALSE)</f>
        <v>Beta Gamma Corp</v>
      </c>
      <c r="L1426" t="str">
        <f>VLOOKUP(B1426,Raw_Suppliers!$A$2:$G$101,3,FALSE)</f>
        <v>USA</v>
      </c>
      <c r="M1426" t="str">
        <f>VLOOKUP(B1426,Raw_Suppliers!$A$2:$G$101,4,FALSE)</f>
        <v>West</v>
      </c>
      <c r="N1426" t="str">
        <f>VLOOKUP(B1426,Raw_Suppliers!$A$2:$G$101,6,FALSE)</f>
        <v>None</v>
      </c>
      <c r="O1426">
        <f>VLOOKUP(B1426,Raw_Suppliers!$A$2:$G$101,7,FALSE)</f>
        <v>0</v>
      </c>
      <c r="P1426" t="str">
        <f t="shared" si="133"/>
        <v>No</v>
      </c>
      <c r="Q1426">
        <f t="shared" si="134"/>
        <v>1</v>
      </c>
      <c r="R1426" t="str">
        <f t="shared" si="135"/>
        <v>On Time</v>
      </c>
      <c r="S1426">
        <f t="shared" si="136"/>
        <v>2022</v>
      </c>
      <c r="T1426">
        <f t="shared" si="137"/>
        <v>9</v>
      </c>
    </row>
    <row r="1427" spans="1:20" x14ac:dyDescent="0.25">
      <c r="A1427" t="s">
        <v>1734</v>
      </c>
      <c r="B1427" t="s">
        <v>340</v>
      </c>
      <c r="C1427" t="s">
        <v>453</v>
      </c>
      <c r="D1427" s="1">
        <v>44893</v>
      </c>
      <c r="E1427">
        <v>11</v>
      </c>
      <c r="F1427">
        <v>13.031721555796199</v>
      </c>
      <c r="G1427" s="1">
        <v>44905</v>
      </c>
      <c r="H1427" s="1">
        <v>44909</v>
      </c>
      <c r="I1427">
        <v>143.34893711375801</v>
      </c>
      <c r="J1427">
        <f t="shared" si="132"/>
        <v>4</v>
      </c>
      <c r="K1427" t="str">
        <f>VLOOKUP(B1427,Raw_Suppliers!$A$2:$G$101,2,FALSE)</f>
        <v>Pioneer Ultra GmbH</v>
      </c>
      <c r="L1427" t="str">
        <f>VLOOKUP(B1427,Raw_Suppliers!$A$2:$G$101,3,FALSE)</f>
        <v>China</v>
      </c>
      <c r="M1427" t="str">
        <f>VLOOKUP(B1427,Raw_Suppliers!$A$2:$G$101,4,FALSE)</f>
        <v>Central</v>
      </c>
      <c r="N1427" t="str">
        <f>VLOOKUP(B1427,Raw_Suppliers!$A$2:$G$101,6,FALSE)</f>
        <v>ISO 9001</v>
      </c>
      <c r="O1427">
        <f>VLOOKUP(B1427,Raw_Suppliers!$A$2:$G$101,7,FALSE)</f>
        <v>0</v>
      </c>
      <c r="P1427" t="str">
        <f t="shared" si="133"/>
        <v>No</v>
      </c>
      <c r="Q1427">
        <f t="shared" si="134"/>
        <v>0</v>
      </c>
      <c r="R1427" t="str">
        <f t="shared" si="135"/>
        <v>Late</v>
      </c>
      <c r="S1427">
        <f t="shared" si="136"/>
        <v>2022</v>
      </c>
      <c r="T1427">
        <f t="shared" si="137"/>
        <v>11</v>
      </c>
    </row>
    <row r="1428" spans="1:20" x14ac:dyDescent="0.25">
      <c r="A1428" t="s">
        <v>1735</v>
      </c>
      <c r="B1428" t="s">
        <v>493</v>
      </c>
      <c r="C1428" t="s">
        <v>627</v>
      </c>
      <c r="D1428" s="1">
        <v>44301</v>
      </c>
      <c r="E1428">
        <v>10</v>
      </c>
      <c r="F1428">
        <v>53.442340567353902</v>
      </c>
      <c r="G1428" s="1">
        <v>44313</v>
      </c>
      <c r="H1428" s="1">
        <v>44314</v>
      </c>
      <c r="I1428">
        <v>534.42340567353904</v>
      </c>
      <c r="J1428">
        <f t="shared" si="132"/>
        <v>1</v>
      </c>
      <c r="K1428" t="str">
        <f>VLOOKUP(B1428,Raw_Suppliers!$A$2:$G$101,2,FALSE)</f>
        <v>Delta Vertex LLC</v>
      </c>
      <c r="L1428" t="str">
        <f>VLOOKUP(B1428,Raw_Suppliers!$A$2:$G$101,3,FALSE)</f>
        <v>China</v>
      </c>
      <c r="M1428" t="str">
        <f>VLOOKUP(B1428,Raw_Suppliers!$A$2:$G$101,4,FALSE)</f>
        <v>East</v>
      </c>
      <c r="N1428" t="str">
        <f>VLOOKUP(B1428,Raw_Suppliers!$A$2:$G$101,6,FALSE)</f>
        <v>None</v>
      </c>
      <c r="O1428">
        <f>VLOOKUP(B1428,Raw_Suppliers!$A$2:$G$101,7,FALSE)</f>
        <v>0</v>
      </c>
      <c r="P1428" t="str">
        <f t="shared" si="133"/>
        <v>No</v>
      </c>
      <c r="Q1428">
        <f t="shared" si="134"/>
        <v>0</v>
      </c>
      <c r="R1428" t="str">
        <f t="shared" si="135"/>
        <v>Late</v>
      </c>
      <c r="S1428">
        <f t="shared" si="136"/>
        <v>2021</v>
      </c>
      <c r="T1428">
        <f t="shared" si="137"/>
        <v>4</v>
      </c>
    </row>
    <row r="1429" spans="1:20" x14ac:dyDescent="0.25">
      <c r="A1429" t="s">
        <v>1736</v>
      </c>
      <c r="B1429" t="s">
        <v>109</v>
      </c>
      <c r="C1429" t="s">
        <v>881</v>
      </c>
      <c r="D1429" s="1">
        <v>44516</v>
      </c>
      <c r="E1429">
        <v>17</v>
      </c>
      <c r="F1429">
        <v>36.857321925478402</v>
      </c>
      <c r="G1429" s="1">
        <v>44540</v>
      </c>
      <c r="H1429" s="1">
        <v>44540</v>
      </c>
      <c r="I1429">
        <v>626.57447273313301</v>
      </c>
      <c r="J1429">
        <f t="shared" si="132"/>
        <v>0</v>
      </c>
      <c r="K1429" t="str">
        <f>VLOOKUP(B1429,Raw_Suppliers!$A$2:$G$101,2,FALSE)</f>
        <v>Nano Fusion GmbH</v>
      </c>
      <c r="L1429" t="str">
        <f>VLOOKUP(B1429,Raw_Suppliers!$A$2:$G$101,3,FALSE)</f>
        <v>Denmark</v>
      </c>
      <c r="M1429" t="str">
        <f>VLOOKUP(B1429,Raw_Suppliers!$A$2:$G$101,4,FALSE)</f>
        <v>North</v>
      </c>
      <c r="N1429" t="str">
        <f>VLOOKUP(B1429,Raw_Suppliers!$A$2:$G$101,6,FALSE)</f>
        <v>ISO 9001</v>
      </c>
      <c r="O1429">
        <f>VLOOKUP(B1429,Raw_Suppliers!$A$2:$G$101,7,FALSE)</f>
        <v>0</v>
      </c>
      <c r="P1429" t="str">
        <f t="shared" si="133"/>
        <v>No</v>
      </c>
      <c r="Q1429">
        <f t="shared" si="134"/>
        <v>1</v>
      </c>
      <c r="R1429" t="str">
        <f t="shared" si="135"/>
        <v>On Time</v>
      </c>
      <c r="S1429">
        <f t="shared" si="136"/>
        <v>2021</v>
      </c>
      <c r="T1429">
        <f t="shared" si="137"/>
        <v>11</v>
      </c>
    </row>
    <row r="1430" spans="1:20" x14ac:dyDescent="0.25">
      <c r="A1430" t="s">
        <v>1737</v>
      </c>
      <c r="B1430" t="s">
        <v>556</v>
      </c>
      <c r="C1430" t="s">
        <v>425</v>
      </c>
      <c r="D1430" s="1">
        <v>44250</v>
      </c>
      <c r="E1430">
        <v>15</v>
      </c>
      <c r="F1430">
        <v>59.377853745411201</v>
      </c>
      <c r="G1430" s="1">
        <v>44262</v>
      </c>
      <c r="H1430" s="1">
        <v>44263</v>
      </c>
      <c r="I1430">
        <v>890.667806181169</v>
      </c>
      <c r="J1430">
        <f t="shared" si="132"/>
        <v>1</v>
      </c>
      <c r="K1430" t="str">
        <f>VLOOKUP(B1430,Raw_Suppliers!$A$2:$G$101,2,FALSE)</f>
        <v>Ultra Delta Ltd</v>
      </c>
      <c r="L1430" t="str">
        <f>VLOOKUP(B1430,Raw_Suppliers!$A$2:$G$101,3,FALSE)</f>
        <v>China</v>
      </c>
      <c r="M1430" t="str">
        <f>VLOOKUP(B1430,Raw_Suppliers!$A$2:$G$101,4,FALSE)</f>
        <v>Central</v>
      </c>
      <c r="N1430" t="str">
        <f>VLOOKUP(B1430,Raw_Suppliers!$A$2:$G$101,6,FALSE)</f>
        <v>ISO 45001</v>
      </c>
      <c r="O1430">
        <f>VLOOKUP(B1430,Raw_Suppliers!$A$2:$G$101,7,FALSE)</f>
        <v>0</v>
      </c>
      <c r="P1430" t="str">
        <f t="shared" si="133"/>
        <v>No</v>
      </c>
      <c r="Q1430">
        <f t="shared" si="134"/>
        <v>0</v>
      </c>
      <c r="R1430" t="str">
        <f t="shared" si="135"/>
        <v>Late</v>
      </c>
      <c r="S1430">
        <f t="shared" si="136"/>
        <v>2021</v>
      </c>
      <c r="T1430">
        <f t="shared" si="137"/>
        <v>2</v>
      </c>
    </row>
    <row r="1431" spans="1:20" x14ac:dyDescent="0.25">
      <c r="A1431" t="s">
        <v>1738</v>
      </c>
      <c r="B1431" t="s">
        <v>157</v>
      </c>
      <c r="C1431" t="s">
        <v>587</v>
      </c>
      <c r="D1431" s="1">
        <v>45393</v>
      </c>
      <c r="E1431">
        <v>11</v>
      </c>
      <c r="F1431">
        <v>64.037650548161494</v>
      </c>
      <c r="G1431" s="1">
        <v>45413</v>
      </c>
      <c r="H1431" s="1">
        <v>45410</v>
      </c>
      <c r="I1431">
        <v>704.414156029776</v>
      </c>
      <c r="J1431">
        <f t="shared" si="132"/>
        <v>-3</v>
      </c>
      <c r="K1431" t="str">
        <f>VLOOKUP(B1431,Raw_Suppliers!$A$2:$G$101,2,FALSE)</f>
        <v>Pioneer Omega Ltd</v>
      </c>
      <c r="L1431" t="str">
        <f>VLOOKUP(B1431,Raw_Suppliers!$A$2:$G$101,3,FALSE)</f>
        <v>Brazil</v>
      </c>
      <c r="M1431" t="str">
        <f>VLOOKUP(B1431,Raw_Suppliers!$A$2:$G$101,4,FALSE)</f>
        <v>East</v>
      </c>
      <c r="N1431" t="str">
        <f>VLOOKUP(B1431,Raw_Suppliers!$A$2:$G$101,6,FALSE)</f>
        <v>None</v>
      </c>
      <c r="O1431">
        <f>VLOOKUP(B1431,Raw_Suppliers!$A$2:$G$101,7,FALSE)</f>
        <v>0</v>
      </c>
      <c r="P1431" t="str">
        <f t="shared" si="133"/>
        <v>No</v>
      </c>
      <c r="Q1431">
        <f t="shared" si="134"/>
        <v>1</v>
      </c>
      <c r="R1431" t="str">
        <f t="shared" si="135"/>
        <v>On Time</v>
      </c>
      <c r="S1431">
        <f t="shared" si="136"/>
        <v>2024</v>
      </c>
      <c r="T1431">
        <f t="shared" si="137"/>
        <v>4</v>
      </c>
    </row>
    <row r="1432" spans="1:20" x14ac:dyDescent="0.25">
      <c r="A1432" t="s">
        <v>1739</v>
      </c>
      <c r="B1432" t="s">
        <v>394</v>
      </c>
      <c r="C1432" t="s">
        <v>26</v>
      </c>
      <c r="D1432" s="1">
        <v>44912</v>
      </c>
      <c r="E1432">
        <v>15</v>
      </c>
      <c r="F1432">
        <v>43.655313822645098</v>
      </c>
      <c r="G1432" s="1">
        <v>44928</v>
      </c>
      <c r="H1432" s="1">
        <v>44925</v>
      </c>
      <c r="I1432">
        <v>654.82970733967602</v>
      </c>
      <c r="J1432">
        <f t="shared" si="132"/>
        <v>-3</v>
      </c>
      <c r="K1432" t="str">
        <f>VLOOKUP(B1432,Raw_Suppliers!$A$2:$G$101,2,FALSE)</f>
        <v>Ultra Prime Inc</v>
      </c>
      <c r="L1432" t="str">
        <f>VLOOKUP(B1432,Raw_Suppliers!$A$2:$G$101,3,FALSE)</f>
        <v>Brazil</v>
      </c>
      <c r="M1432" t="str">
        <f>VLOOKUP(B1432,Raw_Suppliers!$A$2:$G$101,4,FALSE)</f>
        <v>West</v>
      </c>
      <c r="N1432" t="str">
        <f>VLOOKUP(B1432,Raw_Suppliers!$A$2:$G$101,6,FALSE)</f>
        <v>ISO 9001</v>
      </c>
      <c r="O1432">
        <f>VLOOKUP(B1432,Raw_Suppliers!$A$2:$G$101,7,FALSE)</f>
        <v>1</v>
      </c>
      <c r="P1432" t="str">
        <f t="shared" si="133"/>
        <v>Yes</v>
      </c>
      <c r="Q1432">
        <f t="shared" si="134"/>
        <v>1</v>
      </c>
      <c r="R1432" t="str">
        <f t="shared" si="135"/>
        <v>On Time</v>
      </c>
      <c r="S1432">
        <f t="shared" si="136"/>
        <v>2022</v>
      </c>
      <c r="T1432">
        <f t="shared" si="137"/>
        <v>12</v>
      </c>
    </row>
    <row r="1433" spans="1:20" x14ac:dyDescent="0.25">
      <c r="A1433" t="s">
        <v>1740</v>
      </c>
      <c r="B1433" t="s">
        <v>55</v>
      </c>
      <c r="C1433" t="s">
        <v>177</v>
      </c>
      <c r="D1433" s="1">
        <v>45233</v>
      </c>
      <c r="E1433">
        <v>12</v>
      </c>
      <c r="F1433">
        <v>73.751183147136004</v>
      </c>
      <c r="G1433" s="1">
        <v>45244</v>
      </c>
      <c r="H1433" s="1">
        <v>45243</v>
      </c>
      <c r="I1433">
        <v>885.01419776563205</v>
      </c>
      <c r="J1433">
        <f t="shared" si="132"/>
        <v>-1</v>
      </c>
      <c r="K1433" t="str">
        <f>VLOOKUP(B1433,Raw_Suppliers!$A$2:$G$101,2,FALSE)</f>
        <v>Prime Vertex Inc</v>
      </c>
      <c r="L1433" t="str">
        <f>VLOOKUP(B1433,Raw_Suppliers!$A$2:$G$101,3,FALSE)</f>
        <v>Germany</v>
      </c>
      <c r="M1433" t="str">
        <f>VLOOKUP(B1433,Raw_Suppliers!$A$2:$G$101,4,FALSE)</f>
        <v>South</v>
      </c>
      <c r="N1433" t="str">
        <f>VLOOKUP(B1433,Raw_Suppliers!$A$2:$G$101,6,FALSE)</f>
        <v>ISO 14001</v>
      </c>
      <c r="O1433">
        <f>VLOOKUP(B1433,Raw_Suppliers!$A$2:$G$101,7,FALSE)</f>
        <v>0</v>
      </c>
      <c r="P1433" t="str">
        <f t="shared" si="133"/>
        <v>No</v>
      </c>
      <c r="Q1433">
        <f t="shared" si="134"/>
        <v>1</v>
      </c>
      <c r="R1433" t="str">
        <f t="shared" si="135"/>
        <v>On Time</v>
      </c>
      <c r="S1433">
        <f t="shared" si="136"/>
        <v>2023</v>
      </c>
      <c r="T1433">
        <f t="shared" si="137"/>
        <v>11</v>
      </c>
    </row>
    <row r="1434" spans="1:20" x14ac:dyDescent="0.25">
      <c r="A1434" t="s">
        <v>1741</v>
      </c>
      <c r="B1434" t="s">
        <v>82</v>
      </c>
      <c r="C1434" t="s">
        <v>400</v>
      </c>
      <c r="D1434" s="1">
        <v>44450</v>
      </c>
      <c r="E1434">
        <v>10</v>
      </c>
      <c r="F1434">
        <v>39.759981686407102</v>
      </c>
      <c r="G1434" s="1">
        <v>44466</v>
      </c>
      <c r="H1434" s="1">
        <v>44465</v>
      </c>
      <c r="I1434">
        <v>397.59981686407099</v>
      </c>
      <c r="J1434">
        <f t="shared" si="132"/>
        <v>-1</v>
      </c>
      <c r="K1434" t="str">
        <f>VLOOKUP(B1434,Raw_Suppliers!$A$2:$G$101,2,FALSE)</f>
        <v>Gamma Quantum LLC</v>
      </c>
      <c r="L1434" t="str">
        <f>VLOOKUP(B1434,Raw_Suppliers!$A$2:$G$101,3,FALSE)</f>
        <v>Canada</v>
      </c>
      <c r="M1434" t="str">
        <f>VLOOKUP(B1434,Raw_Suppliers!$A$2:$G$101,4,FALSE)</f>
        <v>Central</v>
      </c>
      <c r="N1434" t="str">
        <f>VLOOKUP(B1434,Raw_Suppliers!$A$2:$G$101,6,FALSE)</f>
        <v>None</v>
      </c>
      <c r="O1434">
        <f>VLOOKUP(B1434,Raw_Suppliers!$A$2:$G$101,7,FALSE)</f>
        <v>1</v>
      </c>
      <c r="P1434" t="str">
        <f t="shared" si="133"/>
        <v>Yes</v>
      </c>
      <c r="Q1434">
        <f t="shared" si="134"/>
        <v>1</v>
      </c>
      <c r="R1434" t="str">
        <f t="shared" si="135"/>
        <v>On Time</v>
      </c>
      <c r="S1434">
        <f t="shared" si="136"/>
        <v>2021</v>
      </c>
      <c r="T1434">
        <f t="shared" si="137"/>
        <v>9</v>
      </c>
    </row>
    <row r="1435" spans="1:20" x14ac:dyDescent="0.25">
      <c r="A1435" t="s">
        <v>1742</v>
      </c>
      <c r="B1435" t="s">
        <v>485</v>
      </c>
      <c r="C1435" t="s">
        <v>155</v>
      </c>
      <c r="D1435" s="1">
        <v>44848</v>
      </c>
      <c r="E1435">
        <v>9</v>
      </c>
      <c r="F1435">
        <v>63.373492145621803</v>
      </c>
      <c r="G1435" s="1">
        <v>44870</v>
      </c>
      <c r="H1435" s="1">
        <v>44876</v>
      </c>
      <c r="I1435">
        <v>570.36142931059703</v>
      </c>
      <c r="J1435">
        <f t="shared" si="132"/>
        <v>6</v>
      </c>
      <c r="K1435" t="str">
        <f>VLOOKUP(B1435,Raw_Suppliers!$A$2:$G$101,2,FALSE)</f>
        <v>Ultra Quantum Ltd</v>
      </c>
      <c r="L1435" t="str">
        <f>VLOOKUP(B1435,Raw_Suppliers!$A$2:$G$101,3,FALSE)</f>
        <v>Canada</v>
      </c>
      <c r="M1435" t="str">
        <f>VLOOKUP(B1435,Raw_Suppliers!$A$2:$G$101,4,FALSE)</f>
        <v>North</v>
      </c>
      <c r="N1435" t="str">
        <f>VLOOKUP(B1435,Raw_Suppliers!$A$2:$G$101,6,FALSE)</f>
        <v>ISO 14001</v>
      </c>
      <c r="O1435">
        <f>VLOOKUP(B1435,Raw_Suppliers!$A$2:$G$101,7,FALSE)</f>
        <v>0</v>
      </c>
      <c r="P1435" t="str">
        <f t="shared" si="133"/>
        <v>No</v>
      </c>
      <c r="Q1435">
        <f t="shared" si="134"/>
        <v>0</v>
      </c>
      <c r="R1435" t="str">
        <f t="shared" si="135"/>
        <v>Late</v>
      </c>
      <c r="S1435">
        <f t="shared" si="136"/>
        <v>2022</v>
      </c>
      <c r="T1435">
        <f t="shared" si="137"/>
        <v>10</v>
      </c>
    </row>
    <row r="1436" spans="1:20" x14ac:dyDescent="0.25">
      <c r="A1436" t="s">
        <v>1743</v>
      </c>
      <c r="B1436" t="s">
        <v>88</v>
      </c>
      <c r="C1436" t="s">
        <v>97</v>
      </c>
      <c r="D1436" s="1">
        <v>44662</v>
      </c>
      <c r="E1436">
        <v>9</v>
      </c>
      <c r="F1436">
        <v>71.672088814265805</v>
      </c>
      <c r="G1436" s="1">
        <v>44675</v>
      </c>
      <c r="H1436" s="1">
        <v>44680</v>
      </c>
      <c r="I1436">
        <v>645.04879932839196</v>
      </c>
      <c r="J1436">
        <f t="shared" si="132"/>
        <v>5</v>
      </c>
      <c r="K1436" t="str">
        <f>VLOOKUP(B1436,Raw_Suppliers!$A$2:$G$101,2,FALSE)</f>
        <v>Eco Nano GmbH</v>
      </c>
      <c r="L1436" t="str">
        <f>VLOOKUP(B1436,Raw_Suppliers!$A$2:$G$101,3,FALSE)</f>
        <v>Denmark</v>
      </c>
      <c r="M1436" t="str">
        <f>VLOOKUP(B1436,Raw_Suppliers!$A$2:$G$101,4,FALSE)</f>
        <v>Central</v>
      </c>
      <c r="N1436" t="str">
        <f>VLOOKUP(B1436,Raw_Suppliers!$A$2:$G$101,6,FALSE)</f>
        <v>ISO 9001</v>
      </c>
      <c r="O1436">
        <f>VLOOKUP(B1436,Raw_Suppliers!$A$2:$G$101,7,FALSE)</f>
        <v>1</v>
      </c>
      <c r="P1436" t="str">
        <f t="shared" si="133"/>
        <v>Yes</v>
      </c>
      <c r="Q1436">
        <f t="shared" si="134"/>
        <v>0</v>
      </c>
      <c r="R1436" t="str">
        <f t="shared" si="135"/>
        <v>Late</v>
      </c>
      <c r="S1436">
        <f t="shared" si="136"/>
        <v>2022</v>
      </c>
      <c r="T1436">
        <f t="shared" si="137"/>
        <v>4</v>
      </c>
    </row>
    <row r="1437" spans="1:20" x14ac:dyDescent="0.25">
      <c r="A1437" t="s">
        <v>1744</v>
      </c>
      <c r="B1437" t="s">
        <v>37</v>
      </c>
      <c r="C1437" t="s">
        <v>727</v>
      </c>
      <c r="D1437" s="1">
        <v>44217</v>
      </c>
      <c r="E1437">
        <v>11</v>
      </c>
      <c r="F1437">
        <v>50.020585587486799</v>
      </c>
      <c r="G1437" s="1">
        <v>44235</v>
      </c>
      <c r="H1437" s="1">
        <v>44235</v>
      </c>
      <c r="I1437">
        <v>550.22644146235496</v>
      </c>
      <c r="J1437">
        <f t="shared" si="132"/>
        <v>0</v>
      </c>
      <c r="K1437" t="str">
        <f>VLOOKUP(B1437,Raw_Suppliers!$A$2:$G$101,2,FALSE)</f>
        <v>Apex Apex Ltd</v>
      </c>
      <c r="L1437" t="str">
        <f>VLOOKUP(B1437,Raw_Suppliers!$A$2:$G$101,3,FALSE)</f>
        <v>Canada</v>
      </c>
      <c r="M1437" t="str">
        <f>VLOOKUP(B1437,Raw_Suppliers!$A$2:$G$101,4,FALSE)</f>
        <v>East</v>
      </c>
      <c r="N1437" t="str">
        <f>VLOOKUP(B1437,Raw_Suppliers!$A$2:$G$101,6,FALSE)</f>
        <v>ISO 9001</v>
      </c>
      <c r="O1437">
        <f>VLOOKUP(B1437,Raw_Suppliers!$A$2:$G$101,7,FALSE)</f>
        <v>1</v>
      </c>
      <c r="P1437" t="str">
        <f t="shared" si="133"/>
        <v>Yes</v>
      </c>
      <c r="Q1437">
        <f t="shared" si="134"/>
        <v>1</v>
      </c>
      <c r="R1437" t="str">
        <f t="shared" si="135"/>
        <v>On Time</v>
      </c>
      <c r="S1437">
        <f t="shared" si="136"/>
        <v>2021</v>
      </c>
      <c r="T1437">
        <f t="shared" si="137"/>
        <v>1</v>
      </c>
    </row>
    <row r="1438" spans="1:20" x14ac:dyDescent="0.25">
      <c r="A1438" t="s">
        <v>1745</v>
      </c>
      <c r="B1438" t="s">
        <v>475</v>
      </c>
      <c r="C1438" t="s">
        <v>274</v>
      </c>
      <c r="D1438" s="1">
        <v>45175</v>
      </c>
      <c r="E1438">
        <v>14</v>
      </c>
      <c r="F1438">
        <v>72.050873734084107</v>
      </c>
      <c r="G1438" s="1">
        <v>45197</v>
      </c>
      <c r="H1438" s="1">
        <v>45197</v>
      </c>
      <c r="I1438">
        <v>1008.71223227717</v>
      </c>
      <c r="J1438">
        <f t="shared" si="132"/>
        <v>0</v>
      </c>
      <c r="K1438" t="str">
        <f>VLOOKUP(B1438,Raw_Suppliers!$A$2:$G$101,2,FALSE)</f>
        <v>Ultra Delta LLC</v>
      </c>
      <c r="L1438" t="str">
        <f>VLOOKUP(B1438,Raw_Suppliers!$A$2:$G$101,3,FALSE)</f>
        <v>UK</v>
      </c>
      <c r="M1438" t="str">
        <f>VLOOKUP(B1438,Raw_Suppliers!$A$2:$G$101,4,FALSE)</f>
        <v>North</v>
      </c>
      <c r="N1438" t="str">
        <f>VLOOKUP(B1438,Raw_Suppliers!$A$2:$G$101,6,FALSE)</f>
        <v>None</v>
      </c>
      <c r="O1438">
        <f>VLOOKUP(B1438,Raw_Suppliers!$A$2:$G$101,7,FALSE)</f>
        <v>1</v>
      </c>
      <c r="P1438" t="str">
        <f t="shared" si="133"/>
        <v>Yes</v>
      </c>
      <c r="Q1438">
        <f t="shared" si="134"/>
        <v>1</v>
      </c>
      <c r="R1438" t="str">
        <f t="shared" si="135"/>
        <v>On Time</v>
      </c>
      <c r="S1438">
        <f t="shared" si="136"/>
        <v>2023</v>
      </c>
      <c r="T1438">
        <f t="shared" si="137"/>
        <v>9</v>
      </c>
    </row>
    <row r="1439" spans="1:20" x14ac:dyDescent="0.25">
      <c r="A1439" t="s">
        <v>1746</v>
      </c>
      <c r="B1439" t="s">
        <v>451</v>
      </c>
      <c r="C1439" t="s">
        <v>654</v>
      </c>
      <c r="D1439" s="1">
        <v>44356</v>
      </c>
      <c r="E1439">
        <v>11</v>
      </c>
      <c r="F1439">
        <v>45.608898495559899</v>
      </c>
      <c r="G1439" s="1">
        <v>44379</v>
      </c>
      <c r="H1439" s="1">
        <v>44382</v>
      </c>
      <c r="I1439">
        <v>501.69788345115899</v>
      </c>
      <c r="J1439">
        <f t="shared" si="132"/>
        <v>3</v>
      </c>
      <c r="K1439" t="str">
        <f>VLOOKUP(B1439,Raw_Suppliers!$A$2:$G$101,2,FALSE)</f>
        <v>Beta Apex Corp</v>
      </c>
      <c r="L1439" t="str">
        <f>VLOOKUP(B1439,Raw_Suppliers!$A$2:$G$101,3,FALSE)</f>
        <v>India</v>
      </c>
      <c r="M1439" t="str">
        <f>VLOOKUP(B1439,Raw_Suppliers!$A$2:$G$101,4,FALSE)</f>
        <v>Central</v>
      </c>
      <c r="N1439" t="str">
        <f>VLOOKUP(B1439,Raw_Suppliers!$A$2:$G$101,6,FALSE)</f>
        <v>ISO 9001</v>
      </c>
      <c r="O1439">
        <f>VLOOKUP(B1439,Raw_Suppliers!$A$2:$G$101,7,FALSE)</f>
        <v>0</v>
      </c>
      <c r="P1439" t="str">
        <f t="shared" si="133"/>
        <v>No</v>
      </c>
      <c r="Q1439">
        <f t="shared" si="134"/>
        <v>0</v>
      </c>
      <c r="R1439" t="str">
        <f t="shared" si="135"/>
        <v>Late</v>
      </c>
      <c r="S1439">
        <f t="shared" si="136"/>
        <v>2021</v>
      </c>
      <c r="T1439">
        <f t="shared" si="137"/>
        <v>6</v>
      </c>
    </row>
    <row r="1440" spans="1:20" x14ac:dyDescent="0.25">
      <c r="A1440" t="s">
        <v>1747</v>
      </c>
      <c r="B1440" t="s">
        <v>219</v>
      </c>
      <c r="C1440" t="s">
        <v>238</v>
      </c>
      <c r="D1440" s="1">
        <v>45147</v>
      </c>
      <c r="E1440">
        <v>11</v>
      </c>
      <c r="F1440">
        <v>75.488679084144906</v>
      </c>
      <c r="G1440" s="1">
        <v>45157</v>
      </c>
      <c r="H1440" s="1">
        <v>45159</v>
      </c>
      <c r="I1440">
        <v>830.37546992559396</v>
      </c>
      <c r="J1440">
        <f t="shared" si="132"/>
        <v>2</v>
      </c>
      <c r="K1440" t="str">
        <f>VLOOKUP(B1440,Raw_Suppliers!$A$2:$G$101,2,FALSE)</f>
        <v>Quantum Quantum Ltd</v>
      </c>
      <c r="L1440" t="str">
        <f>VLOOKUP(B1440,Raw_Suppliers!$A$2:$G$101,3,FALSE)</f>
        <v>USA</v>
      </c>
      <c r="M1440" t="str">
        <f>VLOOKUP(B1440,Raw_Suppliers!$A$2:$G$101,4,FALSE)</f>
        <v>South</v>
      </c>
      <c r="N1440" t="str">
        <f>VLOOKUP(B1440,Raw_Suppliers!$A$2:$G$101,6,FALSE)</f>
        <v>ISO 14001</v>
      </c>
      <c r="O1440">
        <f>VLOOKUP(B1440,Raw_Suppliers!$A$2:$G$101,7,FALSE)</f>
        <v>0</v>
      </c>
      <c r="P1440" t="str">
        <f t="shared" si="133"/>
        <v>No</v>
      </c>
      <c r="Q1440">
        <f t="shared" si="134"/>
        <v>0</v>
      </c>
      <c r="R1440" t="str">
        <f t="shared" si="135"/>
        <v>Late</v>
      </c>
      <c r="S1440">
        <f t="shared" si="136"/>
        <v>2023</v>
      </c>
      <c r="T1440">
        <f t="shared" si="137"/>
        <v>8</v>
      </c>
    </row>
    <row r="1441" spans="1:20" x14ac:dyDescent="0.25">
      <c r="A1441" t="s">
        <v>1748</v>
      </c>
      <c r="B1441" t="s">
        <v>359</v>
      </c>
      <c r="C1441" t="s">
        <v>262</v>
      </c>
      <c r="D1441" s="1">
        <v>44758</v>
      </c>
      <c r="E1441">
        <v>8</v>
      </c>
      <c r="F1441">
        <v>50.272002025882301</v>
      </c>
      <c r="G1441" s="1">
        <v>44779</v>
      </c>
      <c r="H1441" s="1">
        <v>44778</v>
      </c>
      <c r="I1441">
        <v>402.17601620705801</v>
      </c>
      <c r="J1441">
        <f t="shared" si="132"/>
        <v>-1</v>
      </c>
      <c r="K1441" t="str">
        <f>VLOOKUP(B1441,Raw_Suppliers!$A$2:$G$101,2,FALSE)</f>
        <v>Alpha Alpha Corp</v>
      </c>
      <c r="L1441" t="str">
        <f>VLOOKUP(B1441,Raw_Suppliers!$A$2:$G$101,3,FALSE)</f>
        <v>India</v>
      </c>
      <c r="M1441" t="str">
        <f>VLOOKUP(B1441,Raw_Suppliers!$A$2:$G$101,4,FALSE)</f>
        <v>North</v>
      </c>
      <c r="N1441" t="str">
        <f>VLOOKUP(B1441,Raw_Suppliers!$A$2:$G$101,6,FALSE)</f>
        <v>ISO 9001</v>
      </c>
      <c r="O1441">
        <f>VLOOKUP(B1441,Raw_Suppliers!$A$2:$G$101,7,FALSE)</f>
        <v>1</v>
      </c>
      <c r="P1441" t="str">
        <f t="shared" si="133"/>
        <v>Yes</v>
      </c>
      <c r="Q1441">
        <f t="shared" si="134"/>
        <v>1</v>
      </c>
      <c r="R1441" t="str">
        <f t="shared" si="135"/>
        <v>On Time</v>
      </c>
      <c r="S1441">
        <f t="shared" si="136"/>
        <v>2022</v>
      </c>
      <c r="T1441">
        <f t="shared" si="137"/>
        <v>7</v>
      </c>
    </row>
    <row r="1442" spans="1:20" x14ac:dyDescent="0.25">
      <c r="A1442" t="s">
        <v>1749</v>
      </c>
      <c r="B1442" t="s">
        <v>22</v>
      </c>
      <c r="C1442" t="s">
        <v>899</v>
      </c>
      <c r="D1442" s="1">
        <v>44396</v>
      </c>
      <c r="E1442">
        <v>10</v>
      </c>
      <c r="F1442">
        <v>48.3613638507776</v>
      </c>
      <c r="G1442" s="1">
        <v>44416</v>
      </c>
      <c r="H1442" s="1">
        <v>44415</v>
      </c>
      <c r="I1442">
        <v>483.61363850777599</v>
      </c>
      <c r="J1442">
        <f t="shared" si="132"/>
        <v>-1</v>
      </c>
      <c r="K1442" t="str">
        <f>VLOOKUP(B1442,Raw_Suppliers!$A$2:$G$101,2,FALSE)</f>
        <v>Delta Gamma Corp</v>
      </c>
      <c r="L1442" t="str">
        <f>VLOOKUP(B1442,Raw_Suppliers!$A$2:$G$101,3,FALSE)</f>
        <v>Denmark</v>
      </c>
      <c r="M1442" t="str">
        <f>VLOOKUP(B1442,Raw_Suppliers!$A$2:$G$101,4,FALSE)</f>
        <v>West</v>
      </c>
      <c r="N1442" t="str">
        <f>VLOOKUP(B1442,Raw_Suppliers!$A$2:$G$101,6,FALSE)</f>
        <v>ISO 45001</v>
      </c>
      <c r="O1442">
        <f>VLOOKUP(B1442,Raw_Suppliers!$A$2:$G$101,7,FALSE)</f>
        <v>1</v>
      </c>
      <c r="P1442" t="str">
        <f t="shared" si="133"/>
        <v>Yes</v>
      </c>
      <c r="Q1442">
        <f t="shared" si="134"/>
        <v>1</v>
      </c>
      <c r="R1442" t="str">
        <f t="shared" si="135"/>
        <v>On Time</v>
      </c>
      <c r="S1442">
        <f t="shared" si="136"/>
        <v>2021</v>
      </c>
      <c r="T1442">
        <f t="shared" si="137"/>
        <v>7</v>
      </c>
    </row>
    <row r="1443" spans="1:20" x14ac:dyDescent="0.25">
      <c r="A1443" t="s">
        <v>1750</v>
      </c>
      <c r="B1443" t="s">
        <v>124</v>
      </c>
      <c r="C1443" t="s">
        <v>402</v>
      </c>
      <c r="D1443" s="1">
        <v>44761</v>
      </c>
      <c r="E1443">
        <v>8</v>
      </c>
      <c r="F1443">
        <v>21.971102415049099</v>
      </c>
      <c r="G1443" s="1">
        <v>44782</v>
      </c>
      <c r="H1443" s="1">
        <v>44788</v>
      </c>
      <c r="I1443">
        <v>175.768819320392</v>
      </c>
      <c r="J1443">
        <f t="shared" si="132"/>
        <v>6</v>
      </c>
      <c r="K1443" t="str">
        <f>VLOOKUP(B1443,Raw_Suppliers!$A$2:$G$101,2,FALSE)</f>
        <v>Vertex Delta Inc</v>
      </c>
      <c r="L1443" t="str">
        <f>VLOOKUP(B1443,Raw_Suppliers!$A$2:$G$101,3,FALSE)</f>
        <v>Germany</v>
      </c>
      <c r="M1443" t="str">
        <f>VLOOKUP(B1443,Raw_Suppliers!$A$2:$G$101,4,FALSE)</f>
        <v>South</v>
      </c>
      <c r="N1443" t="str">
        <f>VLOOKUP(B1443,Raw_Suppliers!$A$2:$G$101,6,FALSE)</f>
        <v>ISO 9001</v>
      </c>
      <c r="O1443">
        <f>VLOOKUP(B1443,Raw_Suppliers!$A$2:$G$101,7,FALSE)</f>
        <v>0</v>
      </c>
      <c r="P1443" t="str">
        <f t="shared" si="133"/>
        <v>No</v>
      </c>
      <c r="Q1443">
        <f t="shared" si="134"/>
        <v>0</v>
      </c>
      <c r="R1443" t="str">
        <f t="shared" si="135"/>
        <v>Late</v>
      </c>
      <c r="S1443">
        <f t="shared" si="136"/>
        <v>2022</v>
      </c>
      <c r="T1443">
        <f t="shared" si="137"/>
        <v>7</v>
      </c>
    </row>
    <row r="1444" spans="1:20" x14ac:dyDescent="0.25">
      <c r="A1444" t="s">
        <v>1751</v>
      </c>
      <c r="B1444" t="s">
        <v>135</v>
      </c>
      <c r="C1444" t="s">
        <v>391</v>
      </c>
      <c r="D1444" s="1">
        <v>45375</v>
      </c>
      <c r="E1444">
        <v>9</v>
      </c>
      <c r="F1444">
        <v>43.521670180145797</v>
      </c>
      <c r="G1444" s="1">
        <v>45395</v>
      </c>
      <c r="H1444" s="1">
        <v>45393</v>
      </c>
      <c r="I1444">
        <v>391.69503162131201</v>
      </c>
      <c r="J1444">
        <f t="shared" si="132"/>
        <v>-2</v>
      </c>
      <c r="K1444" t="str">
        <f>VLOOKUP(B1444,Raw_Suppliers!$A$2:$G$101,2,FALSE)</f>
        <v>Alpha Prime Ltd</v>
      </c>
      <c r="L1444" t="str">
        <f>VLOOKUP(B1444,Raw_Suppliers!$A$2:$G$101,3,FALSE)</f>
        <v>UK</v>
      </c>
      <c r="M1444" t="str">
        <f>VLOOKUP(B1444,Raw_Suppliers!$A$2:$G$101,4,FALSE)</f>
        <v>East</v>
      </c>
      <c r="N1444" t="str">
        <f>VLOOKUP(B1444,Raw_Suppliers!$A$2:$G$101,6,FALSE)</f>
        <v>None</v>
      </c>
      <c r="O1444">
        <f>VLOOKUP(B1444,Raw_Suppliers!$A$2:$G$101,7,FALSE)</f>
        <v>1</v>
      </c>
      <c r="P1444" t="str">
        <f t="shared" si="133"/>
        <v>Yes</v>
      </c>
      <c r="Q1444">
        <f t="shared" si="134"/>
        <v>1</v>
      </c>
      <c r="R1444" t="str">
        <f t="shared" si="135"/>
        <v>On Time</v>
      </c>
      <c r="S1444">
        <f t="shared" si="136"/>
        <v>2024</v>
      </c>
      <c r="T1444">
        <f t="shared" si="137"/>
        <v>3</v>
      </c>
    </row>
    <row r="1445" spans="1:20" x14ac:dyDescent="0.25">
      <c r="A1445" t="s">
        <v>1752</v>
      </c>
      <c r="B1445" t="s">
        <v>482</v>
      </c>
      <c r="C1445" t="s">
        <v>23</v>
      </c>
      <c r="D1445" s="1">
        <v>44985</v>
      </c>
      <c r="E1445">
        <v>7</v>
      </c>
      <c r="F1445">
        <v>62.074992630392003</v>
      </c>
      <c r="G1445" s="1">
        <v>45002</v>
      </c>
      <c r="H1445" s="1">
        <v>45007</v>
      </c>
      <c r="I1445">
        <v>434.52494841274398</v>
      </c>
      <c r="J1445">
        <f t="shared" si="132"/>
        <v>5</v>
      </c>
      <c r="K1445" t="str">
        <f>VLOOKUP(B1445,Raw_Suppliers!$A$2:$G$101,2,FALSE)</f>
        <v>Eco Prime Corp</v>
      </c>
      <c r="L1445" t="str">
        <f>VLOOKUP(B1445,Raw_Suppliers!$A$2:$G$101,3,FALSE)</f>
        <v>China</v>
      </c>
      <c r="M1445" t="str">
        <f>VLOOKUP(B1445,Raw_Suppliers!$A$2:$G$101,4,FALSE)</f>
        <v>East</v>
      </c>
      <c r="N1445" t="str">
        <f>VLOOKUP(B1445,Raw_Suppliers!$A$2:$G$101,6,FALSE)</f>
        <v>ISO 45001</v>
      </c>
      <c r="O1445">
        <f>VLOOKUP(B1445,Raw_Suppliers!$A$2:$G$101,7,FALSE)</f>
        <v>1</v>
      </c>
      <c r="P1445" t="str">
        <f t="shared" si="133"/>
        <v>Yes</v>
      </c>
      <c r="Q1445">
        <f t="shared" si="134"/>
        <v>0</v>
      </c>
      <c r="R1445" t="str">
        <f t="shared" si="135"/>
        <v>Late</v>
      </c>
      <c r="S1445">
        <f t="shared" si="136"/>
        <v>2023</v>
      </c>
      <c r="T1445">
        <f t="shared" si="137"/>
        <v>2</v>
      </c>
    </row>
    <row r="1446" spans="1:20" x14ac:dyDescent="0.25">
      <c r="A1446" t="s">
        <v>1753</v>
      </c>
      <c r="B1446" t="s">
        <v>64</v>
      </c>
      <c r="C1446" t="s">
        <v>23</v>
      </c>
      <c r="D1446" s="1">
        <v>45388</v>
      </c>
      <c r="E1446">
        <v>12</v>
      </c>
      <c r="F1446">
        <v>73.701016160614003</v>
      </c>
      <c r="G1446" s="1">
        <v>45399</v>
      </c>
      <c r="H1446" s="1">
        <v>45405</v>
      </c>
      <c r="I1446">
        <v>884.41219392736798</v>
      </c>
      <c r="J1446">
        <f t="shared" si="132"/>
        <v>6</v>
      </c>
      <c r="K1446" t="str">
        <f>VLOOKUP(B1446,Raw_Suppliers!$A$2:$G$101,2,FALSE)</f>
        <v>Apex Quantum Inc</v>
      </c>
      <c r="L1446" t="str">
        <f>VLOOKUP(B1446,Raw_Suppliers!$A$2:$G$101,3,FALSE)</f>
        <v>India</v>
      </c>
      <c r="M1446" t="str">
        <f>VLOOKUP(B1446,Raw_Suppliers!$A$2:$G$101,4,FALSE)</f>
        <v>North</v>
      </c>
      <c r="N1446" t="str">
        <f>VLOOKUP(B1446,Raw_Suppliers!$A$2:$G$101,6,FALSE)</f>
        <v>ISO 45001</v>
      </c>
      <c r="O1446">
        <f>VLOOKUP(B1446,Raw_Suppliers!$A$2:$G$101,7,FALSE)</f>
        <v>1</v>
      </c>
      <c r="P1446" t="str">
        <f t="shared" si="133"/>
        <v>Yes</v>
      </c>
      <c r="Q1446">
        <f t="shared" si="134"/>
        <v>0</v>
      </c>
      <c r="R1446" t="str">
        <f t="shared" si="135"/>
        <v>Late</v>
      </c>
      <c r="S1446">
        <f t="shared" si="136"/>
        <v>2024</v>
      </c>
      <c r="T1446">
        <f t="shared" si="137"/>
        <v>4</v>
      </c>
    </row>
    <row r="1447" spans="1:20" x14ac:dyDescent="0.25">
      <c r="A1447" t="s">
        <v>1754</v>
      </c>
      <c r="B1447" t="s">
        <v>314</v>
      </c>
      <c r="C1447" t="s">
        <v>629</v>
      </c>
      <c r="D1447" s="1">
        <v>45198</v>
      </c>
      <c r="E1447">
        <v>11</v>
      </c>
      <c r="F1447">
        <v>67.131756025726006</v>
      </c>
      <c r="G1447" s="1">
        <v>45208</v>
      </c>
      <c r="H1447" s="1">
        <v>45212</v>
      </c>
      <c r="I1447">
        <v>738.44931628298696</v>
      </c>
      <c r="J1447">
        <f t="shared" si="132"/>
        <v>4</v>
      </c>
      <c r="K1447" t="str">
        <f>VLOOKUP(B1447,Raw_Suppliers!$A$2:$G$101,2,FALSE)</f>
        <v>Gamma Nova Ltd</v>
      </c>
      <c r="L1447" t="str">
        <f>VLOOKUP(B1447,Raw_Suppliers!$A$2:$G$101,3,FALSE)</f>
        <v>USA</v>
      </c>
      <c r="M1447" t="str">
        <f>VLOOKUP(B1447,Raw_Suppliers!$A$2:$G$101,4,FALSE)</f>
        <v>North</v>
      </c>
      <c r="N1447" t="str">
        <f>VLOOKUP(B1447,Raw_Suppliers!$A$2:$G$101,6,FALSE)</f>
        <v>ISO 45001</v>
      </c>
      <c r="O1447">
        <f>VLOOKUP(B1447,Raw_Suppliers!$A$2:$G$101,7,FALSE)</f>
        <v>0</v>
      </c>
      <c r="P1447" t="str">
        <f t="shared" si="133"/>
        <v>No</v>
      </c>
      <c r="Q1447">
        <f t="shared" si="134"/>
        <v>0</v>
      </c>
      <c r="R1447" t="str">
        <f t="shared" si="135"/>
        <v>Late</v>
      </c>
      <c r="S1447">
        <f t="shared" si="136"/>
        <v>2023</v>
      </c>
      <c r="T1447">
        <f t="shared" si="137"/>
        <v>9</v>
      </c>
    </row>
    <row r="1448" spans="1:20" x14ac:dyDescent="0.25">
      <c r="A1448" t="s">
        <v>1755</v>
      </c>
      <c r="B1448" t="s">
        <v>43</v>
      </c>
      <c r="C1448" t="s">
        <v>77</v>
      </c>
      <c r="D1448" s="1">
        <v>45090</v>
      </c>
      <c r="E1448">
        <v>11</v>
      </c>
      <c r="F1448">
        <v>56.9787270253534</v>
      </c>
      <c r="G1448" s="1">
        <v>45110</v>
      </c>
      <c r="H1448" s="1">
        <v>45114</v>
      </c>
      <c r="I1448">
        <v>626.76599727888799</v>
      </c>
      <c r="J1448">
        <f t="shared" si="132"/>
        <v>4</v>
      </c>
      <c r="K1448" t="str">
        <f>VLOOKUP(B1448,Raw_Suppliers!$A$2:$G$101,2,FALSE)</f>
        <v>Alpha Ultra Corp</v>
      </c>
      <c r="L1448" t="str">
        <f>VLOOKUP(B1448,Raw_Suppliers!$A$2:$G$101,3,FALSE)</f>
        <v>USA</v>
      </c>
      <c r="M1448" t="str">
        <f>VLOOKUP(B1448,Raw_Suppliers!$A$2:$G$101,4,FALSE)</f>
        <v>Central</v>
      </c>
      <c r="N1448" t="str">
        <f>VLOOKUP(B1448,Raw_Suppliers!$A$2:$G$101,6,FALSE)</f>
        <v>ISO 9001</v>
      </c>
      <c r="O1448">
        <f>VLOOKUP(B1448,Raw_Suppliers!$A$2:$G$101,7,FALSE)</f>
        <v>1</v>
      </c>
      <c r="P1448" t="str">
        <f t="shared" si="133"/>
        <v>Yes</v>
      </c>
      <c r="Q1448">
        <f t="shared" si="134"/>
        <v>0</v>
      </c>
      <c r="R1448" t="str">
        <f t="shared" si="135"/>
        <v>Late</v>
      </c>
      <c r="S1448">
        <f t="shared" si="136"/>
        <v>2023</v>
      </c>
      <c r="T1448">
        <f t="shared" si="137"/>
        <v>6</v>
      </c>
    </row>
    <row r="1449" spans="1:20" x14ac:dyDescent="0.25">
      <c r="A1449" t="s">
        <v>1756</v>
      </c>
      <c r="B1449" t="s">
        <v>121</v>
      </c>
      <c r="C1449" t="s">
        <v>297</v>
      </c>
      <c r="D1449" s="1">
        <v>44765</v>
      </c>
      <c r="E1449">
        <v>18</v>
      </c>
      <c r="F1449">
        <v>51.3568591913129</v>
      </c>
      <c r="G1449" s="1">
        <v>44784</v>
      </c>
      <c r="H1449" s="1">
        <v>44787</v>
      </c>
      <c r="I1449">
        <v>924.42346544363204</v>
      </c>
      <c r="J1449">
        <f t="shared" si="132"/>
        <v>3</v>
      </c>
      <c r="K1449" t="str">
        <f>VLOOKUP(B1449,Raw_Suppliers!$A$2:$G$101,2,FALSE)</f>
        <v>Vertex Vertex Inc</v>
      </c>
      <c r="L1449" t="str">
        <f>VLOOKUP(B1449,Raw_Suppliers!$A$2:$G$101,3,FALSE)</f>
        <v>USA</v>
      </c>
      <c r="M1449" t="str">
        <f>VLOOKUP(B1449,Raw_Suppliers!$A$2:$G$101,4,FALSE)</f>
        <v>West</v>
      </c>
      <c r="N1449" t="str">
        <f>VLOOKUP(B1449,Raw_Suppliers!$A$2:$G$101,6,FALSE)</f>
        <v>None</v>
      </c>
      <c r="O1449">
        <f>VLOOKUP(B1449,Raw_Suppliers!$A$2:$G$101,7,FALSE)</f>
        <v>0</v>
      </c>
      <c r="P1449" t="str">
        <f t="shared" si="133"/>
        <v>No</v>
      </c>
      <c r="Q1449">
        <f t="shared" si="134"/>
        <v>0</v>
      </c>
      <c r="R1449" t="str">
        <f t="shared" si="135"/>
        <v>Late</v>
      </c>
      <c r="S1449">
        <f t="shared" si="136"/>
        <v>2022</v>
      </c>
      <c r="T1449">
        <f t="shared" si="137"/>
        <v>7</v>
      </c>
    </row>
    <row r="1450" spans="1:20" x14ac:dyDescent="0.25">
      <c r="A1450" t="s">
        <v>1757</v>
      </c>
      <c r="B1450" t="s">
        <v>359</v>
      </c>
      <c r="C1450" t="s">
        <v>268</v>
      </c>
      <c r="D1450" s="1">
        <v>44877</v>
      </c>
      <c r="E1450">
        <v>16</v>
      </c>
      <c r="F1450">
        <v>64.365162518546001</v>
      </c>
      <c r="G1450" s="1">
        <v>44892</v>
      </c>
      <c r="H1450" s="1">
        <v>44891</v>
      </c>
      <c r="I1450">
        <v>1029.8426002967301</v>
      </c>
      <c r="J1450">
        <f t="shared" si="132"/>
        <v>-1</v>
      </c>
      <c r="K1450" t="str">
        <f>VLOOKUP(B1450,Raw_Suppliers!$A$2:$G$101,2,FALSE)</f>
        <v>Alpha Alpha Corp</v>
      </c>
      <c r="L1450" t="str">
        <f>VLOOKUP(B1450,Raw_Suppliers!$A$2:$G$101,3,FALSE)</f>
        <v>India</v>
      </c>
      <c r="M1450" t="str">
        <f>VLOOKUP(B1450,Raw_Suppliers!$A$2:$G$101,4,FALSE)</f>
        <v>North</v>
      </c>
      <c r="N1450" t="str">
        <f>VLOOKUP(B1450,Raw_Suppliers!$A$2:$G$101,6,FALSE)</f>
        <v>ISO 9001</v>
      </c>
      <c r="O1450">
        <f>VLOOKUP(B1450,Raw_Suppliers!$A$2:$G$101,7,FALSE)</f>
        <v>1</v>
      </c>
      <c r="P1450" t="str">
        <f t="shared" si="133"/>
        <v>Yes</v>
      </c>
      <c r="Q1450">
        <f t="shared" si="134"/>
        <v>1</v>
      </c>
      <c r="R1450" t="str">
        <f t="shared" si="135"/>
        <v>On Time</v>
      </c>
      <c r="S1450">
        <f t="shared" si="136"/>
        <v>2022</v>
      </c>
      <c r="T1450">
        <f t="shared" si="137"/>
        <v>11</v>
      </c>
    </row>
    <row r="1451" spans="1:20" x14ac:dyDescent="0.25">
      <c r="A1451" t="s">
        <v>1758</v>
      </c>
      <c r="B1451" t="s">
        <v>340</v>
      </c>
      <c r="C1451" t="s">
        <v>11</v>
      </c>
      <c r="D1451" s="1">
        <v>44369</v>
      </c>
      <c r="E1451">
        <v>10</v>
      </c>
      <c r="F1451">
        <v>9.3936976271575805</v>
      </c>
      <c r="G1451" s="1">
        <v>44384</v>
      </c>
      <c r="H1451" s="1">
        <v>44387</v>
      </c>
      <c r="I1451">
        <v>93.936976271575801</v>
      </c>
      <c r="J1451">
        <f t="shared" si="132"/>
        <v>3</v>
      </c>
      <c r="K1451" t="str">
        <f>VLOOKUP(B1451,Raw_Suppliers!$A$2:$G$101,2,FALSE)</f>
        <v>Pioneer Ultra GmbH</v>
      </c>
      <c r="L1451" t="str">
        <f>VLOOKUP(B1451,Raw_Suppliers!$A$2:$G$101,3,FALSE)</f>
        <v>China</v>
      </c>
      <c r="M1451" t="str">
        <f>VLOOKUP(B1451,Raw_Suppliers!$A$2:$G$101,4,FALSE)</f>
        <v>Central</v>
      </c>
      <c r="N1451" t="str">
        <f>VLOOKUP(B1451,Raw_Suppliers!$A$2:$G$101,6,FALSE)</f>
        <v>ISO 9001</v>
      </c>
      <c r="O1451">
        <f>VLOOKUP(B1451,Raw_Suppliers!$A$2:$G$101,7,FALSE)</f>
        <v>0</v>
      </c>
      <c r="P1451" t="str">
        <f t="shared" si="133"/>
        <v>No</v>
      </c>
      <c r="Q1451">
        <f t="shared" si="134"/>
        <v>0</v>
      </c>
      <c r="R1451" t="str">
        <f t="shared" si="135"/>
        <v>Late</v>
      </c>
      <c r="S1451">
        <f t="shared" si="136"/>
        <v>2021</v>
      </c>
      <c r="T1451">
        <f t="shared" si="137"/>
        <v>6</v>
      </c>
    </row>
    <row r="1452" spans="1:20" x14ac:dyDescent="0.25">
      <c r="A1452" t="s">
        <v>1759</v>
      </c>
      <c r="B1452" t="s">
        <v>493</v>
      </c>
      <c r="C1452" t="s">
        <v>304</v>
      </c>
      <c r="D1452" s="1">
        <v>44715</v>
      </c>
      <c r="E1452">
        <v>16</v>
      </c>
      <c r="F1452">
        <v>39.360157904399799</v>
      </c>
      <c r="G1452" s="1">
        <v>44732</v>
      </c>
      <c r="H1452" s="1">
        <v>44732</v>
      </c>
      <c r="I1452">
        <v>629.76252647039701</v>
      </c>
      <c r="J1452">
        <f t="shared" si="132"/>
        <v>0</v>
      </c>
      <c r="K1452" t="str">
        <f>VLOOKUP(B1452,Raw_Suppliers!$A$2:$G$101,2,FALSE)</f>
        <v>Delta Vertex LLC</v>
      </c>
      <c r="L1452" t="str">
        <f>VLOOKUP(B1452,Raw_Suppliers!$A$2:$G$101,3,FALSE)</f>
        <v>China</v>
      </c>
      <c r="M1452" t="str">
        <f>VLOOKUP(B1452,Raw_Suppliers!$A$2:$G$101,4,FALSE)</f>
        <v>East</v>
      </c>
      <c r="N1452" t="str">
        <f>VLOOKUP(B1452,Raw_Suppliers!$A$2:$G$101,6,FALSE)</f>
        <v>None</v>
      </c>
      <c r="O1452">
        <f>VLOOKUP(B1452,Raw_Suppliers!$A$2:$G$101,7,FALSE)</f>
        <v>0</v>
      </c>
      <c r="P1452" t="str">
        <f t="shared" si="133"/>
        <v>No</v>
      </c>
      <c r="Q1452">
        <f t="shared" si="134"/>
        <v>1</v>
      </c>
      <c r="R1452" t="str">
        <f t="shared" si="135"/>
        <v>On Time</v>
      </c>
      <c r="S1452">
        <f t="shared" si="136"/>
        <v>2022</v>
      </c>
      <c r="T1452">
        <f t="shared" si="137"/>
        <v>6</v>
      </c>
    </row>
    <row r="1453" spans="1:20" x14ac:dyDescent="0.25">
      <c r="A1453" t="s">
        <v>1760</v>
      </c>
      <c r="B1453" t="s">
        <v>34</v>
      </c>
      <c r="C1453" t="s">
        <v>380</v>
      </c>
      <c r="D1453" s="1">
        <v>44662</v>
      </c>
      <c r="E1453">
        <v>12</v>
      </c>
      <c r="F1453">
        <v>42.865119636349597</v>
      </c>
      <c r="G1453" s="1">
        <v>44673</v>
      </c>
      <c r="H1453" s="1">
        <v>44676</v>
      </c>
      <c r="I1453">
        <v>514.38143563619496</v>
      </c>
      <c r="J1453">
        <f t="shared" si="132"/>
        <v>3</v>
      </c>
      <c r="K1453" t="str">
        <f>VLOOKUP(B1453,Raw_Suppliers!$A$2:$G$101,2,FALSE)</f>
        <v>Omega Alpha Corp</v>
      </c>
      <c r="L1453" t="str">
        <f>VLOOKUP(B1453,Raw_Suppliers!$A$2:$G$101,3,FALSE)</f>
        <v>UK</v>
      </c>
      <c r="M1453" t="str">
        <f>VLOOKUP(B1453,Raw_Suppliers!$A$2:$G$101,4,FALSE)</f>
        <v>West</v>
      </c>
      <c r="N1453" t="str">
        <f>VLOOKUP(B1453,Raw_Suppliers!$A$2:$G$101,6,FALSE)</f>
        <v>ISO 45001</v>
      </c>
      <c r="O1453">
        <f>VLOOKUP(B1453,Raw_Suppliers!$A$2:$G$101,7,FALSE)</f>
        <v>0</v>
      </c>
      <c r="P1453" t="str">
        <f t="shared" si="133"/>
        <v>No</v>
      </c>
      <c r="Q1453">
        <f t="shared" si="134"/>
        <v>0</v>
      </c>
      <c r="R1453" t="str">
        <f t="shared" si="135"/>
        <v>Late</v>
      </c>
      <c r="S1453">
        <f t="shared" si="136"/>
        <v>2022</v>
      </c>
      <c r="T1453">
        <f t="shared" si="137"/>
        <v>4</v>
      </c>
    </row>
    <row r="1454" spans="1:20" x14ac:dyDescent="0.25">
      <c r="A1454" t="s">
        <v>1761</v>
      </c>
      <c r="B1454" t="s">
        <v>88</v>
      </c>
      <c r="C1454" t="s">
        <v>245</v>
      </c>
      <c r="D1454" s="1">
        <v>44803</v>
      </c>
      <c r="E1454">
        <v>14</v>
      </c>
      <c r="F1454">
        <v>7.43709683802975</v>
      </c>
      <c r="G1454" s="1">
        <v>44816</v>
      </c>
      <c r="H1454" s="1">
        <v>44813</v>
      </c>
      <c r="I1454">
        <v>104.119355732416</v>
      </c>
      <c r="J1454">
        <f t="shared" si="132"/>
        <v>-3</v>
      </c>
      <c r="K1454" t="str">
        <f>VLOOKUP(B1454,Raw_Suppliers!$A$2:$G$101,2,FALSE)</f>
        <v>Eco Nano GmbH</v>
      </c>
      <c r="L1454" t="str">
        <f>VLOOKUP(B1454,Raw_Suppliers!$A$2:$G$101,3,FALSE)</f>
        <v>Denmark</v>
      </c>
      <c r="M1454" t="str">
        <f>VLOOKUP(B1454,Raw_Suppliers!$A$2:$G$101,4,FALSE)</f>
        <v>Central</v>
      </c>
      <c r="N1454" t="str">
        <f>VLOOKUP(B1454,Raw_Suppliers!$A$2:$G$101,6,FALSE)</f>
        <v>ISO 9001</v>
      </c>
      <c r="O1454">
        <f>VLOOKUP(B1454,Raw_Suppliers!$A$2:$G$101,7,FALSE)</f>
        <v>1</v>
      </c>
      <c r="P1454" t="str">
        <f t="shared" si="133"/>
        <v>Yes</v>
      </c>
      <c r="Q1454">
        <f t="shared" si="134"/>
        <v>1</v>
      </c>
      <c r="R1454" t="str">
        <f t="shared" si="135"/>
        <v>On Time</v>
      </c>
      <c r="S1454">
        <f t="shared" si="136"/>
        <v>2022</v>
      </c>
      <c r="T1454">
        <f t="shared" si="137"/>
        <v>8</v>
      </c>
    </row>
    <row r="1455" spans="1:20" x14ac:dyDescent="0.25">
      <c r="A1455" t="s">
        <v>1762</v>
      </c>
      <c r="B1455" t="s">
        <v>394</v>
      </c>
      <c r="C1455" t="s">
        <v>20</v>
      </c>
      <c r="D1455" s="1">
        <v>44253</v>
      </c>
      <c r="E1455">
        <v>9</v>
      </c>
      <c r="F1455">
        <v>25.354489744046699</v>
      </c>
      <c r="G1455" s="1">
        <v>44263</v>
      </c>
      <c r="H1455" s="1">
        <v>44268</v>
      </c>
      <c r="I1455">
        <v>228.190407696421</v>
      </c>
      <c r="J1455">
        <f t="shared" si="132"/>
        <v>5</v>
      </c>
      <c r="K1455" t="str">
        <f>VLOOKUP(B1455,Raw_Suppliers!$A$2:$G$101,2,FALSE)</f>
        <v>Ultra Prime Inc</v>
      </c>
      <c r="L1455" t="str">
        <f>VLOOKUP(B1455,Raw_Suppliers!$A$2:$G$101,3,FALSE)</f>
        <v>Brazil</v>
      </c>
      <c r="M1455" t="str">
        <f>VLOOKUP(B1455,Raw_Suppliers!$A$2:$G$101,4,FALSE)</f>
        <v>West</v>
      </c>
      <c r="N1455" t="str">
        <f>VLOOKUP(B1455,Raw_Suppliers!$A$2:$G$101,6,FALSE)</f>
        <v>ISO 9001</v>
      </c>
      <c r="O1455">
        <f>VLOOKUP(B1455,Raw_Suppliers!$A$2:$G$101,7,FALSE)</f>
        <v>1</v>
      </c>
      <c r="P1455" t="str">
        <f t="shared" si="133"/>
        <v>Yes</v>
      </c>
      <c r="Q1455">
        <f t="shared" si="134"/>
        <v>0</v>
      </c>
      <c r="R1455" t="str">
        <f t="shared" si="135"/>
        <v>Late</v>
      </c>
      <c r="S1455">
        <f t="shared" si="136"/>
        <v>2021</v>
      </c>
      <c r="T1455">
        <f t="shared" si="137"/>
        <v>2</v>
      </c>
    </row>
    <row r="1456" spans="1:20" x14ac:dyDescent="0.25">
      <c r="A1456" t="s">
        <v>1763</v>
      </c>
      <c r="B1456" t="s">
        <v>751</v>
      </c>
      <c r="C1456" t="s">
        <v>763</v>
      </c>
      <c r="D1456" s="1">
        <v>44270</v>
      </c>
      <c r="E1456">
        <v>9</v>
      </c>
      <c r="F1456">
        <v>16.319929128671699</v>
      </c>
      <c r="G1456" s="1">
        <v>44289</v>
      </c>
      <c r="H1456" s="1">
        <v>44293</v>
      </c>
      <c r="I1456">
        <v>146.87936215804501</v>
      </c>
      <c r="J1456">
        <f t="shared" si="132"/>
        <v>4</v>
      </c>
      <c r="K1456" t="str">
        <f>VLOOKUP(B1456,Raw_Suppliers!$A$2:$G$101,2,FALSE)</f>
        <v>Nano Vertex LLC</v>
      </c>
      <c r="L1456" t="str">
        <f>VLOOKUP(B1456,Raw_Suppliers!$A$2:$G$101,3,FALSE)</f>
        <v>China</v>
      </c>
      <c r="M1456" t="str">
        <f>VLOOKUP(B1456,Raw_Suppliers!$A$2:$G$101,4,FALSE)</f>
        <v>North</v>
      </c>
      <c r="N1456" t="str">
        <f>VLOOKUP(B1456,Raw_Suppliers!$A$2:$G$101,6,FALSE)</f>
        <v>ISO 9001</v>
      </c>
      <c r="O1456">
        <f>VLOOKUP(B1456,Raw_Suppliers!$A$2:$G$101,7,FALSE)</f>
        <v>1</v>
      </c>
      <c r="P1456" t="str">
        <f t="shared" si="133"/>
        <v>Yes</v>
      </c>
      <c r="Q1456">
        <f t="shared" si="134"/>
        <v>0</v>
      </c>
      <c r="R1456" t="str">
        <f t="shared" si="135"/>
        <v>Late</v>
      </c>
      <c r="S1456">
        <f t="shared" si="136"/>
        <v>2021</v>
      </c>
      <c r="T1456">
        <f t="shared" si="137"/>
        <v>3</v>
      </c>
    </row>
    <row r="1457" spans="1:20" x14ac:dyDescent="0.25">
      <c r="A1457" t="s">
        <v>1764</v>
      </c>
      <c r="B1457" t="s">
        <v>482</v>
      </c>
      <c r="C1457" t="s">
        <v>23</v>
      </c>
      <c r="D1457" s="1">
        <v>45236</v>
      </c>
      <c r="E1457">
        <v>13</v>
      </c>
      <c r="F1457">
        <v>53.638430235015797</v>
      </c>
      <c r="G1457" s="1">
        <v>45257</v>
      </c>
      <c r="H1457" s="1">
        <v>45257</v>
      </c>
      <c r="I1457">
        <v>697.29959305520504</v>
      </c>
      <c r="J1457">
        <f t="shared" si="132"/>
        <v>0</v>
      </c>
      <c r="K1457" t="str">
        <f>VLOOKUP(B1457,Raw_Suppliers!$A$2:$G$101,2,FALSE)</f>
        <v>Eco Prime Corp</v>
      </c>
      <c r="L1457" t="str">
        <f>VLOOKUP(B1457,Raw_Suppliers!$A$2:$G$101,3,FALSE)</f>
        <v>China</v>
      </c>
      <c r="M1457" t="str">
        <f>VLOOKUP(B1457,Raw_Suppliers!$A$2:$G$101,4,FALSE)</f>
        <v>East</v>
      </c>
      <c r="N1457" t="str">
        <f>VLOOKUP(B1457,Raw_Suppliers!$A$2:$G$101,6,FALSE)</f>
        <v>ISO 45001</v>
      </c>
      <c r="O1457">
        <f>VLOOKUP(B1457,Raw_Suppliers!$A$2:$G$101,7,FALSE)</f>
        <v>1</v>
      </c>
      <c r="P1457" t="str">
        <f t="shared" si="133"/>
        <v>Yes</v>
      </c>
      <c r="Q1457">
        <f t="shared" si="134"/>
        <v>1</v>
      </c>
      <c r="R1457" t="str">
        <f t="shared" si="135"/>
        <v>On Time</v>
      </c>
      <c r="S1457">
        <f t="shared" si="136"/>
        <v>2023</v>
      </c>
      <c r="T1457">
        <f t="shared" si="137"/>
        <v>11</v>
      </c>
    </row>
    <row r="1458" spans="1:20" x14ac:dyDescent="0.25">
      <c r="A1458" t="s">
        <v>1765</v>
      </c>
      <c r="B1458" t="s">
        <v>267</v>
      </c>
      <c r="C1458" t="s">
        <v>444</v>
      </c>
      <c r="D1458" s="1">
        <v>45167</v>
      </c>
      <c r="E1458">
        <v>12</v>
      </c>
      <c r="F1458">
        <v>64.616809639543902</v>
      </c>
      <c r="G1458" s="1">
        <v>45185</v>
      </c>
      <c r="H1458" s="1">
        <v>45186</v>
      </c>
      <c r="I1458">
        <v>775.40171567452603</v>
      </c>
      <c r="J1458">
        <f t="shared" si="132"/>
        <v>1</v>
      </c>
      <c r="K1458" t="str">
        <f>VLOOKUP(B1458,Raw_Suppliers!$A$2:$G$101,2,FALSE)</f>
        <v>Omega Nova Corp</v>
      </c>
      <c r="L1458" t="str">
        <f>VLOOKUP(B1458,Raw_Suppliers!$A$2:$G$101,3,FALSE)</f>
        <v>India</v>
      </c>
      <c r="M1458" t="str">
        <f>VLOOKUP(B1458,Raw_Suppliers!$A$2:$G$101,4,FALSE)</f>
        <v>West</v>
      </c>
      <c r="N1458" t="str">
        <f>VLOOKUP(B1458,Raw_Suppliers!$A$2:$G$101,6,FALSE)</f>
        <v>ISO 45001</v>
      </c>
      <c r="O1458">
        <f>VLOOKUP(B1458,Raw_Suppliers!$A$2:$G$101,7,FALSE)</f>
        <v>0</v>
      </c>
      <c r="P1458" t="str">
        <f t="shared" si="133"/>
        <v>No</v>
      </c>
      <c r="Q1458">
        <f t="shared" si="134"/>
        <v>0</v>
      </c>
      <c r="R1458" t="str">
        <f t="shared" si="135"/>
        <v>Late</v>
      </c>
      <c r="S1458">
        <f t="shared" si="136"/>
        <v>2023</v>
      </c>
      <c r="T1458">
        <f t="shared" si="137"/>
        <v>8</v>
      </c>
    </row>
    <row r="1459" spans="1:20" x14ac:dyDescent="0.25">
      <c r="A1459" t="s">
        <v>1766</v>
      </c>
      <c r="B1459" t="s">
        <v>227</v>
      </c>
      <c r="C1459" t="s">
        <v>71</v>
      </c>
      <c r="D1459" s="1">
        <v>44580</v>
      </c>
      <c r="E1459">
        <v>8</v>
      </c>
      <c r="F1459">
        <v>54.460881031760202</v>
      </c>
      <c r="G1459" s="1">
        <v>44603</v>
      </c>
      <c r="H1459" s="1">
        <v>44602</v>
      </c>
      <c r="I1459">
        <v>435.68704825408099</v>
      </c>
      <c r="J1459">
        <f t="shared" si="132"/>
        <v>-1</v>
      </c>
      <c r="K1459" t="str">
        <f>VLOOKUP(B1459,Raw_Suppliers!$A$2:$G$101,2,FALSE)</f>
        <v>Delta Prime Inc</v>
      </c>
      <c r="L1459" t="str">
        <f>VLOOKUP(B1459,Raw_Suppliers!$A$2:$G$101,3,FALSE)</f>
        <v>Denmark</v>
      </c>
      <c r="M1459" t="str">
        <f>VLOOKUP(B1459,Raw_Suppliers!$A$2:$G$101,4,FALSE)</f>
        <v>South</v>
      </c>
      <c r="N1459" t="str">
        <f>VLOOKUP(B1459,Raw_Suppliers!$A$2:$G$101,6,FALSE)</f>
        <v>ISO 14001</v>
      </c>
      <c r="O1459">
        <f>VLOOKUP(B1459,Raw_Suppliers!$A$2:$G$101,7,FALSE)</f>
        <v>0</v>
      </c>
      <c r="P1459" t="str">
        <f t="shared" si="133"/>
        <v>No</v>
      </c>
      <c r="Q1459">
        <f t="shared" si="134"/>
        <v>1</v>
      </c>
      <c r="R1459" t="str">
        <f t="shared" si="135"/>
        <v>On Time</v>
      </c>
      <c r="S1459">
        <f t="shared" si="136"/>
        <v>2022</v>
      </c>
      <c r="T1459">
        <f t="shared" si="137"/>
        <v>1</v>
      </c>
    </row>
    <row r="1460" spans="1:20" x14ac:dyDescent="0.25">
      <c r="A1460" t="s">
        <v>1767</v>
      </c>
      <c r="B1460" t="s">
        <v>301</v>
      </c>
      <c r="C1460" t="s">
        <v>177</v>
      </c>
      <c r="D1460" s="1">
        <v>45173</v>
      </c>
      <c r="E1460">
        <v>12</v>
      </c>
      <c r="F1460">
        <v>73.323046272091304</v>
      </c>
      <c r="G1460" s="1">
        <v>45186</v>
      </c>
      <c r="H1460" s="1">
        <v>45188</v>
      </c>
      <c r="I1460">
        <v>879.87655526509604</v>
      </c>
      <c r="J1460">
        <f t="shared" si="132"/>
        <v>2</v>
      </c>
      <c r="K1460" t="str">
        <f>VLOOKUP(B1460,Raw_Suppliers!$A$2:$G$101,2,FALSE)</f>
        <v>Beta Eco Inc</v>
      </c>
      <c r="L1460" t="str">
        <f>VLOOKUP(B1460,Raw_Suppliers!$A$2:$G$101,3,FALSE)</f>
        <v>Denmark</v>
      </c>
      <c r="M1460" t="str">
        <f>VLOOKUP(B1460,Raw_Suppliers!$A$2:$G$101,4,FALSE)</f>
        <v>South</v>
      </c>
      <c r="N1460" t="str">
        <f>VLOOKUP(B1460,Raw_Suppliers!$A$2:$G$101,6,FALSE)</f>
        <v>ISO 14001</v>
      </c>
      <c r="O1460">
        <f>VLOOKUP(B1460,Raw_Suppliers!$A$2:$G$101,7,FALSE)</f>
        <v>1</v>
      </c>
      <c r="P1460" t="str">
        <f t="shared" si="133"/>
        <v>Yes</v>
      </c>
      <c r="Q1460">
        <f t="shared" si="134"/>
        <v>0</v>
      </c>
      <c r="R1460" t="str">
        <f t="shared" si="135"/>
        <v>Late</v>
      </c>
      <c r="S1460">
        <f t="shared" si="136"/>
        <v>2023</v>
      </c>
      <c r="T1460">
        <f t="shared" si="137"/>
        <v>9</v>
      </c>
    </row>
    <row r="1461" spans="1:20" x14ac:dyDescent="0.25">
      <c r="A1461" t="s">
        <v>1768</v>
      </c>
      <c r="B1461" t="s">
        <v>119</v>
      </c>
      <c r="C1461" t="s">
        <v>759</v>
      </c>
      <c r="D1461" s="1">
        <v>45153</v>
      </c>
      <c r="E1461">
        <v>19</v>
      </c>
      <c r="F1461">
        <v>58.859678192971103</v>
      </c>
      <c r="G1461" s="1">
        <v>45168</v>
      </c>
      <c r="H1461" s="1">
        <v>45170</v>
      </c>
      <c r="I1461">
        <v>1118.33388566645</v>
      </c>
      <c r="J1461">
        <f t="shared" si="132"/>
        <v>2</v>
      </c>
      <c r="K1461" t="str">
        <f>VLOOKUP(B1461,Raw_Suppliers!$A$2:$G$101,2,FALSE)</f>
        <v>Pioneer Apex Corp</v>
      </c>
      <c r="L1461" t="str">
        <f>VLOOKUP(B1461,Raw_Suppliers!$A$2:$G$101,3,FALSE)</f>
        <v>USA</v>
      </c>
      <c r="M1461" t="str">
        <f>VLOOKUP(B1461,Raw_Suppliers!$A$2:$G$101,4,FALSE)</f>
        <v>Central</v>
      </c>
      <c r="N1461" t="str">
        <f>VLOOKUP(B1461,Raw_Suppliers!$A$2:$G$101,6,FALSE)</f>
        <v>None</v>
      </c>
      <c r="O1461">
        <f>VLOOKUP(B1461,Raw_Suppliers!$A$2:$G$101,7,FALSE)</f>
        <v>0</v>
      </c>
      <c r="P1461" t="str">
        <f t="shared" si="133"/>
        <v>No</v>
      </c>
      <c r="Q1461">
        <f t="shared" si="134"/>
        <v>0</v>
      </c>
      <c r="R1461" t="str">
        <f t="shared" si="135"/>
        <v>Late</v>
      </c>
      <c r="S1461">
        <f t="shared" si="136"/>
        <v>2023</v>
      </c>
      <c r="T1461">
        <f t="shared" si="137"/>
        <v>8</v>
      </c>
    </row>
    <row r="1462" spans="1:20" x14ac:dyDescent="0.25">
      <c r="A1462" t="s">
        <v>1769</v>
      </c>
      <c r="B1462" t="s">
        <v>556</v>
      </c>
      <c r="C1462" t="s">
        <v>187</v>
      </c>
      <c r="D1462" s="1">
        <v>44588</v>
      </c>
      <c r="E1462">
        <v>13</v>
      </c>
      <c r="F1462">
        <v>56.413602005694798</v>
      </c>
      <c r="G1462" s="1">
        <v>44602</v>
      </c>
      <c r="H1462" s="1">
        <v>44605</v>
      </c>
      <c r="I1462">
        <v>733.37682607403303</v>
      </c>
      <c r="J1462">
        <f t="shared" si="132"/>
        <v>3</v>
      </c>
      <c r="K1462" t="str">
        <f>VLOOKUP(B1462,Raw_Suppliers!$A$2:$G$101,2,FALSE)</f>
        <v>Ultra Delta Ltd</v>
      </c>
      <c r="L1462" t="str">
        <f>VLOOKUP(B1462,Raw_Suppliers!$A$2:$G$101,3,FALSE)</f>
        <v>China</v>
      </c>
      <c r="M1462" t="str">
        <f>VLOOKUP(B1462,Raw_Suppliers!$A$2:$G$101,4,FALSE)</f>
        <v>Central</v>
      </c>
      <c r="N1462" t="str">
        <f>VLOOKUP(B1462,Raw_Suppliers!$A$2:$G$101,6,FALSE)</f>
        <v>ISO 45001</v>
      </c>
      <c r="O1462">
        <f>VLOOKUP(B1462,Raw_Suppliers!$A$2:$G$101,7,FALSE)</f>
        <v>0</v>
      </c>
      <c r="P1462" t="str">
        <f t="shared" si="133"/>
        <v>No</v>
      </c>
      <c r="Q1462">
        <f t="shared" si="134"/>
        <v>0</v>
      </c>
      <c r="R1462" t="str">
        <f t="shared" si="135"/>
        <v>Late</v>
      </c>
      <c r="S1462">
        <f t="shared" si="136"/>
        <v>2022</v>
      </c>
      <c r="T1462">
        <f t="shared" si="137"/>
        <v>1</v>
      </c>
    </row>
    <row r="1463" spans="1:20" x14ac:dyDescent="0.25">
      <c r="A1463" t="s">
        <v>1770</v>
      </c>
      <c r="B1463" t="s">
        <v>124</v>
      </c>
      <c r="C1463" t="s">
        <v>627</v>
      </c>
      <c r="D1463" s="1">
        <v>45159</v>
      </c>
      <c r="E1463">
        <v>9</v>
      </c>
      <c r="F1463">
        <v>21.878442724355398</v>
      </c>
      <c r="G1463" s="1">
        <v>45175</v>
      </c>
      <c r="H1463" s="1">
        <v>45176</v>
      </c>
      <c r="I1463">
        <v>196.905984519198</v>
      </c>
      <c r="J1463">
        <f t="shared" si="132"/>
        <v>1</v>
      </c>
      <c r="K1463" t="str">
        <f>VLOOKUP(B1463,Raw_Suppliers!$A$2:$G$101,2,FALSE)</f>
        <v>Vertex Delta Inc</v>
      </c>
      <c r="L1463" t="str">
        <f>VLOOKUP(B1463,Raw_Suppliers!$A$2:$G$101,3,FALSE)</f>
        <v>Germany</v>
      </c>
      <c r="M1463" t="str">
        <f>VLOOKUP(B1463,Raw_Suppliers!$A$2:$G$101,4,FALSE)</f>
        <v>South</v>
      </c>
      <c r="N1463" t="str">
        <f>VLOOKUP(B1463,Raw_Suppliers!$A$2:$G$101,6,FALSE)</f>
        <v>ISO 9001</v>
      </c>
      <c r="O1463">
        <f>VLOOKUP(B1463,Raw_Suppliers!$A$2:$G$101,7,FALSE)</f>
        <v>0</v>
      </c>
      <c r="P1463" t="str">
        <f t="shared" si="133"/>
        <v>No</v>
      </c>
      <c r="Q1463">
        <f t="shared" si="134"/>
        <v>0</v>
      </c>
      <c r="R1463" t="str">
        <f t="shared" si="135"/>
        <v>Late</v>
      </c>
      <c r="S1463">
        <f t="shared" si="136"/>
        <v>2023</v>
      </c>
      <c r="T1463">
        <f t="shared" si="137"/>
        <v>8</v>
      </c>
    </row>
    <row r="1464" spans="1:20" x14ac:dyDescent="0.25">
      <c r="A1464" t="s">
        <v>1771</v>
      </c>
      <c r="B1464" t="s">
        <v>198</v>
      </c>
      <c r="C1464" t="s">
        <v>220</v>
      </c>
      <c r="D1464" s="1">
        <v>44342</v>
      </c>
      <c r="E1464">
        <v>4</v>
      </c>
      <c r="F1464">
        <v>71.553076330738605</v>
      </c>
      <c r="G1464" s="1">
        <v>44358</v>
      </c>
      <c r="H1464" s="1">
        <v>44360</v>
      </c>
      <c r="I1464">
        <v>286.21230532295402</v>
      </c>
      <c r="J1464">
        <f t="shared" si="132"/>
        <v>2</v>
      </c>
      <c r="K1464" t="str">
        <f>VLOOKUP(B1464,Raw_Suppliers!$A$2:$G$101,2,FALSE)</f>
        <v>Gamma Vertex Corp</v>
      </c>
      <c r="L1464" t="str">
        <f>VLOOKUP(B1464,Raw_Suppliers!$A$2:$G$101,3,FALSE)</f>
        <v>Denmark</v>
      </c>
      <c r="M1464" t="str">
        <f>VLOOKUP(B1464,Raw_Suppliers!$A$2:$G$101,4,FALSE)</f>
        <v>South</v>
      </c>
      <c r="N1464" t="str">
        <f>VLOOKUP(B1464,Raw_Suppliers!$A$2:$G$101,6,FALSE)</f>
        <v>None</v>
      </c>
      <c r="O1464">
        <f>VLOOKUP(B1464,Raw_Suppliers!$A$2:$G$101,7,FALSE)</f>
        <v>1</v>
      </c>
      <c r="P1464" t="str">
        <f t="shared" si="133"/>
        <v>Yes</v>
      </c>
      <c r="Q1464">
        <f t="shared" si="134"/>
        <v>0</v>
      </c>
      <c r="R1464" t="str">
        <f t="shared" si="135"/>
        <v>Late</v>
      </c>
      <c r="S1464">
        <f t="shared" si="136"/>
        <v>2021</v>
      </c>
      <c r="T1464">
        <f t="shared" si="137"/>
        <v>5</v>
      </c>
    </row>
    <row r="1465" spans="1:20" x14ac:dyDescent="0.25">
      <c r="A1465" t="s">
        <v>1772</v>
      </c>
      <c r="B1465" t="s">
        <v>321</v>
      </c>
      <c r="C1465" t="s">
        <v>182</v>
      </c>
      <c r="D1465" s="1">
        <v>44441</v>
      </c>
      <c r="E1465">
        <v>9</v>
      </c>
      <c r="F1465">
        <v>25.963106009767898</v>
      </c>
      <c r="G1465" s="1">
        <v>44451</v>
      </c>
      <c r="H1465" s="1">
        <v>44448</v>
      </c>
      <c r="I1465">
        <v>233.66795408791199</v>
      </c>
      <c r="J1465">
        <f t="shared" si="132"/>
        <v>-3</v>
      </c>
      <c r="K1465" t="str">
        <f>VLOOKUP(B1465,Raw_Suppliers!$A$2:$G$101,2,FALSE)</f>
        <v>Vertex Delta LLC</v>
      </c>
      <c r="L1465" t="str">
        <f>VLOOKUP(B1465,Raw_Suppliers!$A$2:$G$101,3,FALSE)</f>
        <v>India</v>
      </c>
      <c r="M1465" t="str">
        <f>VLOOKUP(B1465,Raw_Suppliers!$A$2:$G$101,4,FALSE)</f>
        <v>South</v>
      </c>
      <c r="N1465" t="str">
        <f>VLOOKUP(B1465,Raw_Suppliers!$A$2:$G$101,6,FALSE)</f>
        <v>ISO 45001</v>
      </c>
      <c r="O1465">
        <f>VLOOKUP(B1465,Raw_Suppliers!$A$2:$G$101,7,FALSE)</f>
        <v>0</v>
      </c>
      <c r="P1465" t="str">
        <f t="shared" si="133"/>
        <v>No</v>
      </c>
      <c r="Q1465">
        <f t="shared" si="134"/>
        <v>1</v>
      </c>
      <c r="R1465" t="str">
        <f t="shared" si="135"/>
        <v>On Time</v>
      </c>
      <c r="S1465">
        <f t="shared" si="136"/>
        <v>2021</v>
      </c>
      <c r="T1465">
        <f t="shared" si="137"/>
        <v>9</v>
      </c>
    </row>
    <row r="1466" spans="1:20" x14ac:dyDescent="0.25">
      <c r="A1466" t="s">
        <v>1773</v>
      </c>
      <c r="B1466" t="s">
        <v>295</v>
      </c>
      <c r="C1466" t="s">
        <v>276</v>
      </c>
      <c r="D1466" s="1">
        <v>45041</v>
      </c>
      <c r="E1466">
        <v>15</v>
      </c>
      <c r="F1466">
        <v>64.178722828741499</v>
      </c>
      <c r="G1466" s="1">
        <v>45061</v>
      </c>
      <c r="H1466" s="1">
        <v>45065</v>
      </c>
      <c r="I1466">
        <v>962.68084243112298</v>
      </c>
      <c r="J1466">
        <f t="shared" si="132"/>
        <v>4</v>
      </c>
      <c r="K1466" t="str">
        <f>VLOOKUP(B1466,Raw_Suppliers!$A$2:$G$101,2,FALSE)</f>
        <v>Delta Quantum GmbH</v>
      </c>
      <c r="L1466" t="str">
        <f>VLOOKUP(B1466,Raw_Suppliers!$A$2:$G$101,3,FALSE)</f>
        <v>Brazil</v>
      </c>
      <c r="M1466" t="str">
        <f>VLOOKUP(B1466,Raw_Suppliers!$A$2:$G$101,4,FALSE)</f>
        <v>North</v>
      </c>
      <c r="N1466" t="str">
        <f>VLOOKUP(B1466,Raw_Suppliers!$A$2:$G$101,6,FALSE)</f>
        <v>ISO 9001</v>
      </c>
      <c r="O1466">
        <f>VLOOKUP(B1466,Raw_Suppliers!$A$2:$G$101,7,FALSE)</f>
        <v>1</v>
      </c>
      <c r="P1466" t="str">
        <f t="shared" si="133"/>
        <v>Yes</v>
      </c>
      <c r="Q1466">
        <f t="shared" si="134"/>
        <v>0</v>
      </c>
      <c r="R1466" t="str">
        <f t="shared" si="135"/>
        <v>Late</v>
      </c>
      <c r="S1466">
        <f t="shared" si="136"/>
        <v>2023</v>
      </c>
      <c r="T1466">
        <f t="shared" si="137"/>
        <v>4</v>
      </c>
    </row>
    <row r="1467" spans="1:20" x14ac:dyDescent="0.25">
      <c r="A1467" t="s">
        <v>1774</v>
      </c>
      <c r="B1467" t="s">
        <v>250</v>
      </c>
      <c r="C1467" t="s">
        <v>208</v>
      </c>
      <c r="D1467" s="1">
        <v>45124</v>
      </c>
      <c r="E1467">
        <v>11</v>
      </c>
      <c r="F1467">
        <v>30.1859985092754</v>
      </c>
      <c r="G1467" s="1">
        <v>45137</v>
      </c>
      <c r="H1467" s="1">
        <v>45138</v>
      </c>
      <c r="I1467">
        <v>332.04598360202903</v>
      </c>
      <c r="J1467">
        <f t="shared" si="132"/>
        <v>1</v>
      </c>
      <c r="K1467" t="str">
        <f>VLOOKUP(B1467,Raw_Suppliers!$A$2:$G$101,2,FALSE)</f>
        <v>Fusion Fusion Inc</v>
      </c>
      <c r="L1467" t="str">
        <f>VLOOKUP(B1467,Raw_Suppliers!$A$2:$G$101,3,FALSE)</f>
        <v>India</v>
      </c>
      <c r="M1467" t="str">
        <f>VLOOKUP(B1467,Raw_Suppliers!$A$2:$G$101,4,FALSE)</f>
        <v>South</v>
      </c>
      <c r="N1467" t="str">
        <f>VLOOKUP(B1467,Raw_Suppliers!$A$2:$G$101,6,FALSE)</f>
        <v>ISO 9001</v>
      </c>
      <c r="O1467">
        <f>VLOOKUP(B1467,Raw_Suppliers!$A$2:$G$101,7,FALSE)</f>
        <v>0</v>
      </c>
      <c r="P1467" t="str">
        <f t="shared" si="133"/>
        <v>No</v>
      </c>
      <c r="Q1467">
        <f t="shared" si="134"/>
        <v>0</v>
      </c>
      <c r="R1467" t="str">
        <f t="shared" si="135"/>
        <v>Late</v>
      </c>
      <c r="S1467">
        <f t="shared" si="136"/>
        <v>2023</v>
      </c>
      <c r="T1467">
        <f t="shared" si="137"/>
        <v>7</v>
      </c>
    </row>
    <row r="1468" spans="1:20" x14ac:dyDescent="0.25">
      <c r="A1468" t="s">
        <v>1775</v>
      </c>
      <c r="B1468" t="s">
        <v>379</v>
      </c>
      <c r="C1468" t="s">
        <v>220</v>
      </c>
      <c r="D1468" s="1">
        <v>44568</v>
      </c>
      <c r="E1468">
        <v>15</v>
      </c>
      <c r="F1468">
        <v>52.052918015514699</v>
      </c>
      <c r="G1468" s="1">
        <v>44581</v>
      </c>
      <c r="H1468" s="1">
        <v>44584</v>
      </c>
      <c r="I1468">
        <v>780.79377023272002</v>
      </c>
      <c r="J1468">
        <f t="shared" si="132"/>
        <v>3</v>
      </c>
      <c r="K1468" t="str">
        <f>VLOOKUP(B1468,Raw_Suppliers!$A$2:$G$101,2,FALSE)</f>
        <v>Apex Fusion Ltd</v>
      </c>
      <c r="L1468" t="str">
        <f>VLOOKUP(B1468,Raw_Suppliers!$A$2:$G$101,3,FALSE)</f>
        <v>USA</v>
      </c>
      <c r="M1468" t="str">
        <f>VLOOKUP(B1468,Raw_Suppliers!$A$2:$G$101,4,FALSE)</f>
        <v>East</v>
      </c>
      <c r="N1468" t="str">
        <f>VLOOKUP(B1468,Raw_Suppliers!$A$2:$G$101,6,FALSE)</f>
        <v>ISO 14001</v>
      </c>
      <c r="O1468">
        <f>VLOOKUP(B1468,Raw_Suppliers!$A$2:$G$101,7,FALSE)</f>
        <v>1</v>
      </c>
      <c r="P1468" t="str">
        <f t="shared" si="133"/>
        <v>Yes</v>
      </c>
      <c r="Q1468">
        <f t="shared" si="134"/>
        <v>0</v>
      </c>
      <c r="R1468" t="str">
        <f t="shared" si="135"/>
        <v>Late</v>
      </c>
      <c r="S1468">
        <f t="shared" si="136"/>
        <v>2022</v>
      </c>
      <c r="T1468">
        <f t="shared" si="137"/>
        <v>1</v>
      </c>
    </row>
    <row r="1469" spans="1:20" x14ac:dyDescent="0.25">
      <c r="A1469" t="s">
        <v>1776</v>
      </c>
      <c r="B1469" t="s">
        <v>556</v>
      </c>
      <c r="C1469" t="s">
        <v>581</v>
      </c>
      <c r="D1469" s="1">
        <v>44934</v>
      </c>
      <c r="E1469">
        <v>16</v>
      </c>
      <c r="F1469">
        <v>13.0722328174847</v>
      </c>
      <c r="G1469" s="1">
        <v>44944</v>
      </c>
      <c r="H1469" s="1">
        <v>44941</v>
      </c>
      <c r="I1469">
        <v>209.155725079756</v>
      </c>
      <c r="J1469">
        <f t="shared" si="132"/>
        <v>-3</v>
      </c>
      <c r="K1469" t="str">
        <f>VLOOKUP(B1469,Raw_Suppliers!$A$2:$G$101,2,FALSE)</f>
        <v>Ultra Delta Ltd</v>
      </c>
      <c r="L1469" t="str">
        <f>VLOOKUP(B1469,Raw_Suppliers!$A$2:$G$101,3,FALSE)</f>
        <v>China</v>
      </c>
      <c r="M1469" t="str">
        <f>VLOOKUP(B1469,Raw_Suppliers!$A$2:$G$101,4,FALSE)</f>
        <v>Central</v>
      </c>
      <c r="N1469" t="str">
        <f>VLOOKUP(B1469,Raw_Suppliers!$A$2:$G$101,6,FALSE)</f>
        <v>ISO 45001</v>
      </c>
      <c r="O1469">
        <f>VLOOKUP(B1469,Raw_Suppliers!$A$2:$G$101,7,FALSE)</f>
        <v>0</v>
      </c>
      <c r="P1469" t="str">
        <f t="shared" si="133"/>
        <v>No</v>
      </c>
      <c r="Q1469">
        <f t="shared" si="134"/>
        <v>1</v>
      </c>
      <c r="R1469" t="str">
        <f t="shared" si="135"/>
        <v>On Time</v>
      </c>
      <c r="S1469">
        <f t="shared" si="136"/>
        <v>2023</v>
      </c>
      <c r="T1469">
        <f t="shared" si="137"/>
        <v>1</v>
      </c>
    </row>
    <row r="1470" spans="1:20" x14ac:dyDescent="0.25">
      <c r="A1470" t="s">
        <v>1777</v>
      </c>
      <c r="B1470" t="s">
        <v>179</v>
      </c>
      <c r="C1470" t="s">
        <v>268</v>
      </c>
      <c r="D1470" s="1">
        <v>45273</v>
      </c>
      <c r="E1470">
        <v>6</v>
      </c>
      <c r="F1470">
        <v>78.814290531283703</v>
      </c>
      <c r="G1470" s="1">
        <v>45294</v>
      </c>
      <c r="H1470" s="1">
        <v>45293</v>
      </c>
      <c r="I1470">
        <v>472.88574318770202</v>
      </c>
      <c r="J1470">
        <f t="shared" si="132"/>
        <v>-1</v>
      </c>
      <c r="K1470" t="str">
        <f>VLOOKUP(B1470,Raw_Suppliers!$A$2:$G$101,2,FALSE)</f>
        <v>Nova Gamma Ltd</v>
      </c>
      <c r="L1470" t="str">
        <f>VLOOKUP(B1470,Raw_Suppliers!$A$2:$G$101,3,FALSE)</f>
        <v>Denmark</v>
      </c>
      <c r="M1470" t="str">
        <f>VLOOKUP(B1470,Raw_Suppliers!$A$2:$G$101,4,FALSE)</f>
        <v>East</v>
      </c>
      <c r="N1470" t="str">
        <f>VLOOKUP(B1470,Raw_Suppliers!$A$2:$G$101,6,FALSE)</f>
        <v>ISO 9001</v>
      </c>
      <c r="O1470">
        <f>VLOOKUP(B1470,Raw_Suppliers!$A$2:$G$101,7,FALSE)</f>
        <v>0</v>
      </c>
      <c r="P1470" t="str">
        <f t="shared" si="133"/>
        <v>No</v>
      </c>
      <c r="Q1470">
        <f t="shared" si="134"/>
        <v>1</v>
      </c>
      <c r="R1470" t="str">
        <f t="shared" si="135"/>
        <v>On Time</v>
      </c>
      <c r="S1470">
        <f t="shared" si="136"/>
        <v>2023</v>
      </c>
      <c r="T1470">
        <f t="shared" si="137"/>
        <v>12</v>
      </c>
    </row>
    <row r="1471" spans="1:20" x14ac:dyDescent="0.25">
      <c r="A1471" t="s">
        <v>1778</v>
      </c>
      <c r="B1471" t="s">
        <v>314</v>
      </c>
      <c r="C1471" t="s">
        <v>547</v>
      </c>
      <c r="D1471" s="1">
        <v>45384</v>
      </c>
      <c r="E1471">
        <v>10</v>
      </c>
      <c r="F1471">
        <v>73.908711507441495</v>
      </c>
      <c r="G1471" s="1">
        <v>45400</v>
      </c>
      <c r="H1471" s="1">
        <v>45406</v>
      </c>
      <c r="I1471">
        <v>739.08711507441501</v>
      </c>
      <c r="J1471">
        <f t="shared" si="132"/>
        <v>6</v>
      </c>
      <c r="K1471" t="str">
        <f>VLOOKUP(B1471,Raw_Suppliers!$A$2:$G$101,2,FALSE)</f>
        <v>Gamma Nova Ltd</v>
      </c>
      <c r="L1471" t="str">
        <f>VLOOKUP(B1471,Raw_Suppliers!$A$2:$G$101,3,FALSE)</f>
        <v>USA</v>
      </c>
      <c r="M1471" t="str">
        <f>VLOOKUP(B1471,Raw_Suppliers!$A$2:$G$101,4,FALSE)</f>
        <v>North</v>
      </c>
      <c r="N1471" t="str">
        <f>VLOOKUP(B1471,Raw_Suppliers!$A$2:$G$101,6,FALSE)</f>
        <v>ISO 45001</v>
      </c>
      <c r="O1471">
        <f>VLOOKUP(B1471,Raw_Suppliers!$A$2:$G$101,7,FALSE)</f>
        <v>0</v>
      </c>
      <c r="P1471" t="str">
        <f t="shared" si="133"/>
        <v>No</v>
      </c>
      <c r="Q1471">
        <f t="shared" si="134"/>
        <v>0</v>
      </c>
      <c r="R1471" t="str">
        <f t="shared" si="135"/>
        <v>Late</v>
      </c>
      <c r="S1471">
        <f t="shared" si="136"/>
        <v>2024</v>
      </c>
      <c r="T1471">
        <f t="shared" si="137"/>
        <v>4</v>
      </c>
    </row>
    <row r="1472" spans="1:20" x14ac:dyDescent="0.25">
      <c r="A1472" t="s">
        <v>1779</v>
      </c>
      <c r="B1472" t="s">
        <v>198</v>
      </c>
      <c r="C1472" t="s">
        <v>304</v>
      </c>
      <c r="D1472" s="1">
        <v>44780</v>
      </c>
      <c r="E1472">
        <v>9</v>
      </c>
      <c r="F1472">
        <v>15.8917453297628</v>
      </c>
      <c r="G1472" s="1">
        <v>44800</v>
      </c>
      <c r="H1472" s="1">
        <v>44804</v>
      </c>
      <c r="I1472">
        <v>143.025707967865</v>
      </c>
      <c r="J1472">
        <f t="shared" si="132"/>
        <v>4</v>
      </c>
      <c r="K1472" t="str">
        <f>VLOOKUP(B1472,Raw_Suppliers!$A$2:$G$101,2,FALSE)</f>
        <v>Gamma Vertex Corp</v>
      </c>
      <c r="L1472" t="str">
        <f>VLOOKUP(B1472,Raw_Suppliers!$A$2:$G$101,3,FALSE)</f>
        <v>Denmark</v>
      </c>
      <c r="M1472" t="str">
        <f>VLOOKUP(B1472,Raw_Suppliers!$A$2:$G$101,4,FALSE)</f>
        <v>South</v>
      </c>
      <c r="N1472" t="str">
        <f>VLOOKUP(B1472,Raw_Suppliers!$A$2:$G$101,6,FALSE)</f>
        <v>None</v>
      </c>
      <c r="O1472">
        <f>VLOOKUP(B1472,Raw_Suppliers!$A$2:$G$101,7,FALSE)</f>
        <v>1</v>
      </c>
      <c r="P1472" t="str">
        <f t="shared" si="133"/>
        <v>Yes</v>
      </c>
      <c r="Q1472">
        <f t="shared" si="134"/>
        <v>0</v>
      </c>
      <c r="R1472" t="str">
        <f t="shared" si="135"/>
        <v>Late</v>
      </c>
      <c r="S1472">
        <f t="shared" si="136"/>
        <v>2022</v>
      </c>
      <c r="T1472">
        <f t="shared" si="137"/>
        <v>8</v>
      </c>
    </row>
    <row r="1473" spans="1:20" x14ac:dyDescent="0.25">
      <c r="A1473" t="s">
        <v>1780</v>
      </c>
      <c r="B1473" t="s">
        <v>242</v>
      </c>
      <c r="C1473" t="s">
        <v>540</v>
      </c>
      <c r="D1473" s="1">
        <v>44205</v>
      </c>
      <c r="E1473">
        <v>13</v>
      </c>
      <c r="F1473">
        <v>4.99719448630381</v>
      </c>
      <c r="G1473" s="1">
        <v>44228</v>
      </c>
      <c r="H1473" s="1">
        <v>44233</v>
      </c>
      <c r="I1473">
        <v>64.963528321949596</v>
      </c>
      <c r="J1473">
        <f t="shared" si="132"/>
        <v>5</v>
      </c>
      <c r="K1473" t="str">
        <f>VLOOKUP(B1473,Raw_Suppliers!$A$2:$G$101,2,FALSE)</f>
        <v>Omega Nova GmbH</v>
      </c>
      <c r="L1473" t="str">
        <f>VLOOKUP(B1473,Raw_Suppliers!$A$2:$G$101,3,FALSE)</f>
        <v>Denmark</v>
      </c>
      <c r="M1473" t="str">
        <f>VLOOKUP(B1473,Raw_Suppliers!$A$2:$G$101,4,FALSE)</f>
        <v>East</v>
      </c>
      <c r="N1473" t="str">
        <f>VLOOKUP(B1473,Raw_Suppliers!$A$2:$G$101,6,FALSE)</f>
        <v>ISO 45001</v>
      </c>
      <c r="O1473">
        <f>VLOOKUP(B1473,Raw_Suppliers!$A$2:$G$101,7,FALSE)</f>
        <v>0</v>
      </c>
      <c r="P1473" t="str">
        <f t="shared" si="133"/>
        <v>No</v>
      </c>
      <c r="Q1473">
        <f t="shared" si="134"/>
        <v>0</v>
      </c>
      <c r="R1473" t="str">
        <f t="shared" si="135"/>
        <v>Late</v>
      </c>
      <c r="S1473">
        <f t="shared" si="136"/>
        <v>2021</v>
      </c>
      <c r="T1473">
        <f t="shared" si="137"/>
        <v>1</v>
      </c>
    </row>
    <row r="1474" spans="1:20" x14ac:dyDescent="0.25">
      <c r="A1474" t="s">
        <v>1781</v>
      </c>
      <c r="B1474" t="s">
        <v>25</v>
      </c>
      <c r="C1474" t="s">
        <v>344</v>
      </c>
      <c r="D1474" s="1">
        <v>44988</v>
      </c>
      <c r="E1474">
        <v>7</v>
      </c>
      <c r="F1474">
        <v>9.9700847622080797</v>
      </c>
      <c r="G1474" s="1">
        <v>45009</v>
      </c>
      <c r="H1474" s="1">
        <v>45011</v>
      </c>
      <c r="I1474">
        <v>69.790593335456506</v>
      </c>
      <c r="J1474">
        <f t="shared" si="132"/>
        <v>2</v>
      </c>
      <c r="K1474" t="str">
        <f>VLOOKUP(B1474,Raw_Suppliers!$A$2:$G$101,2,FALSE)</f>
        <v>Quantum Fusion Corp</v>
      </c>
      <c r="L1474" t="str">
        <f>VLOOKUP(B1474,Raw_Suppliers!$A$2:$G$101,3,FALSE)</f>
        <v>UK</v>
      </c>
      <c r="M1474" t="str">
        <f>VLOOKUP(B1474,Raw_Suppliers!$A$2:$G$101,4,FALSE)</f>
        <v>North</v>
      </c>
      <c r="N1474" t="str">
        <f>VLOOKUP(B1474,Raw_Suppliers!$A$2:$G$101,6,FALSE)</f>
        <v>ISO 9001</v>
      </c>
      <c r="O1474">
        <f>VLOOKUP(B1474,Raw_Suppliers!$A$2:$G$101,7,FALSE)</f>
        <v>0</v>
      </c>
      <c r="P1474" t="str">
        <f t="shared" si="133"/>
        <v>No</v>
      </c>
      <c r="Q1474">
        <f t="shared" si="134"/>
        <v>0</v>
      </c>
      <c r="R1474" t="str">
        <f t="shared" si="135"/>
        <v>Late</v>
      </c>
      <c r="S1474">
        <f t="shared" si="136"/>
        <v>2023</v>
      </c>
      <c r="T1474">
        <f t="shared" si="137"/>
        <v>3</v>
      </c>
    </row>
    <row r="1475" spans="1:20" x14ac:dyDescent="0.25">
      <c r="A1475" t="s">
        <v>1782</v>
      </c>
      <c r="B1475" t="s">
        <v>295</v>
      </c>
      <c r="C1475" t="s">
        <v>238</v>
      </c>
      <c r="D1475" s="1">
        <v>45258</v>
      </c>
      <c r="E1475">
        <v>4</v>
      </c>
      <c r="F1475">
        <v>11.5788285408495</v>
      </c>
      <c r="G1475" s="1">
        <v>45270</v>
      </c>
      <c r="H1475" s="1">
        <v>45269</v>
      </c>
      <c r="I1475">
        <v>46.315314163398</v>
      </c>
      <c r="J1475">
        <f t="shared" ref="J1475:J1538" si="138">H1475-G1475</f>
        <v>-1</v>
      </c>
      <c r="K1475" t="str">
        <f>VLOOKUP(B1475,Raw_Suppliers!$A$2:$G$101,2,FALSE)</f>
        <v>Delta Quantum GmbH</v>
      </c>
      <c r="L1475" t="str">
        <f>VLOOKUP(B1475,Raw_Suppliers!$A$2:$G$101,3,FALSE)</f>
        <v>Brazil</v>
      </c>
      <c r="M1475" t="str">
        <f>VLOOKUP(B1475,Raw_Suppliers!$A$2:$G$101,4,FALSE)</f>
        <v>North</v>
      </c>
      <c r="N1475" t="str">
        <f>VLOOKUP(B1475,Raw_Suppliers!$A$2:$G$101,6,FALSE)</f>
        <v>ISO 9001</v>
      </c>
      <c r="O1475">
        <f>VLOOKUP(B1475,Raw_Suppliers!$A$2:$G$101,7,FALSE)</f>
        <v>1</v>
      </c>
      <c r="P1475" t="str">
        <f t="shared" ref="P1475:P1538" si="139">IF(O1475=1,"Yes","No")</f>
        <v>Yes</v>
      </c>
      <c r="Q1475">
        <f t="shared" ref="Q1475:Q1538" si="140">IF(J1475&lt;=0,1,0)</f>
        <v>1</v>
      </c>
      <c r="R1475" t="str">
        <f t="shared" ref="R1475:R1538" si="141">IF(Q1475=1,"On Time","Late")</f>
        <v>On Time</v>
      </c>
      <c r="S1475">
        <f t="shared" ref="S1475:S1538" si="142">YEAR(D1475)</f>
        <v>2023</v>
      </c>
      <c r="T1475">
        <f t="shared" ref="T1475:T1538" si="143">MONTH(D1475)</f>
        <v>11</v>
      </c>
    </row>
    <row r="1476" spans="1:20" x14ac:dyDescent="0.25">
      <c r="A1476" t="s">
        <v>1783</v>
      </c>
      <c r="B1476" t="s">
        <v>64</v>
      </c>
      <c r="C1476" t="s">
        <v>195</v>
      </c>
      <c r="D1476" s="1">
        <v>44278</v>
      </c>
      <c r="E1476">
        <v>13</v>
      </c>
      <c r="F1476">
        <v>61.313199129231997</v>
      </c>
      <c r="G1476" s="1">
        <v>44294</v>
      </c>
      <c r="H1476" s="1">
        <v>44293</v>
      </c>
      <c r="I1476">
        <v>797.07158868001602</v>
      </c>
      <c r="J1476">
        <f t="shared" si="138"/>
        <v>-1</v>
      </c>
      <c r="K1476" t="str">
        <f>VLOOKUP(B1476,Raw_Suppliers!$A$2:$G$101,2,FALSE)</f>
        <v>Apex Quantum Inc</v>
      </c>
      <c r="L1476" t="str">
        <f>VLOOKUP(B1476,Raw_Suppliers!$A$2:$G$101,3,FALSE)</f>
        <v>India</v>
      </c>
      <c r="M1476" t="str">
        <f>VLOOKUP(B1476,Raw_Suppliers!$A$2:$G$101,4,FALSE)</f>
        <v>North</v>
      </c>
      <c r="N1476" t="str">
        <f>VLOOKUP(B1476,Raw_Suppliers!$A$2:$G$101,6,FALSE)</f>
        <v>ISO 45001</v>
      </c>
      <c r="O1476">
        <f>VLOOKUP(B1476,Raw_Suppliers!$A$2:$G$101,7,FALSE)</f>
        <v>1</v>
      </c>
      <c r="P1476" t="str">
        <f t="shared" si="139"/>
        <v>Yes</v>
      </c>
      <c r="Q1476">
        <f t="shared" si="140"/>
        <v>1</v>
      </c>
      <c r="R1476" t="str">
        <f t="shared" si="141"/>
        <v>On Time</v>
      </c>
      <c r="S1476">
        <f t="shared" si="142"/>
        <v>2021</v>
      </c>
      <c r="T1476">
        <f t="shared" si="143"/>
        <v>3</v>
      </c>
    </row>
    <row r="1477" spans="1:20" x14ac:dyDescent="0.25">
      <c r="A1477" t="s">
        <v>1784</v>
      </c>
      <c r="B1477" t="s">
        <v>135</v>
      </c>
      <c r="C1477" t="s">
        <v>177</v>
      </c>
      <c r="D1477" s="1">
        <v>45008</v>
      </c>
      <c r="E1477">
        <v>14</v>
      </c>
      <c r="F1477">
        <v>41.210957612129903</v>
      </c>
      <c r="G1477" s="1">
        <v>45026</v>
      </c>
      <c r="H1477" s="1">
        <v>45030</v>
      </c>
      <c r="I1477">
        <v>576.95340656981898</v>
      </c>
      <c r="J1477">
        <f t="shared" si="138"/>
        <v>4</v>
      </c>
      <c r="K1477" t="str">
        <f>VLOOKUP(B1477,Raw_Suppliers!$A$2:$G$101,2,FALSE)</f>
        <v>Alpha Prime Ltd</v>
      </c>
      <c r="L1477" t="str">
        <f>VLOOKUP(B1477,Raw_Suppliers!$A$2:$G$101,3,FALSE)</f>
        <v>UK</v>
      </c>
      <c r="M1477" t="str">
        <f>VLOOKUP(B1477,Raw_Suppliers!$A$2:$G$101,4,FALSE)</f>
        <v>East</v>
      </c>
      <c r="N1477" t="str">
        <f>VLOOKUP(B1477,Raw_Suppliers!$A$2:$G$101,6,FALSE)</f>
        <v>None</v>
      </c>
      <c r="O1477">
        <f>VLOOKUP(B1477,Raw_Suppliers!$A$2:$G$101,7,FALSE)</f>
        <v>1</v>
      </c>
      <c r="P1477" t="str">
        <f t="shared" si="139"/>
        <v>Yes</v>
      </c>
      <c r="Q1477">
        <f t="shared" si="140"/>
        <v>0</v>
      </c>
      <c r="R1477" t="str">
        <f t="shared" si="141"/>
        <v>Late</v>
      </c>
      <c r="S1477">
        <f t="shared" si="142"/>
        <v>2023</v>
      </c>
      <c r="T1477">
        <f t="shared" si="143"/>
        <v>3</v>
      </c>
    </row>
    <row r="1478" spans="1:20" x14ac:dyDescent="0.25">
      <c r="A1478" t="s">
        <v>1785</v>
      </c>
      <c r="B1478" t="s">
        <v>399</v>
      </c>
      <c r="C1478" t="s">
        <v>192</v>
      </c>
      <c r="D1478" s="1">
        <v>44667</v>
      </c>
      <c r="E1478">
        <v>16</v>
      </c>
      <c r="F1478">
        <v>61.204205220523399</v>
      </c>
      <c r="G1478" s="1">
        <v>44687</v>
      </c>
      <c r="H1478" s="1">
        <v>44692</v>
      </c>
      <c r="I1478">
        <v>979.26728352837404</v>
      </c>
      <c r="J1478">
        <f t="shared" si="138"/>
        <v>5</v>
      </c>
      <c r="K1478" t="str">
        <f>VLOOKUP(B1478,Raw_Suppliers!$A$2:$G$101,2,FALSE)</f>
        <v>Omega Nano Corp</v>
      </c>
      <c r="L1478" t="str">
        <f>VLOOKUP(B1478,Raw_Suppliers!$A$2:$G$101,3,FALSE)</f>
        <v>Brazil</v>
      </c>
      <c r="M1478" t="str">
        <f>VLOOKUP(B1478,Raw_Suppliers!$A$2:$G$101,4,FALSE)</f>
        <v>Central</v>
      </c>
      <c r="N1478" t="str">
        <f>VLOOKUP(B1478,Raw_Suppliers!$A$2:$G$101,6,FALSE)</f>
        <v>ISO 14001</v>
      </c>
      <c r="O1478">
        <f>VLOOKUP(B1478,Raw_Suppliers!$A$2:$G$101,7,FALSE)</f>
        <v>0</v>
      </c>
      <c r="P1478" t="str">
        <f t="shared" si="139"/>
        <v>No</v>
      </c>
      <c r="Q1478">
        <f t="shared" si="140"/>
        <v>0</v>
      </c>
      <c r="R1478" t="str">
        <f t="shared" si="141"/>
        <v>Late</v>
      </c>
      <c r="S1478">
        <f t="shared" si="142"/>
        <v>2022</v>
      </c>
      <c r="T1478">
        <f t="shared" si="143"/>
        <v>4</v>
      </c>
    </row>
    <row r="1479" spans="1:20" x14ac:dyDescent="0.25">
      <c r="A1479" t="s">
        <v>1786</v>
      </c>
      <c r="B1479" t="s">
        <v>205</v>
      </c>
      <c r="C1479" t="s">
        <v>661</v>
      </c>
      <c r="D1479" s="1">
        <v>44521</v>
      </c>
      <c r="E1479">
        <v>10</v>
      </c>
      <c r="F1479">
        <v>70.015481780485501</v>
      </c>
      <c r="G1479" s="1">
        <v>44531</v>
      </c>
      <c r="H1479" s="1">
        <v>44532</v>
      </c>
      <c r="I1479">
        <v>700.15481780485504</v>
      </c>
      <c r="J1479">
        <f t="shared" si="138"/>
        <v>1</v>
      </c>
      <c r="K1479" t="str">
        <f>VLOOKUP(B1479,Raw_Suppliers!$A$2:$G$101,2,FALSE)</f>
        <v>Ultra Eco LLC</v>
      </c>
      <c r="L1479" t="str">
        <f>VLOOKUP(B1479,Raw_Suppliers!$A$2:$G$101,3,FALSE)</f>
        <v>China</v>
      </c>
      <c r="M1479" t="str">
        <f>VLOOKUP(B1479,Raw_Suppliers!$A$2:$G$101,4,FALSE)</f>
        <v>South</v>
      </c>
      <c r="N1479" t="str">
        <f>VLOOKUP(B1479,Raw_Suppliers!$A$2:$G$101,6,FALSE)</f>
        <v>ISO 14001</v>
      </c>
      <c r="O1479">
        <f>VLOOKUP(B1479,Raw_Suppliers!$A$2:$G$101,7,FALSE)</f>
        <v>1</v>
      </c>
      <c r="P1479" t="str">
        <f t="shared" si="139"/>
        <v>Yes</v>
      </c>
      <c r="Q1479">
        <f t="shared" si="140"/>
        <v>0</v>
      </c>
      <c r="R1479" t="str">
        <f t="shared" si="141"/>
        <v>Late</v>
      </c>
      <c r="S1479">
        <f t="shared" si="142"/>
        <v>2021</v>
      </c>
      <c r="T1479">
        <f t="shared" si="143"/>
        <v>11</v>
      </c>
    </row>
    <row r="1480" spans="1:20" x14ac:dyDescent="0.25">
      <c r="A1480" t="s">
        <v>1787</v>
      </c>
      <c r="B1480" t="s">
        <v>399</v>
      </c>
      <c r="C1480" t="s">
        <v>302</v>
      </c>
      <c r="D1480" s="1">
        <v>45131</v>
      </c>
      <c r="E1480">
        <v>12</v>
      </c>
      <c r="F1480">
        <v>61.6509381453914</v>
      </c>
      <c r="G1480" s="1">
        <v>45152</v>
      </c>
      <c r="H1480" s="1">
        <v>45154</v>
      </c>
      <c r="I1480">
        <v>739.81125774469695</v>
      </c>
      <c r="J1480">
        <f t="shared" si="138"/>
        <v>2</v>
      </c>
      <c r="K1480" t="str">
        <f>VLOOKUP(B1480,Raw_Suppliers!$A$2:$G$101,2,FALSE)</f>
        <v>Omega Nano Corp</v>
      </c>
      <c r="L1480" t="str">
        <f>VLOOKUP(B1480,Raw_Suppliers!$A$2:$G$101,3,FALSE)</f>
        <v>Brazil</v>
      </c>
      <c r="M1480" t="str">
        <f>VLOOKUP(B1480,Raw_Suppliers!$A$2:$G$101,4,FALSE)</f>
        <v>Central</v>
      </c>
      <c r="N1480" t="str">
        <f>VLOOKUP(B1480,Raw_Suppliers!$A$2:$G$101,6,FALSE)</f>
        <v>ISO 14001</v>
      </c>
      <c r="O1480">
        <f>VLOOKUP(B1480,Raw_Suppliers!$A$2:$G$101,7,FALSE)</f>
        <v>0</v>
      </c>
      <c r="P1480" t="str">
        <f t="shared" si="139"/>
        <v>No</v>
      </c>
      <c r="Q1480">
        <f t="shared" si="140"/>
        <v>0</v>
      </c>
      <c r="R1480" t="str">
        <f t="shared" si="141"/>
        <v>Late</v>
      </c>
      <c r="S1480">
        <f t="shared" si="142"/>
        <v>2023</v>
      </c>
      <c r="T1480">
        <f t="shared" si="143"/>
        <v>7</v>
      </c>
    </row>
    <row r="1481" spans="1:20" x14ac:dyDescent="0.25">
      <c r="A1481" t="s">
        <v>1788</v>
      </c>
      <c r="B1481" t="s">
        <v>135</v>
      </c>
      <c r="C1481" t="s">
        <v>170</v>
      </c>
      <c r="D1481" s="1">
        <v>44405</v>
      </c>
      <c r="E1481">
        <v>11</v>
      </c>
      <c r="F1481">
        <v>66.120531865760498</v>
      </c>
      <c r="G1481" s="1">
        <v>44425</v>
      </c>
      <c r="H1481" s="1">
        <v>44423</v>
      </c>
      <c r="I1481">
        <v>727.32585052336594</v>
      </c>
      <c r="J1481">
        <f t="shared" si="138"/>
        <v>-2</v>
      </c>
      <c r="K1481" t="str">
        <f>VLOOKUP(B1481,Raw_Suppliers!$A$2:$G$101,2,FALSE)</f>
        <v>Alpha Prime Ltd</v>
      </c>
      <c r="L1481" t="str">
        <f>VLOOKUP(B1481,Raw_Suppliers!$A$2:$G$101,3,FALSE)</f>
        <v>UK</v>
      </c>
      <c r="M1481" t="str">
        <f>VLOOKUP(B1481,Raw_Suppliers!$A$2:$G$101,4,FALSE)</f>
        <v>East</v>
      </c>
      <c r="N1481" t="str">
        <f>VLOOKUP(B1481,Raw_Suppliers!$A$2:$G$101,6,FALSE)</f>
        <v>None</v>
      </c>
      <c r="O1481">
        <f>VLOOKUP(B1481,Raw_Suppliers!$A$2:$G$101,7,FALSE)</f>
        <v>1</v>
      </c>
      <c r="P1481" t="str">
        <f t="shared" si="139"/>
        <v>Yes</v>
      </c>
      <c r="Q1481">
        <f t="shared" si="140"/>
        <v>1</v>
      </c>
      <c r="R1481" t="str">
        <f t="shared" si="141"/>
        <v>On Time</v>
      </c>
      <c r="S1481">
        <f t="shared" si="142"/>
        <v>2021</v>
      </c>
      <c r="T1481">
        <f t="shared" si="143"/>
        <v>7</v>
      </c>
    </row>
    <row r="1482" spans="1:20" x14ac:dyDescent="0.25">
      <c r="A1482" t="s">
        <v>1789</v>
      </c>
      <c r="B1482" t="s">
        <v>556</v>
      </c>
      <c r="C1482" t="s">
        <v>489</v>
      </c>
      <c r="D1482" s="1">
        <v>45223</v>
      </c>
      <c r="E1482">
        <v>9</v>
      </c>
      <c r="F1482">
        <v>25.975859243969399</v>
      </c>
      <c r="G1482" s="1">
        <v>45244</v>
      </c>
      <c r="H1482" s="1">
        <v>45246</v>
      </c>
      <c r="I1482">
        <v>233.782733195725</v>
      </c>
      <c r="J1482">
        <f t="shared" si="138"/>
        <v>2</v>
      </c>
      <c r="K1482" t="str">
        <f>VLOOKUP(B1482,Raw_Suppliers!$A$2:$G$101,2,FALSE)</f>
        <v>Ultra Delta Ltd</v>
      </c>
      <c r="L1482" t="str">
        <f>VLOOKUP(B1482,Raw_Suppliers!$A$2:$G$101,3,FALSE)</f>
        <v>China</v>
      </c>
      <c r="M1482" t="str">
        <f>VLOOKUP(B1482,Raw_Suppliers!$A$2:$G$101,4,FALSE)</f>
        <v>Central</v>
      </c>
      <c r="N1482" t="str">
        <f>VLOOKUP(B1482,Raw_Suppliers!$A$2:$G$101,6,FALSE)</f>
        <v>ISO 45001</v>
      </c>
      <c r="O1482">
        <f>VLOOKUP(B1482,Raw_Suppliers!$A$2:$G$101,7,FALSE)</f>
        <v>0</v>
      </c>
      <c r="P1482" t="str">
        <f t="shared" si="139"/>
        <v>No</v>
      </c>
      <c r="Q1482">
        <f t="shared" si="140"/>
        <v>0</v>
      </c>
      <c r="R1482" t="str">
        <f t="shared" si="141"/>
        <v>Late</v>
      </c>
      <c r="S1482">
        <f t="shared" si="142"/>
        <v>2023</v>
      </c>
      <c r="T1482">
        <f t="shared" si="143"/>
        <v>10</v>
      </c>
    </row>
    <row r="1483" spans="1:20" x14ac:dyDescent="0.25">
      <c r="A1483" t="s">
        <v>1790</v>
      </c>
      <c r="B1483" t="s">
        <v>143</v>
      </c>
      <c r="C1483" t="s">
        <v>437</v>
      </c>
      <c r="D1483" s="1">
        <v>44606</v>
      </c>
      <c r="E1483">
        <v>17</v>
      </c>
      <c r="F1483">
        <v>53.166592377103903</v>
      </c>
      <c r="G1483" s="1">
        <v>44628</v>
      </c>
      <c r="H1483" s="1">
        <v>44631</v>
      </c>
      <c r="I1483">
        <v>903.83207041076696</v>
      </c>
      <c r="J1483">
        <f t="shared" si="138"/>
        <v>3</v>
      </c>
      <c r="K1483" t="str">
        <f>VLOOKUP(B1483,Raw_Suppliers!$A$2:$G$101,2,FALSE)</f>
        <v>Prime Gamma Inc</v>
      </c>
      <c r="L1483" t="str">
        <f>VLOOKUP(B1483,Raw_Suppliers!$A$2:$G$101,3,FALSE)</f>
        <v>China</v>
      </c>
      <c r="M1483" t="str">
        <f>VLOOKUP(B1483,Raw_Suppliers!$A$2:$G$101,4,FALSE)</f>
        <v>East</v>
      </c>
      <c r="N1483" t="str">
        <f>VLOOKUP(B1483,Raw_Suppliers!$A$2:$G$101,6,FALSE)</f>
        <v>ISO 14001</v>
      </c>
      <c r="O1483">
        <f>VLOOKUP(B1483,Raw_Suppliers!$A$2:$G$101,7,FALSE)</f>
        <v>0</v>
      </c>
      <c r="P1483" t="str">
        <f t="shared" si="139"/>
        <v>No</v>
      </c>
      <c r="Q1483">
        <f t="shared" si="140"/>
        <v>0</v>
      </c>
      <c r="R1483" t="str">
        <f t="shared" si="141"/>
        <v>Late</v>
      </c>
      <c r="S1483">
        <f t="shared" si="142"/>
        <v>2022</v>
      </c>
      <c r="T1483">
        <f t="shared" si="143"/>
        <v>2</v>
      </c>
    </row>
    <row r="1484" spans="1:20" x14ac:dyDescent="0.25">
      <c r="A1484" t="s">
        <v>1791</v>
      </c>
      <c r="B1484" t="s">
        <v>37</v>
      </c>
      <c r="C1484" t="s">
        <v>489</v>
      </c>
      <c r="D1484" s="1">
        <v>44238</v>
      </c>
      <c r="E1484">
        <v>11</v>
      </c>
      <c r="F1484">
        <v>76.741292202984198</v>
      </c>
      <c r="G1484" s="1">
        <v>44259</v>
      </c>
      <c r="H1484" s="1">
        <v>44263</v>
      </c>
      <c r="I1484">
        <v>844.15421423282601</v>
      </c>
      <c r="J1484">
        <f t="shared" si="138"/>
        <v>4</v>
      </c>
      <c r="K1484" t="str">
        <f>VLOOKUP(B1484,Raw_Suppliers!$A$2:$G$101,2,FALSE)</f>
        <v>Apex Apex Ltd</v>
      </c>
      <c r="L1484" t="str">
        <f>VLOOKUP(B1484,Raw_Suppliers!$A$2:$G$101,3,FALSE)</f>
        <v>Canada</v>
      </c>
      <c r="M1484" t="str">
        <f>VLOOKUP(B1484,Raw_Suppliers!$A$2:$G$101,4,FALSE)</f>
        <v>East</v>
      </c>
      <c r="N1484" t="str">
        <f>VLOOKUP(B1484,Raw_Suppliers!$A$2:$G$101,6,FALSE)</f>
        <v>ISO 9001</v>
      </c>
      <c r="O1484">
        <f>VLOOKUP(B1484,Raw_Suppliers!$A$2:$G$101,7,FALSE)</f>
        <v>1</v>
      </c>
      <c r="P1484" t="str">
        <f t="shared" si="139"/>
        <v>Yes</v>
      </c>
      <c r="Q1484">
        <f t="shared" si="140"/>
        <v>0</v>
      </c>
      <c r="R1484" t="str">
        <f t="shared" si="141"/>
        <v>Late</v>
      </c>
      <c r="S1484">
        <f t="shared" si="142"/>
        <v>2021</v>
      </c>
      <c r="T1484">
        <f t="shared" si="143"/>
        <v>2</v>
      </c>
    </row>
    <row r="1485" spans="1:20" x14ac:dyDescent="0.25">
      <c r="A1485" t="s">
        <v>1792</v>
      </c>
      <c r="B1485" t="s">
        <v>247</v>
      </c>
      <c r="C1485" t="s">
        <v>274</v>
      </c>
      <c r="D1485" s="1">
        <v>44710</v>
      </c>
      <c r="E1485">
        <v>12</v>
      </c>
      <c r="F1485">
        <v>6.0287813740533203</v>
      </c>
      <c r="G1485" s="1">
        <v>44730</v>
      </c>
      <c r="H1485" s="1">
        <v>44735</v>
      </c>
      <c r="I1485">
        <v>72.3453764886399</v>
      </c>
      <c r="J1485">
        <f t="shared" si="138"/>
        <v>5</v>
      </c>
      <c r="K1485" t="str">
        <f>VLOOKUP(B1485,Raw_Suppliers!$A$2:$G$101,2,FALSE)</f>
        <v>Ultra Apex LLC</v>
      </c>
      <c r="L1485" t="str">
        <f>VLOOKUP(B1485,Raw_Suppliers!$A$2:$G$101,3,FALSE)</f>
        <v>Germany</v>
      </c>
      <c r="M1485" t="str">
        <f>VLOOKUP(B1485,Raw_Suppliers!$A$2:$G$101,4,FALSE)</f>
        <v>West</v>
      </c>
      <c r="N1485" t="str">
        <f>VLOOKUP(B1485,Raw_Suppliers!$A$2:$G$101,6,FALSE)</f>
        <v>ISO 9001</v>
      </c>
      <c r="O1485">
        <f>VLOOKUP(B1485,Raw_Suppliers!$A$2:$G$101,7,FALSE)</f>
        <v>0</v>
      </c>
      <c r="P1485" t="str">
        <f t="shared" si="139"/>
        <v>No</v>
      </c>
      <c r="Q1485">
        <f t="shared" si="140"/>
        <v>0</v>
      </c>
      <c r="R1485" t="str">
        <f t="shared" si="141"/>
        <v>Late</v>
      </c>
      <c r="S1485">
        <f t="shared" si="142"/>
        <v>2022</v>
      </c>
      <c r="T1485">
        <f t="shared" si="143"/>
        <v>5</v>
      </c>
    </row>
    <row r="1486" spans="1:20" x14ac:dyDescent="0.25">
      <c r="A1486" t="s">
        <v>1793</v>
      </c>
      <c r="B1486" t="s">
        <v>61</v>
      </c>
      <c r="C1486" t="s">
        <v>415</v>
      </c>
      <c r="D1486" s="1">
        <v>44199</v>
      </c>
      <c r="E1486">
        <v>10</v>
      </c>
      <c r="F1486">
        <v>5.6077980261942901</v>
      </c>
      <c r="G1486" s="1">
        <v>44216</v>
      </c>
      <c r="H1486" s="1">
        <v>44213</v>
      </c>
      <c r="I1486">
        <v>56.077980261942898</v>
      </c>
      <c r="J1486">
        <f t="shared" si="138"/>
        <v>-3</v>
      </c>
      <c r="K1486" t="str">
        <f>VLOOKUP(B1486,Raw_Suppliers!$A$2:$G$101,2,FALSE)</f>
        <v>Ultra Gamma LLC</v>
      </c>
      <c r="L1486" t="str">
        <f>VLOOKUP(B1486,Raw_Suppliers!$A$2:$G$101,3,FALSE)</f>
        <v>Canada</v>
      </c>
      <c r="M1486" t="str">
        <f>VLOOKUP(B1486,Raw_Suppliers!$A$2:$G$101,4,FALSE)</f>
        <v>North</v>
      </c>
      <c r="N1486" t="str">
        <f>VLOOKUP(B1486,Raw_Suppliers!$A$2:$G$101,6,FALSE)</f>
        <v>ISO 9001</v>
      </c>
      <c r="O1486">
        <f>VLOOKUP(B1486,Raw_Suppliers!$A$2:$G$101,7,FALSE)</f>
        <v>1</v>
      </c>
      <c r="P1486" t="str">
        <f t="shared" si="139"/>
        <v>Yes</v>
      </c>
      <c r="Q1486">
        <f t="shared" si="140"/>
        <v>1</v>
      </c>
      <c r="R1486" t="str">
        <f t="shared" si="141"/>
        <v>On Time</v>
      </c>
      <c r="S1486">
        <f t="shared" si="142"/>
        <v>2021</v>
      </c>
      <c r="T1486">
        <f t="shared" si="143"/>
        <v>1</v>
      </c>
    </row>
    <row r="1487" spans="1:20" x14ac:dyDescent="0.25">
      <c r="A1487" t="s">
        <v>1794</v>
      </c>
      <c r="B1487" t="s">
        <v>340</v>
      </c>
      <c r="C1487" t="s">
        <v>172</v>
      </c>
      <c r="D1487" s="1">
        <v>44924</v>
      </c>
      <c r="E1487">
        <v>7</v>
      </c>
      <c r="F1487">
        <v>38.094171493635002</v>
      </c>
      <c r="G1487" s="1">
        <v>44937</v>
      </c>
      <c r="H1487" s="1">
        <v>44934</v>
      </c>
      <c r="I1487">
        <v>266.65920045544499</v>
      </c>
      <c r="J1487">
        <f t="shared" si="138"/>
        <v>-3</v>
      </c>
      <c r="K1487" t="str">
        <f>VLOOKUP(B1487,Raw_Suppliers!$A$2:$G$101,2,FALSE)</f>
        <v>Pioneer Ultra GmbH</v>
      </c>
      <c r="L1487" t="str">
        <f>VLOOKUP(B1487,Raw_Suppliers!$A$2:$G$101,3,FALSE)</f>
        <v>China</v>
      </c>
      <c r="M1487" t="str">
        <f>VLOOKUP(B1487,Raw_Suppliers!$A$2:$G$101,4,FALSE)</f>
        <v>Central</v>
      </c>
      <c r="N1487" t="str">
        <f>VLOOKUP(B1487,Raw_Suppliers!$A$2:$G$101,6,FALSE)</f>
        <v>ISO 9001</v>
      </c>
      <c r="O1487">
        <f>VLOOKUP(B1487,Raw_Suppliers!$A$2:$G$101,7,FALSE)</f>
        <v>0</v>
      </c>
      <c r="P1487" t="str">
        <f t="shared" si="139"/>
        <v>No</v>
      </c>
      <c r="Q1487">
        <f t="shared" si="140"/>
        <v>1</v>
      </c>
      <c r="R1487" t="str">
        <f t="shared" si="141"/>
        <v>On Time</v>
      </c>
      <c r="S1487">
        <f t="shared" si="142"/>
        <v>2022</v>
      </c>
      <c r="T1487">
        <f t="shared" si="143"/>
        <v>12</v>
      </c>
    </row>
    <row r="1488" spans="1:20" x14ac:dyDescent="0.25">
      <c r="A1488" t="s">
        <v>1795</v>
      </c>
      <c r="B1488" t="s">
        <v>121</v>
      </c>
      <c r="C1488" t="s">
        <v>385</v>
      </c>
      <c r="D1488" s="1">
        <v>44490</v>
      </c>
      <c r="E1488">
        <v>12</v>
      </c>
      <c r="F1488">
        <v>48.715541847691298</v>
      </c>
      <c r="G1488" s="1">
        <v>44506</v>
      </c>
      <c r="H1488" s="1">
        <v>44507</v>
      </c>
      <c r="I1488">
        <v>584.58650217229604</v>
      </c>
      <c r="J1488">
        <f t="shared" si="138"/>
        <v>1</v>
      </c>
      <c r="K1488" t="str">
        <f>VLOOKUP(B1488,Raw_Suppliers!$A$2:$G$101,2,FALSE)</f>
        <v>Vertex Vertex Inc</v>
      </c>
      <c r="L1488" t="str">
        <f>VLOOKUP(B1488,Raw_Suppliers!$A$2:$G$101,3,FALSE)</f>
        <v>USA</v>
      </c>
      <c r="M1488" t="str">
        <f>VLOOKUP(B1488,Raw_Suppliers!$A$2:$G$101,4,FALSE)</f>
        <v>West</v>
      </c>
      <c r="N1488" t="str">
        <f>VLOOKUP(B1488,Raw_Suppliers!$A$2:$G$101,6,FALSE)</f>
        <v>None</v>
      </c>
      <c r="O1488">
        <f>VLOOKUP(B1488,Raw_Suppliers!$A$2:$G$101,7,FALSE)</f>
        <v>0</v>
      </c>
      <c r="P1488" t="str">
        <f t="shared" si="139"/>
        <v>No</v>
      </c>
      <c r="Q1488">
        <f t="shared" si="140"/>
        <v>0</v>
      </c>
      <c r="R1488" t="str">
        <f t="shared" si="141"/>
        <v>Late</v>
      </c>
      <c r="S1488">
        <f t="shared" si="142"/>
        <v>2021</v>
      </c>
      <c r="T1488">
        <f t="shared" si="143"/>
        <v>10</v>
      </c>
    </row>
    <row r="1489" spans="1:20" x14ac:dyDescent="0.25">
      <c r="A1489" t="s">
        <v>1796</v>
      </c>
      <c r="B1489" t="s">
        <v>22</v>
      </c>
      <c r="C1489" t="s">
        <v>400</v>
      </c>
      <c r="D1489" s="1">
        <v>44812</v>
      </c>
      <c r="E1489">
        <v>11</v>
      </c>
      <c r="F1489">
        <v>50.112755315122399</v>
      </c>
      <c r="G1489" s="1">
        <v>44831</v>
      </c>
      <c r="H1489" s="1">
        <v>44833</v>
      </c>
      <c r="I1489">
        <v>551.24030846634605</v>
      </c>
      <c r="J1489">
        <f t="shared" si="138"/>
        <v>2</v>
      </c>
      <c r="K1489" t="str">
        <f>VLOOKUP(B1489,Raw_Suppliers!$A$2:$G$101,2,FALSE)</f>
        <v>Delta Gamma Corp</v>
      </c>
      <c r="L1489" t="str">
        <f>VLOOKUP(B1489,Raw_Suppliers!$A$2:$G$101,3,FALSE)</f>
        <v>Denmark</v>
      </c>
      <c r="M1489" t="str">
        <f>VLOOKUP(B1489,Raw_Suppliers!$A$2:$G$101,4,FALSE)</f>
        <v>West</v>
      </c>
      <c r="N1489" t="str">
        <f>VLOOKUP(B1489,Raw_Suppliers!$A$2:$G$101,6,FALSE)</f>
        <v>ISO 45001</v>
      </c>
      <c r="O1489">
        <f>VLOOKUP(B1489,Raw_Suppliers!$A$2:$G$101,7,FALSE)</f>
        <v>1</v>
      </c>
      <c r="P1489" t="str">
        <f t="shared" si="139"/>
        <v>Yes</v>
      </c>
      <c r="Q1489">
        <f t="shared" si="140"/>
        <v>0</v>
      </c>
      <c r="R1489" t="str">
        <f t="shared" si="141"/>
        <v>Late</v>
      </c>
      <c r="S1489">
        <f t="shared" si="142"/>
        <v>2022</v>
      </c>
      <c r="T1489">
        <f t="shared" si="143"/>
        <v>9</v>
      </c>
    </row>
    <row r="1490" spans="1:20" x14ac:dyDescent="0.25">
      <c r="A1490" t="s">
        <v>1797</v>
      </c>
      <c r="B1490" t="s">
        <v>104</v>
      </c>
      <c r="C1490" t="s">
        <v>235</v>
      </c>
      <c r="D1490" s="1">
        <v>45274</v>
      </c>
      <c r="E1490">
        <v>6</v>
      </c>
      <c r="F1490">
        <v>25.559257714444801</v>
      </c>
      <c r="G1490" s="1">
        <v>45290</v>
      </c>
      <c r="H1490" s="1">
        <v>45293</v>
      </c>
      <c r="I1490">
        <v>153.35554628666901</v>
      </c>
      <c r="J1490">
        <f t="shared" si="138"/>
        <v>3</v>
      </c>
      <c r="K1490" t="str">
        <f>VLOOKUP(B1490,Raw_Suppliers!$A$2:$G$101,2,FALSE)</f>
        <v>Prime Omega Corp</v>
      </c>
      <c r="L1490" t="str">
        <f>VLOOKUP(B1490,Raw_Suppliers!$A$2:$G$101,3,FALSE)</f>
        <v>India</v>
      </c>
      <c r="M1490" t="str">
        <f>VLOOKUP(B1490,Raw_Suppliers!$A$2:$G$101,4,FALSE)</f>
        <v>Central</v>
      </c>
      <c r="N1490" t="str">
        <f>VLOOKUP(B1490,Raw_Suppliers!$A$2:$G$101,6,FALSE)</f>
        <v>ISO 14001</v>
      </c>
      <c r="O1490">
        <f>VLOOKUP(B1490,Raw_Suppliers!$A$2:$G$101,7,FALSE)</f>
        <v>0</v>
      </c>
      <c r="P1490" t="str">
        <f t="shared" si="139"/>
        <v>No</v>
      </c>
      <c r="Q1490">
        <f t="shared" si="140"/>
        <v>0</v>
      </c>
      <c r="R1490" t="str">
        <f t="shared" si="141"/>
        <v>Late</v>
      </c>
      <c r="S1490">
        <f t="shared" si="142"/>
        <v>2023</v>
      </c>
      <c r="T1490">
        <f t="shared" si="143"/>
        <v>12</v>
      </c>
    </row>
    <row r="1491" spans="1:20" x14ac:dyDescent="0.25">
      <c r="A1491" t="s">
        <v>1798</v>
      </c>
      <c r="B1491" t="s">
        <v>31</v>
      </c>
      <c r="C1491" t="s">
        <v>262</v>
      </c>
      <c r="D1491" s="1">
        <v>45187</v>
      </c>
      <c r="E1491">
        <v>14</v>
      </c>
      <c r="F1491">
        <v>77.008535120746501</v>
      </c>
      <c r="G1491" s="1">
        <v>45206</v>
      </c>
      <c r="H1491" s="1">
        <v>45205</v>
      </c>
      <c r="I1491">
        <v>1078.1194916904501</v>
      </c>
      <c r="J1491">
        <f t="shared" si="138"/>
        <v>-1</v>
      </c>
      <c r="K1491" t="str">
        <f>VLOOKUP(B1491,Raw_Suppliers!$A$2:$G$101,2,FALSE)</f>
        <v>Nova Nano GmbH</v>
      </c>
      <c r="L1491" t="str">
        <f>VLOOKUP(B1491,Raw_Suppliers!$A$2:$G$101,3,FALSE)</f>
        <v>Denmark</v>
      </c>
      <c r="M1491" t="str">
        <f>VLOOKUP(B1491,Raw_Suppliers!$A$2:$G$101,4,FALSE)</f>
        <v>South</v>
      </c>
      <c r="N1491" t="str">
        <f>VLOOKUP(B1491,Raw_Suppliers!$A$2:$G$101,6,FALSE)</f>
        <v>ISO 14001</v>
      </c>
      <c r="O1491">
        <f>VLOOKUP(B1491,Raw_Suppliers!$A$2:$G$101,7,FALSE)</f>
        <v>1</v>
      </c>
      <c r="P1491" t="str">
        <f t="shared" si="139"/>
        <v>Yes</v>
      </c>
      <c r="Q1491">
        <f t="shared" si="140"/>
        <v>1</v>
      </c>
      <c r="R1491" t="str">
        <f t="shared" si="141"/>
        <v>On Time</v>
      </c>
      <c r="S1491">
        <f t="shared" si="142"/>
        <v>2023</v>
      </c>
      <c r="T1491">
        <f t="shared" si="143"/>
        <v>9</v>
      </c>
    </row>
    <row r="1492" spans="1:20" x14ac:dyDescent="0.25">
      <c r="A1492" t="s">
        <v>1799</v>
      </c>
      <c r="B1492" t="s">
        <v>82</v>
      </c>
      <c r="C1492" t="s">
        <v>818</v>
      </c>
      <c r="D1492" s="1">
        <v>44990</v>
      </c>
      <c r="E1492">
        <v>11</v>
      </c>
      <c r="F1492">
        <v>46.338600750965703</v>
      </c>
      <c r="G1492" s="1">
        <v>45010</v>
      </c>
      <c r="H1492" s="1">
        <v>45008</v>
      </c>
      <c r="I1492">
        <v>509.72460826062297</v>
      </c>
      <c r="J1492">
        <f t="shared" si="138"/>
        <v>-2</v>
      </c>
      <c r="K1492" t="str">
        <f>VLOOKUP(B1492,Raw_Suppliers!$A$2:$G$101,2,FALSE)</f>
        <v>Gamma Quantum LLC</v>
      </c>
      <c r="L1492" t="str">
        <f>VLOOKUP(B1492,Raw_Suppliers!$A$2:$G$101,3,FALSE)</f>
        <v>Canada</v>
      </c>
      <c r="M1492" t="str">
        <f>VLOOKUP(B1492,Raw_Suppliers!$A$2:$G$101,4,FALSE)</f>
        <v>Central</v>
      </c>
      <c r="N1492" t="str">
        <f>VLOOKUP(B1492,Raw_Suppliers!$A$2:$G$101,6,FALSE)</f>
        <v>None</v>
      </c>
      <c r="O1492">
        <f>VLOOKUP(B1492,Raw_Suppliers!$A$2:$G$101,7,FALSE)</f>
        <v>1</v>
      </c>
      <c r="P1492" t="str">
        <f t="shared" si="139"/>
        <v>Yes</v>
      </c>
      <c r="Q1492">
        <f t="shared" si="140"/>
        <v>1</v>
      </c>
      <c r="R1492" t="str">
        <f t="shared" si="141"/>
        <v>On Time</v>
      </c>
      <c r="S1492">
        <f t="shared" si="142"/>
        <v>2023</v>
      </c>
      <c r="T1492">
        <f t="shared" si="143"/>
        <v>3</v>
      </c>
    </row>
    <row r="1493" spans="1:20" x14ac:dyDescent="0.25">
      <c r="A1493" t="s">
        <v>1800</v>
      </c>
      <c r="B1493" t="s">
        <v>250</v>
      </c>
      <c r="C1493" t="s">
        <v>141</v>
      </c>
      <c r="D1493" s="1">
        <v>44857</v>
      </c>
      <c r="E1493">
        <v>11</v>
      </c>
      <c r="F1493">
        <v>44.4644311775631</v>
      </c>
      <c r="G1493" s="1">
        <v>44868</v>
      </c>
      <c r="H1493" s="1">
        <v>44868</v>
      </c>
      <c r="I1493">
        <v>489.108742953194</v>
      </c>
      <c r="J1493">
        <f t="shared" si="138"/>
        <v>0</v>
      </c>
      <c r="K1493" t="str">
        <f>VLOOKUP(B1493,Raw_Suppliers!$A$2:$G$101,2,FALSE)</f>
        <v>Fusion Fusion Inc</v>
      </c>
      <c r="L1493" t="str">
        <f>VLOOKUP(B1493,Raw_Suppliers!$A$2:$G$101,3,FALSE)</f>
        <v>India</v>
      </c>
      <c r="M1493" t="str">
        <f>VLOOKUP(B1493,Raw_Suppliers!$A$2:$G$101,4,FALSE)</f>
        <v>South</v>
      </c>
      <c r="N1493" t="str">
        <f>VLOOKUP(B1493,Raw_Suppliers!$A$2:$G$101,6,FALSE)</f>
        <v>ISO 9001</v>
      </c>
      <c r="O1493">
        <f>VLOOKUP(B1493,Raw_Suppliers!$A$2:$G$101,7,FALSE)</f>
        <v>0</v>
      </c>
      <c r="P1493" t="str">
        <f t="shared" si="139"/>
        <v>No</v>
      </c>
      <c r="Q1493">
        <f t="shared" si="140"/>
        <v>1</v>
      </c>
      <c r="R1493" t="str">
        <f t="shared" si="141"/>
        <v>On Time</v>
      </c>
      <c r="S1493">
        <f t="shared" si="142"/>
        <v>2022</v>
      </c>
      <c r="T1493">
        <f t="shared" si="143"/>
        <v>10</v>
      </c>
    </row>
    <row r="1494" spans="1:20" x14ac:dyDescent="0.25">
      <c r="A1494" t="s">
        <v>1801</v>
      </c>
      <c r="B1494" t="s">
        <v>482</v>
      </c>
      <c r="C1494" t="s">
        <v>228</v>
      </c>
      <c r="D1494" s="1">
        <v>45276</v>
      </c>
      <c r="E1494">
        <v>16</v>
      </c>
      <c r="F1494">
        <v>31.819932404489698</v>
      </c>
      <c r="G1494" s="1">
        <v>45289</v>
      </c>
      <c r="H1494" s="1">
        <v>45289</v>
      </c>
      <c r="I1494">
        <v>509.11891847183603</v>
      </c>
      <c r="J1494">
        <f t="shared" si="138"/>
        <v>0</v>
      </c>
      <c r="K1494" t="str">
        <f>VLOOKUP(B1494,Raw_Suppliers!$A$2:$G$101,2,FALSE)</f>
        <v>Eco Prime Corp</v>
      </c>
      <c r="L1494" t="str">
        <f>VLOOKUP(B1494,Raw_Suppliers!$A$2:$G$101,3,FALSE)</f>
        <v>China</v>
      </c>
      <c r="M1494" t="str">
        <f>VLOOKUP(B1494,Raw_Suppliers!$A$2:$G$101,4,FALSE)</f>
        <v>East</v>
      </c>
      <c r="N1494" t="str">
        <f>VLOOKUP(B1494,Raw_Suppliers!$A$2:$G$101,6,FALSE)</f>
        <v>ISO 45001</v>
      </c>
      <c r="O1494">
        <f>VLOOKUP(B1494,Raw_Suppliers!$A$2:$G$101,7,FALSE)</f>
        <v>1</v>
      </c>
      <c r="P1494" t="str">
        <f t="shared" si="139"/>
        <v>Yes</v>
      </c>
      <c r="Q1494">
        <f t="shared" si="140"/>
        <v>1</v>
      </c>
      <c r="R1494" t="str">
        <f t="shared" si="141"/>
        <v>On Time</v>
      </c>
      <c r="S1494">
        <f t="shared" si="142"/>
        <v>2023</v>
      </c>
      <c r="T1494">
        <f t="shared" si="143"/>
        <v>12</v>
      </c>
    </row>
    <row r="1495" spans="1:20" x14ac:dyDescent="0.25">
      <c r="A1495" t="s">
        <v>1802</v>
      </c>
      <c r="B1495" t="s">
        <v>227</v>
      </c>
      <c r="C1495" t="s">
        <v>187</v>
      </c>
      <c r="D1495" s="1">
        <v>44389</v>
      </c>
      <c r="E1495">
        <v>12</v>
      </c>
      <c r="F1495">
        <v>49.831406950503599</v>
      </c>
      <c r="G1495" s="1">
        <v>44406</v>
      </c>
      <c r="H1495" s="1">
        <v>44411</v>
      </c>
      <c r="I1495">
        <v>597.97688340604304</v>
      </c>
      <c r="J1495">
        <f t="shared" si="138"/>
        <v>5</v>
      </c>
      <c r="K1495" t="str">
        <f>VLOOKUP(B1495,Raw_Suppliers!$A$2:$G$101,2,FALSE)</f>
        <v>Delta Prime Inc</v>
      </c>
      <c r="L1495" t="str">
        <f>VLOOKUP(B1495,Raw_Suppliers!$A$2:$G$101,3,FALSE)</f>
        <v>Denmark</v>
      </c>
      <c r="M1495" t="str">
        <f>VLOOKUP(B1495,Raw_Suppliers!$A$2:$G$101,4,FALSE)</f>
        <v>South</v>
      </c>
      <c r="N1495" t="str">
        <f>VLOOKUP(B1495,Raw_Suppliers!$A$2:$G$101,6,FALSE)</f>
        <v>ISO 14001</v>
      </c>
      <c r="O1495">
        <f>VLOOKUP(B1495,Raw_Suppliers!$A$2:$G$101,7,FALSE)</f>
        <v>0</v>
      </c>
      <c r="P1495" t="str">
        <f t="shared" si="139"/>
        <v>No</v>
      </c>
      <c r="Q1495">
        <f t="shared" si="140"/>
        <v>0</v>
      </c>
      <c r="R1495" t="str">
        <f t="shared" si="141"/>
        <v>Late</v>
      </c>
      <c r="S1495">
        <f t="shared" si="142"/>
        <v>2021</v>
      </c>
      <c r="T1495">
        <f t="shared" si="143"/>
        <v>7</v>
      </c>
    </row>
    <row r="1496" spans="1:20" x14ac:dyDescent="0.25">
      <c r="A1496" t="s">
        <v>1803</v>
      </c>
      <c r="B1496" t="s">
        <v>176</v>
      </c>
      <c r="C1496" t="s">
        <v>77</v>
      </c>
      <c r="D1496" s="1">
        <v>44395</v>
      </c>
      <c r="E1496">
        <v>10</v>
      </c>
      <c r="F1496">
        <v>77.673725642799297</v>
      </c>
      <c r="G1496" s="1">
        <v>44417</v>
      </c>
      <c r="H1496" s="1">
        <v>44422</v>
      </c>
      <c r="I1496">
        <v>776.73725642799297</v>
      </c>
      <c r="J1496">
        <f t="shared" si="138"/>
        <v>5</v>
      </c>
      <c r="K1496" t="str">
        <f>VLOOKUP(B1496,Raw_Suppliers!$A$2:$G$101,2,FALSE)</f>
        <v>Nano Ultra Corp</v>
      </c>
      <c r="L1496" t="str">
        <f>VLOOKUP(B1496,Raw_Suppliers!$A$2:$G$101,3,FALSE)</f>
        <v>Canada</v>
      </c>
      <c r="M1496" t="str">
        <f>VLOOKUP(B1496,Raw_Suppliers!$A$2:$G$101,4,FALSE)</f>
        <v>Central</v>
      </c>
      <c r="N1496" t="str">
        <f>VLOOKUP(B1496,Raw_Suppliers!$A$2:$G$101,6,FALSE)</f>
        <v>ISO 9001</v>
      </c>
      <c r="O1496">
        <f>VLOOKUP(B1496,Raw_Suppliers!$A$2:$G$101,7,FALSE)</f>
        <v>0</v>
      </c>
      <c r="P1496" t="str">
        <f t="shared" si="139"/>
        <v>No</v>
      </c>
      <c r="Q1496">
        <f t="shared" si="140"/>
        <v>0</v>
      </c>
      <c r="R1496" t="str">
        <f t="shared" si="141"/>
        <v>Late</v>
      </c>
      <c r="S1496">
        <f t="shared" si="142"/>
        <v>2021</v>
      </c>
      <c r="T1496">
        <f t="shared" si="143"/>
        <v>7</v>
      </c>
    </row>
    <row r="1497" spans="1:20" x14ac:dyDescent="0.25">
      <c r="A1497" t="s">
        <v>1804</v>
      </c>
      <c r="B1497" t="s">
        <v>43</v>
      </c>
      <c r="C1497" t="s">
        <v>158</v>
      </c>
      <c r="D1497" s="1">
        <v>45286</v>
      </c>
      <c r="E1497">
        <v>12</v>
      </c>
      <c r="F1497">
        <v>63.8886537199283</v>
      </c>
      <c r="G1497" s="1">
        <v>45302</v>
      </c>
      <c r="H1497" s="1">
        <v>45306</v>
      </c>
      <c r="I1497">
        <v>766.66384463914005</v>
      </c>
      <c r="J1497">
        <f t="shared" si="138"/>
        <v>4</v>
      </c>
      <c r="K1497" t="str">
        <f>VLOOKUP(B1497,Raw_Suppliers!$A$2:$G$101,2,FALSE)</f>
        <v>Alpha Ultra Corp</v>
      </c>
      <c r="L1497" t="str">
        <f>VLOOKUP(B1497,Raw_Suppliers!$A$2:$G$101,3,FALSE)</f>
        <v>USA</v>
      </c>
      <c r="M1497" t="str">
        <f>VLOOKUP(B1497,Raw_Suppliers!$A$2:$G$101,4,FALSE)</f>
        <v>Central</v>
      </c>
      <c r="N1497" t="str">
        <f>VLOOKUP(B1497,Raw_Suppliers!$A$2:$G$101,6,FALSE)</f>
        <v>ISO 9001</v>
      </c>
      <c r="O1497">
        <f>VLOOKUP(B1497,Raw_Suppliers!$A$2:$G$101,7,FALSE)</f>
        <v>1</v>
      </c>
      <c r="P1497" t="str">
        <f t="shared" si="139"/>
        <v>Yes</v>
      </c>
      <c r="Q1497">
        <f t="shared" si="140"/>
        <v>0</v>
      </c>
      <c r="R1497" t="str">
        <f t="shared" si="141"/>
        <v>Late</v>
      </c>
      <c r="S1497">
        <f t="shared" si="142"/>
        <v>2023</v>
      </c>
      <c r="T1497">
        <f t="shared" si="143"/>
        <v>12</v>
      </c>
    </row>
    <row r="1498" spans="1:20" x14ac:dyDescent="0.25">
      <c r="A1498" t="s">
        <v>1805</v>
      </c>
      <c r="B1498" t="s">
        <v>564</v>
      </c>
      <c r="C1498" t="s">
        <v>190</v>
      </c>
      <c r="D1498" s="1">
        <v>44874</v>
      </c>
      <c r="E1498">
        <v>11</v>
      </c>
      <c r="F1498">
        <v>65.031921971550901</v>
      </c>
      <c r="G1498" s="1">
        <v>44894</v>
      </c>
      <c r="H1498" s="1">
        <v>44895</v>
      </c>
      <c r="I1498">
        <v>715.351141687059</v>
      </c>
      <c r="J1498">
        <f t="shared" si="138"/>
        <v>1</v>
      </c>
      <c r="K1498" t="str">
        <f>VLOOKUP(B1498,Raw_Suppliers!$A$2:$G$101,2,FALSE)</f>
        <v>Ultra Ultra GmbH</v>
      </c>
      <c r="L1498" t="str">
        <f>VLOOKUP(B1498,Raw_Suppliers!$A$2:$G$101,3,FALSE)</f>
        <v>India</v>
      </c>
      <c r="M1498" t="str">
        <f>VLOOKUP(B1498,Raw_Suppliers!$A$2:$G$101,4,FALSE)</f>
        <v>Central</v>
      </c>
      <c r="N1498" t="str">
        <f>VLOOKUP(B1498,Raw_Suppliers!$A$2:$G$101,6,FALSE)</f>
        <v>ISO 14001</v>
      </c>
      <c r="O1498">
        <f>VLOOKUP(B1498,Raw_Suppliers!$A$2:$G$101,7,FALSE)</f>
        <v>1</v>
      </c>
      <c r="P1498" t="str">
        <f t="shared" si="139"/>
        <v>Yes</v>
      </c>
      <c r="Q1498">
        <f t="shared" si="140"/>
        <v>0</v>
      </c>
      <c r="R1498" t="str">
        <f t="shared" si="141"/>
        <v>Late</v>
      </c>
      <c r="S1498">
        <f t="shared" si="142"/>
        <v>2022</v>
      </c>
      <c r="T1498">
        <f t="shared" si="143"/>
        <v>11</v>
      </c>
    </row>
    <row r="1499" spans="1:20" x14ac:dyDescent="0.25">
      <c r="A1499" t="s">
        <v>1806</v>
      </c>
      <c r="B1499" t="s">
        <v>73</v>
      </c>
      <c r="C1499" t="s">
        <v>759</v>
      </c>
      <c r="D1499" s="1">
        <v>44605</v>
      </c>
      <c r="E1499">
        <v>15</v>
      </c>
      <c r="F1499">
        <v>40.270489236921897</v>
      </c>
      <c r="G1499" s="1">
        <v>44619</v>
      </c>
      <c r="H1499" s="1">
        <v>44620</v>
      </c>
      <c r="I1499">
        <v>604.05733855382903</v>
      </c>
      <c r="J1499">
        <f t="shared" si="138"/>
        <v>1</v>
      </c>
      <c r="K1499" t="str">
        <f>VLOOKUP(B1499,Raw_Suppliers!$A$2:$G$101,2,FALSE)</f>
        <v>Gamma Quantum LLC</v>
      </c>
      <c r="L1499" t="str">
        <f>VLOOKUP(B1499,Raw_Suppliers!$A$2:$G$101,3,FALSE)</f>
        <v>Germany</v>
      </c>
      <c r="M1499" t="str">
        <f>VLOOKUP(B1499,Raw_Suppliers!$A$2:$G$101,4,FALSE)</f>
        <v>Central</v>
      </c>
      <c r="N1499" t="str">
        <f>VLOOKUP(B1499,Raw_Suppliers!$A$2:$G$101,6,FALSE)</f>
        <v>ISO 9001</v>
      </c>
      <c r="O1499">
        <f>VLOOKUP(B1499,Raw_Suppliers!$A$2:$G$101,7,FALSE)</f>
        <v>1</v>
      </c>
      <c r="P1499" t="str">
        <f t="shared" si="139"/>
        <v>Yes</v>
      </c>
      <c r="Q1499">
        <f t="shared" si="140"/>
        <v>0</v>
      </c>
      <c r="R1499" t="str">
        <f t="shared" si="141"/>
        <v>Late</v>
      </c>
      <c r="S1499">
        <f t="shared" si="142"/>
        <v>2022</v>
      </c>
      <c r="T1499">
        <f t="shared" si="143"/>
        <v>2</v>
      </c>
    </row>
    <row r="1500" spans="1:20" x14ac:dyDescent="0.25">
      <c r="A1500" t="s">
        <v>1807</v>
      </c>
      <c r="B1500" t="s">
        <v>578</v>
      </c>
      <c r="C1500" t="s">
        <v>161</v>
      </c>
      <c r="D1500" s="1">
        <v>44587</v>
      </c>
      <c r="E1500">
        <v>7</v>
      </c>
      <c r="F1500">
        <v>11.8769588183553</v>
      </c>
      <c r="G1500" s="1">
        <v>44599</v>
      </c>
      <c r="H1500" s="1">
        <v>44597</v>
      </c>
      <c r="I1500">
        <v>83.138711728487394</v>
      </c>
      <c r="J1500">
        <f t="shared" si="138"/>
        <v>-2</v>
      </c>
      <c r="K1500" t="str">
        <f>VLOOKUP(B1500,Raw_Suppliers!$A$2:$G$101,2,FALSE)</f>
        <v>Beta Eco Ltd</v>
      </c>
      <c r="L1500" t="str">
        <f>VLOOKUP(B1500,Raw_Suppliers!$A$2:$G$101,3,FALSE)</f>
        <v>Canada</v>
      </c>
      <c r="M1500" t="str">
        <f>VLOOKUP(B1500,Raw_Suppliers!$A$2:$G$101,4,FALSE)</f>
        <v>East</v>
      </c>
      <c r="N1500" t="str">
        <f>VLOOKUP(B1500,Raw_Suppliers!$A$2:$G$101,6,FALSE)</f>
        <v>None</v>
      </c>
      <c r="O1500">
        <f>VLOOKUP(B1500,Raw_Suppliers!$A$2:$G$101,7,FALSE)</f>
        <v>0</v>
      </c>
      <c r="P1500" t="str">
        <f t="shared" si="139"/>
        <v>No</v>
      </c>
      <c r="Q1500">
        <f t="shared" si="140"/>
        <v>1</v>
      </c>
      <c r="R1500" t="str">
        <f t="shared" si="141"/>
        <v>On Time</v>
      </c>
      <c r="S1500">
        <f t="shared" si="142"/>
        <v>2022</v>
      </c>
      <c r="T1500">
        <f t="shared" si="143"/>
        <v>1</v>
      </c>
    </row>
    <row r="1501" spans="1:20" x14ac:dyDescent="0.25">
      <c r="A1501" t="s">
        <v>1808</v>
      </c>
      <c r="B1501" t="s">
        <v>194</v>
      </c>
      <c r="C1501" t="s">
        <v>748</v>
      </c>
      <c r="D1501" s="1">
        <v>45320</v>
      </c>
      <c r="E1501">
        <v>17</v>
      </c>
      <c r="F1501">
        <v>50.158863297426201</v>
      </c>
      <c r="G1501" s="1">
        <v>45331</v>
      </c>
      <c r="H1501" s="1">
        <v>45333</v>
      </c>
      <c r="I1501">
        <v>852.70067605624695</v>
      </c>
      <c r="J1501">
        <f t="shared" si="138"/>
        <v>2</v>
      </c>
      <c r="K1501" t="str">
        <f>VLOOKUP(B1501,Raw_Suppliers!$A$2:$G$101,2,FALSE)</f>
        <v>Eco Pioneer Corp</v>
      </c>
      <c r="L1501" t="str">
        <f>VLOOKUP(B1501,Raw_Suppliers!$A$2:$G$101,3,FALSE)</f>
        <v>China</v>
      </c>
      <c r="M1501" t="str">
        <f>VLOOKUP(B1501,Raw_Suppliers!$A$2:$G$101,4,FALSE)</f>
        <v>East</v>
      </c>
      <c r="N1501" t="str">
        <f>VLOOKUP(B1501,Raw_Suppliers!$A$2:$G$101,6,FALSE)</f>
        <v>ISO 14001</v>
      </c>
      <c r="O1501">
        <f>VLOOKUP(B1501,Raw_Suppliers!$A$2:$G$101,7,FALSE)</f>
        <v>1</v>
      </c>
      <c r="P1501" t="str">
        <f t="shared" si="139"/>
        <v>Yes</v>
      </c>
      <c r="Q1501">
        <f t="shared" si="140"/>
        <v>0</v>
      </c>
      <c r="R1501" t="str">
        <f t="shared" si="141"/>
        <v>Late</v>
      </c>
      <c r="S1501">
        <f t="shared" si="142"/>
        <v>2024</v>
      </c>
      <c r="T1501">
        <f t="shared" si="143"/>
        <v>1</v>
      </c>
    </row>
    <row r="1502" spans="1:20" x14ac:dyDescent="0.25">
      <c r="A1502" t="s">
        <v>1809</v>
      </c>
      <c r="B1502" t="s">
        <v>49</v>
      </c>
      <c r="C1502" t="s">
        <v>279</v>
      </c>
      <c r="D1502" s="1">
        <v>45231</v>
      </c>
      <c r="E1502">
        <v>9</v>
      </c>
      <c r="F1502">
        <v>59.311099722244897</v>
      </c>
      <c r="G1502" s="1">
        <v>45250</v>
      </c>
      <c r="H1502" s="1">
        <v>45253</v>
      </c>
      <c r="I1502">
        <v>533.799897500204</v>
      </c>
      <c r="J1502">
        <f t="shared" si="138"/>
        <v>3</v>
      </c>
      <c r="K1502" t="str">
        <f>VLOOKUP(B1502,Raw_Suppliers!$A$2:$G$101,2,FALSE)</f>
        <v>Prime Prime Corp</v>
      </c>
      <c r="L1502" t="str">
        <f>VLOOKUP(B1502,Raw_Suppliers!$A$2:$G$101,3,FALSE)</f>
        <v>China</v>
      </c>
      <c r="M1502" t="str">
        <f>VLOOKUP(B1502,Raw_Suppliers!$A$2:$G$101,4,FALSE)</f>
        <v>North</v>
      </c>
      <c r="N1502" t="str">
        <f>VLOOKUP(B1502,Raw_Suppliers!$A$2:$G$101,6,FALSE)</f>
        <v>ISO 45001</v>
      </c>
      <c r="O1502">
        <f>VLOOKUP(B1502,Raw_Suppliers!$A$2:$G$101,7,FALSE)</f>
        <v>0</v>
      </c>
      <c r="P1502" t="str">
        <f t="shared" si="139"/>
        <v>No</v>
      </c>
      <c r="Q1502">
        <f t="shared" si="140"/>
        <v>0</v>
      </c>
      <c r="R1502" t="str">
        <f t="shared" si="141"/>
        <v>Late</v>
      </c>
      <c r="S1502">
        <f t="shared" si="142"/>
        <v>2023</v>
      </c>
      <c r="T1502">
        <f t="shared" si="143"/>
        <v>11</v>
      </c>
    </row>
    <row r="1503" spans="1:20" x14ac:dyDescent="0.25">
      <c r="A1503" t="s">
        <v>1810</v>
      </c>
      <c r="B1503" t="s">
        <v>261</v>
      </c>
      <c r="C1503" t="s">
        <v>689</v>
      </c>
      <c r="D1503" s="1">
        <v>44928</v>
      </c>
      <c r="E1503">
        <v>11</v>
      </c>
      <c r="F1503">
        <v>76.382934434890302</v>
      </c>
      <c r="G1503" s="1">
        <v>44952</v>
      </c>
      <c r="H1503" s="1">
        <v>44953</v>
      </c>
      <c r="I1503">
        <v>840.21227878379295</v>
      </c>
      <c r="J1503">
        <f t="shared" si="138"/>
        <v>1</v>
      </c>
      <c r="K1503" t="str">
        <f>VLOOKUP(B1503,Raw_Suppliers!$A$2:$G$101,2,FALSE)</f>
        <v>Delta Fusion Corp</v>
      </c>
      <c r="L1503" t="str">
        <f>VLOOKUP(B1503,Raw_Suppliers!$A$2:$G$101,3,FALSE)</f>
        <v>Denmark</v>
      </c>
      <c r="M1503" t="str">
        <f>VLOOKUP(B1503,Raw_Suppliers!$A$2:$G$101,4,FALSE)</f>
        <v>West</v>
      </c>
      <c r="N1503" t="str">
        <f>VLOOKUP(B1503,Raw_Suppliers!$A$2:$G$101,6,FALSE)</f>
        <v>ISO 45001</v>
      </c>
      <c r="O1503">
        <f>VLOOKUP(B1503,Raw_Suppliers!$A$2:$G$101,7,FALSE)</f>
        <v>0</v>
      </c>
      <c r="P1503" t="str">
        <f t="shared" si="139"/>
        <v>No</v>
      </c>
      <c r="Q1503">
        <f t="shared" si="140"/>
        <v>0</v>
      </c>
      <c r="R1503" t="str">
        <f t="shared" si="141"/>
        <v>Late</v>
      </c>
      <c r="S1503">
        <f t="shared" si="142"/>
        <v>2023</v>
      </c>
      <c r="T1503">
        <f t="shared" si="143"/>
        <v>1</v>
      </c>
    </row>
    <row r="1504" spans="1:20" x14ac:dyDescent="0.25">
      <c r="A1504" t="s">
        <v>1811</v>
      </c>
      <c r="B1504" t="s">
        <v>253</v>
      </c>
      <c r="C1504" t="s">
        <v>457</v>
      </c>
      <c r="D1504" s="1">
        <v>44855</v>
      </c>
      <c r="E1504">
        <v>13</v>
      </c>
      <c r="F1504">
        <v>7.9845418369173897</v>
      </c>
      <c r="G1504" s="1">
        <v>44875</v>
      </c>
      <c r="H1504" s="1">
        <v>44878</v>
      </c>
      <c r="I1504">
        <v>103.799043879926</v>
      </c>
      <c r="J1504">
        <f t="shared" si="138"/>
        <v>3</v>
      </c>
      <c r="K1504" t="str">
        <f>VLOOKUP(B1504,Raw_Suppliers!$A$2:$G$101,2,FALSE)</f>
        <v>Vertex Apex Ltd</v>
      </c>
      <c r="L1504" t="str">
        <f>VLOOKUP(B1504,Raw_Suppliers!$A$2:$G$101,3,FALSE)</f>
        <v>Brazil</v>
      </c>
      <c r="M1504" t="str">
        <f>VLOOKUP(B1504,Raw_Suppliers!$A$2:$G$101,4,FALSE)</f>
        <v>South</v>
      </c>
      <c r="N1504" t="str">
        <f>VLOOKUP(B1504,Raw_Suppliers!$A$2:$G$101,6,FALSE)</f>
        <v>None</v>
      </c>
      <c r="O1504">
        <f>VLOOKUP(B1504,Raw_Suppliers!$A$2:$G$101,7,FALSE)</f>
        <v>1</v>
      </c>
      <c r="P1504" t="str">
        <f t="shared" si="139"/>
        <v>Yes</v>
      </c>
      <c r="Q1504">
        <f t="shared" si="140"/>
        <v>0</v>
      </c>
      <c r="R1504" t="str">
        <f t="shared" si="141"/>
        <v>Late</v>
      </c>
      <c r="S1504">
        <f t="shared" si="142"/>
        <v>2022</v>
      </c>
      <c r="T1504">
        <f t="shared" si="143"/>
        <v>10</v>
      </c>
    </row>
    <row r="1505" spans="1:20" x14ac:dyDescent="0.25">
      <c r="A1505" t="s">
        <v>1812</v>
      </c>
      <c r="B1505" t="s">
        <v>43</v>
      </c>
      <c r="C1505" t="s">
        <v>14</v>
      </c>
      <c r="D1505" s="1">
        <v>45181</v>
      </c>
      <c r="E1505">
        <v>8</v>
      </c>
      <c r="F1505">
        <v>50.129778829088202</v>
      </c>
      <c r="G1505" s="1">
        <v>45192</v>
      </c>
      <c r="H1505" s="1">
        <v>45191</v>
      </c>
      <c r="I1505">
        <v>401.03823063270499</v>
      </c>
      <c r="J1505">
        <f t="shared" si="138"/>
        <v>-1</v>
      </c>
      <c r="K1505" t="str">
        <f>VLOOKUP(B1505,Raw_Suppliers!$A$2:$G$101,2,FALSE)</f>
        <v>Alpha Ultra Corp</v>
      </c>
      <c r="L1505" t="str">
        <f>VLOOKUP(B1505,Raw_Suppliers!$A$2:$G$101,3,FALSE)</f>
        <v>USA</v>
      </c>
      <c r="M1505" t="str">
        <f>VLOOKUP(B1505,Raw_Suppliers!$A$2:$G$101,4,FALSE)</f>
        <v>Central</v>
      </c>
      <c r="N1505" t="str">
        <f>VLOOKUP(B1505,Raw_Suppliers!$A$2:$G$101,6,FALSE)</f>
        <v>ISO 9001</v>
      </c>
      <c r="O1505">
        <f>VLOOKUP(B1505,Raw_Suppliers!$A$2:$G$101,7,FALSE)</f>
        <v>1</v>
      </c>
      <c r="P1505" t="str">
        <f t="shared" si="139"/>
        <v>Yes</v>
      </c>
      <c r="Q1505">
        <f t="shared" si="140"/>
        <v>1</v>
      </c>
      <c r="R1505" t="str">
        <f t="shared" si="141"/>
        <v>On Time</v>
      </c>
      <c r="S1505">
        <f t="shared" si="142"/>
        <v>2023</v>
      </c>
      <c r="T1505">
        <f t="shared" si="143"/>
        <v>9</v>
      </c>
    </row>
    <row r="1506" spans="1:20" x14ac:dyDescent="0.25">
      <c r="A1506" t="s">
        <v>1813</v>
      </c>
      <c r="B1506" t="s">
        <v>25</v>
      </c>
      <c r="C1506" t="s">
        <v>304</v>
      </c>
      <c r="D1506" s="1">
        <v>45341</v>
      </c>
      <c r="E1506">
        <v>7</v>
      </c>
      <c r="F1506">
        <v>75.8484115308908</v>
      </c>
      <c r="G1506" s="1">
        <v>45359</v>
      </c>
      <c r="H1506" s="1">
        <v>45359</v>
      </c>
      <c r="I1506">
        <v>530.93888071623496</v>
      </c>
      <c r="J1506">
        <f t="shared" si="138"/>
        <v>0</v>
      </c>
      <c r="K1506" t="str">
        <f>VLOOKUP(B1506,Raw_Suppliers!$A$2:$G$101,2,FALSE)</f>
        <v>Quantum Fusion Corp</v>
      </c>
      <c r="L1506" t="str">
        <f>VLOOKUP(B1506,Raw_Suppliers!$A$2:$G$101,3,FALSE)</f>
        <v>UK</v>
      </c>
      <c r="M1506" t="str">
        <f>VLOOKUP(B1506,Raw_Suppliers!$A$2:$G$101,4,FALSE)</f>
        <v>North</v>
      </c>
      <c r="N1506" t="str">
        <f>VLOOKUP(B1506,Raw_Suppliers!$A$2:$G$101,6,FALSE)</f>
        <v>ISO 9001</v>
      </c>
      <c r="O1506">
        <f>VLOOKUP(B1506,Raw_Suppliers!$A$2:$G$101,7,FALSE)</f>
        <v>0</v>
      </c>
      <c r="P1506" t="str">
        <f t="shared" si="139"/>
        <v>No</v>
      </c>
      <c r="Q1506">
        <f t="shared" si="140"/>
        <v>1</v>
      </c>
      <c r="R1506" t="str">
        <f t="shared" si="141"/>
        <v>On Time</v>
      </c>
      <c r="S1506">
        <f t="shared" si="142"/>
        <v>2024</v>
      </c>
      <c r="T1506">
        <f t="shared" si="143"/>
        <v>2</v>
      </c>
    </row>
    <row r="1507" spans="1:20" x14ac:dyDescent="0.25">
      <c r="A1507" t="s">
        <v>1814</v>
      </c>
      <c r="B1507" t="s">
        <v>143</v>
      </c>
      <c r="C1507" t="s">
        <v>391</v>
      </c>
      <c r="D1507" s="1">
        <v>45028</v>
      </c>
      <c r="E1507">
        <v>16</v>
      </c>
      <c r="F1507">
        <v>58.811270998985897</v>
      </c>
      <c r="G1507" s="1">
        <v>45048</v>
      </c>
      <c r="H1507" s="1">
        <v>45054</v>
      </c>
      <c r="I1507">
        <v>940.98033598377503</v>
      </c>
      <c r="J1507">
        <f t="shared" si="138"/>
        <v>6</v>
      </c>
      <c r="K1507" t="str">
        <f>VLOOKUP(B1507,Raw_Suppliers!$A$2:$G$101,2,FALSE)</f>
        <v>Prime Gamma Inc</v>
      </c>
      <c r="L1507" t="str">
        <f>VLOOKUP(B1507,Raw_Suppliers!$A$2:$G$101,3,FALSE)</f>
        <v>China</v>
      </c>
      <c r="M1507" t="str">
        <f>VLOOKUP(B1507,Raw_Suppliers!$A$2:$G$101,4,FALSE)</f>
        <v>East</v>
      </c>
      <c r="N1507" t="str">
        <f>VLOOKUP(B1507,Raw_Suppliers!$A$2:$G$101,6,FALSE)</f>
        <v>ISO 14001</v>
      </c>
      <c r="O1507">
        <f>VLOOKUP(B1507,Raw_Suppliers!$A$2:$G$101,7,FALSE)</f>
        <v>0</v>
      </c>
      <c r="P1507" t="str">
        <f t="shared" si="139"/>
        <v>No</v>
      </c>
      <c r="Q1507">
        <f t="shared" si="140"/>
        <v>0</v>
      </c>
      <c r="R1507" t="str">
        <f t="shared" si="141"/>
        <v>Late</v>
      </c>
      <c r="S1507">
        <f t="shared" si="142"/>
        <v>2023</v>
      </c>
      <c r="T1507">
        <f t="shared" si="143"/>
        <v>4</v>
      </c>
    </row>
    <row r="1508" spans="1:20" x14ac:dyDescent="0.25">
      <c r="A1508" t="s">
        <v>1815</v>
      </c>
      <c r="B1508" t="s">
        <v>88</v>
      </c>
      <c r="C1508" t="s">
        <v>470</v>
      </c>
      <c r="D1508" s="1">
        <v>44371</v>
      </c>
      <c r="E1508">
        <v>10</v>
      </c>
      <c r="F1508">
        <v>8.8512333610764191</v>
      </c>
      <c r="G1508" s="1">
        <v>44387</v>
      </c>
      <c r="H1508" s="1">
        <v>44389</v>
      </c>
      <c r="I1508">
        <v>88.512333610764202</v>
      </c>
      <c r="J1508">
        <f t="shared" si="138"/>
        <v>2</v>
      </c>
      <c r="K1508" t="str">
        <f>VLOOKUP(B1508,Raw_Suppliers!$A$2:$G$101,2,FALSE)</f>
        <v>Eco Nano GmbH</v>
      </c>
      <c r="L1508" t="str">
        <f>VLOOKUP(B1508,Raw_Suppliers!$A$2:$G$101,3,FALSE)</f>
        <v>Denmark</v>
      </c>
      <c r="M1508" t="str">
        <f>VLOOKUP(B1508,Raw_Suppliers!$A$2:$G$101,4,FALSE)</f>
        <v>Central</v>
      </c>
      <c r="N1508" t="str">
        <f>VLOOKUP(B1508,Raw_Suppliers!$A$2:$G$101,6,FALSE)</f>
        <v>ISO 9001</v>
      </c>
      <c r="O1508">
        <f>VLOOKUP(B1508,Raw_Suppliers!$A$2:$G$101,7,FALSE)</f>
        <v>1</v>
      </c>
      <c r="P1508" t="str">
        <f t="shared" si="139"/>
        <v>Yes</v>
      </c>
      <c r="Q1508">
        <f t="shared" si="140"/>
        <v>0</v>
      </c>
      <c r="R1508" t="str">
        <f t="shared" si="141"/>
        <v>Late</v>
      </c>
      <c r="S1508">
        <f t="shared" si="142"/>
        <v>2021</v>
      </c>
      <c r="T1508">
        <f t="shared" si="143"/>
        <v>6</v>
      </c>
    </row>
    <row r="1509" spans="1:20" x14ac:dyDescent="0.25">
      <c r="A1509" t="s">
        <v>1816</v>
      </c>
      <c r="B1509" t="s">
        <v>121</v>
      </c>
      <c r="C1509" t="s">
        <v>547</v>
      </c>
      <c r="D1509" s="1">
        <v>44605</v>
      </c>
      <c r="E1509">
        <v>12</v>
      </c>
      <c r="F1509">
        <v>31.776635472037501</v>
      </c>
      <c r="G1509" s="1">
        <v>44623</v>
      </c>
      <c r="H1509" s="1">
        <v>44627</v>
      </c>
      <c r="I1509">
        <v>381.31962566444997</v>
      </c>
      <c r="J1509">
        <f t="shared" si="138"/>
        <v>4</v>
      </c>
      <c r="K1509" t="str">
        <f>VLOOKUP(B1509,Raw_Suppliers!$A$2:$G$101,2,FALSE)</f>
        <v>Vertex Vertex Inc</v>
      </c>
      <c r="L1509" t="str">
        <f>VLOOKUP(B1509,Raw_Suppliers!$A$2:$G$101,3,FALSE)</f>
        <v>USA</v>
      </c>
      <c r="M1509" t="str">
        <f>VLOOKUP(B1509,Raw_Suppliers!$A$2:$G$101,4,FALSE)</f>
        <v>West</v>
      </c>
      <c r="N1509" t="str">
        <f>VLOOKUP(B1509,Raw_Suppliers!$A$2:$G$101,6,FALSE)</f>
        <v>None</v>
      </c>
      <c r="O1509">
        <f>VLOOKUP(B1509,Raw_Suppliers!$A$2:$G$101,7,FALSE)</f>
        <v>0</v>
      </c>
      <c r="P1509" t="str">
        <f t="shared" si="139"/>
        <v>No</v>
      </c>
      <c r="Q1509">
        <f t="shared" si="140"/>
        <v>0</v>
      </c>
      <c r="R1509" t="str">
        <f t="shared" si="141"/>
        <v>Late</v>
      </c>
      <c r="S1509">
        <f t="shared" si="142"/>
        <v>2022</v>
      </c>
      <c r="T1509">
        <f t="shared" si="143"/>
        <v>2</v>
      </c>
    </row>
    <row r="1510" spans="1:20" x14ac:dyDescent="0.25">
      <c r="A1510" t="s">
        <v>1817</v>
      </c>
      <c r="B1510" t="s">
        <v>169</v>
      </c>
      <c r="C1510" t="s">
        <v>623</v>
      </c>
      <c r="D1510" s="1">
        <v>45275</v>
      </c>
      <c r="E1510">
        <v>10</v>
      </c>
      <c r="F1510">
        <v>74.580039659841702</v>
      </c>
      <c r="G1510" s="1">
        <v>45299</v>
      </c>
      <c r="H1510" s="1">
        <v>45301</v>
      </c>
      <c r="I1510">
        <v>745.80039659841702</v>
      </c>
      <c r="J1510">
        <f t="shared" si="138"/>
        <v>2</v>
      </c>
      <c r="K1510" t="str">
        <f>VLOOKUP(B1510,Raw_Suppliers!$A$2:$G$101,2,FALSE)</f>
        <v>Vertex Beta LLC</v>
      </c>
      <c r="L1510" t="str">
        <f>VLOOKUP(B1510,Raw_Suppliers!$A$2:$G$101,3,FALSE)</f>
        <v>China</v>
      </c>
      <c r="M1510" t="str">
        <f>VLOOKUP(B1510,Raw_Suppliers!$A$2:$G$101,4,FALSE)</f>
        <v>South</v>
      </c>
      <c r="N1510" t="str">
        <f>VLOOKUP(B1510,Raw_Suppliers!$A$2:$G$101,6,FALSE)</f>
        <v>ISO 14001</v>
      </c>
      <c r="O1510">
        <f>VLOOKUP(B1510,Raw_Suppliers!$A$2:$G$101,7,FALSE)</f>
        <v>0</v>
      </c>
      <c r="P1510" t="str">
        <f t="shared" si="139"/>
        <v>No</v>
      </c>
      <c r="Q1510">
        <f t="shared" si="140"/>
        <v>0</v>
      </c>
      <c r="R1510" t="str">
        <f t="shared" si="141"/>
        <v>Late</v>
      </c>
      <c r="S1510">
        <f t="shared" si="142"/>
        <v>2023</v>
      </c>
      <c r="T1510">
        <f t="shared" si="143"/>
        <v>12</v>
      </c>
    </row>
    <row r="1511" spans="1:20" x14ac:dyDescent="0.25">
      <c r="A1511" t="s">
        <v>1818</v>
      </c>
      <c r="B1511" t="s">
        <v>324</v>
      </c>
      <c r="C1511" t="s">
        <v>62</v>
      </c>
      <c r="D1511" s="1">
        <v>44455</v>
      </c>
      <c r="E1511">
        <v>16</v>
      </c>
      <c r="F1511">
        <v>16.177271037576201</v>
      </c>
      <c r="G1511" s="1">
        <v>44474</v>
      </c>
      <c r="H1511" s="1">
        <v>44479</v>
      </c>
      <c r="I1511">
        <v>258.83633660122001</v>
      </c>
      <c r="J1511">
        <f t="shared" si="138"/>
        <v>5</v>
      </c>
      <c r="K1511" t="str">
        <f>VLOOKUP(B1511,Raw_Suppliers!$A$2:$G$101,2,FALSE)</f>
        <v>Gamma Nano Corp</v>
      </c>
      <c r="L1511" t="str">
        <f>VLOOKUP(B1511,Raw_Suppliers!$A$2:$G$101,3,FALSE)</f>
        <v>Germany</v>
      </c>
      <c r="M1511" t="str">
        <f>VLOOKUP(B1511,Raw_Suppliers!$A$2:$G$101,4,FALSE)</f>
        <v>West</v>
      </c>
      <c r="N1511" t="str">
        <f>VLOOKUP(B1511,Raw_Suppliers!$A$2:$G$101,6,FALSE)</f>
        <v>ISO 9001</v>
      </c>
      <c r="O1511">
        <f>VLOOKUP(B1511,Raw_Suppliers!$A$2:$G$101,7,FALSE)</f>
        <v>0</v>
      </c>
      <c r="P1511" t="str">
        <f t="shared" si="139"/>
        <v>No</v>
      </c>
      <c r="Q1511">
        <f t="shared" si="140"/>
        <v>0</v>
      </c>
      <c r="R1511" t="str">
        <f t="shared" si="141"/>
        <v>Late</v>
      </c>
      <c r="S1511">
        <f t="shared" si="142"/>
        <v>2021</v>
      </c>
      <c r="T1511">
        <f t="shared" si="143"/>
        <v>9</v>
      </c>
    </row>
    <row r="1512" spans="1:20" x14ac:dyDescent="0.25">
      <c r="A1512" t="s">
        <v>1819</v>
      </c>
      <c r="B1512" t="s">
        <v>61</v>
      </c>
      <c r="C1512" t="s">
        <v>336</v>
      </c>
      <c r="D1512" s="1">
        <v>45287</v>
      </c>
      <c r="E1512">
        <v>15</v>
      </c>
      <c r="F1512">
        <v>11.8564011751325</v>
      </c>
      <c r="G1512" s="1">
        <v>45298</v>
      </c>
      <c r="H1512" s="1">
        <v>45304</v>
      </c>
      <c r="I1512">
        <v>177.84601762698799</v>
      </c>
      <c r="J1512">
        <f t="shared" si="138"/>
        <v>6</v>
      </c>
      <c r="K1512" t="str">
        <f>VLOOKUP(B1512,Raw_Suppliers!$A$2:$G$101,2,FALSE)</f>
        <v>Ultra Gamma LLC</v>
      </c>
      <c r="L1512" t="str">
        <f>VLOOKUP(B1512,Raw_Suppliers!$A$2:$G$101,3,FALSE)</f>
        <v>Canada</v>
      </c>
      <c r="M1512" t="str">
        <f>VLOOKUP(B1512,Raw_Suppliers!$A$2:$G$101,4,FALSE)</f>
        <v>North</v>
      </c>
      <c r="N1512" t="str">
        <f>VLOOKUP(B1512,Raw_Suppliers!$A$2:$G$101,6,FALSE)</f>
        <v>ISO 9001</v>
      </c>
      <c r="O1512">
        <f>VLOOKUP(B1512,Raw_Suppliers!$A$2:$G$101,7,FALSE)</f>
        <v>1</v>
      </c>
      <c r="P1512" t="str">
        <f t="shared" si="139"/>
        <v>Yes</v>
      </c>
      <c r="Q1512">
        <f t="shared" si="140"/>
        <v>0</v>
      </c>
      <c r="R1512" t="str">
        <f t="shared" si="141"/>
        <v>Late</v>
      </c>
      <c r="S1512">
        <f t="shared" si="142"/>
        <v>2023</v>
      </c>
      <c r="T1512">
        <f t="shared" si="143"/>
        <v>12</v>
      </c>
    </row>
    <row r="1513" spans="1:20" x14ac:dyDescent="0.25">
      <c r="A1513" t="s">
        <v>1820</v>
      </c>
      <c r="B1513" t="s">
        <v>539</v>
      </c>
      <c r="C1513" t="s">
        <v>71</v>
      </c>
      <c r="D1513" s="1">
        <v>45042</v>
      </c>
      <c r="E1513">
        <v>8</v>
      </c>
      <c r="F1513">
        <v>35.3874100191357</v>
      </c>
      <c r="G1513" s="1">
        <v>45063</v>
      </c>
      <c r="H1513" s="1">
        <v>45069</v>
      </c>
      <c r="I1513">
        <v>283.09928015308498</v>
      </c>
      <c r="J1513">
        <f t="shared" si="138"/>
        <v>6</v>
      </c>
      <c r="K1513" t="str">
        <f>VLOOKUP(B1513,Raw_Suppliers!$A$2:$G$101,2,FALSE)</f>
        <v>Eco Eco Ltd</v>
      </c>
      <c r="L1513" t="str">
        <f>VLOOKUP(B1513,Raw_Suppliers!$A$2:$G$101,3,FALSE)</f>
        <v>USA</v>
      </c>
      <c r="M1513" t="str">
        <f>VLOOKUP(B1513,Raw_Suppliers!$A$2:$G$101,4,FALSE)</f>
        <v>South</v>
      </c>
      <c r="N1513" t="str">
        <f>VLOOKUP(B1513,Raw_Suppliers!$A$2:$G$101,6,FALSE)</f>
        <v>ISO 45001</v>
      </c>
      <c r="O1513">
        <f>VLOOKUP(B1513,Raw_Suppliers!$A$2:$G$101,7,FALSE)</f>
        <v>1</v>
      </c>
      <c r="P1513" t="str">
        <f t="shared" si="139"/>
        <v>Yes</v>
      </c>
      <c r="Q1513">
        <f t="shared" si="140"/>
        <v>0</v>
      </c>
      <c r="R1513" t="str">
        <f t="shared" si="141"/>
        <v>Late</v>
      </c>
      <c r="S1513">
        <f t="shared" si="142"/>
        <v>2023</v>
      </c>
      <c r="T1513">
        <f t="shared" si="143"/>
        <v>4</v>
      </c>
    </row>
    <row r="1514" spans="1:20" x14ac:dyDescent="0.25">
      <c r="A1514" t="s">
        <v>1821</v>
      </c>
      <c r="B1514" t="s">
        <v>16</v>
      </c>
      <c r="C1514" t="s">
        <v>192</v>
      </c>
      <c r="D1514" s="1">
        <v>44796</v>
      </c>
      <c r="E1514">
        <v>13</v>
      </c>
      <c r="F1514">
        <v>29.468921333578901</v>
      </c>
      <c r="G1514" s="1">
        <v>44814</v>
      </c>
      <c r="H1514" s="1">
        <v>44819</v>
      </c>
      <c r="I1514">
        <v>383.09597733652498</v>
      </c>
      <c r="J1514">
        <f t="shared" si="138"/>
        <v>5</v>
      </c>
      <c r="K1514" t="str">
        <f>VLOOKUP(B1514,Raw_Suppliers!$A$2:$G$101,2,FALSE)</f>
        <v>Beta Pioneer Inc</v>
      </c>
      <c r="L1514" t="str">
        <f>VLOOKUP(B1514,Raw_Suppliers!$A$2:$G$101,3,FALSE)</f>
        <v>USA</v>
      </c>
      <c r="M1514" t="str">
        <f>VLOOKUP(B1514,Raw_Suppliers!$A$2:$G$101,4,FALSE)</f>
        <v>Central</v>
      </c>
      <c r="N1514" t="str">
        <f>VLOOKUP(B1514,Raw_Suppliers!$A$2:$G$101,6,FALSE)</f>
        <v>ISO 45001</v>
      </c>
      <c r="O1514">
        <f>VLOOKUP(B1514,Raw_Suppliers!$A$2:$G$101,7,FALSE)</f>
        <v>1</v>
      </c>
      <c r="P1514" t="str">
        <f t="shared" si="139"/>
        <v>Yes</v>
      </c>
      <c r="Q1514">
        <f t="shared" si="140"/>
        <v>0</v>
      </c>
      <c r="R1514" t="str">
        <f t="shared" si="141"/>
        <v>Late</v>
      </c>
      <c r="S1514">
        <f t="shared" si="142"/>
        <v>2022</v>
      </c>
      <c r="T1514">
        <f t="shared" si="143"/>
        <v>8</v>
      </c>
    </row>
    <row r="1515" spans="1:20" x14ac:dyDescent="0.25">
      <c r="A1515" t="s">
        <v>1822</v>
      </c>
      <c r="B1515" t="s">
        <v>135</v>
      </c>
      <c r="C1515" t="s">
        <v>276</v>
      </c>
      <c r="D1515" s="1">
        <v>45184</v>
      </c>
      <c r="E1515">
        <v>13</v>
      </c>
      <c r="F1515">
        <v>77.868361881781993</v>
      </c>
      <c r="G1515" s="1">
        <v>45200</v>
      </c>
      <c r="H1515" s="1">
        <v>45201</v>
      </c>
      <c r="I1515">
        <v>1012.28870446316</v>
      </c>
      <c r="J1515">
        <f t="shared" si="138"/>
        <v>1</v>
      </c>
      <c r="K1515" t="str">
        <f>VLOOKUP(B1515,Raw_Suppliers!$A$2:$G$101,2,FALSE)</f>
        <v>Alpha Prime Ltd</v>
      </c>
      <c r="L1515" t="str">
        <f>VLOOKUP(B1515,Raw_Suppliers!$A$2:$G$101,3,FALSE)</f>
        <v>UK</v>
      </c>
      <c r="M1515" t="str">
        <f>VLOOKUP(B1515,Raw_Suppliers!$A$2:$G$101,4,FALSE)</f>
        <v>East</v>
      </c>
      <c r="N1515" t="str">
        <f>VLOOKUP(B1515,Raw_Suppliers!$A$2:$G$101,6,FALSE)</f>
        <v>None</v>
      </c>
      <c r="O1515">
        <f>VLOOKUP(B1515,Raw_Suppliers!$A$2:$G$101,7,FALSE)</f>
        <v>1</v>
      </c>
      <c r="P1515" t="str">
        <f t="shared" si="139"/>
        <v>Yes</v>
      </c>
      <c r="Q1515">
        <f t="shared" si="140"/>
        <v>0</v>
      </c>
      <c r="R1515" t="str">
        <f t="shared" si="141"/>
        <v>Late</v>
      </c>
      <c r="S1515">
        <f t="shared" si="142"/>
        <v>2023</v>
      </c>
      <c r="T1515">
        <f t="shared" si="143"/>
        <v>9</v>
      </c>
    </row>
    <row r="1516" spans="1:20" x14ac:dyDescent="0.25">
      <c r="A1516" t="s">
        <v>1823</v>
      </c>
      <c r="B1516" t="s">
        <v>121</v>
      </c>
      <c r="C1516" t="s">
        <v>413</v>
      </c>
      <c r="D1516" s="1">
        <v>44383</v>
      </c>
      <c r="E1516">
        <v>9</v>
      </c>
      <c r="F1516">
        <v>62.752479931227398</v>
      </c>
      <c r="G1516" s="1">
        <v>44399</v>
      </c>
      <c r="H1516" s="1">
        <v>44396</v>
      </c>
      <c r="I1516">
        <v>564.77231938104603</v>
      </c>
      <c r="J1516">
        <f t="shared" si="138"/>
        <v>-3</v>
      </c>
      <c r="K1516" t="str">
        <f>VLOOKUP(B1516,Raw_Suppliers!$A$2:$G$101,2,FALSE)</f>
        <v>Vertex Vertex Inc</v>
      </c>
      <c r="L1516" t="str">
        <f>VLOOKUP(B1516,Raw_Suppliers!$A$2:$G$101,3,FALSE)</f>
        <v>USA</v>
      </c>
      <c r="M1516" t="str">
        <f>VLOOKUP(B1516,Raw_Suppliers!$A$2:$G$101,4,FALSE)</f>
        <v>West</v>
      </c>
      <c r="N1516" t="str">
        <f>VLOOKUP(B1516,Raw_Suppliers!$A$2:$G$101,6,FALSE)</f>
        <v>None</v>
      </c>
      <c r="O1516">
        <f>VLOOKUP(B1516,Raw_Suppliers!$A$2:$G$101,7,FALSE)</f>
        <v>0</v>
      </c>
      <c r="P1516" t="str">
        <f t="shared" si="139"/>
        <v>No</v>
      </c>
      <c r="Q1516">
        <f t="shared" si="140"/>
        <v>1</v>
      </c>
      <c r="R1516" t="str">
        <f t="shared" si="141"/>
        <v>On Time</v>
      </c>
      <c r="S1516">
        <f t="shared" si="142"/>
        <v>2021</v>
      </c>
      <c r="T1516">
        <f t="shared" si="143"/>
        <v>7</v>
      </c>
    </row>
    <row r="1517" spans="1:20" x14ac:dyDescent="0.25">
      <c r="A1517" t="s">
        <v>1824</v>
      </c>
      <c r="B1517" t="s">
        <v>288</v>
      </c>
      <c r="C1517" t="s">
        <v>489</v>
      </c>
      <c r="D1517" s="1">
        <v>44640</v>
      </c>
      <c r="E1517">
        <v>9</v>
      </c>
      <c r="F1517">
        <v>69.341536098205907</v>
      </c>
      <c r="G1517" s="1">
        <v>44652</v>
      </c>
      <c r="H1517" s="1">
        <v>44656</v>
      </c>
      <c r="I1517">
        <v>624.07382488385394</v>
      </c>
      <c r="J1517">
        <f t="shared" si="138"/>
        <v>4</v>
      </c>
      <c r="K1517" t="str">
        <f>VLOOKUP(B1517,Raw_Suppliers!$A$2:$G$101,2,FALSE)</f>
        <v>Alpha Beta LLC</v>
      </c>
      <c r="L1517" t="str">
        <f>VLOOKUP(B1517,Raw_Suppliers!$A$2:$G$101,3,FALSE)</f>
        <v>India</v>
      </c>
      <c r="M1517" t="str">
        <f>VLOOKUP(B1517,Raw_Suppliers!$A$2:$G$101,4,FALSE)</f>
        <v>West</v>
      </c>
      <c r="N1517" t="str">
        <f>VLOOKUP(B1517,Raw_Suppliers!$A$2:$G$101,6,FALSE)</f>
        <v>ISO 45001</v>
      </c>
      <c r="O1517">
        <f>VLOOKUP(B1517,Raw_Suppliers!$A$2:$G$101,7,FALSE)</f>
        <v>0</v>
      </c>
      <c r="P1517" t="str">
        <f t="shared" si="139"/>
        <v>No</v>
      </c>
      <c r="Q1517">
        <f t="shared" si="140"/>
        <v>0</v>
      </c>
      <c r="R1517" t="str">
        <f t="shared" si="141"/>
        <v>Late</v>
      </c>
      <c r="S1517">
        <f t="shared" si="142"/>
        <v>2022</v>
      </c>
      <c r="T1517">
        <f t="shared" si="143"/>
        <v>3</v>
      </c>
    </row>
    <row r="1518" spans="1:20" x14ac:dyDescent="0.25">
      <c r="A1518" t="s">
        <v>1825</v>
      </c>
      <c r="B1518" t="s">
        <v>482</v>
      </c>
      <c r="C1518" t="s">
        <v>693</v>
      </c>
      <c r="D1518" s="1">
        <v>44536</v>
      </c>
      <c r="E1518">
        <v>13</v>
      </c>
      <c r="F1518">
        <v>24.114484718924398</v>
      </c>
      <c r="G1518" s="1">
        <v>44546</v>
      </c>
      <c r="H1518" s="1">
        <v>44551</v>
      </c>
      <c r="I1518">
        <v>313.48830134601701</v>
      </c>
      <c r="J1518">
        <f t="shared" si="138"/>
        <v>5</v>
      </c>
      <c r="K1518" t="str">
        <f>VLOOKUP(B1518,Raw_Suppliers!$A$2:$G$101,2,FALSE)</f>
        <v>Eco Prime Corp</v>
      </c>
      <c r="L1518" t="str">
        <f>VLOOKUP(B1518,Raw_Suppliers!$A$2:$G$101,3,FALSE)</f>
        <v>China</v>
      </c>
      <c r="M1518" t="str">
        <f>VLOOKUP(B1518,Raw_Suppliers!$A$2:$G$101,4,FALSE)</f>
        <v>East</v>
      </c>
      <c r="N1518" t="str">
        <f>VLOOKUP(B1518,Raw_Suppliers!$A$2:$G$101,6,FALSE)</f>
        <v>ISO 45001</v>
      </c>
      <c r="O1518">
        <f>VLOOKUP(B1518,Raw_Suppliers!$A$2:$G$101,7,FALSE)</f>
        <v>1</v>
      </c>
      <c r="P1518" t="str">
        <f t="shared" si="139"/>
        <v>Yes</v>
      </c>
      <c r="Q1518">
        <f t="shared" si="140"/>
        <v>0</v>
      </c>
      <c r="R1518" t="str">
        <f t="shared" si="141"/>
        <v>Late</v>
      </c>
      <c r="S1518">
        <f t="shared" si="142"/>
        <v>2021</v>
      </c>
      <c r="T1518">
        <f t="shared" si="143"/>
        <v>12</v>
      </c>
    </row>
    <row r="1519" spans="1:20" x14ac:dyDescent="0.25">
      <c r="A1519" t="s">
        <v>1826</v>
      </c>
      <c r="B1519" t="s">
        <v>99</v>
      </c>
      <c r="C1519" t="s">
        <v>80</v>
      </c>
      <c r="D1519" s="1">
        <v>45345</v>
      </c>
      <c r="E1519">
        <v>10</v>
      </c>
      <c r="F1519">
        <v>38.399435863577601</v>
      </c>
      <c r="G1519" s="1">
        <v>45369</v>
      </c>
      <c r="H1519" s="1">
        <v>45373</v>
      </c>
      <c r="I1519">
        <v>383.994358635776</v>
      </c>
      <c r="J1519">
        <f t="shared" si="138"/>
        <v>4</v>
      </c>
      <c r="K1519" t="str">
        <f>VLOOKUP(B1519,Raw_Suppliers!$A$2:$G$101,2,FALSE)</f>
        <v>Gamma Nova LLC</v>
      </c>
      <c r="L1519" t="str">
        <f>VLOOKUP(B1519,Raw_Suppliers!$A$2:$G$101,3,FALSE)</f>
        <v>USA</v>
      </c>
      <c r="M1519" t="str">
        <f>VLOOKUP(B1519,Raw_Suppliers!$A$2:$G$101,4,FALSE)</f>
        <v>North</v>
      </c>
      <c r="N1519" t="str">
        <f>VLOOKUP(B1519,Raw_Suppliers!$A$2:$G$101,6,FALSE)</f>
        <v>ISO 9001</v>
      </c>
      <c r="O1519">
        <f>VLOOKUP(B1519,Raw_Suppliers!$A$2:$G$101,7,FALSE)</f>
        <v>0</v>
      </c>
      <c r="P1519" t="str">
        <f t="shared" si="139"/>
        <v>No</v>
      </c>
      <c r="Q1519">
        <f t="shared" si="140"/>
        <v>0</v>
      </c>
      <c r="R1519" t="str">
        <f t="shared" si="141"/>
        <v>Late</v>
      </c>
      <c r="S1519">
        <f t="shared" si="142"/>
        <v>2024</v>
      </c>
      <c r="T1519">
        <f t="shared" si="143"/>
        <v>2</v>
      </c>
    </row>
    <row r="1520" spans="1:20" x14ac:dyDescent="0.25">
      <c r="A1520" t="s">
        <v>1827</v>
      </c>
      <c r="B1520" t="s">
        <v>247</v>
      </c>
      <c r="C1520" t="s">
        <v>68</v>
      </c>
      <c r="D1520" s="1">
        <v>45378</v>
      </c>
      <c r="E1520">
        <v>10</v>
      </c>
      <c r="F1520">
        <v>73.1517898985404</v>
      </c>
      <c r="G1520" s="1">
        <v>45402</v>
      </c>
      <c r="H1520" s="1">
        <v>45400</v>
      </c>
      <c r="I1520">
        <v>731.51789898540403</v>
      </c>
      <c r="J1520">
        <f t="shared" si="138"/>
        <v>-2</v>
      </c>
      <c r="K1520" t="str">
        <f>VLOOKUP(B1520,Raw_Suppliers!$A$2:$G$101,2,FALSE)</f>
        <v>Ultra Apex LLC</v>
      </c>
      <c r="L1520" t="str">
        <f>VLOOKUP(B1520,Raw_Suppliers!$A$2:$G$101,3,FALSE)</f>
        <v>Germany</v>
      </c>
      <c r="M1520" t="str">
        <f>VLOOKUP(B1520,Raw_Suppliers!$A$2:$G$101,4,FALSE)</f>
        <v>West</v>
      </c>
      <c r="N1520" t="str">
        <f>VLOOKUP(B1520,Raw_Suppliers!$A$2:$G$101,6,FALSE)</f>
        <v>ISO 9001</v>
      </c>
      <c r="O1520">
        <f>VLOOKUP(B1520,Raw_Suppliers!$A$2:$G$101,7,FALSE)</f>
        <v>0</v>
      </c>
      <c r="P1520" t="str">
        <f t="shared" si="139"/>
        <v>No</v>
      </c>
      <c r="Q1520">
        <f t="shared" si="140"/>
        <v>1</v>
      </c>
      <c r="R1520" t="str">
        <f t="shared" si="141"/>
        <v>On Time</v>
      </c>
      <c r="S1520">
        <f t="shared" si="142"/>
        <v>2024</v>
      </c>
      <c r="T1520">
        <f t="shared" si="143"/>
        <v>3</v>
      </c>
    </row>
    <row r="1521" spans="1:20" x14ac:dyDescent="0.25">
      <c r="A1521" t="s">
        <v>1828</v>
      </c>
      <c r="B1521" t="s">
        <v>261</v>
      </c>
      <c r="C1521" t="s">
        <v>720</v>
      </c>
      <c r="D1521" s="1">
        <v>44327</v>
      </c>
      <c r="E1521">
        <v>5</v>
      </c>
      <c r="F1521">
        <v>26.913034375469799</v>
      </c>
      <c r="G1521" s="1">
        <v>44340</v>
      </c>
      <c r="H1521" s="1">
        <v>44340</v>
      </c>
      <c r="I1521">
        <v>134.565171877349</v>
      </c>
      <c r="J1521">
        <f t="shared" si="138"/>
        <v>0</v>
      </c>
      <c r="K1521" t="str">
        <f>VLOOKUP(B1521,Raw_Suppliers!$A$2:$G$101,2,FALSE)</f>
        <v>Delta Fusion Corp</v>
      </c>
      <c r="L1521" t="str">
        <f>VLOOKUP(B1521,Raw_Suppliers!$A$2:$G$101,3,FALSE)</f>
        <v>Denmark</v>
      </c>
      <c r="M1521" t="str">
        <f>VLOOKUP(B1521,Raw_Suppliers!$A$2:$G$101,4,FALSE)</f>
        <v>West</v>
      </c>
      <c r="N1521" t="str">
        <f>VLOOKUP(B1521,Raw_Suppliers!$A$2:$G$101,6,FALSE)</f>
        <v>ISO 45001</v>
      </c>
      <c r="O1521">
        <f>VLOOKUP(B1521,Raw_Suppliers!$A$2:$G$101,7,FALSE)</f>
        <v>0</v>
      </c>
      <c r="P1521" t="str">
        <f t="shared" si="139"/>
        <v>No</v>
      </c>
      <c r="Q1521">
        <f t="shared" si="140"/>
        <v>1</v>
      </c>
      <c r="R1521" t="str">
        <f t="shared" si="141"/>
        <v>On Time</v>
      </c>
      <c r="S1521">
        <f t="shared" si="142"/>
        <v>2021</v>
      </c>
      <c r="T1521">
        <f t="shared" si="143"/>
        <v>5</v>
      </c>
    </row>
    <row r="1522" spans="1:20" x14ac:dyDescent="0.25">
      <c r="A1522" t="s">
        <v>1829</v>
      </c>
      <c r="B1522" t="s">
        <v>28</v>
      </c>
      <c r="C1522" t="s">
        <v>214</v>
      </c>
      <c r="D1522" s="1">
        <v>44932</v>
      </c>
      <c r="E1522">
        <v>11</v>
      </c>
      <c r="F1522">
        <v>4.9434334459924996</v>
      </c>
      <c r="G1522" s="1">
        <v>44948</v>
      </c>
      <c r="H1522" s="1">
        <v>44949</v>
      </c>
      <c r="I1522">
        <v>54.377767905917501</v>
      </c>
      <c r="J1522">
        <f t="shared" si="138"/>
        <v>1</v>
      </c>
      <c r="K1522" t="str">
        <f>VLOOKUP(B1522,Raw_Suppliers!$A$2:$G$101,2,FALSE)</f>
        <v>Fusion Vertex Inc</v>
      </c>
      <c r="L1522" t="str">
        <f>VLOOKUP(B1522,Raw_Suppliers!$A$2:$G$101,3,FALSE)</f>
        <v>Denmark</v>
      </c>
      <c r="M1522" t="str">
        <f>VLOOKUP(B1522,Raw_Suppliers!$A$2:$G$101,4,FALSE)</f>
        <v>Central</v>
      </c>
      <c r="N1522" t="str">
        <f>VLOOKUP(B1522,Raw_Suppliers!$A$2:$G$101,6,FALSE)</f>
        <v>ISO 45001</v>
      </c>
      <c r="O1522">
        <f>VLOOKUP(B1522,Raw_Suppliers!$A$2:$G$101,7,FALSE)</f>
        <v>0</v>
      </c>
      <c r="P1522" t="str">
        <f t="shared" si="139"/>
        <v>No</v>
      </c>
      <c r="Q1522">
        <f t="shared" si="140"/>
        <v>0</v>
      </c>
      <c r="R1522" t="str">
        <f t="shared" si="141"/>
        <v>Late</v>
      </c>
      <c r="S1522">
        <f t="shared" si="142"/>
        <v>2023</v>
      </c>
      <c r="T1522">
        <f t="shared" si="143"/>
        <v>1</v>
      </c>
    </row>
    <row r="1523" spans="1:20" x14ac:dyDescent="0.25">
      <c r="A1523" t="s">
        <v>1830</v>
      </c>
      <c r="B1523" t="s">
        <v>16</v>
      </c>
      <c r="C1523" t="s">
        <v>400</v>
      </c>
      <c r="D1523" s="1">
        <v>45384</v>
      </c>
      <c r="E1523">
        <v>14</v>
      </c>
      <c r="F1523">
        <v>65.342210857455896</v>
      </c>
      <c r="G1523" s="1">
        <v>45406</v>
      </c>
      <c r="H1523" s="1">
        <v>45406</v>
      </c>
      <c r="I1523">
        <v>914.79095200438201</v>
      </c>
      <c r="J1523">
        <f t="shared" si="138"/>
        <v>0</v>
      </c>
      <c r="K1523" t="str">
        <f>VLOOKUP(B1523,Raw_Suppliers!$A$2:$G$101,2,FALSE)</f>
        <v>Beta Pioneer Inc</v>
      </c>
      <c r="L1523" t="str">
        <f>VLOOKUP(B1523,Raw_Suppliers!$A$2:$G$101,3,FALSE)</f>
        <v>USA</v>
      </c>
      <c r="M1523" t="str">
        <f>VLOOKUP(B1523,Raw_Suppliers!$A$2:$G$101,4,FALSE)</f>
        <v>Central</v>
      </c>
      <c r="N1523" t="str">
        <f>VLOOKUP(B1523,Raw_Suppliers!$A$2:$G$101,6,FALSE)</f>
        <v>ISO 45001</v>
      </c>
      <c r="O1523">
        <f>VLOOKUP(B1523,Raw_Suppliers!$A$2:$G$101,7,FALSE)</f>
        <v>1</v>
      </c>
      <c r="P1523" t="str">
        <f t="shared" si="139"/>
        <v>Yes</v>
      </c>
      <c r="Q1523">
        <f t="shared" si="140"/>
        <v>1</v>
      </c>
      <c r="R1523" t="str">
        <f t="shared" si="141"/>
        <v>On Time</v>
      </c>
      <c r="S1523">
        <f t="shared" si="142"/>
        <v>2024</v>
      </c>
      <c r="T1523">
        <f t="shared" si="143"/>
        <v>4</v>
      </c>
    </row>
    <row r="1524" spans="1:20" x14ac:dyDescent="0.25">
      <c r="A1524" t="s">
        <v>1831</v>
      </c>
      <c r="B1524" t="s">
        <v>293</v>
      </c>
      <c r="C1524" t="s">
        <v>391</v>
      </c>
      <c r="D1524" s="1">
        <v>45161</v>
      </c>
      <c r="E1524">
        <v>17</v>
      </c>
      <c r="F1524">
        <v>62.612269139025798</v>
      </c>
      <c r="G1524" s="1">
        <v>45171</v>
      </c>
      <c r="H1524" s="1">
        <v>45176</v>
      </c>
      <c r="I1524">
        <v>1064.4085753634299</v>
      </c>
      <c r="J1524">
        <f t="shared" si="138"/>
        <v>5</v>
      </c>
      <c r="K1524" t="str">
        <f>VLOOKUP(B1524,Raw_Suppliers!$A$2:$G$101,2,FALSE)</f>
        <v>Fusion Apex LLC</v>
      </c>
      <c r="L1524" t="str">
        <f>VLOOKUP(B1524,Raw_Suppliers!$A$2:$G$101,3,FALSE)</f>
        <v>India</v>
      </c>
      <c r="M1524" t="str">
        <f>VLOOKUP(B1524,Raw_Suppliers!$A$2:$G$101,4,FALSE)</f>
        <v>Central</v>
      </c>
      <c r="N1524" t="str">
        <f>VLOOKUP(B1524,Raw_Suppliers!$A$2:$G$101,6,FALSE)</f>
        <v>ISO 14001</v>
      </c>
      <c r="O1524">
        <f>VLOOKUP(B1524,Raw_Suppliers!$A$2:$G$101,7,FALSE)</f>
        <v>1</v>
      </c>
      <c r="P1524" t="str">
        <f t="shared" si="139"/>
        <v>Yes</v>
      </c>
      <c r="Q1524">
        <f t="shared" si="140"/>
        <v>0</v>
      </c>
      <c r="R1524" t="str">
        <f t="shared" si="141"/>
        <v>Late</v>
      </c>
      <c r="S1524">
        <f t="shared" si="142"/>
        <v>2023</v>
      </c>
      <c r="T1524">
        <f t="shared" si="143"/>
        <v>8</v>
      </c>
    </row>
    <row r="1525" spans="1:20" x14ac:dyDescent="0.25">
      <c r="A1525" t="s">
        <v>1832</v>
      </c>
      <c r="B1525" t="s">
        <v>22</v>
      </c>
      <c r="C1525" t="s">
        <v>434</v>
      </c>
      <c r="D1525" s="1">
        <v>44526</v>
      </c>
      <c r="E1525">
        <v>13</v>
      </c>
      <c r="F1525">
        <v>74.344472643230105</v>
      </c>
      <c r="G1525" s="1">
        <v>44540</v>
      </c>
      <c r="H1525" s="1">
        <v>44546</v>
      </c>
      <c r="I1525">
        <v>966.47814436199099</v>
      </c>
      <c r="J1525">
        <f t="shared" si="138"/>
        <v>6</v>
      </c>
      <c r="K1525" t="str">
        <f>VLOOKUP(B1525,Raw_Suppliers!$A$2:$G$101,2,FALSE)</f>
        <v>Delta Gamma Corp</v>
      </c>
      <c r="L1525" t="str">
        <f>VLOOKUP(B1525,Raw_Suppliers!$A$2:$G$101,3,FALSE)</f>
        <v>Denmark</v>
      </c>
      <c r="M1525" t="str">
        <f>VLOOKUP(B1525,Raw_Suppliers!$A$2:$G$101,4,FALSE)</f>
        <v>West</v>
      </c>
      <c r="N1525" t="str">
        <f>VLOOKUP(B1525,Raw_Suppliers!$A$2:$G$101,6,FALSE)</f>
        <v>ISO 45001</v>
      </c>
      <c r="O1525">
        <f>VLOOKUP(B1525,Raw_Suppliers!$A$2:$G$101,7,FALSE)</f>
        <v>1</v>
      </c>
      <c r="P1525" t="str">
        <f t="shared" si="139"/>
        <v>Yes</v>
      </c>
      <c r="Q1525">
        <f t="shared" si="140"/>
        <v>0</v>
      </c>
      <c r="R1525" t="str">
        <f t="shared" si="141"/>
        <v>Late</v>
      </c>
      <c r="S1525">
        <f t="shared" si="142"/>
        <v>2021</v>
      </c>
      <c r="T1525">
        <f t="shared" si="143"/>
        <v>11</v>
      </c>
    </row>
    <row r="1526" spans="1:20" x14ac:dyDescent="0.25">
      <c r="A1526" t="s">
        <v>1833</v>
      </c>
      <c r="B1526" t="s">
        <v>564</v>
      </c>
      <c r="C1526" t="s">
        <v>112</v>
      </c>
      <c r="D1526" s="1">
        <v>45264</v>
      </c>
      <c r="E1526">
        <v>8</v>
      </c>
      <c r="F1526">
        <v>53.072659126036001</v>
      </c>
      <c r="G1526" s="1">
        <v>45286</v>
      </c>
      <c r="H1526" s="1">
        <v>45290</v>
      </c>
      <c r="I1526">
        <v>424.58127300828801</v>
      </c>
      <c r="J1526">
        <f t="shared" si="138"/>
        <v>4</v>
      </c>
      <c r="K1526" t="str">
        <f>VLOOKUP(B1526,Raw_Suppliers!$A$2:$G$101,2,FALSE)</f>
        <v>Ultra Ultra GmbH</v>
      </c>
      <c r="L1526" t="str">
        <f>VLOOKUP(B1526,Raw_Suppliers!$A$2:$G$101,3,FALSE)</f>
        <v>India</v>
      </c>
      <c r="M1526" t="str">
        <f>VLOOKUP(B1526,Raw_Suppliers!$A$2:$G$101,4,FALSE)</f>
        <v>Central</v>
      </c>
      <c r="N1526" t="str">
        <f>VLOOKUP(B1526,Raw_Suppliers!$A$2:$G$101,6,FALSE)</f>
        <v>ISO 14001</v>
      </c>
      <c r="O1526">
        <f>VLOOKUP(B1526,Raw_Suppliers!$A$2:$G$101,7,FALSE)</f>
        <v>1</v>
      </c>
      <c r="P1526" t="str">
        <f t="shared" si="139"/>
        <v>Yes</v>
      </c>
      <c r="Q1526">
        <f t="shared" si="140"/>
        <v>0</v>
      </c>
      <c r="R1526" t="str">
        <f t="shared" si="141"/>
        <v>Late</v>
      </c>
      <c r="S1526">
        <f t="shared" si="142"/>
        <v>2023</v>
      </c>
      <c r="T1526">
        <f t="shared" si="143"/>
        <v>12</v>
      </c>
    </row>
    <row r="1527" spans="1:20" x14ac:dyDescent="0.25">
      <c r="A1527" t="s">
        <v>1834</v>
      </c>
      <c r="B1527" t="s">
        <v>485</v>
      </c>
      <c r="C1527" t="s">
        <v>338</v>
      </c>
      <c r="D1527" s="1">
        <v>44850</v>
      </c>
      <c r="E1527">
        <v>12</v>
      </c>
      <c r="F1527">
        <v>22.493777138393899</v>
      </c>
      <c r="G1527" s="1">
        <v>44868</v>
      </c>
      <c r="H1527" s="1">
        <v>44867</v>
      </c>
      <c r="I1527">
        <v>269.92532566072703</v>
      </c>
      <c r="J1527">
        <f t="shared" si="138"/>
        <v>-1</v>
      </c>
      <c r="K1527" t="str">
        <f>VLOOKUP(B1527,Raw_Suppliers!$A$2:$G$101,2,FALSE)</f>
        <v>Ultra Quantum Ltd</v>
      </c>
      <c r="L1527" t="str">
        <f>VLOOKUP(B1527,Raw_Suppliers!$A$2:$G$101,3,FALSE)</f>
        <v>Canada</v>
      </c>
      <c r="M1527" t="str">
        <f>VLOOKUP(B1527,Raw_Suppliers!$A$2:$G$101,4,FALSE)</f>
        <v>North</v>
      </c>
      <c r="N1527" t="str">
        <f>VLOOKUP(B1527,Raw_Suppliers!$A$2:$G$101,6,FALSE)</f>
        <v>ISO 14001</v>
      </c>
      <c r="O1527">
        <f>VLOOKUP(B1527,Raw_Suppliers!$A$2:$G$101,7,FALSE)</f>
        <v>0</v>
      </c>
      <c r="P1527" t="str">
        <f t="shared" si="139"/>
        <v>No</v>
      </c>
      <c r="Q1527">
        <f t="shared" si="140"/>
        <v>1</v>
      </c>
      <c r="R1527" t="str">
        <f t="shared" si="141"/>
        <v>On Time</v>
      </c>
      <c r="S1527">
        <f t="shared" si="142"/>
        <v>2022</v>
      </c>
      <c r="T1527">
        <f t="shared" si="143"/>
        <v>10</v>
      </c>
    </row>
    <row r="1528" spans="1:20" x14ac:dyDescent="0.25">
      <c r="A1528" t="s">
        <v>1835</v>
      </c>
      <c r="B1528" t="s">
        <v>556</v>
      </c>
      <c r="C1528" t="s">
        <v>152</v>
      </c>
      <c r="D1528" s="1">
        <v>45001</v>
      </c>
      <c r="E1528">
        <v>13</v>
      </c>
      <c r="F1528">
        <v>11.566258697614501</v>
      </c>
      <c r="G1528" s="1">
        <v>45019</v>
      </c>
      <c r="H1528" s="1">
        <v>45024</v>
      </c>
      <c r="I1528">
        <v>150.36136306898899</v>
      </c>
      <c r="J1528">
        <f t="shared" si="138"/>
        <v>5</v>
      </c>
      <c r="K1528" t="str">
        <f>VLOOKUP(B1528,Raw_Suppliers!$A$2:$G$101,2,FALSE)</f>
        <v>Ultra Delta Ltd</v>
      </c>
      <c r="L1528" t="str">
        <f>VLOOKUP(B1528,Raw_Suppliers!$A$2:$G$101,3,FALSE)</f>
        <v>China</v>
      </c>
      <c r="M1528" t="str">
        <f>VLOOKUP(B1528,Raw_Suppliers!$A$2:$G$101,4,FALSE)</f>
        <v>Central</v>
      </c>
      <c r="N1528" t="str">
        <f>VLOOKUP(B1528,Raw_Suppliers!$A$2:$G$101,6,FALSE)</f>
        <v>ISO 45001</v>
      </c>
      <c r="O1528">
        <f>VLOOKUP(B1528,Raw_Suppliers!$A$2:$G$101,7,FALSE)</f>
        <v>0</v>
      </c>
      <c r="P1528" t="str">
        <f t="shared" si="139"/>
        <v>No</v>
      </c>
      <c r="Q1528">
        <f t="shared" si="140"/>
        <v>0</v>
      </c>
      <c r="R1528" t="str">
        <f t="shared" si="141"/>
        <v>Late</v>
      </c>
      <c r="S1528">
        <f t="shared" si="142"/>
        <v>2023</v>
      </c>
      <c r="T1528">
        <f t="shared" si="143"/>
        <v>3</v>
      </c>
    </row>
    <row r="1529" spans="1:20" x14ac:dyDescent="0.25">
      <c r="A1529" t="s">
        <v>1836</v>
      </c>
      <c r="B1529" t="s">
        <v>70</v>
      </c>
      <c r="C1529" t="s">
        <v>336</v>
      </c>
      <c r="D1529" s="1">
        <v>44730</v>
      </c>
      <c r="E1529">
        <v>16</v>
      </c>
      <c r="F1529">
        <v>33.566455887918998</v>
      </c>
      <c r="G1529" s="1">
        <v>44740</v>
      </c>
      <c r="H1529" s="1">
        <v>44738</v>
      </c>
      <c r="I1529">
        <v>537.06329420670397</v>
      </c>
      <c r="J1529">
        <f t="shared" si="138"/>
        <v>-2</v>
      </c>
      <c r="K1529" t="str">
        <f>VLOOKUP(B1529,Raw_Suppliers!$A$2:$G$101,2,FALSE)</f>
        <v>Prime Nano Ltd</v>
      </c>
      <c r="L1529" t="str">
        <f>VLOOKUP(B1529,Raw_Suppliers!$A$2:$G$101,3,FALSE)</f>
        <v>USA</v>
      </c>
      <c r="M1529" t="str">
        <f>VLOOKUP(B1529,Raw_Suppliers!$A$2:$G$101,4,FALSE)</f>
        <v>Central</v>
      </c>
      <c r="N1529" t="str">
        <f>VLOOKUP(B1529,Raw_Suppliers!$A$2:$G$101,6,FALSE)</f>
        <v>ISO 45001</v>
      </c>
      <c r="O1529">
        <f>VLOOKUP(B1529,Raw_Suppliers!$A$2:$G$101,7,FALSE)</f>
        <v>0</v>
      </c>
      <c r="P1529" t="str">
        <f t="shared" si="139"/>
        <v>No</v>
      </c>
      <c r="Q1529">
        <f t="shared" si="140"/>
        <v>1</v>
      </c>
      <c r="R1529" t="str">
        <f t="shared" si="141"/>
        <v>On Time</v>
      </c>
      <c r="S1529">
        <f t="shared" si="142"/>
        <v>2022</v>
      </c>
      <c r="T1529">
        <f t="shared" si="143"/>
        <v>6</v>
      </c>
    </row>
    <row r="1530" spans="1:20" x14ac:dyDescent="0.25">
      <c r="A1530" t="s">
        <v>1837</v>
      </c>
      <c r="B1530" t="s">
        <v>350</v>
      </c>
      <c r="C1530" t="s">
        <v>425</v>
      </c>
      <c r="D1530" s="1">
        <v>44633</v>
      </c>
      <c r="E1530">
        <v>12</v>
      </c>
      <c r="F1530">
        <v>35.882672226645397</v>
      </c>
      <c r="G1530" s="1">
        <v>44652</v>
      </c>
      <c r="H1530" s="1">
        <v>44653</v>
      </c>
      <c r="I1530">
        <v>430.59206671974499</v>
      </c>
      <c r="J1530">
        <f t="shared" si="138"/>
        <v>1</v>
      </c>
      <c r="K1530" t="str">
        <f>VLOOKUP(B1530,Raw_Suppliers!$A$2:$G$101,2,FALSE)</f>
        <v>Prime Gamma GmbH</v>
      </c>
      <c r="L1530" t="str">
        <f>VLOOKUP(B1530,Raw_Suppliers!$A$2:$G$101,3,FALSE)</f>
        <v>Denmark</v>
      </c>
      <c r="M1530" t="str">
        <f>VLOOKUP(B1530,Raw_Suppliers!$A$2:$G$101,4,FALSE)</f>
        <v>West</v>
      </c>
      <c r="N1530" t="str">
        <f>VLOOKUP(B1530,Raw_Suppliers!$A$2:$G$101,6,FALSE)</f>
        <v>ISO 9001</v>
      </c>
      <c r="O1530">
        <f>VLOOKUP(B1530,Raw_Suppliers!$A$2:$G$101,7,FALSE)</f>
        <v>0</v>
      </c>
      <c r="P1530" t="str">
        <f t="shared" si="139"/>
        <v>No</v>
      </c>
      <c r="Q1530">
        <f t="shared" si="140"/>
        <v>0</v>
      </c>
      <c r="R1530" t="str">
        <f t="shared" si="141"/>
        <v>Late</v>
      </c>
      <c r="S1530">
        <f t="shared" si="142"/>
        <v>2022</v>
      </c>
      <c r="T1530">
        <f t="shared" si="143"/>
        <v>3</v>
      </c>
    </row>
    <row r="1531" spans="1:20" x14ac:dyDescent="0.25">
      <c r="A1531" t="s">
        <v>1838</v>
      </c>
      <c r="B1531" t="s">
        <v>176</v>
      </c>
      <c r="C1531" t="s">
        <v>470</v>
      </c>
      <c r="D1531" s="1">
        <v>45127</v>
      </c>
      <c r="E1531">
        <v>11</v>
      </c>
      <c r="F1531">
        <v>73.089818478634697</v>
      </c>
      <c r="G1531" s="1">
        <v>45137</v>
      </c>
      <c r="H1531" s="1">
        <v>45138</v>
      </c>
      <c r="I1531">
        <v>803.98800326498201</v>
      </c>
      <c r="J1531">
        <f t="shared" si="138"/>
        <v>1</v>
      </c>
      <c r="K1531" t="str">
        <f>VLOOKUP(B1531,Raw_Suppliers!$A$2:$G$101,2,FALSE)</f>
        <v>Nano Ultra Corp</v>
      </c>
      <c r="L1531" t="str">
        <f>VLOOKUP(B1531,Raw_Suppliers!$A$2:$G$101,3,FALSE)</f>
        <v>Canada</v>
      </c>
      <c r="M1531" t="str">
        <f>VLOOKUP(B1531,Raw_Suppliers!$A$2:$G$101,4,FALSE)</f>
        <v>Central</v>
      </c>
      <c r="N1531" t="str">
        <f>VLOOKUP(B1531,Raw_Suppliers!$A$2:$G$101,6,FALSE)</f>
        <v>ISO 9001</v>
      </c>
      <c r="O1531">
        <f>VLOOKUP(B1531,Raw_Suppliers!$A$2:$G$101,7,FALSE)</f>
        <v>0</v>
      </c>
      <c r="P1531" t="str">
        <f t="shared" si="139"/>
        <v>No</v>
      </c>
      <c r="Q1531">
        <f t="shared" si="140"/>
        <v>0</v>
      </c>
      <c r="R1531" t="str">
        <f t="shared" si="141"/>
        <v>Late</v>
      </c>
      <c r="S1531">
        <f t="shared" si="142"/>
        <v>2023</v>
      </c>
      <c r="T1531">
        <f t="shared" si="143"/>
        <v>7</v>
      </c>
    </row>
    <row r="1532" spans="1:20" x14ac:dyDescent="0.25">
      <c r="A1532" t="s">
        <v>1839</v>
      </c>
      <c r="B1532" t="s">
        <v>130</v>
      </c>
      <c r="C1532" t="s">
        <v>826</v>
      </c>
      <c r="D1532" s="1">
        <v>44320</v>
      </c>
      <c r="E1532">
        <v>9</v>
      </c>
      <c r="F1532">
        <v>77.633385999340206</v>
      </c>
      <c r="G1532" s="1">
        <v>44338</v>
      </c>
      <c r="H1532" s="1">
        <v>44342</v>
      </c>
      <c r="I1532">
        <v>698.70047399406201</v>
      </c>
      <c r="J1532">
        <f t="shared" si="138"/>
        <v>4</v>
      </c>
      <c r="K1532" t="str">
        <f>VLOOKUP(B1532,Raw_Suppliers!$A$2:$G$101,2,FALSE)</f>
        <v>Beta Gamma Corp</v>
      </c>
      <c r="L1532" t="str">
        <f>VLOOKUP(B1532,Raw_Suppliers!$A$2:$G$101,3,FALSE)</f>
        <v>USA</v>
      </c>
      <c r="M1532" t="str">
        <f>VLOOKUP(B1532,Raw_Suppliers!$A$2:$G$101,4,FALSE)</f>
        <v>West</v>
      </c>
      <c r="N1532" t="str">
        <f>VLOOKUP(B1532,Raw_Suppliers!$A$2:$G$101,6,FALSE)</f>
        <v>None</v>
      </c>
      <c r="O1532">
        <f>VLOOKUP(B1532,Raw_Suppliers!$A$2:$G$101,7,FALSE)</f>
        <v>0</v>
      </c>
      <c r="P1532" t="str">
        <f t="shared" si="139"/>
        <v>No</v>
      </c>
      <c r="Q1532">
        <f t="shared" si="140"/>
        <v>0</v>
      </c>
      <c r="R1532" t="str">
        <f t="shared" si="141"/>
        <v>Late</v>
      </c>
      <c r="S1532">
        <f t="shared" si="142"/>
        <v>2021</v>
      </c>
      <c r="T1532">
        <f t="shared" si="143"/>
        <v>5</v>
      </c>
    </row>
    <row r="1533" spans="1:20" x14ac:dyDescent="0.25">
      <c r="A1533" t="s">
        <v>1840</v>
      </c>
      <c r="B1533" t="s">
        <v>247</v>
      </c>
      <c r="C1533" t="s">
        <v>623</v>
      </c>
      <c r="D1533" s="1">
        <v>44832</v>
      </c>
      <c r="E1533">
        <v>9</v>
      </c>
      <c r="F1533">
        <v>71.472871196071694</v>
      </c>
      <c r="G1533" s="1">
        <v>44853</v>
      </c>
      <c r="H1533" s="1">
        <v>44854</v>
      </c>
      <c r="I1533">
        <v>643.25584076464497</v>
      </c>
      <c r="J1533">
        <f t="shared" si="138"/>
        <v>1</v>
      </c>
      <c r="K1533" t="str">
        <f>VLOOKUP(B1533,Raw_Suppliers!$A$2:$G$101,2,FALSE)</f>
        <v>Ultra Apex LLC</v>
      </c>
      <c r="L1533" t="str">
        <f>VLOOKUP(B1533,Raw_Suppliers!$A$2:$G$101,3,FALSE)</f>
        <v>Germany</v>
      </c>
      <c r="M1533" t="str">
        <f>VLOOKUP(B1533,Raw_Suppliers!$A$2:$G$101,4,FALSE)</f>
        <v>West</v>
      </c>
      <c r="N1533" t="str">
        <f>VLOOKUP(B1533,Raw_Suppliers!$A$2:$G$101,6,FALSE)</f>
        <v>ISO 9001</v>
      </c>
      <c r="O1533">
        <f>VLOOKUP(B1533,Raw_Suppliers!$A$2:$G$101,7,FALSE)</f>
        <v>0</v>
      </c>
      <c r="P1533" t="str">
        <f t="shared" si="139"/>
        <v>No</v>
      </c>
      <c r="Q1533">
        <f t="shared" si="140"/>
        <v>0</v>
      </c>
      <c r="R1533" t="str">
        <f t="shared" si="141"/>
        <v>Late</v>
      </c>
      <c r="S1533">
        <f t="shared" si="142"/>
        <v>2022</v>
      </c>
      <c r="T1533">
        <f t="shared" si="143"/>
        <v>9</v>
      </c>
    </row>
    <row r="1534" spans="1:20" x14ac:dyDescent="0.25">
      <c r="A1534" t="s">
        <v>1841</v>
      </c>
      <c r="B1534" t="s">
        <v>219</v>
      </c>
      <c r="C1534" t="s">
        <v>259</v>
      </c>
      <c r="D1534" s="1">
        <v>45193</v>
      </c>
      <c r="E1534">
        <v>11</v>
      </c>
      <c r="F1534">
        <v>55.8252003681826</v>
      </c>
      <c r="G1534" s="1">
        <v>45205</v>
      </c>
      <c r="H1534" s="1">
        <v>45206</v>
      </c>
      <c r="I1534">
        <v>614.07720405000805</v>
      </c>
      <c r="J1534">
        <f t="shared" si="138"/>
        <v>1</v>
      </c>
      <c r="K1534" t="str">
        <f>VLOOKUP(B1534,Raw_Suppliers!$A$2:$G$101,2,FALSE)</f>
        <v>Quantum Quantum Ltd</v>
      </c>
      <c r="L1534" t="str">
        <f>VLOOKUP(B1534,Raw_Suppliers!$A$2:$G$101,3,FALSE)</f>
        <v>USA</v>
      </c>
      <c r="M1534" t="str">
        <f>VLOOKUP(B1534,Raw_Suppliers!$A$2:$G$101,4,FALSE)</f>
        <v>South</v>
      </c>
      <c r="N1534" t="str">
        <f>VLOOKUP(B1534,Raw_Suppliers!$A$2:$G$101,6,FALSE)</f>
        <v>ISO 14001</v>
      </c>
      <c r="O1534">
        <f>VLOOKUP(B1534,Raw_Suppliers!$A$2:$G$101,7,FALSE)</f>
        <v>0</v>
      </c>
      <c r="P1534" t="str">
        <f t="shared" si="139"/>
        <v>No</v>
      </c>
      <c r="Q1534">
        <f t="shared" si="140"/>
        <v>0</v>
      </c>
      <c r="R1534" t="str">
        <f t="shared" si="141"/>
        <v>Late</v>
      </c>
      <c r="S1534">
        <f t="shared" si="142"/>
        <v>2023</v>
      </c>
      <c r="T1534">
        <f t="shared" si="143"/>
        <v>9</v>
      </c>
    </row>
    <row r="1535" spans="1:20" x14ac:dyDescent="0.25">
      <c r="A1535" t="s">
        <v>1842</v>
      </c>
      <c r="B1535" t="s">
        <v>293</v>
      </c>
      <c r="C1535" t="s">
        <v>136</v>
      </c>
      <c r="D1535" s="1">
        <v>45002</v>
      </c>
      <c r="E1535">
        <v>11</v>
      </c>
      <c r="F1535">
        <v>66.251104463119603</v>
      </c>
      <c r="G1535" s="1">
        <v>45022</v>
      </c>
      <c r="H1535" s="1">
        <v>45027</v>
      </c>
      <c r="I1535">
        <v>728.76214909431599</v>
      </c>
      <c r="J1535">
        <f t="shared" si="138"/>
        <v>5</v>
      </c>
      <c r="K1535" t="str">
        <f>VLOOKUP(B1535,Raw_Suppliers!$A$2:$G$101,2,FALSE)</f>
        <v>Fusion Apex LLC</v>
      </c>
      <c r="L1535" t="str">
        <f>VLOOKUP(B1535,Raw_Suppliers!$A$2:$G$101,3,FALSE)</f>
        <v>India</v>
      </c>
      <c r="M1535" t="str">
        <f>VLOOKUP(B1535,Raw_Suppliers!$A$2:$G$101,4,FALSE)</f>
        <v>Central</v>
      </c>
      <c r="N1535" t="str">
        <f>VLOOKUP(B1535,Raw_Suppliers!$A$2:$G$101,6,FALSE)</f>
        <v>ISO 14001</v>
      </c>
      <c r="O1535">
        <f>VLOOKUP(B1535,Raw_Suppliers!$A$2:$G$101,7,FALSE)</f>
        <v>1</v>
      </c>
      <c r="P1535" t="str">
        <f t="shared" si="139"/>
        <v>Yes</v>
      </c>
      <c r="Q1535">
        <f t="shared" si="140"/>
        <v>0</v>
      </c>
      <c r="R1535" t="str">
        <f t="shared" si="141"/>
        <v>Late</v>
      </c>
      <c r="S1535">
        <f t="shared" si="142"/>
        <v>2023</v>
      </c>
      <c r="T1535">
        <f t="shared" si="143"/>
        <v>3</v>
      </c>
    </row>
    <row r="1536" spans="1:20" x14ac:dyDescent="0.25">
      <c r="A1536" t="s">
        <v>1843</v>
      </c>
      <c r="B1536" t="s">
        <v>43</v>
      </c>
      <c r="C1536" t="s">
        <v>47</v>
      </c>
      <c r="D1536" s="1">
        <v>45015</v>
      </c>
      <c r="E1536">
        <v>10</v>
      </c>
      <c r="F1536">
        <v>19.610636805265099</v>
      </c>
      <c r="G1536" s="1">
        <v>45031</v>
      </c>
      <c r="H1536" s="1">
        <v>45030</v>
      </c>
      <c r="I1536">
        <v>196.10636805265099</v>
      </c>
      <c r="J1536">
        <f t="shared" si="138"/>
        <v>-1</v>
      </c>
      <c r="K1536" t="str">
        <f>VLOOKUP(B1536,Raw_Suppliers!$A$2:$G$101,2,FALSE)</f>
        <v>Alpha Ultra Corp</v>
      </c>
      <c r="L1536" t="str">
        <f>VLOOKUP(B1536,Raw_Suppliers!$A$2:$G$101,3,FALSE)</f>
        <v>USA</v>
      </c>
      <c r="M1536" t="str">
        <f>VLOOKUP(B1536,Raw_Suppliers!$A$2:$G$101,4,FALSE)</f>
        <v>Central</v>
      </c>
      <c r="N1536" t="str">
        <f>VLOOKUP(B1536,Raw_Suppliers!$A$2:$G$101,6,FALSE)</f>
        <v>ISO 9001</v>
      </c>
      <c r="O1536">
        <f>VLOOKUP(B1536,Raw_Suppliers!$A$2:$G$101,7,FALSE)</f>
        <v>1</v>
      </c>
      <c r="P1536" t="str">
        <f t="shared" si="139"/>
        <v>Yes</v>
      </c>
      <c r="Q1536">
        <f t="shared" si="140"/>
        <v>1</v>
      </c>
      <c r="R1536" t="str">
        <f t="shared" si="141"/>
        <v>On Time</v>
      </c>
      <c r="S1536">
        <f t="shared" si="142"/>
        <v>2023</v>
      </c>
      <c r="T1536">
        <f t="shared" si="143"/>
        <v>3</v>
      </c>
    </row>
    <row r="1537" spans="1:20" x14ac:dyDescent="0.25">
      <c r="A1537" t="s">
        <v>1844</v>
      </c>
      <c r="B1537" t="s">
        <v>140</v>
      </c>
      <c r="C1537" t="s">
        <v>297</v>
      </c>
      <c r="D1537" s="1">
        <v>45064</v>
      </c>
      <c r="E1537">
        <v>10</v>
      </c>
      <c r="F1537">
        <v>43.684512522018302</v>
      </c>
      <c r="G1537" s="1">
        <v>45083</v>
      </c>
      <c r="H1537" s="1">
        <v>45084</v>
      </c>
      <c r="I1537">
        <v>436.84512522018298</v>
      </c>
      <c r="J1537">
        <f t="shared" si="138"/>
        <v>1</v>
      </c>
      <c r="K1537" t="str">
        <f>VLOOKUP(B1537,Raw_Suppliers!$A$2:$G$101,2,FALSE)</f>
        <v>Gamma Quantum Inc</v>
      </c>
      <c r="L1537" t="str">
        <f>VLOOKUP(B1537,Raw_Suppliers!$A$2:$G$101,3,FALSE)</f>
        <v>Germany</v>
      </c>
      <c r="M1537" t="str">
        <f>VLOOKUP(B1537,Raw_Suppliers!$A$2:$G$101,4,FALSE)</f>
        <v>North</v>
      </c>
      <c r="N1537" t="str">
        <f>VLOOKUP(B1537,Raw_Suppliers!$A$2:$G$101,6,FALSE)</f>
        <v>None</v>
      </c>
      <c r="O1537">
        <f>VLOOKUP(B1537,Raw_Suppliers!$A$2:$G$101,7,FALSE)</f>
        <v>1</v>
      </c>
      <c r="P1537" t="str">
        <f t="shared" si="139"/>
        <v>Yes</v>
      </c>
      <c r="Q1537">
        <f t="shared" si="140"/>
        <v>0</v>
      </c>
      <c r="R1537" t="str">
        <f t="shared" si="141"/>
        <v>Late</v>
      </c>
      <c r="S1537">
        <f t="shared" si="142"/>
        <v>2023</v>
      </c>
      <c r="T1537">
        <f t="shared" si="143"/>
        <v>5</v>
      </c>
    </row>
    <row r="1538" spans="1:20" x14ac:dyDescent="0.25">
      <c r="A1538" t="s">
        <v>1845</v>
      </c>
      <c r="B1538" t="s">
        <v>176</v>
      </c>
      <c r="C1538" t="s">
        <v>167</v>
      </c>
      <c r="D1538" s="1">
        <v>44980</v>
      </c>
      <c r="E1538">
        <v>19</v>
      </c>
      <c r="F1538">
        <v>6.3226400779017196</v>
      </c>
      <c r="G1538" s="1">
        <v>45004</v>
      </c>
      <c r="H1538" s="1">
        <v>45005</v>
      </c>
      <c r="I1538">
        <v>120.130161480132</v>
      </c>
      <c r="J1538">
        <f t="shared" si="138"/>
        <v>1</v>
      </c>
      <c r="K1538" t="str">
        <f>VLOOKUP(B1538,Raw_Suppliers!$A$2:$G$101,2,FALSE)</f>
        <v>Nano Ultra Corp</v>
      </c>
      <c r="L1538" t="str">
        <f>VLOOKUP(B1538,Raw_Suppliers!$A$2:$G$101,3,FALSE)</f>
        <v>Canada</v>
      </c>
      <c r="M1538" t="str">
        <f>VLOOKUP(B1538,Raw_Suppliers!$A$2:$G$101,4,FALSE)</f>
        <v>Central</v>
      </c>
      <c r="N1538" t="str">
        <f>VLOOKUP(B1538,Raw_Suppliers!$A$2:$G$101,6,FALSE)</f>
        <v>ISO 9001</v>
      </c>
      <c r="O1538">
        <f>VLOOKUP(B1538,Raw_Suppliers!$A$2:$G$101,7,FALSE)</f>
        <v>0</v>
      </c>
      <c r="P1538" t="str">
        <f t="shared" si="139"/>
        <v>No</v>
      </c>
      <c r="Q1538">
        <f t="shared" si="140"/>
        <v>0</v>
      </c>
      <c r="R1538" t="str">
        <f t="shared" si="141"/>
        <v>Late</v>
      </c>
      <c r="S1538">
        <f t="shared" si="142"/>
        <v>2023</v>
      </c>
      <c r="T1538">
        <f t="shared" si="143"/>
        <v>2</v>
      </c>
    </row>
    <row r="1539" spans="1:20" x14ac:dyDescent="0.25">
      <c r="A1539" t="s">
        <v>1846</v>
      </c>
      <c r="B1539" t="s">
        <v>216</v>
      </c>
      <c r="C1539" t="s">
        <v>29</v>
      </c>
      <c r="D1539" s="1">
        <v>44757</v>
      </c>
      <c r="E1539">
        <v>8</v>
      </c>
      <c r="F1539">
        <v>60.414392513811698</v>
      </c>
      <c r="G1539" s="1">
        <v>44777</v>
      </c>
      <c r="H1539" s="1">
        <v>44778</v>
      </c>
      <c r="I1539">
        <v>483.31514011049399</v>
      </c>
      <c r="J1539">
        <f t="shared" ref="J1539:J1602" si="144">H1539-G1539</f>
        <v>1</v>
      </c>
      <c r="K1539" t="str">
        <f>VLOOKUP(B1539,Raw_Suppliers!$A$2:$G$101,2,FALSE)</f>
        <v>Fusion Delta LLC</v>
      </c>
      <c r="L1539" t="str">
        <f>VLOOKUP(B1539,Raw_Suppliers!$A$2:$G$101,3,FALSE)</f>
        <v>Brazil</v>
      </c>
      <c r="M1539" t="str">
        <f>VLOOKUP(B1539,Raw_Suppliers!$A$2:$G$101,4,FALSE)</f>
        <v>Central</v>
      </c>
      <c r="N1539" t="str">
        <f>VLOOKUP(B1539,Raw_Suppliers!$A$2:$G$101,6,FALSE)</f>
        <v>ISO 14001</v>
      </c>
      <c r="O1539">
        <f>VLOOKUP(B1539,Raw_Suppliers!$A$2:$G$101,7,FALSE)</f>
        <v>0</v>
      </c>
      <c r="P1539" t="str">
        <f t="shared" ref="P1539:P1602" si="145">IF(O1539=1,"Yes","No")</f>
        <v>No</v>
      </c>
      <c r="Q1539">
        <f t="shared" ref="Q1539:Q1602" si="146">IF(J1539&lt;=0,1,0)</f>
        <v>0</v>
      </c>
      <c r="R1539" t="str">
        <f t="shared" ref="R1539:R1602" si="147">IF(Q1539=1,"On Time","Late")</f>
        <v>Late</v>
      </c>
      <c r="S1539">
        <f t="shared" ref="S1539:S1602" si="148">YEAR(D1539)</f>
        <v>2022</v>
      </c>
      <c r="T1539">
        <f t="shared" ref="T1539:T1602" si="149">MONTH(D1539)</f>
        <v>7</v>
      </c>
    </row>
    <row r="1540" spans="1:20" x14ac:dyDescent="0.25">
      <c r="A1540" t="s">
        <v>1847</v>
      </c>
      <c r="B1540" t="s">
        <v>88</v>
      </c>
      <c r="C1540" t="s">
        <v>1362</v>
      </c>
      <c r="D1540" s="1">
        <v>44470</v>
      </c>
      <c r="E1540">
        <v>9</v>
      </c>
      <c r="F1540">
        <v>71.489123069432196</v>
      </c>
      <c r="G1540" s="1">
        <v>44488</v>
      </c>
      <c r="H1540" s="1">
        <v>44493</v>
      </c>
      <c r="I1540">
        <v>643.40210762489005</v>
      </c>
      <c r="J1540">
        <f t="shared" si="144"/>
        <v>5</v>
      </c>
      <c r="K1540" t="str">
        <f>VLOOKUP(B1540,Raw_Suppliers!$A$2:$G$101,2,FALSE)</f>
        <v>Eco Nano GmbH</v>
      </c>
      <c r="L1540" t="str">
        <f>VLOOKUP(B1540,Raw_Suppliers!$A$2:$G$101,3,FALSE)</f>
        <v>Denmark</v>
      </c>
      <c r="M1540" t="str">
        <f>VLOOKUP(B1540,Raw_Suppliers!$A$2:$G$101,4,FALSE)</f>
        <v>Central</v>
      </c>
      <c r="N1540" t="str">
        <f>VLOOKUP(B1540,Raw_Suppliers!$A$2:$G$101,6,FALSE)</f>
        <v>ISO 9001</v>
      </c>
      <c r="O1540">
        <f>VLOOKUP(B1540,Raw_Suppliers!$A$2:$G$101,7,FALSE)</f>
        <v>1</v>
      </c>
      <c r="P1540" t="str">
        <f t="shared" si="145"/>
        <v>Yes</v>
      </c>
      <c r="Q1540">
        <f t="shared" si="146"/>
        <v>0</v>
      </c>
      <c r="R1540" t="str">
        <f t="shared" si="147"/>
        <v>Late</v>
      </c>
      <c r="S1540">
        <f t="shared" si="148"/>
        <v>2021</v>
      </c>
      <c r="T1540">
        <f t="shared" si="149"/>
        <v>10</v>
      </c>
    </row>
    <row r="1541" spans="1:20" x14ac:dyDescent="0.25">
      <c r="A1541" t="s">
        <v>1848</v>
      </c>
      <c r="B1541" t="s">
        <v>19</v>
      </c>
      <c r="C1541" t="s">
        <v>589</v>
      </c>
      <c r="D1541" s="1">
        <v>45288</v>
      </c>
      <c r="E1541">
        <v>12</v>
      </c>
      <c r="F1541">
        <v>15.0178011074356</v>
      </c>
      <c r="G1541" s="1">
        <v>45308</v>
      </c>
      <c r="H1541" s="1">
        <v>45308</v>
      </c>
      <c r="I1541">
        <v>180.21361328922799</v>
      </c>
      <c r="J1541">
        <f t="shared" si="144"/>
        <v>0</v>
      </c>
      <c r="K1541" t="str">
        <f>VLOOKUP(B1541,Raw_Suppliers!$A$2:$G$101,2,FALSE)</f>
        <v>Nova Beta Corp</v>
      </c>
      <c r="L1541" t="str">
        <f>VLOOKUP(B1541,Raw_Suppliers!$A$2:$G$101,3,FALSE)</f>
        <v>Brazil</v>
      </c>
      <c r="M1541" t="str">
        <f>VLOOKUP(B1541,Raw_Suppliers!$A$2:$G$101,4,FALSE)</f>
        <v>South</v>
      </c>
      <c r="N1541" t="str">
        <f>VLOOKUP(B1541,Raw_Suppliers!$A$2:$G$101,6,FALSE)</f>
        <v>ISO 14001</v>
      </c>
      <c r="O1541">
        <f>VLOOKUP(B1541,Raw_Suppliers!$A$2:$G$101,7,FALSE)</f>
        <v>1</v>
      </c>
      <c r="P1541" t="str">
        <f t="shared" si="145"/>
        <v>Yes</v>
      </c>
      <c r="Q1541">
        <f t="shared" si="146"/>
        <v>1</v>
      </c>
      <c r="R1541" t="str">
        <f t="shared" si="147"/>
        <v>On Time</v>
      </c>
      <c r="S1541">
        <f t="shared" si="148"/>
        <v>2023</v>
      </c>
      <c r="T1541">
        <f t="shared" si="149"/>
        <v>12</v>
      </c>
    </row>
    <row r="1542" spans="1:20" x14ac:dyDescent="0.25">
      <c r="A1542" t="s">
        <v>1849</v>
      </c>
      <c r="B1542" t="s">
        <v>52</v>
      </c>
      <c r="C1542" t="s">
        <v>763</v>
      </c>
      <c r="D1542" s="1">
        <v>44379</v>
      </c>
      <c r="E1542">
        <v>7</v>
      </c>
      <c r="F1542">
        <v>52.624284958041102</v>
      </c>
      <c r="G1542" s="1">
        <v>44401</v>
      </c>
      <c r="H1542" s="1">
        <v>44404</v>
      </c>
      <c r="I1542">
        <v>368.369994706287</v>
      </c>
      <c r="J1542">
        <f t="shared" si="144"/>
        <v>3</v>
      </c>
      <c r="K1542" t="str">
        <f>VLOOKUP(B1542,Raw_Suppliers!$A$2:$G$101,2,FALSE)</f>
        <v>Beta Nano Corp</v>
      </c>
      <c r="L1542" t="str">
        <f>VLOOKUP(B1542,Raw_Suppliers!$A$2:$G$101,3,FALSE)</f>
        <v>UK</v>
      </c>
      <c r="M1542" t="str">
        <f>VLOOKUP(B1542,Raw_Suppliers!$A$2:$G$101,4,FALSE)</f>
        <v>Central</v>
      </c>
      <c r="N1542" t="str">
        <f>VLOOKUP(B1542,Raw_Suppliers!$A$2:$G$101,6,FALSE)</f>
        <v>ISO 45001</v>
      </c>
      <c r="O1542">
        <f>VLOOKUP(B1542,Raw_Suppliers!$A$2:$G$101,7,FALSE)</f>
        <v>0</v>
      </c>
      <c r="P1542" t="str">
        <f t="shared" si="145"/>
        <v>No</v>
      </c>
      <c r="Q1542">
        <f t="shared" si="146"/>
        <v>0</v>
      </c>
      <c r="R1542" t="str">
        <f t="shared" si="147"/>
        <v>Late</v>
      </c>
      <c r="S1542">
        <f t="shared" si="148"/>
        <v>2021</v>
      </c>
      <c r="T1542">
        <f t="shared" si="149"/>
        <v>7</v>
      </c>
    </row>
    <row r="1543" spans="1:20" x14ac:dyDescent="0.25">
      <c r="A1543" t="s">
        <v>1850</v>
      </c>
      <c r="B1543" t="s">
        <v>186</v>
      </c>
      <c r="C1543" t="s">
        <v>212</v>
      </c>
      <c r="D1543" s="1">
        <v>44309</v>
      </c>
      <c r="E1543">
        <v>14</v>
      </c>
      <c r="F1543">
        <v>58.9262339102428</v>
      </c>
      <c r="G1543" s="1">
        <v>44329</v>
      </c>
      <c r="H1543" s="1">
        <v>44328</v>
      </c>
      <c r="I1543">
        <v>824.96727474340003</v>
      </c>
      <c r="J1543">
        <f t="shared" si="144"/>
        <v>-1</v>
      </c>
      <c r="K1543" t="str">
        <f>VLOOKUP(B1543,Raw_Suppliers!$A$2:$G$101,2,FALSE)</f>
        <v>Omega Vertex Inc</v>
      </c>
      <c r="L1543" t="str">
        <f>VLOOKUP(B1543,Raw_Suppliers!$A$2:$G$101,3,FALSE)</f>
        <v>China</v>
      </c>
      <c r="M1543" t="str">
        <f>VLOOKUP(B1543,Raw_Suppliers!$A$2:$G$101,4,FALSE)</f>
        <v>West</v>
      </c>
      <c r="N1543" t="str">
        <f>VLOOKUP(B1543,Raw_Suppliers!$A$2:$G$101,6,FALSE)</f>
        <v>ISO 14001</v>
      </c>
      <c r="O1543">
        <f>VLOOKUP(B1543,Raw_Suppliers!$A$2:$G$101,7,FALSE)</f>
        <v>1</v>
      </c>
      <c r="P1543" t="str">
        <f t="shared" si="145"/>
        <v>Yes</v>
      </c>
      <c r="Q1543">
        <f t="shared" si="146"/>
        <v>1</v>
      </c>
      <c r="R1543" t="str">
        <f t="shared" si="147"/>
        <v>On Time</v>
      </c>
      <c r="S1543">
        <f t="shared" si="148"/>
        <v>2021</v>
      </c>
      <c r="T1543">
        <f t="shared" si="149"/>
        <v>4</v>
      </c>
    </row>
    <row r="1544" spans="1:20" x14ac:dyDescent="0.25">
      <c r="A1544" t="s">
        <v>1851</v>
      </c>
      <c r="B1544" t="s">
        <v>240</v>
      </c>
      <c r="C1544" t="s">
        <v>243</v>
      </c>
      <c r="D1544" s="1">
        <v>44831</v>
      </c>
      <c r="E1544">
        <v>14</v>
      </c>
      <c r="F1544">
        <v>67.539122934773303</v>
      </c>
      <c r="G1544" s="1">
        <v>44854</v>
      </c>
      <c r="H1544" s="1">
        <v>44856</v>
      </c>
      <c r="I1544">
        <v>945.54772108682596</v>
      </c>
      <c r="J1544">
        <f t="shared" si="144"/>
        <v>2</v>
      </c>
      <c r="K1544" t="str">
        <f>VLOOKUP(B1544,Raw_Suppliers!$A$2:$G$101,2,FALSE)</f>
        <v>Apex Omega LLC</v>
      </c>
      <c r="L1544" t="str">
        <f>VLOOKUP(B1544,Raw_Suppliers!$A$2:$G$101,3,FALSE)</f>
        <v>UK</v>
      </c>
      <c r="M1544" t="str">
        <f>VLOOKUP(B1544,Raw_Suppliers!$A$2:$G$101,4,FALSE)</f>
        <v>South</v>
      </c>
      <c r="N1544" t="str">
        <f>VLOOKUP(B1544,Raw_Suppliers!$A$2:$G$101,6,FALSE)</f>
        <v>ISO 9001</v>
      </c>
      <c r="O1544">
        <f>VLOOKUP(B1544,Raw_Suppliers!$A$2:$G$101,7,FALSE)</f>
        <v>0</v>
      </c>
      <c r="P1544" t="str">
        <f t="shared" si="145"/>
        <v>No</v>
      </c>
      <c r="Q1544">
        <f t="shared" si="146"/>
        <v>0</v>
      </c>
      <c r="R1544" t="str">
        <f t="shared" si="147"/>
        <v>Late</v>
      </c>
      <c r="S1544">
        <f t="shared" si="148"/>
        <v>2022</v>
      </c>
      <c r="T1544">
        <f t="shared" si="149"/>
        <v>9</v>
      </c>
    </row>
    <row r="1545" spans="1:20" x14ac:dyDescent="0.25">
      <c r="A1545" t="s">
        <v>1852</v>
      </c>
      <c r="B1545" t="s">
        <v>28</v>
      </c>
      <c r="C1545" t="s">
        <v>83</v>
      </c>
      <c r="D1545" s="1">
        <v>44872</v>
      </c>
      <c r="E1545">
        <v>11</v>
      </c>
      <c r="F1545">
        <v>36.500614959375099</v>
      </c>
      <c r="G1545" s="1">
        <v>44892</v>
      </c>
      <c r="H1545" s="1">
        <v>44896</v>
      </c>
      <c r="I1545">
        <v>401.50676455312703</v>
      </c>
      <c r="J1545">
        <f t="shared" si="144"/>
        <v>4</v>
      </c>
      <c r="K1545" t="str">
        <f>VLOOKUP(B1545,Raw_Suppliers!$A$2:$G$101,2,FALSE)</f>
        <v>Fusion Vertex Inc</v>
      </c>
      <c r="L1545" t="str">
        <f>VLOOKUP(B1545,Raw_Suppliers!$A$2:$G$101,3,FALSE)</f>
        <v>Denmark</v>
      </c>
      <c r="M1545" t="str">
        <f>VLOOKUP(B1545,Raw_Suppliers!$A$2:$G$101,4,FALSE)</f>
        <v>Central</v>
      </c>
      <c r="N1545" t="str">
        <f>VLOOKUP(B1545,Raw_Suppliers!$A$2:$G$101,6,FALSE)</f>
        <v>ISO 45001</v>
      </c>
      <c r="O1545">
        <f>VLOOKUP(B1545,Raw_Suppliers!$A$2:$G$101,7,FALSE)</f>
        <v>0</v>
      </c>
      <c r="P1545" t="str">
        <f t="shared" si="145"/>
        <v>No</v>
      </c>
      <c r="Q1545">
        <f t="shared" si="146"/>
        <v>0</v>
      </c>
      <c r="R1545" t="str">
        <f t="shared" si="147"/>
        <v>Late</v>
      </c>
      <c r="S1545">
        <f t="shared" si="148"/>
        <v>2022</v>
      </c>
      <c r="T1545">
        <f t="shared" si="149"/>
        <v>11</v>
      </c>
    </row>
    <row r="1546" spans="1:20" x14ac:dyDescent="0.25">
      <c r="A1546" t="s">
        <v>1853</v>
      </c>
      <c r="B1546" t="s">
        <v>301</v>
      </c>
      <c r="C1546" t="s">
        <v>86</v>
      </c>
      <c r="D1546" s="1">
        <v>44292</v>
      </c>
      <c r="E1546">
        <v>7</v>
      </c>
      <c r="F1546">
        <v>8.8590520862587105</v>
      </c>
      <c r="G1546" s="1">
        <v>44308</v>
      </c>
      <c r="H1546" s="1">
        <v>44310</v>
      </c>
      <c r="I1546">
        <v>62.013364603810999</v>
      </c>
      <c r="J1546">
        <f t="shared" si="144"/>
        <v>2</v>
      </c>
      <c r="K1546" t="str">
        <f>VLOOKUP(B1546,Raw_Suppliers!$A$2:$G$101,2,FALSE)</f>
        <v>Beta Eco Inc</v>
      </c>
      <c r="L1546" t="str">
        <f>VLOOKUP(B1546,Raw_Suppliers!$A$2:$G$101,3,FALSE)</f>
        <v>Denmark</v>
      </c>
      <c r="M1546" t="str">
        <f>VLOOKUP(B1546,Raw_Suppliers!$A$2:$G$101,4,FALSE)</f>
        <v>South</v>
      </c>
      <c r="N1546" t="str">
        <f>VLOOKUP(B1546,Raw_Suppliers!$A$2:$G$101,6,FALSE)</f>
        <v>ISO 14001</v>
      </c>
      <c r="O1546">
        <f>VLOOKUP(B1546,Raw_Suppliers!$A$2:$G$101,7,FALSE)</f>
        <v>1</v>
      </c>
      <c r="P1546" t="str">
        <f t="shared" si="145"/>
        <v>Yes</v>
      </c>
      <c r="Q1546">
        <f t="shared" si="146"/>
        <v>0</v>
      </c>
      <c r="R1546" t="str">
        <f t="shared" si="147"/>
        <v>Late</v>
      </c>
      <c r="S1546">
        <f t="shared" si="148"/>
        <v>2021</v>
      </c>
      <c r="T1546">
        <f t="shared" si="149"/>
        <v>4</v>
      </c>
    </row>
    <row r="1547" spans="1:20" x14ac:dyDescent="0.25">
      <c r="A1547" t="s">
        <v>1854</v>
      </c>
      <c r="B1547" t="s">
        <v>189</v>
      </c>
      <c r="C1547" t="s">
        <v>262</v>
      </c>
      <c r="D1547" s="1">
        <v>44388</v>
      </c>
      <c r="E1547">
        <v>13</v>
      </c>
      <c r="F1547">
        <v>10.9548787963385</v>
      </c>
      <c r="G1547" s="1">
        <v>44401</v>
      </c>
      <c r="H1547" s="1">
        <v>44398</v>
      </c>
      <c r="I1547">
        <v>142.41342435240099</v>
      </c>
      <c r="J1547">
        <f t="shared" si="144"/>
        <v>-3</v>
      </c>
      <c r="K1547" t="str">
        <f>VLOOKUP(B1547,Raw_Suppliers!$A$2:$G$101,2,FALSE)</f>
        <v>Apex Pioneer Ltd</v>
      </c>
      <c r="L1547" t="str">
        <f>VLOOKUP(B1547,Raw_Suppliers!$A$2:$G$101,3,FALSE)</f>
        <v>Canada</v>
      </c>
      <c r="M1547" t="str">
        <f>VLOOKUP(B1547,Raw_Suppliers!$A$2:$G$101,4,FALSE)</f>
        <v>South</v>
      </c>
      <c r="N1547" t="str">
        <f>VLOOKUP(B1547,Raw_Suppliers!$A$2:$G$101,6,FALSE)</f>
        <v>ISO 14001</v>
      </c>
      <c r="O1547">
        <f>VLOOKUP(B1547,Raw_Suppliers!$A$2:$G$101,7,FALSE)</f>
        <v>1</v>
      </c>
      <c r="P1547" t="str">
        <f t="shared" si="145"/>
        <v>Yes</v>
      </c>
      <c r="Q1547">
        <f t="shared" si="146"/>
        <v>1</v>
      </c>
      <c r="R1547" t="str">
        <f t="shared" si="147"/>
        <v>On Time</v>
      </c>
      <c r="S1547">
        <f t="shared" si="148"/>
        <v>2021</v>
      </c>
      <c r="T1547">
        <f t="shared" si="149"/>
        <v>7</v>
      </c>
    </row>
    <row r="1548" spans="1:20" x14ac:dyDescent="0.25">
      <c r="A1548" t="s">
        <v>1855</v>
      </c>
      <c r="B1548" t="s">
        <v>114</v>
      </c>
      <c r="C1548" t="s">
        <v>190</v>
      </c>
      <c r="D1548" s="1">
        <v>44489</v>
      </c>
      <c r="E1548">
        <v>6</v>
      </c>
      <c r="F1548">
        <v>50.242513415648702</v>
      </c>
      <c r="G1548" s="1">
        <v>44500</v>
      </c>
      <c r="H1548" s="1">
        <v>44499</v>
      </c>
      <c r="I1548">
        <v>301.45508049389201</v>
      </c>
      <c r="J1548">
        <f t="shared" si="144"/>
        <v>-1</v>
      </c>
      <c r="K1548" t="str">
        <f>VLOOKUP(B1548,Raw_Suppliers!$A$2:$G$101,2,FALSE)</f>
        <v>Fusion Fusion LLC</v>
      </c>
      <c r="L1548" t="str">
        <f>VLOOKUP(B1548,Raw_Suppliers!$A$2:$G$101,3,FALSE)</f>
        <v>China</v>
      </c>
      <c r="M1548" t="str">
        <f>VLOOKUP(B1548,Raw_Suppliers!$A$2:$G$101,4,FALSE)</f>
        <v>North</v>
      </c>
      <c r="N1548" t="str">
        <f>VLOOKUP(B1548,Raw_Suppliers!$A$2:$G$101,6,FALSE)</f>
        <v>ISO 45001</v>
      </c>
      <c r="O1548">
        <f>VLOOKUP(B1548,Raw_Suppliers!$A$2:$G$101,7,FALSE)</f>
        <v>1</v>
      </c>
      <c r="P1548" t="str">
        <f t="shared" si="145"/>
        <v>Yes</v>
      </c>
      <c r="Q1548">
        <f t="shared" si="146"/>
        <v>1</v>
      </c>
      <c r="R1548" t="str">
        <f t="shared" si="147"/>
        <v>On Time</v>
      </c>
      <c r="S1548">
        <f t="shared" si="148"/>
        <v>2021</v>
      </c>
      <c r="T1548">
        <f t="shared" si="149"/>
        <v>10</v>
      </c>
    </row>
    <row r="1549" spans="1:20" x14ac:dyDescent="0.25">
      <c r="A1549" t="s">
        <v>1856</v>
      </c>
      <c r="B1549" t="s">
        <v>13</v>
      </c>
      <c r="C1549" t="s">
        <v>689</v>
      </c>
      <c r="D1549" s="1">
        <v>44547</v>
      </c>
      <c r="E1549">
        <v>12</v>
      </c>
      <c r="F1549">
        <v>9.2437641515851201</v>
      </c>
      <c r="G1549" s="1">
        <v>44560</v>
      </c>
      <c r="H1549" s="1">
        <v>44564</v>
      </c>
      <c r="I1549">
        <v>110.92516981902099</v>
      </c>
      <c r="J1549">
        <f t="shared" si="144"/>
        <v>4</v>
      </c>
      <c r="K1549" t="str">
        <f>VLOOKUP(B1549,Raw_Suppliers!$A$2:$G$101,2,FALSE)</f>
        <v>Beta Delta LLC</v>
      </c>
      <c r="L1549" t="str">
        <f>VLOOKUP(B1549,Raw_Suppliers!$A$2:$G$101,3,FALSE)</f>
        <v>Germany</v>
      </c>
      <c r="M1549" t="str">
        <f>VLOOKUP(B1549,Raw_Suppliers!$A$2:$G$101,4,FALSE)</f>
        <v>Central</v>
      </c>
      <c r="N1549" t="str">
        <f>VLOOKUP(B1549,Raw_Suppliers!$A$2:$G$101,6,FALSE)</f>
        <v>ISO 9001</v>
      </c>
      <c r="O1549">
        <f>VLOOKUP(B1549,Raw_Suppliers!$A$2:$G$101,7,FALSE)</f>
        <v>1</v>
      </c>
      <c r="P1549" t="str">
        <f t="shared" si="145"/>
        <v>Yes</v>
      </c>
      <c r="Q1549">
        <f t="shared" si="146"/>
        <v>0</v>
      </c>
      <c r="R1549" t="str">
        <f t="shared" si="147"/>
        <v>Late</v>
      </c>
      <c r="S1549">
        <f t="shared" si="148"/>
        <v>2021</v>
      </c>
      <c r="T1549">
        <f t="shared" si="149"/>
        <v>12</v>
      </c>
    </row>
    <row r="1550" spans="1:20" x14ac:dyDescent="0.25">
      <c r="A1550" t="s">
        <v>1857</v>
      </c>
      <c r="B1550" t="s">
        <v>154</v>
      </c>
      <c r="C1550" t="s">
        <v>792</v>
      </c>
      <c r="D1550" s="1">
        <v>44388</v>
      </c>
      <c r="E1550">
        <v>9</v>
      </c>
      <c r="F1550">
        <v>47.9597029007356</v>
      </c>
      <c r="G1550" s="1">
        <v>44403</v>
      </c>
      <c r="H1550" s="1">
        <v>44406</v>
      </c>
      <c r="I1550">
        <v>431.63732610661998</v>
      </c>
      <c r="J1550">
        <f t="shared" si="144"/>
        <v>3</v>
      </c>
      <c r="K1550" t="str">
        <f>VLOOKUP(B1550,Raw_Suppliers!$A$2:$G$101,2,FALSE)</f>
        <v>Apex Ultra Ltd</v>
      </c>
      <c r="L1550" t="str">
        <f>VLOOKUP(B1550,Raw_Suppliers!$A$2:$G$101,3,FALSE)</f>
        <v>Canada</v>
      </c>
      <c r="M1550" t="str">
        <f>VLOOKUP(B1550,Raw_Suppliers!$A$2:$G$101,4,FALSE)</f>
        <v>West</v>
      </c>
      <c r="N1550" t="str">
        <f>VLOOKUP(B1550,Raw_Suppliers!$A$2:$G$101,6,FALSE)</f>
        <v>None</v>
      </c>
      <c r="O1550">
        <f>VLOOKUP(B1550,Raw_Suppliers!$A$2:$G$101,7,FALSE)</f>
        <v>1</v>
      </c>
      <c r="P1550" t="str">
        <f t="shared" si="145"/>
        <v>Yes</v>
      </c>
      <c r="Q1550">
        <f t="shared" si="146"/>
        <v>0</v>
      </c>
      <c r="R1550" t="str">
        <f t="shared" si="147"/>
        <v>Late</v>
      </c>
      <c r="S1550">
        <f t="shared" si="148"/>
        <v>2021</v>
      </c>
      <c r="T1550">
        <f t="shared" si="149"/>
        <v>7</v>
      </c>
    </row>
    <row r="1551" spans="1:20" x14ac:dyDescent="0.25">
      <c r="A1551" t="s">
        <v>1858</v>
      </c>
      <c r="B1551" t="s">
        <v>22</v>
      </c>
      <c r="C1551" t="s">
        <v>199</v>
      </c>
      <c r="D1551" s="1">
        <v>44412</v>
      </c>
      <c r="E1551">
        <v>9</v>
      </c>
      <c r="F1551">
        <v>72.765980586965597</v>
      </c>
      <c r="G1551" s="1">
        <v>44431</v>
      </c>
      <c r="H1551" s="1">
        <v>44430</v>
      </c>
      <c r="I1551">
        <v>654.89382528269095</v>
      </c>
      <c r="J1551">
        <f t="shared" si="144"/>
        <v>-1</v>
      </c>
      <c r="K1551" t="str">
        <f>VLOOKUP(B1551,Raw_Suppliers!$A$2:$G$101,2,FALSE)</f>
        <v>Delta Gamma Corp</v>
      </c>
      <c r="L1551" t="str">
        <f>VLOOKUP(B1551,Raw_Suppliers!$A$2:$G$101,3,FALSE)</f>
        <v>Denmark</v>
      </c>
      <c r="M1551" t="str">
        <f>VLOOKUP(B1551,Raw_Suppliers!$A$2:$G$101,4,FALSE)</f>
        <v>West</v>
      </c>
      <c r="N1551" t="str">
        <f>VLOOKUP(B1551,Raw_Suppliers!$A$2:$G$101,6,FALSE)</f>
        <v>ISO 45001</v>
      </c>
      <c r="O1551">
        <f>VLOOKUP(B1551,Raw_Suppliers!$A$2:$G$101,7,FALSE)</f>
        <v>1</v>
      </c>
      <c r="P1551" t="str">
        <f t="shared" si="145"/>
        <v>Yes</v>
      </c>
      <c r="Q1551">
        <f t="shared" si="146"/>
        <v>1</v>
      </c>
      <c r="R1551" t="str">
        <f t="shared" si="147"/>
        <v>On Time</v>
      </c>
      <c r="S1551">
        <f t="shared" si="148"/>
        <v>2021</v>
      </c>
      <c r="T1551">
        <f t="shared" si="149"/>
        <v>8</v>
      </c>
    </row>
    <row r="1552" spans="1:20" x14ac:dyDescent="0.25">
      <c r="A1552" t="s">
        <v>1859</v>
      </c>
      <c r="B1552" t="s">
        <v>261</v>
      </c>
      <c r="C1552" t="s">
        <v>212</v>
      </c>
      <c r="D1552" s="1">
        <v>45238</v>
      </c>
      <c r="E1552">
        <v>9</v>
      </c>
      <c r="F1552">
        <v>22.798081859334701</v>
      </c>
      <c r="G1552" s="1">
        <v>45250</v>
      </c>
      <c r="H1552" s="1">
        <v>45248</v>
      </c>
      <c r="I1552">
        <v>205.182736734012</v>
      </c>
      <c r="J1552">
        <f t="shared" si="144"/>
        <v>-2</v>
      </c>
      <c r="K1552" t="str">
        <f>VLOOKUP(B1552,Raw_Suppliers!$A$2:$G$101,2,FALSE)</f>
        <v>Delta Fusion Corp</v>
      </c>
      <c r="L1552" t="str">
        <f>VLOOKUP(B1552,Raw_Suppliers!$A$2:$G$101,3,FALSE)</f>
        <v>Denmark</v>
      </c>
      <c r="M1552" t="str">
        <f>VLOOKUP(B1552,Raw_Suppliers!$A$2:$G$101,4,FALSE)</f>
        <v>West</v>
      </c>
      <c r="N1552" t="str">
        <f>VLOOKUP(B1552,Raw_Suppliers!$A$2:$G$101,6,FALSE)</f>
        <v>ISO 45001</v>
      </c>
      <c r="O1552">
        <f>VLOOKUP(B1552,Raw_Suppliers!$A$2:$G$101,7,FALSE)</f>
        <v>0</v>
      </c>
      <c r="P1552" t="str">
        <f t="shared" si="145"/>
        <v>No</v>
      </c>
      <c r="Q1552">
        <f t="shared" si="146"/>
        <v>1</v>
      </c>
      <c r="R1552" t="str">
        <f t="shared" si="147"/>
        <v>On Time</v>
      </c>
      <c r="S1552">
        <f t="shared" si="148"/>
        <v>2023</v>
      </c>
      <c r="T1552">
        <f t="shared" si="149"/>
        <v>11</v>
      </c>
    </row>
    <row r="1553" spans="1:20" x14ac:dyDescent="0.25">
      <c r="A1553" t="s">
        <v>1860</v>
      </c>
      <c r="B1553" t="s">
        <v>16</v>
      </c>
      <c r="C1553" t="s">
        <v>276</v>
      </c>
      <c r="D1553" s="1">
        <v>44829</v>
      </c>
      <c r="E1553">
        <v>13</v>
      </c>
      <c r="F1553">
        <v>51.230348742227001</v>
      </c>
      <c r="G1553" s="1">
        <v>44852</v>
      </c>
      <c r="H1553" s="1">
        <v>44852</v>
      </c>
      <c r="I1553">
        <v>665.99453364895203</v>
      </c>
      <c r="J1553">
        <f t="shared" si="144"/>
        <v>0</v>
      </c>
      <c r="K1553" t="str">
        <f>VLOOKUP(B1553,Raw_Suppliers!$A$2:$G$101,2,FALSE)</f>
        <v>Beta Pioneer Inc</v>
      </c>
      <c r="L1553" t="str">
        <f>VLOOKUP(B1553,Raw_Suppliers!$A$2:$G$101,3,FALSE)</f>
        <v>USA</v>
      </c>
      <c r="M1553" t="str">
        <f>VLOOKUP(B1553,Raw_Suppliers!$A$2:$G$101,4,FALSE)</f>
        <v>Central</v>
      </c>
      <c r="N1553" t="str">
        <f>VLOOKUP(B1553,Raw_Suppliers!$A$2:$G$101,6,FALSE)</f>
        <v>ISO 45001</v>
      </c>
      <c r="O1553">
        <f>VLOOKUP(B1553,Raw_Suppliers!$A$2:$G$101,7,FALSE)</f>
        <v>1</v>
      </c>
      <c r="P1553" t="str">
        <f t="shared" si="145"/>
        <v>Yes</v>
      </c>
      <c r="Q1553">
        <f t="shared" si="146"/>
        <v>1</v>
      </c>
      <c r="R1553" t="str">
        <f t="shared" si="147"/>
        <v>On Time</v>
      </c>
      <c r="S1553">
        <f t="shared" si="148"/>
        <v>2022</v>
      </c>
      <c r="T1553">
        <f t="shared" si="149"/>
        <v>9</v>
      </c>
    </row>
    <row r="1554" spans="1:20" x14ac:dyDescent="0.25">
      <c r="A1554" t="s">
        <v>1861</v>
      </c>
      <c r="B1554" t="s">
        <v>564</v>
      </c>
      <c r="C1554" t="s">
        <v>187</v>
      </c>
      <c r="D1554" s="1">
        <v>44830</v>
      </c>
      <c r="E1554">
        <v>11</v>
      </c>
      <c r="F1554">
        <v>55.859072705449798</v>
      </c>
      <c r="G1554" s="1">
        <v>44850</v>
      </c>
      <c r="H1554" s="1">
        <v>44854</v>
      </c>
      <c r="I1554">
        <v>614.44979975994795</v>
      </c>
      <c r="J1554">
        <f t="shared" si="144"/>
        <v>4</v>
      </c>
      <c r="K1554" t="str">
        <f>VLOOKUP(B1554,Raw_Suppliers!$A$2:$G$101,2,FALSE)</f>
        <v>Ultra Ultra GmbH</v>
      </c>
      <c r="L1554" t="str">
        <f>VLOOKUP(B1554,Raw_Suppliers!$A$2:$G$101,3,FALSE)</f>
        <v>India</v>
      </c>
      <c r="M1554" t="str">
        <f>VLOOKUP(B1554,Raw_Suppliers!$A$2:$G$101,4,FALSE)</f>
        <v>Central</v>
      </c>
      <c r="N1554" t="str">
        <f>VLOOKUP(B1554,Raw_Suppliers!$A$2:$G$101,6,FALSE)</f>
        <v>ISO 14001</v>
      </c>
      <c r="O1554">
        <f>VLOOKUP(B1554,Raw_Suppliers!$A$2:$G$101,7,FALSE)</f>
        <v>1</v>
      </c>
      <c r="P1554" t="str">
        <f t="shared" si="145"/>
        <v>Yes</v>
      </c>
      <c r="Q1554">
        <f t="shared" si="146"/>
        <v>0</v>
      </c>
      <c r="R1554" t="str">
        <f t="shared" si="147"/>
        <v>Late</v>
      </c>
      <c r="S1554">
        <f t="shared" si="148"/>
        <v>2022</v>
      </c>
      <c r="T1554">
        <f t="shared" si="149"/>
        <v>9</v>
      </c>
    </row>
    <row r="1555" spans="1:20" x14ac:dyDescent="0.25">
      <c r="A1555" t="s">
        <v>1862</v>
      </c>
      <c r="B1555" t="s">
        <v>451</v>
      </c>
      <c r="C1555" t="s">
        <v>230</v>
      </c>
      <c r="D1555" s="1">
        <v>44970</v>
      </c>
      <c r="E1555">
        <v>6</v>
      </c>
      <c r="F1555">
        <v>77.882999799212598</v>
      </c>
      <c r="G1555" s="1">
        <v>44987</v>
      </c>
      <c r="H1555" s="1">
        <v>44986</v>
      </c>
      <c r="I1555">
        <v>467.29799879527502</v>
      </c>
      <c r="J1555">
        <f t="shared" si="144"/>
        <v>-1</v>
      </c>
      <c r="K1555" t="str">
        <f>VLOOKUP(B1555,Raw_Suppliers!$A$2:$G$101,2,FALSE)</f>
        <v>Beta Apex Corp</v>
      </c>
      <c r="L1555" t="str">
        <f>VLOOKUP(B1555,Raw_Suppliers!$A$2:$G$101,3,FALSE)</f>
        <v>India</v>
      </c>
      <c r="M1555" t="str">
        <f>VLOOKUP(B1555,Raw_Suppliers!$A$2:$G$101,4,FALSE)</f>
        <v>Central</v>
      </c>
      <c r="N1555" t="str">
        <f>VLOOKUP(B1555,Raw_Suppliers!$A$2:$G$101,6,FALSE)</f>
        <v>ISO 9001</v>
      </c>
      <c r="O1555">
        <f>VLOOKUP(B1555,Raw_Suppliers!$A$2:$G$101,7,FALSE)</f>
        <v>0</v>
      </c>
      <c r="P1555" t="str">
        <f t="shared" si="145"/>
        <v>No</v>
      </c>
      <c r="Q1555">
        <f t="shared" si="146"/>
        <v>1</v>
      </c>
      <c r="R1555" t="str">
        <f t="shared" si="147"/>
        <v>On Time</v>
      </c>
      <c r="S1555">
        <f t="shared" si="148"/>
        <v>2023</v>
      </c>
      <c r="T1555">
        <f t="shared" si="149"/>
        <v>2</v>
      </c>
    </row>
    <row r="1556" spans="1:20" x14ac:dyDescent="0.25">
      <c r="A1556" t="s">
        <v>1863</v>
      </c>
      <c r="B1556" t="s">
        <v>22</v>
      </c>
      <c r="C1556" t="s">
        <v>720</v>
      </c>
      <c r="D1556" s="1">
        <v>45327</v>
      </c>
      <c r="E1556">
        <v>7</v>
      </c>
      <c r="F1556">
        <v>38.610703637328299</v>
      </c>
      <c r="G1556" s="1">
        <v>45338</v>
      </c>
      <c r="H1556" s="1">
        <v>45339</v>
      </c>
      <c r="I1556">
        <v>270.27492546129798</v>
      </c>
      <c r="J1556">
        <f t="shared" si="144"/>
        <v>1</v>
      </c>
      <c r="K1556" t="str">
        <f>VLOOKUP(B1556,Raw_Suppliers!$A$2:$G$101,2,FALSE)</f>
        <v>Delta Gamma Corp</v>
      </c>
      <c r="L1556" t="str">
        <f>VLOOKUP(B1556,Raw_Suppliers!$A$2:$G$101,3,FALSE)</f>
        <v>Denmark</v>
      </c>
      <c r="M1556" t="str">
        <f>VLOOKUP(B1556,Raw_Suppliers!$A$2:$G$101,4,FALSE)</f>
        <v>West</v>
      </c>
      <c r="N1556" t="str">
        <f>VLOOKUP(B1556,Raw_Suppliers!$A$2:$G$101,6,FALSE)</f>
        <v>ISO 45001</v>
      </c>
      <c r="O1556">
        <f>VLOOKUP(B1556,Raw_Suppliers!$A$2:$G$101,7,FALSE)</f>
        <v>1</v>
      </c>
      <c r="P1556" t="str">
        <f t="shared" si="145"/>
        <v>Yes</v>
      </c>
      <c r="Q1556">
        <f t="shared" si="146"/>
        <v>0</v>
      </c>
      <c r="R1556" t="str">
        <f t="shared" si="147"/>
        <v>Late</v>
      </c>
      <c r="S1556">
        <f t="shared" si="148"/>
        <v>2024</v>
      </c>
      <c r="T1556">
        <f t="shared" si="149"/>
        <v>2</v>
      </c>
    </row>
    <row r="1557" spans="1:20" x14ac:dyDescent="0.25">
      <c r="A1557" t="s">
        <v>1864</v>
      </c>
      <c r="B1557" t="s">
        <v>67</v>
      </c>
      <c r="C1557" t="s">
        <v>190</v>
      </c>
      <c r="D1557" s="1">
        <v>44518</v>
      </c>
      <c r="E1557">
        <v>7</v>
      </c>
      <c r="F1557">
        <v>56.404536245417802</v>
      </c>
      <c r="G1557" s="1">
        <v>44530</v>
      </c>
      <c r="H1557" s="1">
        <v>44536</v>
      </c>
      <c r="I1557">
        <v>394.83175371792402</v>
      </c>
      <c r="J1557">
        <f t="shared" si="144"/>
        <v>6</v>
      </c>
      <c r="K1557" t="str">
        <f>VLOOKUP(B1557,Raw_Suppliers!$A$2:$G$101,2,FALSE)</f>
        <v>Nova Eco LLC</v>
      </c>
      <c r="L1557" t="str">
        <f>VLOOKUP(B1557,Raw_Suppliers!$A$2:$G$101,3,FALSE)</f>
        <v>Germany</v>
      </c>
      <c r="M1557" t="str">
        <f>VLOOKUP(B1557,Raw_Suppliers!$A$2:$G$101,4,FALSE)</f>
        <v>Central</v>
      </c>
      <c r="N1557" t="str">
        <f>VLOOKUP(B1557,Raw_Suppliers!$A$2:$G$101,6,FALSE)</f>
        <v>ISO 9001</v>
      </c>
      <c r="O1557">
        <f>VLOOKUP(B1557,Raw_Suppliers!$A$2:$G$101,7,FALSE)</f>
        <v>1</v>
      </c>
      <c r="P1557" t="str">
        <f t="shared" si="145"/>
        <v>Yes</v>
      </c>
      <c r="Q1557">
        <f t="shared" si="146"/>
        <v>0</v>
      </c>
      <c r="R1557" t="str">
        <f t="shared" si="147"/>
        <v>Late</v>
      </c>
      <c r="S1557">
        <f t="shared" si="148"/>
        <v>2021</v>
      </c>
      <c r="T1557">
        <f t="shared" si="149"/>
        <v>11</v>
      </c>
    </row>
    <row r="1558" spans="1:20" x14ac:dyDescent="0.25">
      <c r="A1558" t="s">
        <v>1865</v>
      </c>
      <c r="B1558" t="s">
        <v>130</v>
      </c>
      <c r="C1558" t="s">
        <v>110</v>
      </c>
      <c r="D1558" s="1">
        <v>44405</v>
      </c>
      <c r="E1558">
        <v>12</v>
      </c>
      <c r="F1558">
        <v>68.2497776438084</v>
      </c>
      <c r="G1558" s="1">
        <v>44420</v>
      </c>
      <c r="H1558" s="1">
        <v>44423</v>
      </c>
      <c r="I1558">
        <v>818.99733172569995</v>
      </c>
      <c r="J1558">
        <f t="shared" si="144"/>
        <v>3</v>
      </c>
      <c r="K1558" t="str">
        <f>VLOOKUP(B1558,Raw_Suppliers!$A$2:$G$101,2,FALSE)</f>
        <v>Beta Gamma Corp</v>
      </c>
      <c r="L1558" t="str">
        <f>VLOOKUP(B1558,Raw_Suppliers!$A$2:$G$101,3,FALSE)</f>
        <v>USA</v>
      </c>
      <c r="M1558" t="str">
        <f>VLOOKUP(B1558,Raw_Suppliers!$A$2:$G$101,4,FALSE)</f>
        <v>West</v>
      </c>
      <c r="N1558" t="str">
        <f>VLOOKUP(B1558,Raw_Suppliers!$A$2:$G$101,6,FALSE)</f>
        <v>None</v>
      </c>
      <c r="O1558">
        <f>VLOOKUP(B1558,Raw_Suppliers!$A$2:$G$101,7,FALSE)</f>
        <v>0</v>
      </c>
      <c r="P1558" t="str">
        <f t="shared" si="145"/>
        <v>No</v>
      </c>
      <c r="Q1558">
        <f t="shared" si="146"/>
        <v>0</v>
      </c>
      <c r="R1558" t="str">
        <f t="shared" si="147"/>
        <v>Late</v>
      </c>
      <c r="S1558">
        <f t="shared" si="148"/>
        <v>2021</v>
      </c>
      <c r="T1558">
        <f t="shared" si="149"/>
        <v>7</v>
      </c>
    </row>
    <row r="1559" spans="1:20" x14ac:dyDescent="0.25">
      <c r="A1559" t="s">
        <v>1866</v>
      </c>
      <c r="B1559" t="s">
        <v>267</v>
      </c>
      <c r="C1559" t="s">
        <v>94</v>
      </c>
      <c r="D1559" s="1">
        <v>45160</v>
      </c>
      <c r="E1559">
        <v>12</v>
      </c>
      <c r="F1559">
        <v>12.5238147253243</v>
      </c>
      <c r="G1559" s="1">
        <v>45171</v>
      </c>
      <c r="H1559" s="1">
        <v>45170</v>
      </c>
      <c r="I1559">
        <v>150.285776703892</v>
      </c>
      <c r="J1559">
        <f t="shared" si="144"/>
        <v>-1</v>
      </c>
      <c r="K1559" t="str">
        <f>VLOOKUP(B1559,Raw_Suppliers!$A$2:$G$101,2,FALSE)</f>
        <v>Omega Nova Corp</v>
      </c>
      <c r="L1559" t="str">
        <f>VLOOKUP(B1559,Raw_Suppliers!$A$2:$G$101,3,FALSE)</f>
        <v>India</v>
      </c>
      <c r="M1559" t="str">
        <f>VLOOKUP(B1559,Raw_Suppliers!$A$2:$G$101,4,FALSE)</f>
        <v>West</v>
      </c>
      <c r="N1559" t="str">
        <f>VLOOKUP(B1559,Raw_Suppliers!$A$2:$G$101,6,FALSE)</f>
        <v>ISO 45001</v>
      </c>
      <c r="O1559">
        <f>VLOOKUP(B1559,Raw_Suppliers!$A$2:$G$101,7,FALSE)</f>
        <v>0</v>
      </c>
      <c r="P1559" t="str">
        <f t="shared" si="145"/>
        <v>No</v>
      </c>
      <c r="Q1559">
        <f t="shared" si="146"/>
        <v>1</v>
      </c>
      <c r="R1559" t="str">
        <f t="shared" si="147"/>
        <v>On Time</v>
      </c>
      <c r="S1559">
        <f t="shared" si="148"/>
        <v>2023</v>
      </c>
      <c r="T1559">
        <f t="shared" si="149"/>
        <v>8</v>
      </c>
    </row>
    <row r="1560" spans="1:20" x14ac:dyDescent="0.25">
      <c r="A1560" t="s">
        <v>1867</v>
      </c>
      <c r="B1560" t="s">
        <v>169</v>
      </c>
      <c r="C1560" t="s">
        <v>44</v>
      </c>
      <c r="D1560" s="1">
        <v>44243</v>
      </c>
      <c r="E1560">
        <v>6</v>
      </c>
      <c r="F1560">
        <v>46.384969784431803</v>
      </c>
      <c r="G1560" s="1">
        <v>44259</v>
      </c>
      <c r="H1560" s="1">
        <v>44262</v>
      </c>
      <c r="I1560">
        <v>278.30981870659099</v>
      </c>
      <c r="J1560">
        <f t="shared" si="144"/>
        <v>3</v>
      </c>
      <c r="K1560" t="str">
        <f>VLOOKUP(B1560,Raw_Suppliers!$A$2:$G$101,2,FALSE)</f>
        <v>Vertex Beta LLC</v>
      </c>
      <c r="L1560" t="str">
        <f>VLOOKUP(B1560,Raw_Suppliers!$A$2:$G$101,3,FALSE)</f>
        <v>China</v>
      </c>
      <c r="M1560" t="str">
        <f>VLOOKUP(B1560,Raw_Suppliers!$A$2:$G$101,4,FALSE)</f>
        <v>South</v>
      </c>
      <c r="N1560" t="str">
        <f>VLOOKUP(B1560,Raw_Suppliers!$A$2:$G$101,6,FALSE)</f>
        <v>ISO 14001</v>
      </c>
      <c r="O1560">
        <f>VLOOKUP(B1560,Raw_Suppliers!$A$2:$G$101,7,FALSE)</f>
        <v>0</v>
      </c>
      <c r="P1560" t="str">
        <f t="shared" si="145"/>
        <v>No</v>
      </c>
      <c r="Q1560">
        <f t="shared" si="146"/>
        <v>0</v>
      </c>
      <c r="R1560" t="str">
        <f t="shared" si="147"/>
        <v>Late</v>
      </c>
      <c r="S1560">
        <f t="shared" si="148"/>
        <v>2021</v>
      </c>
      <c r="T1560">
        <f t="shared" si="149"/>
        <v>2</v>
      </c>
    </row>
    <row r="1561" spans="1:20" x14ac:dyDescent="0.25">
      <c r="A1561" t="s">
        <v>1868</v>
      </c>
      <c r="B1561" t="s">
        <v>427</v>
      </c>
      <c r="C1561" t="s">
        <v>344</v>
      </c>
      <c r="D1561" s="1">
        <v>44841</v>
      </c>
      <c r="E1561">
        <v>8</v>
      </c>
      <c r="F1561">
        <v>35.7669050854362</v>
      </c>
      <c r="G1561" s="1">
        <v>44864</v>
      </c>
      <c r="H1561" s="1">
        <v>44862</v>
      </c>
      <c r="I1561">
        <v>286.13524068348897</v>
      </c>
      <c r="J1561">
        <f t="shared" si="144"/>
        <v>-2</v>
      </c>
      <c r="K1561" t="str">
        <f>VLOOKUP(B1561,Raw_Suppliers!$A$2:$G$101,2,FALSE)</f>
        <v>Nova Alpha Corp</v>
      </c>
      <c r="L1561" t="str">
        <f>VLOOKUP(B1561,Raw_Suppliers!$A$2:$G$101,3,FALSE)</f>
        <v>Denmark</v>
      </c>
      <c r="M1561" t="str">
        <f>VLOOKUP(B1561,Raw_Suppliers!$A$2:$G$101,4,FALSE)</f>
        <v>Central</v>
      </c>
      <c r="N1561" t="str">
        <f>VLOOKUP(B1561,Raw_Suppliers!$A$2:$G$101,6,FALSE)</f>
        <v>None</v>
      </c>
      <c r="O1561">
        <f>VLOOKUP(B1561,Raw_Suppliers!$A$2:$G$101,7,FALSE)</f>
        <v>0</v>
      </c>
      <c r="P1561" t="str">
        <f t="shared" si="145"/>
        <v>No</v>
      </c>
      <c r="Q1561">
        <f t="shared" si="146"/>
        <v>1</v>
      </c>
      <c r="R1561" t="str">
        <f t="shared" si="147"/>
        <v>On Time</v>
      </c>
      <c r="S1561">
        <f t="shared" si="148"/>
        <v>2022</v>
      </c>
      <c r="T1561">
        <f t="shared" si="149"/>
        <v>10</v>
      </c>
    </row>
    <row r="1562" spans="1:20" x14ac:dyDescent="0.25">
      <c r="A1562" t="s">
        <v>1869</v>
      </c>
      <c r="B1562" t="s">
        <v>369</v>
      </c>
      <c r="C1562" t="s">
        <v>212</v>
      </c>
      <c r="D1562" s="1">
        <v>45133</v>
      </c>
      <c r="E1562">
        <v>15</v>
      </c>
      <c r="F1562">
        <v>30.482759345078701</v>
      </c>
      <c r="G1562" s="1">
        <v>45146</v>
      </c>
      <c r="H1562" s="1">
        <v>45144</v>
      </c>
      <c r="I1562">
        <v>457.24139017618</v>
      </c>
      <c r="J1562">
        <f t="shared" si="144"/>
        <v>-2</v>
      </c>
      <c r="K1562" t="str">
        <f>VLOOKUP(B1562,Raw_Suppliers!$A$2:$G$101,2,FALSE)</f>
        <v>Beta Fusion GmbH</v>
      </c>
      <c r="L1562" t="str">
        <f>VLOOKUP(B1562,Raw_Suppliers!$A$2:$G$101,3,FALSE)</f>
        <v>China</v>
      </c>
      <c r="M1562" t="str">
        <f>VLOOKUP(B1562,Raw_Suppliers!$A$2:$G$101,4,FALSE)</f>
        <v>South</v>
      </c>
      <c r="N1562" t="str">
        <f>VLOOKUP(B1562,Raw_Suppliers!$A$2:$G$101,6,FALSE)</f>
        <v>ISO 9001</v>
      </c>
      <c r="O1562">
        <f>VLOOKUP(B1562,Raw_Suppliers!$A$2:$G$101,7,FALSE)</f>
        <v>0</v>
      </c>
      <c r="P1562" t="str">
        <f t="shared" si="145"/>
        <v>No</v>
      </c>
      <c r="Q1562">
        <f t="shared" si="146"/>
        <v>1</v>
      </c>
      <c r="R1562" t="str">
        <f t="shared" si="147"/>
        <v>On Time</v>
      </c>
      <c r="S1562">
        <f t="shared" si="148"/>
        <v>2023</v>
      </c>
      <c r="T1562">
        <f t="shared" si="149"/>
        <v>7</v>
      </c>
    </row>
    <row r="1563" spans="1:20" x14ac:dyDescent="0.25">
      <c r="A1563" t="s">
        <v>1870</v>
      </c>
      <c r="B1563" t="s">
        <v>427</v>
      </c>
      <c r="C1563" t="s">
        <v>279</v>
      </c>
      <c r="D1563" s="1">
        <v>44484</v>
      </c>
      <c r="E1563">
        <v>13</v>
      </c>
      <c r="F1563">
        <v>46.318902953067202</v>
      </c>
      <c r="G1563" s="1">
        <v>44499</v>
      </c>
      <c r="H1563" s="1">
        <v>44503</v>
      </c>
      <c r="I1563">
        <v>602.14573838987405</v>
      </c>
      <c r="J1563">
        <f t="shared" si="144"/>
        <v>4</v>
      </c>
      <c r="K1563" t="str">
        <f>VLOOKUP(B1563,Raw_Suppliers!$A$2:$G$101,2,FALSE)</f>
        <v>Nova Alpha Corp</v>
      </c>
      <c r="L1563" t="str">
        <f>VLOOKUP(B1563,Raw_Suppliers!$A$2:$G$101,3,FALSE)</f>
        <v>Denmark</v>
      </c>
      <c r="M1563" t="str">
        <f>VLOOKUP(B1563,Raw_Suppliers!$A$2:$G$101,4,FALSE)</f>
        <v>Central</v>
      </c>
      <c r="N1563" t="str">
        <f>VLOOKUP(B1563,Raw_Suppliers!$A$2:$G$101,6,FALSE)</f>
        <v>None</v>
      </c>
      <c r="O1563">
        <f>VLOOKUP(B1563,Raw_Suppliers!$A$2:$G$101,7,FALSE)</f>
        <v>0</v>
      </c>
      <c r="P1563" t="str">
        <f t="shared" si="145"/>
        <v>No</v>
      </c>
      <c r="Q1563">
        <f t="shared" si="146"/>
        <v>0</v>
      </c>
      <c r="R1563" t="str">
        <f t="shared" si="147"/>
        <v>Late</v>
      </c>
      <c r="S1563">
        <f t="shared" si="148"/>
        <v>2021</v>
      </c>
      <c r="T1563">
        <f t="shared" si="149"/>
        <v>10</v>
      </c>
    </row>
    <row r="1564" spans="1:20" x14ac:dyDescent="0.25">
      <c r="A1564" t="s">
        <v>1871</v>
      </c>
      <c r="B1564" t="s">
        <v>119</v>
      </c>
      <c r="C1564" t="s">
        <v>304</v>
      </c>
      <c r="D1564" s="1">
        <v>44322</v>
      </c>
      <c r="E1564">
        <v>12</v>
      </c>
      <c r="F1564">
        <v>58.207717736491198</v>
      </c>
      <c r="G1564" s="1">
        <v>44343</v>
      </c>
      <c r="H1564" s="1">
        <v>44349</v>
      </c>
      <c r="I1564">
        <v>698.49261283789394</v>
      </c>
      <c r="J1564">
        <f t="shared" si="144"/>
        <v>6</v>
      </c>
      <c r="K1564" t="str">
        <f>VLOOKUP(B1564,Raw_Suppliers!$A$2:$G$101,2,FALSE)</f>
        <v>Pioneer Apex Corp</v>
      </c>
      <c r="L1564" t="str">
        <f>VLOOKUP(B1564,Raw_Suppliers!$A$2:$G$101,3,FALSE)</f>
        <v>USA</v>
      </c>
      <c r="M1564" t="str">
        <f>VLOOKUP(B1564,Raw_Suppliers!$A$2:$G$101,4,FALSE)</f>
        <v>Central</v>
      </c>
      <c r="N1564" t="str">
        <f>VLOOKUP(B1564,Raw_Suppliers!$A$2:$G$101,6,FALSE)</f>
        <v>None</v>
      </c>
      <c r="O1564">
        <f>VLOOKUP(B1564,Raw_Suppliers!$A$2:$G$101,7,FALSE)</f>
        <v>0</v>
      </c>
      <c r="P1564" t="str">
        <f t="shared" si="145"/>
        <v>No</v>
      </c>
      <c r="Q1564">
        <f t="shared" si="146"/>
        <v>0</v>
      </c>
      <c r="R1564" t="str">
        <f t="shared" si="147"/>
        <v>Late</v>
      </c>
      <c r="S1564">
        <f t="shared" si="148"/>
        <v>2021</v>
      </c>
      <c r="T1564">
        <f t="shared" si="149"/>
        <v>5</v>
      </c>
    </row>
    <row r="1565" spans="1:20" x14ac:dyDescent="0.25">
      <c r="A1565" t="s">
        <v>1872</v>
      </c>
      <c r="B1565" t="s">
        <v>46</v>
      </c>
      <c r="C1565" t="s">
        <v>701</v>
      </c>
      <c r="D1565" s="1">
        <v>45393</v>
      </c>
      <c r="E1565">
        <v>6</v>
      </c>
      <c r="F1565">
        <v>42.901208969641502</v>
      </c>
      <c r="G1565" s="1">
        <v>45413</v>
      </c>
      <c r="H1565" s="1">
        <v>45411</v>
      </c>
      <c r="I1565">
        <v>257.40725381784898</v>
      </c>
      <c r="J1565">
        <f t="shared" si="144"/>
        <v>-2</v>
      </c>
      <c r="K1565" t="str">
        <f>VLOOKUP(B1565,Raw_Suppliers!$A$2:$G$101,2,FALSE)</f>
        <v>Prime Prime Inc</v>
      </c>
      <c r="L1565" t="str">
        <f>VLOOKUP(B1565,Raw_Suppliers!$A$2:$G$101,3,FALSE)</f>
        <v>UK</v>
      </c>
      <c r="M1565" t="str">
        <f>VLOOKUP(B1565,Raw_Suppliers!$A$2:$G$101,4,FALSE)</f>
        <v>South</v>
      </c>
      <c r="N1565" t="str">
        <f>VLOOKUP(B1565,Raw_Suppliers!$A$2:$G$101,6,FALSE)</f>
        <v>None</v>
      </c>
      <c r="O1565">
        <f>VLOOKUP(B1565,Raw_Suppliers!$A$2:$G$101,7,FALSE)</f>
        <v>1</v>
      </c>
      <c r="P1565" t="str">
        <f t="shared" si="145"/>
        <v>Yes</v>
      </c>
      <c r="Q1565">
        <f t="shared" si="146"/>
        <v>1</v>
      </c>
      <c r="R1565" t="str">
        <f t="shared" si="147"/>
        <v>On Time</v>
      </c>
      <c r="S1565">
        <f t="shared" si="148"/>
        <v>2024</v>
      </c>
      <c r="T1565">
        <f t="shared" si="149"/>
        <v>4</v>
      </c>
    </row>
    <row r="1566" spans="1:20" x14ac:dyDescent="0.25">
      <c r="A1566" t="s">
        <v>1873</v>
      </c>
      <c r="B1566" t="s">
        <v>22</v>
      </c>
      <c r="C1566" t="s">
        <v>97</v>
      </c>
      <c r="D1566" s="1">
        <v>45275</v>
      </c>
      <c r="E1566">
        <v>9</v>
      </c>
      <c r="F1566">
        <v>10.538295724469601</v>
      </c>
      <c r="G1566" s="1">
        <v>45298</v>
      </c>
      <c r="H1566" s="1">
        <v>45303</v>
      </c>
      <c r="I1566">
        <v>94.844661520227106</v>
      </c>
      <c r="J1566">
        <f t="shared" si="144"/>
        <v>5</v>
      </c>
      <c r="K1566" t="str">
        <f>VLOOKUP(B1566,Raw_Suppliers!$A$2:$G$101,2,FALSE)</f>
        <v>Delta Gamma Corp</v>
      </c>
      <c r="L1566" t="str">
        <f>VLOOKUP(B1566,Raw_Suppliers!$A$2:$G$101,3,FALSE)</f>
        <v>Denmark</v>
      </c>
      <c r="M1566" t="str">
        <f>VLOOKUP(B1566,Raw_Suppliers!$A$2:$G$101,4,FALSE)</f>
        <v>West</v>
      </c>
      <c r="N1566" t="str">
        <f>VLOOKUP(B1566,Raw_Suppliers!$A$2:$G$101,6,FALSE)</f>
        <v>ISO 45001</v>
      </c>
      <c r="O1566">
        <f>VLOOKUP(B1566,Raw_Suppliers!$A$2:$G$101,7,FALSE)</f>
        <v>1</v>
      </c>
      <c r="P1566" t="str">
        <f t="shared" si="145"/>
        <v>Yes</v>
      </c>
      <c r="Q1566">
        <f t="shared" si="146"/>
        <v>0</v>
      </c>
      <c r="R1566" t="str">
        <f t="shared" si="147"/>
        <v>Late</v>
      </c>
      <c r="S1566">
        <f t="shared" si="148"/>
        <v>2023</v>
      </c>
      <c r="T1566">
        <f t="shared" si="149"/>
        <v>12</v>
      </c>
    </row>
    <row r="1567" spans="1:20" x14ac:dyDescent="0.25">
      <c r="A1567" t="s">
        <v>1874</v>
      </c>
      <c r="B1567" t="s">
        <v>179</v>
      </c>
      <c r="C1567" t="s">
        <v>664</v>
      </c>
      <c r="D1567" s="1">
        <v>45187</v>
      </c>
      <c r="E1567">
        <v>15</v>
      </c>
      <c r="F1567">
        <v>73.896116560543504</v>
      </c>
      <c r="G1567" s="1">
        <v>45197</v>
      </c>
      <c r="H1567" s="1">
        <v>45198</v>
      </c>
      <c r="I1567">
        <v>1108.44174840815</v>
      </c>
      <c r="J1567">
        <f t="shared" si="144"/>
        <v>1</v>
      </c>
      <c r="K1567" t="str">
        <f>VLOOKUP(B1567,Raw_Suppliers!$A$2:$G$101,2,FALSE)</f>
        <v>Nova Gamma Ltd</v>
      </c>
      <c r="L1567" t="str">
        <f>VLOOKUP(B1567,Raw_Suppliers!$A$2:$G$101,3,FALSE)</f>
        <v>Denmark</v>
      </c>
      <c r="M1567" t="str">
        <f>VLOOKUP(B1567,Raw_Suppliers!$A$2:$G$101,4,FALSE)</f>
        <v>East</v>
      </c>
      <c r="N1567" t="str">
        <f>VLOOKUP(B1567,Raw_Suppliers!$A$2:$G$101,6,FALSE)</f>
        <v>ISO 9001</v>
      </c>
      <c r="O1567">
        <f>VLOOKUP(B1567,Raw_Suppliers!$A$2:$G$101,7,FALSE)</f>
        <v>0</v>
      </c>
      <c r="P1567" t="str">
        <f t="shared" si="145"/>
        <v>No</v>
      </c>
      <c r="Q1567">
        <f t="shared" si="146"/>
        <v>0</v>
      </c>
      <c r="R1567" t="str">
        <f t="shared" si="147"/>
        <v>Late</v>
      </c>
      <c r="S1567">
        <f t="shared" si="148"/>
        <v>2023</v>
      </c>
      <c r="T1567">
        <f t="shared" si="149"/>
        <v>9</v>
      </c>
    </row>
    <row r="1568" spans="1:20" x14ac:dyDescent="0.25">
      <c r="A1568" t="s">
        <v>1875</v>
      </c>
      <c r="B1568" t="s">
        <v>326</v>
      </c>
      <c r="C1568" t="s">
        <v>279</v>
      </c>
      <c r="D1568" s="1">
        <v>45236</v>
      </c>
      <c r="E1568">
        <v>8</v>
      </c>
      <c r="F1568">
        <v>52.488354399817297</v>
      </c>
      <c r="G1568" s="1">
        <v>45258</v>
      </c>
      <c r="H1568" s="1">
        <v>45260</v>
      </c>
      <c r="I1568">
        <v>419.906835198539</v>
      </c>
      <c r="J1568">
        <f t="shared" si="144"/>
        <v>2</v>
      </c>
      <c r="K1568" t="str">
        <f>VLOOKUP(B1568,Raw_Suppliers!$A$2:$G$101,2,FALSE)</f>
        <v>Ultra Fusion Corp</v>
      </c>
      <c r="L1568" t="str">
        <f>VLOOKUP(B1568,Raw_Suppliers!$A$2:$G$101,3,FALSE)</f>
        <v>Canada</v>
      </c>
      <c r="M1568" t="str">
        <f>VLOOKUP(B1568,Raw_Suppliers!$A$2:$G$101,4,FALSE)</f>
        <v>South</v>
      </c>
      <c r="N1568" t="str">
        <f>VLOOKUP(B1568,Raw_Suppliers!$A$2:$G$101,6,FALSE)</f>
        <v>None</v>
      </c>
      <c r="O1568">
        <f>VLOOKUP(B1568,Raw_Suppliers!$A$2:$G$101,7,FALSE)</f>
        <v>1</v>
      </c>
      <c r="P1568" t="str">
        <f t="shared" si="145"/>
        <v>Yes</v>
      </c>
      <c r="Q1568">
        <f t="shared" si="146"/>
        <v>0</v>
      </c>
      <c r="R1568" t="str">
        <f t="shared" si="147"/>
        <v>Late</v>
      </c>
      <c r="S1568">
        <f t="shared" si="148"/>
        <v>2023</v>
      </c>
      <c r="T1568">
        <f t="shared" si="149"/>
        <v>11</v>
      </c>
    </row>
    <row r="1569" spans="1:20" x14ac:dyDescent="0.25">
      <c r="A1569" t="s">
        <v>1876</v>
      </c>
      <c r="B1569" t="s">
        <v>324</v>
      </c>
      <c r="C1569" t="s">
        <v>268</v>
      </c>
      <c r="D1569" s="1">
        <v>45391</v>
      </c>
      <c r="E1569">
        <v>10</v>
      </c>
      <c r="F1569">
        <v>68.757829444169005</v>
      </c>
      <c r="G1569" s="1">
        <v>45410</v>
      </c>
      <c r="H1569" s="1">
        <v>45414</v>
      </c>
      <c r="I1569">
        <v>687.57829444168999</v>
      </c>
      <c r="J1569">
        <f t="shared" si="144"/>
        <v>4</v>
      </c>
      <c r="K1569" t="str">
        <f>VLOOKUP(B1569,Raw_Suppliers!$A$2:$G$101,2,FALSE)</f>
        <v>Gamma Nano Corp</v>
      </c>
      <c r="L1569" t="str">
        <f>VLOOKUP(B1569,Raw_Suppliers!$A$2:$G$101,3,FALSE)</f>
        <v>Germany</v>
      </c>
      <c r="M1569" t="str">
        <f>VLOOKUP(B1569,Raw_Suppliers!$A$2:$G$101,4,FALSE)</f>
        <v>West</v>
      </c>
      <c r="N1569" t="str">
        <f>VLOOKUP(B1569,Raw_Suppliers!$A$2:$G$101,6,FALSE)</f>
        <v>ISO 9001</v>
      </c>
      <c r="O1569">
        <f>VLOOKUP(B1569,Raw_Suppliers!$A$2:$G$101,7,FALSE)</f>
        <v>0</v>
      </c>
      <c r="P1569" t="str">
        <f t="shared" si="145"/>
        <v>No</v>
      </c>
      <c r="Q1569">
        <f t="shared" si="146"/>
        <v>0</v>
      </c>
      <c r="R1569" t="str">
        <f t="shared" si="147"/>
        <v>Late</v>
      </c>
      <c r="S1569">
        <f t="shared" si="148"/>
        <v>2024</v>
      </c>
      <c r="T1569">
        <f t="shared" si="149"/>
        <v>4</v>
      </c>
    </row>
    <row r="1570" spans="1:20" x14ac:dyDescent="0.25">
      <c r="A1570" t="s">
        <v>1877</v>
      </c>
      <c r="B1570" t="s">
        <v>124</v>
      </c>
      <c r="C1570" t="s">
        <v>141</v>
      </c>
      <c r="D1570" s="1">
        <v>44955</v>
      </c>
      <c r="E1570">
        <v>11</v>
      </c>
      <c r="F1570">
        <v>64.086787914173897</v>
      </c>
      <c r="G1570" s="1">
        <v>44978</v>
      </c>
      <c r="H1570" s="1">
        <v>44984</v>
      </c>
      <c r="I1570">
        <v>704.95466705591298</v>
      </c>
      <c r="J1570">
        <f t="shared" si="144"/>
        <v>6</v>
      </c>
      <c r="K1570" t="str">
        <f>VLOOKUP(B1570,Raw_Suppliers!$A$2:$G$101,2,FALSE)</f>
        <v>Vertex Delta Inc</v>
      </c>
      <c r="L1570" t="str">
        <f>VLOOKUP(B1570,Raw_Suppliers!$A$2:$G$101,3,FALSE)</f>
        <v>Germany</v>
      </c>
      <c r="M1570" t="str">
        <f>VLOOKUP(B1570,Raw_Suppliers!$A$2:$G$101,4,FALSE)</f>
        <v>South</v>
      </c>
      <c r="N1570" t="str">
        <f>VLOOKUP(B1570,Raw_Suppliers!$A$2:$G$101,6,FALSE)</f>
        <v>ISO 9001</v>
      </c>
      <c r="O1570">
        <f>VLOOKUP(B1570,Raw_Suppliers!$A$2:$G$101,7,FALSE)</f>
        <v>0</v>
      </c>
      <c r="P1570" t="str">
        <f t="shared" si="145"/>
        <v>No</v>
      </c>
      <c r="Q1570">
        <f t="shared" si="146"/>
        <v>0</v>
      </c>
      <c r="R1570" t="str">
        <f t="shared" si="147"/>
        <v>Late</v>
      </c>
      <c r="S1570">
        <f t="shared" si="148"/>
        <v>2023</v>
      </c>
      <c r="T1570">
        <f t="shared" si="149"/>
        <v>1</v>
      </c>
    </row>
    <row r="1571" spans="1:20" x14ac:dyDescent="0.25">
      <c r="A1571" t="s">
        <v>1878</v>
      </c>
      <c r="B1571" t="s">
        <v>96</v>
      </c>
      <c r="C1571" t="s">
        <v>489</v>
      </c>
      <c r="D1571" s="1">
        <v>44784</v>
      </c>
      <c r="E1571">
        <v>7</v>
      </c>
      <c r="F1571">
        <v>57.813082505199503</v>
      </c>
      <c r="G1571" s="1">
        <v>44801</v>
      </c>
      <c r="H1571" s="1">
        <v>44800</v>
      </c>
      <c r="I1571">
        <v>404.69157753639598</v>
      </c>
      <c r="J1571">
        <f t="shared" si="144"/>
        <v>-1</v>
      </c>
      <c r="K1571" t="str">
        <f>VLOOKUP(B1571,Raw_Suppliers!$A$2:$G$101,2,FALSE)</f>
        <v>Alpha Nova Ltd</v>
      </c>
      <c r="L1571" t="str">
        <f>VLOOKUP(B1571,Raw_Suppliers!$A$2:$G$101,3,FALSE)</f>
        <v>UK</v>
      </c>
      <c r="M1571" t="str">
        <f>VLOOKUP(B1571,Raw_Suppliers!$A$2:$G$101,4,FALSE)</f>
        <v>West</v>
      </c>
      <c r="N1571" t="str">
        <f>VLOOKUP(B1571,Raw_Suppliers!$A$2:$G$101,6,FALSE)</f>
        <v>ISO 14001</v>
      </c>
      <c r="O1571">
        <f>VLOOKUP(B1571,Raw_Suppliers!$A$2:$G$101,7,FALSE)</f>
        <v>0</v>
      </c>
      <c r="P1571" t="str">
        <f t="shared" si="145"/>
        <v>No</v>
      </c>
      <c r="Q1571">
        <f t="shared" si="146"/>
        <v>1</v>
      </c>
      <c r="R1571" t="str">
        <f t="shared" si="147"/>
        <v>On Time</v>
      </c>
      <c r="S1571">
        <f t="shared" si="148"/>
        <v>2022</v>
      </c>
      <c r="T1571">
        <f t="shared" si="149"/>
        <v>8</v>
      </c>
    </row>
    <row r="1572" spans="1:20" x14ac:dyDescent="0.25">
      <c r="A1572" t="s">
        <v>1879</v>
      </c>
      <c r="B1572" t="s">
        <v>326</v>
      </c>
      <c r="C1572" t="s">
        <v>190</v>
      </c>
      <c r="D1572" s="1">
        <v>44839</v>
      </c>
      <c r="E1572">
        <v>9</v>
      </c>
      <c r="F1572">
        <v>35.009741007135098</v>
      </c>
      <c r="G1572" s="1">
        <v>44863</v>
      </c>
      <c r="H1572" s="1">
        <v>44867</v>
      </c>
      <c r="I1572">
        <v>315.08766906421602</v>
      </c>
      <c r="J1572">
        <f t="shared" si="144"/>
        <v>4</v>
      </c>
      <c r="K1572" t="str">
        <f>VLOOKUP(B1572,Raw_Suppliers!$A$2:$G$101,2,FALSE)</f>
        <v>Ultra Fusion Corp</v>
      </c>
      <c r="L1572" t="str">
        <f>VLOOKUP(B1572,Raw_Suppliers!$A$2:$G$101,3,FALSE)</f>
        <v>Canada</v>
      </c>
      <c r="M1572" t="str">
        <f>VLOOKUP(B1572,Raw_Suppliers!$A$2:$G$101,4,FALSE)</f>
        <v>South</v>
      </c>
      <c r="N1572" t="str">
        <f>VLOOKUP(B1572,Raw_Suppliers!$A$2:$G$101,6,FALSE)</f>
        <v>None</v>
      </c>
      <c r="O1572">
        <f>VLOOKUP(B1572,Raw_Suppliers!$A$2:$G$101,7,FALSE)</f>
        <v>1</v>
      </c>
      <c r="P1572" t="str">
        <f t="shared" si="145"/>
        <v>Yes</v>
      </c>
      <c r="Q1572">
        <f t="shared" si="146"/>
        <v>0</v>
      </c>
      <c r="R1572" t="str">
        <f t="shared" si="147"/>
        <v>Late</v>
      </c>
      <c r="S1572">
        <f t="shared" si="148"/>
        <v>2022</v>
      </c>
      <c r="T1572">
        <f t="shared" si="149"/>
        <v>10</v>
      </c>
    </row>
    <row r="1573" spans="1:20" x14ac:dyDescent="0.25">
      <c r="A1573" t="s">
        <v>1880</v>
      </c>
      <c r="B1573" t="s">
        <v>31</v>
      </c>
      <c r="C1573" t="s">
        <v>899</v>
      </c>
      <c r="D1573" s="1">
        <v>45076</v>
      </c>
      <c r="E1573">
        <v>9</v>
      </c>
      <c r="F1573">
        <v>11.9778766420037</v>
      </c>
      <c r="G1573" s="1">
        <v>45093</v>
      </c>
      <c r="H1573" s="1">
        <v>45095</v>
      </c>
      <c r="I1573">
        <v>107.800889778033</v>
      </c>
      <c r="J1573">
        <f t="shared" si="144"/>
        <v>2</v>
      </c>
      <c r="K1573" t="str">
        <f>VLOOKUP(B1573,Raw_Suppliers!$A$2:$G$101,2,FALSE)</f>
        <v>Nova Nano GmbH</v>
      </c>
      <c r="L1573" t="str">
        <f>VLOOKUP(B1573,Raw_Suppliers!$A$2:$G$101,3,FALSE)</f>
        <v>Denmark</v>
      </c>
      <c r="M1573" t="str">
        <f>VLOOKUP(B1573,Raw_Suppliers!$A$2:$G$101,4,FALSE)</f>
        <v>South</v>
      </c>
      <c r="N1573" t="str">
        <f>VLOOKUP(B1573,Raw_Suppliers!$A$2:$G$101,6,FALSE)</f>
        <v>ISO 14001</v>
      </c>
      <c r="O1573">
        <f>VLOOKUP(B1573,Raw_Suppliers!$A$2:$G$101,7,FALSE)</f>
        <v>1</v>
      </c>
      <c r="P1573" t="str">
        <f t="shared" si="145"/>
        <v>Yes</v>
      </c>
      <c r="Q1573">
        <f t="shared" si="146"/>
        <v>0</v>
      </c>
      <c r="R1573" t="str">
        <f t="shared" si="147"/>
        <v>Late</v>
      </c>
      <c r="S1573">
        <f t="shared" si="148"/>
        <v>2023</v>
      </c>
      <c r="T1573">
        <f t="shared" si="149"/>
        <v>5</v>
      </c>
    </row>
    <row r="1574" spans="1:20" x14ac:dyDescent="0.25">
      <c r="A1574" t="s">
        <v>1881</v>
      </c>
      <c r="B1574" t="s">
        <v>179</v>
      </c>
      <c r="C1574" t="s">
        <v>527</v>
      </c>
      <c r="D1574" s="1">
        <v>44923</v>
      </c>
      <c r="E1574">
        <v>10</v>
      </c>
      <c r="F1574">
        <v>47.510042630507897</v>
      </c>
      <c r="G1574" s="1">
        <v>44940</v>
      </c>
      <c r="H1574" s="1">
        <v>44944</v>
      </c>
      <c r="I1574">
        <v>475.100426305079</v>
      </c>
      <c r="J1574">
        <f t="shared" si="144"/>
        <v>4</v>
      </c>
      <c r="K1574" t="str">
        <f>VLOOKUP(B1574,Raw_Suppliers!$A$2:$G$101,2,FALSE)</f>
        <v>Nova Gamma Ltd</v>
      </c>
      <c r="L1574" t="str">
        <f>VLOOKUP(B1574,Raw_Suppliers!$A$2:$G$101,3,FALSE)</f>
        <v>Denmark</v>
      </c>
      <c r="M1574" t="str">
        <f>VLOOKUP(B1574,Raw_Suppliers!$A$2:$G$101,4,FALSE)</f>
        <v>East</v>
      </c>
      <c r="N1574" t="str">
        <f>VLOOKUP(B1574,Raw_Suppliers!$A$2:$G$101,6,FALSE)</f>
        <v>ISO 9001</v>
      </c>
      <c r="O1574">
        <f>VLOOKUP(B1574,Raw_Suppliers!$A$2:$G$101,7,FALSE)</f>
        <v>0</v>
      </c>
      <c r="P1574" t="str">
        <f t="shared" si="145"/>
        <v>No</v>
      </c>
      <c r="Q1574">
        <f t="shared" si="146"/>
        <v>0</v>
      </c>
      <c r="R1574" t="str">
        <f t="shared" si="147"/>
        <v>Late</v>
      </c>
      <c r="S1574">
        <f t="shared" si="148"/>
        <v>2022</v>
      </c>
      <c r="T1574">
        <f t="shared" si="149"/>
        <v>12</v>
      </c>
    </row>
    <row r="1575" spans="1:20" x14ac:dyDescent="0.25">
      <c r="A1575" t="s">
        <v>1882</v>
      </c>
      <c r="B1575" t="s">
        <v>46</v>
      </c>
      <c r="C1575" t="s">
        <v>11</v>
      </c>
      <c r="D1575" s="1">
        <v>44823</v>
      </c>
      <c r="E1575">
        <v>15</v>
      </c>
      <c r="F1575">
        <v>19.2990481085208</v>
      </c>
      <c r="G1575" s="1">
        <v>44845</v>
      </c>
      <c r="H1575" s="1">
        <v>44842</v>
      </c>
      <c r="I1575">
        <v>289.48572162781198</v>
      </c>
      <c r="J1575">
        <f t="shared" si="144"/>
        <v>-3</v>
      </c>
      <c r="K1575" t="str">
        <f>VLOOKUP(B1575,Raw_Suppliers!$A$2:$G$101,2,FALSE)</f>
        <v>Prime Prime Inc</v>
      </c>
      <c r="L1575" t="str">
        <f>VLOOKUP(B1575,Raw_Suppliers!$A$2:$G$101,3,FALSE)</f>
        <v>UK</v>
      </c>
      <c r="M1575" t="str">
        <f>VLOOKUP(B1575,Raw_Suppliers!$A$2:$G$101,4,FALSE)</f>
        <v>South</v>
      </c>
      <c r="N1575" t="str">
        <f>VLOOKUP(B1575,Raw_Suppliers!$A$2:$G$101,6,FALSE)</f>
        <v>None</v>
      </c>
      <c r="O1575">
        <f>VLOOKUP(B1575,Raw_Suppliers!$A$2:$G$101,7,FALSE)</f>
        <v>1</v>
      </c>
      <c r="P1575" t="str">
        <f t="shared" si="145"/>
        <v>Yes</v>
      </c>
      <c r="Q1575">
        <f t="shared" si="146"/>
        <v>1</v>
      </c>
      <c r="R1575" t="str">
        <f t="shared" si="147"/>
        <v>On Time</v>
      </c>
      <c r="S1575">
        <f t="shared" si="148"/>
        <v>2022</v>
      </c>
      <c r="T1575">
        <f t="shared" si="149"/>
        <v>9</v>
      </c>
    </row>
    <row r="1576" spans="1:20" x14ac:dyDescent="0.25">
      <c r="A1576" t="s">
        <v>1883</v>
      </c>
      <c r="B1576" t="s">
        <v>247</v>
      </c>
      <c r="C1576" t="s">
        <v>133</v>
      </c>
      <c r="D1576" s="1">
        <v>44795</v>
      </c>
      <c r="E1576">
        <v>14</v>
      </c>
      <c r="F1576">
        <v>70.030766392103004</v>
      </c>
      <c r="G1576" s="1">
        <v>44812</v>
      </c>
      <c r="H1576" s="1">
        <v>44816</v>
      </c>
      <c r="I1576">
        <v>980.430729489442</v>
      </c>
      <c r="J1576">
        <f t="shared" si="144"/>
        <v>4</v>
      </c>
      <c r="K1576" t="str">
        <f>VLOOKUP(B1576,Raw_Suppliers!$A$2:$G$101,2,FALSE)</f>
        <v>Ultra Apex LLC</v>
      </c>
      <c r="L1576" t="str">
        <f>VLOOKUP(B1576,Raw_Suppliers!$A$2:$G$101,3,FALSE)</f>
        <v>Germany</v>
      </c>
      <c r="M1576" t="str">
        <f>VLOOKUP(B1576,Raw_Suppliers!$A$2:$G$101,4,FALSE)</f>
        <v>West</v>
      </c>
      <c r="N1576" t="str">
        <f>VLOOKUP(B1576,Raw_Suppliers!$A$2:$G$101,6,FALSE)</f>
        <v>ISO 9001</v>
      </c>
      <c r="O1576">
        <f>VLOOKUP(B1576,Raw_Suppliers!$A$2:$G$101,7,FALSE)</f>
        <v>0</v>
      </c>
      <c r="P1576" t="str">
        <f t="shared" si="145"/>
        <v>No</v>
      </c>
      <c r="Q1576">
        <f t="shared" si="146"/>
        <v>0</v>
      </c>
      <c r="R1576" t="str">
        <f t="shared" si="147"/>
        <v>Late</v>
      </c>
      <c r="S1576">
        <f t="shared" si="148"/>
        <v>2022</v>
      </c>
      <c r="T1576">
        <f t="shared" si="149"/>
        <v>8</v>
      </c>
    </row>
    <row r="1577" spans="1:20" x14ac:dyDescent="0.25">
      <c r="A1577" t="s">
        <v>1884</v>
      </c>
      <c r="B1577" t="s">
        <v>427</v>
      </c>
      <c r="C1577" t="s">
        <v>133</v>
      </c>
      <c r="D1577" s="1">
        <v>44300</v>
      </c>
      <c r="E1577">
        <v>16</v>
      </c>
      <c r="F1577">
        <v>28.256472791425001</v>
      </c>
      <c r="G1577" s="1">
        <v>44318</v>
      </c>
      <c r="H1577" s="1">
        <v>44324</v>
      </c>
      <c r="I1577">
        <v>452.10356466280001</v>
      </c>
      <c r="J1577">
        <f t="shared" si="144"/>
        <v>6</v>
      </c>
      <c r="K1577" t="str">
        <f>VLOOKUP(B1577,Raw_Suppliers!$A$2:$G$101,2,FALSE)</f>
        <v>Nova Alpha Corp</v>
      </c>
      <c r="L1577" t="str">
        <f>VLOOKUP(B1577,Raw_Suppliers!$A$2:$G$101,3,FALSE)</f>
        <v>Denmark</v>
      </c>
      <c r="M1577" t="str">
        <f>VLOOKUP(B1577,Raw_Suppliers!$A$2:$G$101,4,FALSE)</f>
        <v>Central</v>
      </c>
      <c r="N1577" t="str">
        <f>VLOOKUP(B1577,Raw_Suppliers!$A$2:$G$101,6,FALSE)</f>
        <v>None</v>
      </c>
      <c r="O1577">
        <f>VLOOKUP(B1577,Raw_Suppliers!$A$2:$G$101,7,FALSE)</f>
        <v>0</v>
      </c>
      <c r="P1577" t="str">
        <f t="shared" si="145"/>
        <v>No</v>
      </c>
      <c r="Q1577">
        <f t="shared" si="146"/>
        <v>0</v>
      </c>
      <c r="R1577" t="str">
        <f t="shared" si="147"/>
        <v>Late</v>
      </c>
      <c r="S1577">
        <f t="shared" si="148"/>
        <v>2021</v>
      </c>
      <c r="T1577">
        <f t="shared" si="149"/>
        <v>4</v>
      </c>
    </row>
    <row r="1578" spans="1:20" x14ac:dyDescent="0.25">
      <c r="A1578" t="s">
        <v>1885</v>
      </c>
      <c r="B1578" t="s">
        <v>295</v>
      </c>
      <c r="C1578" t="s">
        <v>363</v>
      </c>
      <c r="D1578" s="1">
        <v>44706</v>
      </c>
      <c r="E1578">
        <v>12</v>
      </c>
      <c r="F1578">
        <v>47.3378095150264</v>
      </c>
      <c r="G1578" s="1">
        <v>44721</v>
      </c>
      <c r="H1578" s="1">
        <v>44718</v>
      </c>
      <c r="I1578">
        <v>568.053714180317</v>
      </c>
      <c r="J1578">
        <f t="shared" si="144"/>
        <v>-3</v>
      </c>
      <c r="K1578" t="str">
        <f>VLOOKUP(B1578,Raw_Suppliers!$A$2:$G$101,2,FALSE)</f>
        <v>Delta Quantum GmbH</v>
      </c>
      <c r="L1578" t="str">
        <f>VLOOKUP(B1578,Raw_Suppliers!$A$2:$G$101,3,FALSE)</f>
        <v>Brazil</v>
      </c>
      <c r="M1578" t="str">
        <f>VLOOKUP(B1578,Raw_Suppliers!$A$2:$G$101,4,FALSE)</f>
        <v>North</v>
      </c>
      <c r="N1578" t="str">
        <f>VLOOKUP(B1578,Raw_Suppliers!$A$2:$G$101,6,FALSE)</f>
        <v>ISO 9001</v>
      </c>
      <c r="O1578">
        <f>VLOOKUP(B1578,Raw_Suppliers!$A$2:$G$101,7,FALSE)</f>
        <v>1</v>
      </c>
      <c r="P1578" t="str">
        <f t="shared" si="145"/>
        <v>Yes</v>
      </c>
      <c r="Q1578">
        <f t="shared" si="146"/>
        <v>1</v>
      </c>
      <c r="R1578" t="str">
        <f t="shared" si="147"/>
        <v>On Time</v>
      </c>
      <c r="S1578">
        <f t="shared" si="148"/>
        <v>2022</v>
      </c>
      <c r="T1578">
        <f t="shared" si="149"/>
        <v>5</v>
      </c>
    </row>
    <row r="1579" spans="1:20" x14ac:dyDescent="0.25">
      <c r="A1579" t="s">
        <v>1886</v>
      </c>
      <c r="B1579" t="s">
        <v>564</v>
      </c>
      <c r="C1579" t="s">
        <v>235</v>
      </c>
      <c r="D1579" s="1">
        <v>45252</v>
      </c>
      <c r="E1579">
        <v>10</v>
      </c>
      <c r="F1579">
        <v>67.189165812737002</v>
      </c>
      <c r="G1579" s="1">
        <v>45268</v>
      </c>
      <c r="H1579" s="1">
        <v>45269</v>
      </c>
      <c r="I1579">
        <v>671.89165812736996</v>
      </c>
      <c r="J1579">
        <f t="shared" si="144"/>
        <v>1</v>
      </c>
      <c r="K1579" t="str">
        <f>VLOOKUP(B1579,Raw_Suppliers!$A$2:$G$101,2,FALSE)</f>
        <v>Ultra Ultra GmbH</v>
      </c>
      <c r="L1579" t="str">
        <f>VLOOKUP(B1579,Raw_Suppliers!$A$2:$G$101,3,FALSE)</f>
        <v>India</v>
      </c>
      <c r="M1579" t="str">
        <f>VLOOKUP(B1579,Raw_Suppliers!$A$2:$G$101,4,FALSE)</f>
        <v>Central</v>
      </c>
      <c r="N1579" t="str">
        <f>VLOOKUP(B1579,Raw_Suppliers!$A$2:$G$101,6,FALSE)</f>
        <v>ISO 14001</v>
      </c>
      <c r="O1579">
        <f>VLOOKUP(B1579,Raw_Suppliers!$A$2:$G$101,7,FALSE)</f>
        <v>1</v>
      </c>
      <c r="P1579" t="str">
        <f t="shared" si="145"/>
        <v>Yes</v>
      </c>
      <c r="Q1579">
        <f t="shared" si="146"/>
        <v>0</v>
      </c>
      <c r="R1579" t="str">
        <f t="shared" si="147"/>
        <v>Late</v>
      </c>
      <c r="S1579">
        <f t="shared" si="148"/>
        <v>2023</v>
      </c>
      <c r="T1579">
        <f t="shared" si="149"/>
        <v>11</v>
      </c>
    </row>
    <row r="1580" spans="1:20" x14ac:dyDescent="0.25">
      <c r="A1580" t="s">
        <v>1887</v>
      </c>
      <c r="B1580" t="s">
        <v>82</v>
      </c>
      <c r="C1580" t="s">
        <v>547</v>
      </c>
      <c r="D1580" s="1">
        <v>44581</v>
      </c>
      <c r="E1580">
        <v>21</v>
      </c>
      <c r="F1580">
        <v>58.9316234670843</v>
      </c>
      <c r="G1580" s="1">
        <v>44591</v>
      </c>
      <c r="H1580" s="1">
        <v>44595</v>
      </c>
      <c r="I1580">
        <v>1237.5640928087701</v>
      </c>
      <c r="J1580">
        <f t="shared" si="144"/>
        <v>4</v>
      </c>
      <c r="K1580" t="str">
        <f>VLOOKUP(B1580,Raw_Suppliers!$A$2:$G$101,2,FALSE)</f>
        <v>Gamma Quantum LLC</v>
      </c>
      <c r="L1580" t="str">
        <f>VLOOKUP(B1580,Raw_Suppliers!$A$2:$G$101,3,FALSE)</f>
        <v>Canada</v>
      </c>
      <c r="M1580" t="str">
        <f>VLOOKUP(B1580,Raw_Suppliers!$A$2:$G$101,4,FALSE)</f>
        <v>Central</v>
      </c>
      <c r="N1580" t="str">
        <f>VLOOKUP(B1580,Raw_Suppliers!$A$2:$G$101,6,FALSE)</f>
        <v>None</v>
      </c>
      <c r="O1580">
        <f>VLOOKUP(B1580,Raw_Suppliers!$A$2:$G$101,7,FALSE)</f>
        <v>1</v>
      </c>
      <c r="P1580" t="str">
        <f t="shared" si="145"/>
        <v>Yes</v>
      </c>
      <c r="Q1580">
        <f t="shared" si="146"/>
        <v>0</v>
      </c>
      <c r="R1580" t="str">
        <f t="shared" si="147"/>
        <v>Late</v>
      </c>
      <c r="S1580">
        <f t="shared" si="148"/>
        <v>2022</v>
      </c>
      <c r="T1580">
        <f t="shared" si="149"/>
        <v>1</v>
      </c>
    </row>
    <row r="1581" spans="1:20" x14ac:dyDescent="0.25">
      <c r="A1581" t="s">
        <v>1888</v>
      </c>
      <c r="B1581" t="s">
        <v>109</v>
      </c>
      <c r="C1581" t="s">
        <v>466</v>
      </c>
      <c r="D1581" s="1">
        <v>44908</v>
      </c>
      <c r="E1581">
        <v>17</v>
      </c>
      <c r="F1581">
        <v>4.7189801050913198</v>
      </c>
      <c r="G1581" s="1">
        <v>44932</v>
      </c>
      <c r="H1581" s="1">
        <v>44932</v>
      </c>
      <c r="I1581">
        <v>80.222661786552493</v>
      </c>
      <c r="J1581">
        <f t="shared" si="144"/>
        <v>0</v>
      </c>
      <c r="K1581" t="str">
        <f>VLOOKUP(B1581,Raw_Suppliers!$A$2:$G$101,2,FALSE)</f>
        <v>Nano Fusion GmbH</v>
      </c>
      <c r="L1581" t="str">
        <f>VLOOKUP(B1581,Raw_Suppliers!$A$2:$G$101,3,FALSE)</f>
        <v>Denmark</v>
      </c>
      <c r="M1581" t="str">
        <f>VLOOKUP(B1581,Raw_Suppliers!$A$2:$G$101,4,FALSE)</f>
        <v>North</v>
      </c>
      <c r="N1581" t="str">
        <f>VLOOKUP(B1581,Raw_Suppliers!$A$2:$G$101,6,FALSE)</f>
        <v>ISO 9001</v>
      </c>
      <c r="O1581">
        <f>VLOOKUP(B1581,Raw_Suppliers!$A$2:$G$101,7,FALSE)</f>
        <v>0</v>
      </c>
      <c r="P1581" t="str">
        <f t="shared" si="145"/>
        <v>No</v>
      </c>
      <c r="Q1581">
        <f t="shared" si="146"/>
        <v>1</v>
      </c>
      <c r="R1581" t="str">
        <f t="shared" si="147"/>
        <v>On Time</v>
      </c>
      <c r="S1581">
        <f t="shared" si="148"/>
        <v>2022</v>
      </c>
      <c r="T1581">
        <f t="shared" si="149"/>
        <v>12</v>
      </c>
    </row>
    <row r="1582" spans="1:20" x14ac:dyDescent="0.25">
      <c r="A1582" t="s">
        <v>1889</v>
      </c>
      <c r="B1582" t="s">
        <v>55</v>
      </c>
      <c r="C1582" t="s">
        <v>328</v>
      </c>
      <c r="D1582" s="1">
        <v>44608</v>
      </c>
      <c r="E1582">
        <v>12</v>
      </c>
      <c r="F1582">
        <v>54.6502182098384</v>
      </c>
      <c r="G1582" s="1">
        <v>44623</v>
      </c>
      <c r="H1582" s="1">
        <v>44623</v>
      </c>
      <c r="I1582">
        <v>655.80261851806097</v>
      </c>
      <c r="J1582">
        <f t="shared" si="144"/>
        <v>0</v>
      </c>
      <c r="K1582" t="str">
        <f>VLOOKUP(B1582,Raw_Suppliers!$A$2:$G$101,2,FALSE)</f>
        <v>Prime Vertex Inc</v>
      </c>
      <c r="L1582" t="str">
        <f>VLOOKUP(B1582,Raw_Suppliers!$A$2:$G$101,3,FALSE)</f>
        <v>Germany</v>
      </c>
      <c r="M1582" t="str">
        <f>VLOOKUP(B1582,Raw_Suppliers!$A$2:$G$101,4,FALSE)</f>
        <v>South</v>
      </c>
      <c r="N1582" t="str">
        <f>VLOOKUP(B1582,Raw_Suppliers!$A$2:$G$101,6,FALSE)</f>
        <v>ISO 14001</v>
      </c>
      <c r="O1582">
        <f>VLOOKUP(B1582,Raw_Suppliers!$A$2:$G$101,7,FALSE)</f>
        <v>0</v>
      </c>
      <c r="P1582" t="str">
        <f t="shared" si="145"/>
        <v>No</v>
      </c>
      <c r="Q1582">
        <f t="shared" si="146"/>
        <v>1</v>
      </c>
      <c r="R1582" t="str">
        <f t="shared" si="147"/>
        <v>On Time</v>
      </c>
      <c r="S1582">
        <f t="shared" si="148"/>
        <v>2022</v>
      </c>
      <c r="T1582">
        <f t="shared" si="149"/>
        <v>2</v>
      </c>
    </row>
    <row r="1583" spans="1:20" x14ac:dyDescent="0.25">
      <c r="A1583" t="s">
        <v>1890</v>
      </c>
      <c r="B1583" t="s">
        <v>31</v>
      </c>
      <c r="C1583" t="s">
        <v>391</v>
      </c>
      <c r="D1583" s="1">
        <v>45137</v>
      </c>
      <c r="E1583">
        <v>11</v>
      </c>
      <c r="F1583">
        <v>74.050068575274494</v>
      </c>
      <c r="G1583" s="1">
        <v>45150</v>
      </c>
      <c r="H1583" s="1">
        <v>45152</v>
      </c>
      <c r="I1583">
        <v>814.55075432802005</v>
      </c>
      <c r="J1583">
        <f t="shared" si="144"/>
        <v>2</v>
      </c>
      <c r="K1583" t="str">
        <f>VLOOKUP(B1583,Raw_Suppliers!$A$2:$G$101,2,FALSE)</f>
        <v>Nova Nano GmbH</v>
      </c>
      <c r="L1583" t="str">
        <f>VLOOKUP(B1583,Raw_Suppliers!$A$2:$G$101,3,FALSE)</f>
        <v>Denmark</v>
      </c>
      <c r="M1583" t="str">
        <f>VLOOKUP(B1583,Raw_Suppliers!$A$2:$G$101,4,FALSE)</f>
        <v>South</v>
      </c>
      <c r="N1583" t="str">
        <f>VLOOKUP(B1583,Raw_Suppliers!$A$2:$G$101,6,FALSE)</f>
        <v>ISO 14001</v>
      </c>
      <c r="O1583">
        <f>VLOOKUP(B1583,Raw_Suppliers!$A$2:$G$101,7,FALSE)</f>
        <v>1</v>
      </c>
      <c r="P1583" t="str">
        <f t="shared" si="145"/>
        <v>Yes</v>
      </c>
      <c r="Q1583">
        <f t="shared" si="146"/>
        <v>0</v>
      </c>
      <c r="R1583" t="str">
        <f t="shared" si="147"/>
        <v>Late</v>
      </c>
      <c r="S1583">
        <f t="shared" si="148"/>
        <v>2023</v>
      </c>
      <c r="T1583">
        <f t="shared" si="149"/>
        <v>7</v>
      </c>
    </row>
    <row r="1584" spans="1:20" x14ac:dyDescent="0.25">
      <c r="A1584" t="s">
        <v>1891</v>
      </c>
      <c r="B1584" t="s">
        <v>482</v>
      </c>
      <c r="C1584" t="s">
        <v>489</v>
      </c>
      <c r="D1584" s="1">
        <v>44832</v>
      </c>
      <c r="E1584">
        <v>11</v>
      </c>
      <c r="F1584">
        <v>25.044935112929601</v>
      </c>
      <c r="G1584" s="1">
        <v>44844</v>
      </c>
      <c r="H1584" s="1">
        <v>44848</v>
      </c>
      <c r="I1584">
        <v>275.494286242226</v>
      </c>
      <c r="J1584">
        <f t="shared" si="144"/>
        <v>4</v>
      </c>
      <c r="K1584" t="str">
        <f>VLOOKUP(B1584,Raw_Suppliers!$A$2:$G$101,2,FALSE)</f>
        <v>Eco Prime Corp</v>
      </c>
      <c r="L1584" t="str">
        <f>VLOOKUP(B1584,Raw_Suppliers!$A$2:$G$101,3,FALSE)</f>
        <v>China</v>
      </c>
      <c r="M1584" t="str">
        <f>VLOOKUP(B1584,Raw_Suppliers!$A$2:$G$101,4,FALSE)</f>
        <v>East</v>
      </c>
      <c r="N1584" t="str">
        <f>VLOOKUP(B1584,Raw_Suppliers!$A$2:$G$101,6,FALSE)</f>
        <v>ISO 45001</v>
      </c>
      <c r="O1584">
        <f>VLOOKUP(B1584,Raw_Suppliers!$A$2:$G$101,7,FALSE)</f>
        <v>1</v>
      </c>
      <c r="P1584" t="str">
        <f t="shared" si="145"/>
        <v>Yes</v>
      </c>
      <c r="Q1584">
        <f t="shared" si="146"/>
        <v>0</v>
      </c>
      <c r="R1584" t="str">
        <f t="shared" si="147"/>
        <v>Late</v>
      </c>
      <c r="S1584">
        <f t="shared" si="148"/>
        <v>2022</v>
      </c>
      <c r="T1584">
        <f t="shared" si="149"/>
        <v>9</v>
      </c>
    </row>
    <row r="1585" spans="1:20" x14ac:dyDescent="0.25">
      <c r="A1585" t="s">
        <v>1892</v>
      </c>
      <c r="B1585" t="s">
        <v>43</v>
      </c>
      <c r="C1585" t="s">
        <v>899</v>
      </c>
      <c r="D1585" s="1">
        <v>44611</v>
      </c>
      <c r="E1585">
        <v>15</v>
      </c>
      <c r="F1585">
        <v>42.405919998985503</v>
      </c>
      <c r="G1585" s="1">
        <v>44632</v>
      </c>
      <c r="H1585" s="1">
        <v>44630</v>
      </c>
      <c r="I1585">
        <v>636.08879998478301</v>
      </c>
      <c r="J1585">
        <f t="shared" si="144"/>
        <v>-2</v>
      </c>
      <c r="K1585" t="str">
        <f>VLOOKUP(B1585,Raw_Suppliers!$A$2:$G$101,2,FALSE)</f>
        <v>Alpha Ultra Corp</v>
      </c>
      <c r="L1585" t="str">
        <f>VLOOKUP(B1585,Raw_Suppliers!$A$2:$G$101,3,FALSE)</f>
        <v>USA</v>
      </c>
      <c r="M1585" t="str">
        <f>VLOOKUP(B1585,Raw_Suppliers!$A$2:$G$101,4,FALSE)</f>
        <v>Central</v>
      </c>
      <c r="N1585" t="str">
        <f>VLOOKUP(B1585,Raw_Suppliers!$A$2:$G$101,6,FALSE)</f>
        <v>ISO 9001</v>
      </c>
      <c r="O1585">
        <f>VLOOKUP(B1585,Raw_Suppliers!$A$2:$G$101,7,FALSE)</f>
        <v>1</v>
      </c>
      <c r="P1585" t="str">
        <f t="shared" si="145"/>
        <v>Yes</v>
      </c>
      <c r="Q1585">
        <f t="shared" si="146"/>
        <v>1</v>
      </c>
      <c r="R1585" t="str">
        <f t="shared" si="147"/>
        <v>On Time</v>
      </c>
      <c r="S1585">
        <f t="shared" si="148"/>
        <v>2022</v>
      </c>
      <c r="T1585">
        <f t="shared" si="149"/>
        <v>2</v>
      </c>
    </row>
    <row r="1586" spans="1:20" x14ac:dyDescent="0.25">
      <c r="A1586" t="s">
        <v>1893</v>
      </c>
      <c r="B1586" t="s">
        <v>130</v>
      </c>
      <c r="C1586" t="s">
        <v>571</v>
      </c>
      <c r="D1586" s="1">
        <v>44210</v>
      </c>
      <c r="E1586">
        <v>14</v>
      </c>
      <c r="F1586">
        <v>6.57623389866714</v>
      </c>
      <c r="G1586" s="1">
        <v>44231</v>
      </c>
      <c r="H1586" s="1">
        <v>44228</v>
      </c>
      <c r="I1586">
        <v>92.067274581339902</v>
      </c>
      <c r="J1586">
        <f t="shared" si="144"/>
        <v>-3</v>
      </c>
      <c r="K1586" t="str">
        <f>VLOOKUP(B1586,Raw_Suppliers!$A$2:$G$101,2,FALSE)</f>
        <v>Beta Gamma Corp</v>
      </c>
      <c r="L1586" t="str">
        <f>VLOOKUP(B1586,Raw_Suppliers!$A$2:$G$101,3,FALSE)</f>
        <v>USA</v>
      </c>
      <c r="M1586" t="str">
        <f>VLOOKUP(B1586,Raw_Suppliers!$A$2:$G$101,4,FALSE)</f>
        <v>West</v>
      </c>
      <c r="N1586" t="str">
        <f>VLOOKUP(B1586,Raw_Suppliers!$A$2:$G$101,6,FALSE)</f>
        <v>None</v>
      </c>
      <c r="O1586">
        <f>VLOOKUP(B1586,Raw_Suppliers!$A$2:$G$101,7,FALSE)</f>
        <v>0</v>
      </c>
      <c r="P1586" t="str">
        <f t="shared" si="145"/>
        <v>No</v>
      </c>
      <c r="Q1586">
        <f t="shared" si="146"/>
        <v>1</v>
      </c>
      <c r="R1586" t="str">
        <f t="shared" si="147"/>
        <v>On Time</v>
      </c>
      <c r="S1586">
        <f t="shared" si="148"/>
        <v>2021</v>
      </c>
      <c r="T1586">
        <f t="shared" si="149"/>
        <v>1</v>
      </c>
    </row>
    <row r="1587" spans="1:20" x14ac:dyDescent="0.25">
      <c r="A1587" t="s">
        <v>1894</v>
      </c>
      <c r="B1587" t="s">
        <v>482</v>
      </c>
      <c r="C1587" t="s">
        <v>163</v>
      </c>
      <c r="D1587" s="1">
        <v>45126</v>
      </c>
      <c r="E1587">
        <v>16</v>
      </c>
      <c r="F1587">
        <v>47.703011056265296</v>
      </c>
      <c r="G1587" s="1">
        <v>45138</v>
      </c>
      <c r="H1587" s="1">
        <v>45138</v>
      </c>
      <c r="I1587">
        <v>763.24817690024395</v>
      </c>
      <c r="J1587">
        <f t="shared" si="144"/>
        <v>0</v>
      </c>
      <c r="K1587" t="str">
        <f>VLOOKUP(B1587,Raw_Suppliers!$A$2:$G$101,2,FALSE)</f>
        <v>Eco Prime Corp</v>
      </c>
      <c r="L1587" t="str">
        <f>VLOOKUP(B1587,Raw_Suppliers!$A$2:$G$101,3,FALSE)</f>
        <v>China</v>
      </c>
      <c r="M1587" t="str">
        <f>VLOOKUP(B1587,Raw_Suppliers!$A$2:$G$101,4,FALSE)</f>
        <v>East</v>
      </c>
      <c r="N1587" t="str">
        <f>VLOOKUP(B1587,Raw_Suppliers!$A$2:$G$101,6,FALSE)</f>
        <v>ISO 45001</v>
      </c>
      <c r="O1587">
        <f>VLOOKUP(B1587,Raw_Suppliers!$A$2:$G$101,7,FALSE)</f>
        <v>1</v>
      </c>
      <c r="P1587" t="str">
        <f t="shared" si="145"/>
        <v>Yes</v>
      </c>
      <c r="Q1587">
        <f t="shared" si="146"/>
        <v>1</v>
      </c>
      <c r="R1587" t="str">
        <f t="shared" si="147"/>
        <v>On Time</v>
      </c>
      <c r="S1587">
        <f t="shared" si="148"/>
        <v>2023</v>
      </c>
      <c r="T1587">
        <f t="shared" si="149"/>
        <v>7</v>
      </c>
    </row>
    <row r="1588" spans="1:20" x14ac:dyDescent="0.25">
      <c r="A1588" t="s">
        <v>1895</v>
      </c>
      <c r="B1588" t="s">
        <v>37</v>
      </c>
      <c r="C1588" t="s">
        <v>899</v>
      </c>
      <c r="D1588" s="1">
        <v>44808</v>
      </c>
      <c r="E1588">
        <v>12</v>
      </c>
      <c r="F1588">
        <v>24.029610445025</v>
      </c>
      <c r="G1588" s="1">
        <v>44830</v>
      </c>
      <c r="H1588" s="1">
        <v>44829</v>
      </c>
      <c r="I1588">
        <v>288.3553253403</v>
      </c>
      <c r="J1588">
        <f t="shared" si="144"/>
        <v>-1</v>
      </c>
      <c r="K1588" t="str">
        <f>VLOOKUP(B1588,Raw_Suppliers!$A$2:$G$101,2,FALSE)</f>
        <v>Apex Apex Ltd</v>
      </c>
      <c r="L1588" t="str">
        <f>VLOOKUP(B1588,Raw_Suppliers!$A$2:$G$101,3,FALSE)</f>
        <v>Canada</v>
      </c>
      <c r="M1588" t="str">
        <f>VLOOKUP(B1588,Raw_Suppliers!$A$2:$G$101,4,FALSE)</f>
        <v>East</v>
      </c>
      <c r="N1588" t="str">
        <f>VLOOKUP(B1588,Raw_Suppliers!$A$2:$G$101,6,FALSE)</f>
        <v>ISO 9001</v>
      </c>
      <c r="O1588">
        <f>VLOOKUP(B1588,Raw_Suppliers!$A$2:$G$101,7,FALSE)</f>
        <v>1</v>
      </c>
      <c r="P1588" t="str">
        <f t="shared" si="145"/>
        <v>Yes</v>
      </c>
      <c r="Q1588">
        <f t="shared" si="146"/>
        <v>1</v>
      </c>
      <c r="R1588" t="str">
        <f t="shared" si="147"/>
        <v>On Time</v>
      </c>
      <c r="S1588">
        <f t="shared" si="148"/>
        <v>2022</v>
      </c>
      <c r="T1588">
        <f t="shared" si="149"/>
        <v>9</v>
      </c>
    </row>
    <row r="1589" spans="1:20" x14ac:dyDescent="0.25">
      <c r="A1589" t="s">
        <v>1896</v>
      </c>
      <c r="B1589" t="s">
        <v>28</v>
      </c>
      <c r="C1589" t="s">
        <v>346</v>
      </c>
      <c r="D1589" s="1">
        <v>45091</v>
      </c>
      <c r="E1589">
        <v>11</v>
      </c>
      <c r="F1589">
        <v>22.536299721177301</v>
      </c>
      <c r="G1589" s="1">
        <v>45112</v>
      </c>
      <c r="H1589" s="1">
        <v>45112</v>
      </c>
      <c r="I1589">
        <v>247.89929693294999</v>
      </c>
      <c r="J1589">
        <f t="shared" si="144"/>
        <v>0</v>
      </c>
      <c r="K1589" t="str">
        <f>VLOOKUP(B1589,Raw_Suppliers!$A$2:$G$101,2,FALSE)</f>
        <v>Fusion Vertex Inc</v>
      </c>
      <c r="L1589" t="str">
        <f>VLOOKUP(B1589,Raw_Suppliers!$A$2:$G$101,3,FALSE)</f>
        <v>Denmark</v>
      </c>
      <c r="M1589" t="str">
        <f>VLOOKUP(B1589,Raw_Suppliers!$A$2:$G$101,4,FALSE)</f>
        <v>Central</v>
      </c>
      <c r="N1589" t="str">
        <f>VLOOKUP(B1589,Raw_Suppliers!$A$2:$G$101,6,FALSE)</f>
        <v>ISO 45001</v>
      </c>
      <c r="O1589">
        <f>VLOOKUP(B1589,Raw_Suppliers!$A$2:$G$101,7,FALSE)</f>
        <v>0</v>
      </c>
      <c r="P1589" t="str">
        <f t="shared" si="145"/>
        <v>No</v>
      </c>
      <c r="Q1589">
        <f t="shared" si="146"/>
        <v>1</v>
      </c>
      <c r="R1589" t="str">
        <f t="shared" si="147"/>
        <v>On Time</v>
      </c>
      <c r="S1589">
        <f t="shared" si="148"/>
        <v>2023</v>
      </c>
      <c r="T1589">
        <f t="shared" si="149"/>
        <v>6</v>
      </c>
    </row>
    <row r="1590" spans="1:20" x14ac:dyDescent="0.25">
      <c r="A1590" t="s">
        <v>1897</v>
      </c>
      <c r="B1590" t="s">
        <v>314</v>
      </c>
      <c r="C1590" t="s">
        <v>161</v>
      </c>
      <c r="D1590" s="1">
        <v>45352</v>
      </c>
      <c r="E1590">
        <v>13</v>
      </c>
      <c r="F1590">
        <v>24.777720920784201</v>
      </c>
      <c r="G1590" s="1">
        <v>45365</v>
      </c>
      <c r="H1590" s="1">
        <v>45366</v>
      </c>
      <c r="I1590">
        <v>322.11037197019402</v>
      </c>
      <c r="J1590">
        <f t="shared" si="144"/>
        <v>1</v>
      </c>
      <c r="K1590" t="str">
        <f>VLOOKUP(B1590,Raw_Suppliers!$A$2:$G$101,2,FALSE)</f>
        <v>Gamma Nova Ltd</v>
      </c>
      <c r="L1590" t="str">
        <f>VLOOKUP(B1590,Raw_Suppliers!$A$2:$G$101,3,FALSE)</f>
        <v>USA</v>
      </c>
      <c r="M1590" t="str">
        <f>VLOOKUP(B1590,Raw_Suppliers!$A$2:$G$101,4,FALSE)</f>
        <v>North</v>
      </c>
      <c r="N1590" t="str">
        <f>VLOOKUP(B1590,Raw_Suppliers!$A$2:$G$101,6,FALSE)</f>
        <v>ISO 45001</v>
      </c>
      <c r="O1590">
        <f>VLOOKUP(B1590,Raw_Suppliers!$A$2:$G$101,7,FALSE)</f>
        <v>0</v>
      </c>
      <c r="P1590" t="str">
        <f t="shared" si="145"/>
        <v>No</v>
      </c>
      <c r="Q1590">
        <f t="shared" si="146"/>
        <v>0</v>
      </c>
      <c r="R1590" t="str">
        <f t="shared" si="147"/>
        <v>Late</v>
      </c>
      <c r="S1590">
        <f t="shared" si="148"/>
        <v>2024</v>
      </c>
      <c r="T1590">
        <f t="shared" si="149"/>
        <v>3</v>
      </c>
    </row>
    <row r="1591" spans="1:20" x14ac:dyDescent="0.25">
      <c r="A1591" t="s">
        <v>1898</v>
      </c>
      <c r="B1591" t="s">
        <v>261</v>
      </c>
      <c r="C1591" t="s">
        <v>190</v>
      </c>
      <c r="D1591" s="1">
        <v>45040</v>
      </c>
      <c r="E1591">
        <v>9</v>
      </c>
      <c r="F1591">
        <v>79.987708117705395</v>
      </c>
      <c r="G1591" s="1">
        <v>45063</v>
      </c>
      <c r="H1591" s="1">
        <v>45067</v>
      </c>
      <c r="I1591">
        <v>719.88937305934803</v>
      </c>
      <c r="J1591">
        <f t="shared" si="144"/>
        <v>4</v>
      </c>
      <c r="K1591" t="str">
        <f>VLOOKUP(B1591,Raw_Suppliers!$A$2:$G$101,2,FALSE)</f>
        <v>Delta Fusion Corp</v>
      </c>
      <c r="L1591" t="str">
        <f>VLOOKUP(B1591,Raw_Suppliers!$A$2:$G$101,3,FALSE)</f>
        <v>Denmark</v>
      </c>
      <c r="M1591" t="str">
        <f>VLOOKUP(B1591,Raw_Suppliers!$A$2:$G$101,4,FALSE)</f>
        <v>West</v>
      </c>
      <c r="N1591" t="str">
        <f>VLOOKUP(B1591,Raw_Suppliers!$A$2:$G$101,6,FALSE)</f>
        <v>ISO 45001</v>
      </c>
      <c r="O1591">
        <f>VLOOKUP(B1591,Raw_Suppliers!$A$2:$G$101,7,FALSE)</f>
        <v>0</v>
      </c>
      <c r="P1591" t="str">
        <f t="shared" si="145"/>
        <v>No</v>
      </c>
      <c r="Q1591">
        <f t="shared" si="146"/>
        <v>0</v>
      </c>
      <c r="R1591" t="str">
        <f t="shared" si="147"/>
        <v>Late</v>
      </c>
      <c r="S1591">
        <f t="shared" si="148"/>
        <v>2023</v>
      </c>
      <c r="T1591">
        <f t="shared" si="149"/>
        <v>4</v>
      </c>
    </row>
    <row r="1592" spans="1:20" x14ac:dyDescent="0.25">
      <c r="A1592" t="s">
        <v>1899</v>
      </c>
      <c r="B1592" t="s">
        <v>130</v>
      </c>
      <c r="C1592" t="s">
        <v>71</v>
      </c>
      <c r="D1592" s="1">
        <v>45372</v>
      </c>
      <c r="E1592">
        <v>6</v>
      </c>
      <c r="F1592">
        <v>45.578211339053297</v>
      </c>
      <c r="G1592" s="1">
        <v>45385</v>
      </c>
      <c r="H1592" s="1">
        <v>45389</v>
      </c>
      <c r="I1592">
        <v>273.46926803431899</v>
      </c>
      <c r="J1592">
        <f t="shared" si="144"/>
        <v>4</v>
      </c>
      <c r="K1592" t="str">
        <f>VLOOKUP(B1592,Raw_Suppliers!$A$2:$G$101,2,FALSE)</f>
        <v>Beta Gamma Corp</v>
      </c>
      <c r="L1592" t="str">
        <f>VLOOKUP(B1592,Raw_Suppliers!$A$2:$G$101,3,FALSE)</f>
        <v>USA</v>
      </c>
      <c r="M1592" t="str">
        <f>VLOOKUP(B1592,Raw_Suppliers!$A$2:$G$101,4,FALSE)</f>
        <v>West</v>
      </c>
      <c r="N1592" t="str">
        <f>VLOOKUP(B1592,Raw_Suppliers!$A$2:$G$101,6,FALSE)</f>
        <v>None</v>
      </c>
      <c r="O1592">
        <f>VLOOKUP(B1592,Raw_Suppliers!$A$2:$G$101,7,FALSE)</f>
        <v>0</v>
      </c>
      <c r="P1592" t="str">
        <f t="shared" si="145"/>
        <v>No</v>
      </c>
      <c r="Q1592">
        <f t="shared" si="146"/>
        <v>0</v>
      </c>
      <c r="R1592" t="str">
        <f t="shared" si="147"/>
        <v>Late</v>
      </c>
      <c r="S1592">
        <f t="shared" si="148"/>
        <v>2024</v>
      </c>
      <c r="T1592">
        <f t="shared" si="149"/>
        <v>3</v>
      </c>
    </row>
    <row r="1593" spans="1:20" x14ac:dyDescent="0.25">
      <c r="A1593" t="s">
        <v>1900</v>
      </c>
      <c r="B1593" t="s">
        <v>143</v>
      </c>
      <c r="C1593" t="s">
        <v>233</v>
      </c>
      <c r="D1593" s="1">
        <v>44916</v>
      </c>
      <c r="E1593">
        <v>6</v>
      </c>
      <c r="F1593">
        <v>3.7660942399925199</v>
      </c>
      <c r="G1593" s="1">
        <v>44937</v>
      </c>
      <c r="H1593" s="1">
        <v>44934</v>
      </c>
      <c r="I1593">
        <v>22.5965654399551</v>
      </c>
      <c r="J1593">
        <f t="shared" si="144"/>
        <v>-3</v>
      </c>
      <c r="K1593" t="str">
        <f>VLOOKUP(B1593,Raw_Suppliers!$A$2:$G$101,2,FALSE)</f>
        <v>Prime Gamma Inc</v>
      </c>
      <c r="L1593" t="str">
        <f>VLOOKUP(B1593,Raw_Suppliers!$A$2:$G$101,3,FALSE)</f>
        <v>China</v>
      </c>
      <c r="M1593" t="str">
        <f>VLOOKUP(B1593,Raw_Suppliers!$A$2:$G$101,4,FALSE)</f>
        <v>East</v>
      </c>
      <c r="N1593" t="str">
        <f>VLOOKUP(B1593,Raw_Suppliers!$A$2:$G$101,6,FALSE)</f>
        <v>ISO 14001</v>
      </c>
      <c r="O1593">
        <f>VLOOKUP(B1593,Raw_Suppliers!$A$2:$G$101,7,FALSE)</f>
        <v>0</v>
      </c>
      <c r="P1593" t="str">
        <f t="shared" si="145"/>
        <v>No</v>
      </c>
      <c r="Q1593">
        <f t="shared" si="146"/>
        <v>1</v>
      </c>
      <c r="R1593" t="str">
        <f t="shared" si="147"/>
        <v>On Time</v>
      </c>
      <c r="S1593">
        <f t="shared" si="148"/>
        <v>2022</v>
      </c>
      <c r="T1593">
        <f t="shared" si="149"/>
        <v>12</v>
      </c>
    </row>
    <row r="1594" spans="1:20" x14ac:dyDescent="0.25">
      <c r="A1594" t="s">
        <v>1901</v>
      </c>
      <c r="B1594" t="s">
        <v>119</v>
      </c>
      <c r="C1594" t="s">
        <v>543</v>
      </c>
      <c r="D1594" s="1">
        <v>44318</v>
      </c>
      <c r="E1594">
        <v>15</v>
      </c>
      <c r="F1594">
        <v>34.789336439042302</v>
      </c>
      <c r="G1594" s="1">
        <v>44332</v>
      </c>
      <c r="H1594" s="1">
        <v>44330</v>
      </c>
      <c r="I1594">
        <v>521.84004658563504</v>
      </c>
      <c r="J1594">
        <f t="shared" si="144"/>
        <v>-2</v>
      </c>
      <c r="K1594" t="str">
        <f>VLOOKUP(B1594,Raw_Suppliers!$A$2:$G$101,2,FALSE)</f>
        <v>Pioneer Apex Corp</v>
      </c>
      <c r="L1594" t="str">
        <f>VLOOKUP(B1594,Raw_Suppliers!$A$2:$G$101,3,FALSE)</f>
        <v>USA</v>
      </c>
      <c r="M1594" t="str">
        <f>VLOOKUP(B1594,Raw_Suppliers!$A$2:$G$101,4,FALSE)</f>
        <v>Central</v>
      </c>
      <c r="N1594" t="str">
        <f>VLOOKUP(B1594,Raw_Suppliers!$A$2:$G$101,6,FALSE)</f>
        <v>None</v>
      </c>
      <c r="O1594">
        <f>VLOOKUP(B1594,Raw_Suppliers!$A$2:$G$101,7,FALSE)</f>
        <v>0</v>
      </c>
      <c r="P1594" t="str">
        <f t="shared" si="145"/>
        <v>No</v>
      </c>
      <c r="Q1594">
        <f t="shared" si="146"/>
        <v>1</v>
      </c>
      <c r="R1594" t="str">
        <f t="shared" si="147"/>
        <v>On Time</v>
      </c>
      <c r="S1594">
        <f t="shared" si="148"/>
        <v>2021</v>
      </c>
      <c r="T1594">
        <f t="shared" si="149"/>
        <v>5</v>
      </c>
    </row>
    <row r="1595" spans="1:20" x14ac:dyDescent="0.25">
      <c r="A1595" t="s">
        <v>1902</v>
      </c>
      <c r="B1595" t="s">
        <v>46</v>
      </c>
      <c r="C1595" t="s">
        <v>20</v>
      </c>
      <c r="D1595" s="1">
        <v>44961</v>
      </c>
      <c r="E1595">
        <v>11</v>
      </c>
      <c r="F1595">
        <v>73.154977646393604</v>
      </c>
      <c r="G1595" s="1">
        <v>44977</v>
      </c>
      <c r="H1595" s="1">
        <v>44977</v>
      </c>
      <c r="I1595">
        <v>804.70475411032999</v>
      </c>
      <c r="J1595">
        <f t="shared" si="144"/>
        <v>0</v>
      </c>
      <c r="K1595" t="str">
        <f>VLOOKUP(B1595,Raw_Suppliers!$A$2:$G$101,2,FALSE)</f>
        <v>Prime Prime Inc</v>
      </c>
      <c r="L1595" t="str">
        <f>VLOOKUP(B1595,Raw_Suppliers!$A$2:$G$101,3,FALSE)</f>
        <v>UK</v>
      </c>
      <c r="M1595" t="str">
        <f>VLOOKUP(B1595,Raw_Suppliers!$A$2:$G$101,4,FALSE)</f>
        <v>South</v>
      </c>
      <c r="N1595" t="str">
        <f>VLOOKUP(B1595,Raw_Suppliers!$A$2:$G$101,6,FALSE)</f>
        <v>None</v>
      </c>
      <c r="O1595">
        <f>VLOOKUP(B1595,Raw_Suppliers!$A$2:$G$101,7,FALSE)</f>
        <v>1</v>
      </c>
      <c r="P1595" t="str">
        <f t="shared" si="145"/>
        <v>Yes</v>
      </c>
      <c r="Q1595">
        <f t="shared" si="146"/>
        <v>1</v>
      </c>
      <c r="R1595" t="str">
        <f t="shared" si="147"/>
        <v>On Time</v>
      </c>
      <c r="S1595">
        <f t="shared" si="148"/>
        <v>2023</v>
      </c>
      <c r="T1595">
        <f t="shared" si="149"/>
        <v>2</v>
      </c>
    </row>
    <row r="1596" spans="1:20" x14ac:dyDescent="0.25">
      <c r="A1596" t="s">
        <v>1903</v>
      </c>
      <c r="B1596" t="s">
        <v>114</v>
      </c>
      <c r="C1596" t="s">
        <v>47</v>
      </c>
      <c r="D1596" s="1">
        <v>44765</v>
      </c>
      <c r="E1596">
        <v>10</v>
      </c>
      <c r="F1596">
        <v>53.568892984768802</v>
      </c>
      <c r="G1596" s="1">
        <v>44788</v>
      </c>
      <c r="H1596" s="1">
        <v>44793</v>
      </c>
      <c r="I1596">
        <v>535.68892984768797</v>
      </c>
      <c r="J1596">
        <f t="shared" si="144"/>
        <v>5</v>
      </c>
      <c r="K1596" t="str">
        <f>VLOOKUP(B1596,Raw_Suppliers!$A$2:$G$101,2,FALSE)</f>
        <v>Fusion Fusion LLC</v>
      </c>
      <c r="L1596" t="str">
        <f>VLOOKUP(B1596,Raw_Suppliers!$A$2:$G$101,3,FALSE)</f>
        <v>China</v>
      </c>
      <c r="M1596" t="str">
        <f>VLOOKUP(B1596,Raw_Suppliers!$A$2:$G$101,4,FALSE)</f>
        <v>North</v>
      </c>
      <c r="N1596" t="str">
        <f>VLOOKUP(B1596,Raw_Suppliers!$A$2:$G$101,6,FALSE)</f>
        <v>ISO 45001</v>
      </c>
      <c r="O1596">
        <f>VLOOKUP(B1596,Raw_Suppliers!$A$2:$G$101,7,FALSE)</f>
        <v>1</v>
      </c>
      <c r="P1596" t="str">
        <f t="shared" si="145"/>
        <v>Yes</v>
      </c>
      <c r="Q1596">
        <f t="shared" si="146"/>
        <v>0</v>
      </c>
      <c r="R1596" t="str">
        <f t="shared" si="147"/>
        <v>Late</v>
      </c>
      <c r="S1596">
        <f t="shared" si="148"/>
        <v>2022</v>
      </c>
      <c r="T1596">
        <f t="shared" si="149"/>
        <v>7</v>
      </c>
    </row>
    <row r="1597" spans="1:20" x14ac:dyDescent="0.25">
      <c r="A1597" t="s">
        <v>1904</v>
      </c>
      <c r="B1597" t="s">
        <v>91</v>
      </c>
      <c r="C1597" t="s">
        <v>102</v>
      </c>
      <c r="D1597" s="1">
        <v>44371</v>
      </c>
      <c r="E1597">
        <v>10</v>
      </c>
      <c r="F1597">
        <v>40.226383028589098</v>
      </c>
      <c r="G1597" s="1">
        <v>44383</v>
      </c>
      <c r="H1597" s="1">
        <v>44389</v>
      </c>
      <c r="I1597">
        <v>402.263830285891</v>
      </c>
      <c r="J1597">
        <f t="shared" si="144"/>
        <v>6</v>
      </c>
      <c r="K1597" t="str">
        <f>VLOOKUP(B1597,Raw_Suppliers!$A$2:$G$101,2,FALSE)</f>
        <v>Apex Prime Ltd</v>
      </c>
      <c r="L1597" t="str">
        <f>VLOOKUP(B1597,Raw_Suppliers!$A$2:$G$101,3,FALSE)</f>
        <v>India</v>
      </c>
      <c r="M1597" t="str">
        <f>VLOOKUP(B1597,Raw_Suppliers!$A$2:$G$101,4,FALSE)</f>
        <v>South</v>
      </c>
      <c r="N1597" t="str">
        <f>VLOOKUP(B1597,Raw_Suppliers!$A$2:$G$101,6,FALSE)</f>
        <v>ISO 9001</v>
      </c>
      <c r="O1597">
        <f>VLOOKUP(B1597,Raw_Suppliers!$A$2:$G$101,7,FALSE)</f>
        <v>0</v>
      </c>
      <c r="P1597" t="str">
        <f t="shared" si="145"/>
        <v>No</v>
      </c>
      <c r="Q1597">
        <f t="shared" si="146"/>
        <v>0</v>
      </c>
      <c r="R1597" t="str">
        <f t="shared" si="147"/>
        <v>Late</v>
      </c>
      <c r="S1597">
        <f t="shared" si="148"/>
        <v>2021</v>
      </c>
      <c r="T1597">
        <f t="shared" si="149"/>
        <v>6</v>
      </c>
    </row>
    <row r="1598" spans="1:20" x14ac:dyDescent="0.25">
      <c r="A1598" t="s">
        <v>1905</v>
      </c>
      <c r="B1598" t="s">
        <v>493</v>
      </c>
      <c r="C1598" t="s">
        <v>356</v>
      </c>
      <c r="D1598" s="1">
        <v>45035</v>
      </c>
      <c r="E1598">
        <v>10</v>
      </c>
      <c r="F1598">
        <v>22.495097545144599</v>
      </c>
      <c r="G1598" s="1">
        <v>45045</v>
      </c>
      <c r="H1598" s="1">
        <v>45047</v>
      </c>
      <c r="I1598">
        <v>224.950975451446</v>
      </c>
      <c r="J1598">
        <f t="shared" si="144"/>
        <v>2</v>
      </c>
      <c r="K1598" t="str">
        <f>VLOOKUP(B1598,Raw_Suppliers!$A$2:$G$101,2,FALSE)</f>
        <v>Delta Vertex LLC</v>
      </c>
      <c r="L1598" t="str">
        <f>VLOOKUP(B1598,Raw_Suppliers!$A$2:$G$101,3,FALSE)</f>
        <v>China</v>
      </c>
      <c r="M1598" t="str">
        <f>VLOOKUP(B1598,Raw_Suppliers!$A$2:$G$101,4,FALSE)</f>
        <v>East</v>
      </c>
      <c r="N1598" t="str">
        <f>VLOOKUP(B1598,Raw_Suppliers!$A$2:$G$101,6,FALSE)</f>
        <v>None</v>
      </c>
      <c r="O1598">
        <f>VLOOKUP(B1598,Raw_Suppliers!$A$2:$G$101,7,FALSE)</f>
        <v>0</v>
      </c>
      <c r="P1598" t="str">
        <f t="shared" si="145"/>
        <v>No</v>
      </c>
      <c r="Q1598">
        <f t="shared" si="146"/>
        <v>0</v>
      </c>
      <c r="R1598" t="str">
        <f t="shared" si="147"/>
        <v>Late</v>
      </c>
      <c r="S1598">
        <f t="shared" si="148"/>
        <v>2023</v>
      </c>
      <c r="T1598">
        <f t="shared" si="149"/>
        <v>4</v>
      </c>
    </row>
    <row r="1599" spans="1:20" x14ac:dyDescent="0.25">
      <c r="A1599" t="s">
        <v>1906</v>
      </c>
      <c r="B1599" t="s">
        <v>85</v>
      </c>
      <c r="C1599" t="s">
        <v>133</v>
      </c>
      <c r="D1599" s="1">
        <v>44787</v>
      </c>
      <c r="E1599">
        <v>10</v>
      </c>
      <c r="F1599">
        <v>16.239075509546499</v>
      </c>
      <c r="G1599" s="1">
        <v>44807</v>
      </c>
      <c r="H1599" s="1">
        <v>44812</v>
      </c>
      <c r="I1599">
        <v>162.39075509546501</v>
      </c>
      <c r="J1599">
        <f t="shared" si="144"/>
        <v>5</v>
      </c>
      <c r="K1599" t="str">
        <f>VLOOKUP(B1599,Raw_Suppliers!$A$2:$G$101,2,FALSE)</f>
        <v>Fusion Gamma LLC</v>
      </c>
      <c r="L1599" t="str">
        <f>VLOOKUP(B1599,Raw_Suppliers!$A$2:$G$101,3,FALSE)</f>
        <v>China</v>
      </c>
      <c r="M1599" t="str">
        <f>VLOOKUP(B1599,Raw_Suppliers!$A$2:$G$101,4,FALSE)</f>
        <v>East</v>
      </c>
      <c r="N1599" t="str">
        <f>VLOOKUP(B1599,Raw_Suppliers!$A$2:$G$101,6,FALSE)</f>
        <v>ISO 9001</v>
      </c>
      <c r="O1599">
        <f>VLOOKUP(B1599,Raw_Suppliers!$A$2:$G$101,7,FALSE)</f>
        <v>1</v>
      </c>
      <c r="P1599" t="str">
        <f t="shared" si="145"/>
        <v>Yes</v>
      </c>
      <c r="Q1599">
        <f t="shared" si="146"/>
        <v>0</v>
      </c>
      <c r="R1599" t="str">
        <f t="shared" si="147"/>
        <v>Late</v>
      </c>
      <c r="S1599">
        <f t="shared" si="148"/>
        <v>2022</v>
      </c>
      <c r="T1599">
        <f t="shared" si="149"/>
        <v>8</v>
      </c>
    </row>
    <row r="1600" spans="1:20" x14ac:dyDescent="0.25">
      <c r="A1600" t="s">
        <v>1907</v>
      </c>
      <c r="B1600" t="s">
        <v>119</v>
      </c>
      <c r="C1600" t="s">
        <v>190</v>
      </c>
      <c r="D1600" s="1">
        <v>45291</v>
      </c>
      <c r="E1600">
        <v>16</v>
      </c>
      <c r="F1600">
        <v>55.857467410959202</v>
      </c>
      <c r="G1600" s="1">
        <v>45308</v>
      </c>
      <c r="H1600" s="1">
        <v>45314</v>
      </c>
      <c r="I1600">
        <v>893.71947857534701</v>
      </c>
      <c r="J1600">
        <f t="shared" si="144"/>
        <v>6</v>
      </c>
      <c r="K1600" t="str">
        <f>VLOOKUP(B1600,Raw_Suppliers!$A$2:$G$101,2,FALSE)</f>
        <v>Pioneer Apex Corp</v>
      </c>
      <c r="L1600" t="str">
        <f>VLOOKUP(B1600,Raw_Suppliers!$A$2:$G$101,3,FALSE)</f>
        <v>USA</v>
      </c>
      <c r="M1600" t="str">
        <f>VLOOKUP(B1600,Raw_Suppliers!$A$2:$G$101,4,FALSE)</f>
        <v>Central</v>
      </c>
      <c r="N1600" t="str">
        <f>VLOOKUP(B1600,Raw_Suppliers!$A$2:$G$101,6,FALSE)</f>
        <v>None</v>
      </c>
      <c r="O1600">
        <f>VLOOKUP(B1600,Raw_Suppliers!$A$2:$G$101,7,FALSE)</f>
        <v>0</v>
      </c>
      <c r="P1600" t="str">
        <f t="shared" si="145"/>
        <v>No</v>
      </c>
      <c r="Q1600">
        <f t="shared" si="146"/>
        <v>0</v>
      </c>
      <c r="R1600" t="str">
        <f t="shared" si="147"/>
        <v>Late</v>
      </c>
      <c r="S1600">
        <f t="shared" si="148"/>
        <v>2023</v>
      </c>
      <c r="T1600">
        <f t="shared" si="149"/>
        <v>12</v>
      </c>
    </row>
    <row r="1601" spans="1:20" x14ac:dyDescent="0.25">
      <c r="A1601" t="s">
        <v>1908</v>
      </c>
      <c r="B1601" t="s">
        <v>61</v>
      </c>
      <c r="C1601" t="s">
        <v>112</v>
      </c>
      <c r="D1601" s="1">
        <v>45306</v>
      </c>
      <c r="E1601">
        <v>11</v>
      </c>
      <c r="F1601">
        <v>53.171571847065898</v>
      </c>
      <c r="G1601" s="1">
        <v>45320</v>
      </c>
      <c r="H1601" s="1">
        <v>45321</v>
      </c>
      <c r="I1601">
        <v>584.88729031772505</v>
      </c>
      <c r="J1601">
        <f t="shared" si="144"/>
        <v>1</v>
      </c>
      <c r="K1601" t="str">
        <f>VLOOKUP(B1601,Raw_Suppliers!$A$2:$G$101,2,FALSE)</f>
        <v>Ultra Gamma LLC</v>
      </c>
      <c r="L1601" t="str">
        <f>VLOOKUP(B1601,Raw_Suppliers!$A$2:$G$101,3,FALSE)</f>
        <v>Canada</v>
      </c>
      <c r="M1601" t="str">
        <f>VLOOKUP(B1601,Raw_Suppliers!$A$2:$G$101,4,FALSE)</f>
        <v>North</v>
      </c>
      <c r="N1601" t="str">
        <f>VLOOKUP(B1601,Raw_Suppliers!$A$2:$G$101,6,FALSE)</f>
        <v>ISO 9001</v>
      </c>
      <c r="O1601">
        <f>VLOOKUP(B1601,Raw_Suppliers!$A$2:$G$101,7,FALSE)</f>
        <v>1</v>
      </c>
      <c r="P1601" t="str">
        <f t="shared" si="145"/>
        <v>Yes</v>
      </c>
      <c r="Q1601">
        <f t="shared" si="146"/>
        <v>0</v>
      </c>
      <c r="R1601" t="str">
        <f t="shared" si="147"/>
        <v>Late</v>
      </c>
      <c r="S1601">
        <f t="shared" si="148"/>
        <v>2024</v>
      </c>
      <c r="T1601">
        <f t="shared" si="149"/>
        <v>1</v>
      </c>
    </row>
    <row r="1602" spans="1:20" x14ac:dyDescent="0.25">
      <c r="A1602" t="s">
        <v>1909</v>
      </c>
      <c r="B1602" t="s">
        <v>88</v>
      </c>
      <c r="C1602" t="s">
        <v>182</v>
      </c>
      <c r="D1602" s="1">
        <v>44302</v>
      </c>
      <c r="E1602">
        <v>13</v>
      </c>
      <c r="F1602">
        <v>31.5546901889394</v>
      </c>
      <c r="G1602" s="1">
        <v>44320</v>
      </c>
      <c r="H1602" s="1">
        <v>44318</v>
      </c>
      <c r="I1602">
        <v>410.210972456212</v>
      </c>
      <c r="J1602">
        <f t="shared" si="144"/>
        <v>-2</v>
      </c>
      <c r="K1602" t="str">
        <f>VLOOKUP(B1602,Raw_Suppliers!$A$2:$G$101,2,FALSE)</f>
        <v>Eco Nano GmbH</v>
      </c>
      <c r="L1602" t="str">
        <f>VLOOKUP(B1602,Raw_Suppliers!$A$2:$G$101,3,FALSE)</f>
        <v>Denmark</v>
      </c>
      <c r="M1602" t="str">
        <f>VLOOKUP(B1602,Raw_Suppliers!$A$2:$G$101,4,FALSE)</f>
        <v>Central</v>
      </c>
      <c r="N1602" t="str">
        <f>VLOOKUP(B1602,Raw_Suppliers!$A$2:$G$101,6,FALSE)</f>
        <v>ISO 9001</v>
      </c>
      <c r="O1602">
        <f>VLOOKUP(B1602,Raw_Suppliers!$A$2:$G$101,7,FALSE)</f>
        <v>1</v>
      </c>
      <c r="P1602" t="str">
        <f t="shared" si="145"/>
        <v>Yes</v>
      </c>
      <c r="Q1602">
        <f t="shared" si="146"/>
        <v>1</v>
      </c>
      <c r="R1602" t="str">
        <f t="shared" si="147"/>
        <v>On Time</v>
      </c>
      <c r="S1602">
        <f t="shared" si="148"/>
        <v>2021</v>
      </c>
      <c r="T1602">
        <f t="shared" si="149"/>
        <v>4</v>
      </c>
    </row>
    <row r="1603" spans="1:20" x14ac:dyDescent="0.25">
      <c r="A1603" t="s">
        <v>1910</v>
      </c>
      <c r="B1603" t="s">
        <v>198</v>
      </c>
      <c r="C1603" t="s">
        <v>170</v>
      </c>
      <c r="D1603" s="1">
        <v>44370</v>
      </c>
      <c r="E1603">
        <v>9</v>
      </c>
      <c r="F1603">
        <v>59.546875325867802</v>
      </c>
      <c r="G1603" s="1">
        <v>44388</v>
      </c>
      <c r="H1603" s="1">
        <v>44393</v>
      </c>
      <c r="I1603">
        <v>535.92187793281096</v>
      </c>
      <c r="J1603">
        <f t="shared" ref="J1603:J1666" si="150">H1603-G1603</f>
        <v>5</v>
      </c>
      <c r="K1603" t="str">
        <f>VLOOKUP(B1603,Raw_Suppliers!$A$2:$G$101,2,FALSE)</f>
        <v>Gamma Vertex Corp</v>
      </c>
      <c r="L1603" t="str">
        <f>VLOOKUP(B1603,Raw_Suppliers!$A$2:$G$101,3,FALSE)</f>
        <v>Denmark</v>
      </c>
      <c r="M1603" t="str">
        <f>VLOOKUP(B1603,Raw_Suppliers!$A$2:$G$101,4,FALSE)</f>
        <v>South</v>
      </c>
      <c r="N1603" t="str">
        <f>VLOOKUP(B1603,Raw_Suppliers!$A$2:$G$101,6,FALSE)</f>
        <v>None</v>
      </c>
      <c r="O1603">
        <f>VLOOKUP(B1603,Raw_Suppliers!$A$2:$G$101,7,FALSE)</f>
        <v>1</v>
      </c>
      <c r="P1603" t="str">
        <f t="shared" ref="P1603:P1666" si="151">IF(O1603=1,"Yes","No")</f>
        <v>Yes</v>
      </c>
      <c r="Q1603">
        <f t="shared" ref="Q1603:Q1666" si="152">IF(J1603&lt;=0,1,0)</f>
        <v>0</v>
      </c>
      <c r="R1603" t="str">
        <f t="shared" ref="R1603:R1666" si="153">IF(Q1603=1,"On Time","Late")</f>
        <v>Late</v>
      </c>
      <c r="S1603">
        <f t="shared" ref="S1603:S1666" si="154">YEAR(D1603)</f>
        <v>2021</v>
      </c>
      <c r="T1603">
        <f t="shared" ref="T1603:T1666" si="155">MONTH(D1603)</f>
        <v>6</v>
      </c>
    </row>
    <row r="1604" spans="1:20" x14ac:dyDescent="0.25">
      <c r="A1604" t="s">
        <v>1911</v>
      </c>
      <c r="B1604" t="s">
        <v>314</v>
      </c>
      <c r="C1604" t="s">
        <v>693</v>
      </c>
      <c r="D1604" s="1">
        <v>45183</v>
      </c>
      <c r="E1604">
        <v>18</v>
      </c>
      <c r="F1604">
        <v>68.5913650024101</v>
      </c>
      <c r="G1604" s="1">
        <v>45207</v>
      </c>
      <c r="H1604" s="1">
        <v>45212</v>
      </c>
      <c r="I1604">
        <v>1234.6445700433801</v>
      </c>
      <c r="J1604">
        <f t="shared" si="150"/>
        <v>5</v>
      </c>
      <c r="K1604" t="str">
        <f>VLOOKUP(B1604,Raw_Suppliers!$A$2:$G$101,2,FALSE)</f>
        <v>Gamma Nova Ltd</v>
      </c>
      <c r="L1604" t="str">
        <f>VLOOKUP(B1604,Raw_Suppliers!$A$2:$G$101,3,FALSE)</f>
        <v>USA</v>
      </c>
      <c r="M1604" t="str">
        <f>VLOOKUP(B1604,Raw_Suppliers!$A$2:$G$101,4,FALSE)</f>
        <v>North</v>
      </c>
      <c r="N1604" t="str">
        <f>VLOOKUP(B1604,Raw_Suppliers!$A$2:$G$101,6,FALSE)</f>
        <v>ISO 45001</v>
      </c>
      <c r="O1604">
        <f>VLOOKUP(B1604,Raw_Suppliers!$A$2:$G$101,7,FALSE)</f>
        <v>0</v>
      </c>
      <c r="P1604" t="str">
        <f t="shared" si="151"/>
        <v>No</v>
      </c>
      <c r="Q1604">
        <f t="shared" si="152"/>
        <v>0</v>
      </c>
      <c r="R1604" t="str">
        <f t="shared" si="153"/>
        <v>Late</v>
      </c>
      <c r="S1604">
        <f t="shared" si="154"/>
        <v>2023</v>
      </c>
      <c r="T1604">
        <f t="shared" si="155"/>
        <v>9</v>
      </c>
    </row>
    <row r="1605" spans="1:20" x14ac:dyDescent="0.25">
      <c r="A1605" t="s">
        <v>1912</v>
      </c>
      <c r="B1605" t="s">
        <v>485</v>
      </c>
      <c r="C1605" t="s">
        <v>56</v>
      </c>
      <c r="D1605" s="1">
        <v>45325</v>
      </c>
      <c r="E1605">
        <v>12</v>
      </c>
      <c r="F1605">
        <v>32.550490934008103</v>
      </c>
      <c r="G1605" s="1">
        <v>45339</v>
      </c>
      <c r="H1605" s="1">
        <v>45343</v>
      </c>
      <c r="I1605">
        <v>390.60589120809698</v>
      </c>
      <c r="J1605">
        <f t="shared" si="150"/>
        <v>4</v>
      </c>
      <c r="K1605" t="str">
        <f>VLOOKUP(B1605,Raw_Suppliers!$A$2:$G$101,2,FALSE)</f>
        <v>Ultra Quantum Ltd</v>
      </c>
      <c r="L1605" t="str">
        <f>VLOOKUP(B1605,Raw_Suppliers!$A$2:$G$101,3,FALSE)</f>
        <v>Canada</v>
      </c>
      <c r="M1605" t="str">
        <f>VLOOKUP(B1605,Raw_Suppliers!$A$2:$G$101,4,FALSE)</f>
        <v>North</v>
      </c>
      <c r="N1605" t="str">
        <f>VLOOKUP(B1605,Raw_Suppliers!$A$2:$G$101,6,FALSE)</f>
        <v>ISO 14001</v>
      </c>
      <c r="O1605">
        <f>VLOOKUP(B1605,Raw_Suppliers!$A$2:$G$101,7,FALSE)</f>
        <v>0</v>
      </c>
      <c r="P1605" t="str">
        <f t="shared" si="151"/>
        <v>No</v>
      </c>
      <c r="Q1605">
        <f t="shared" si="152"/>
        <v>0</v>
      </c>
      <c r="R1605" t="str">
        <f t="shared" si="153"/>
        <v>Late</v>
      </c>
      <c r="S1605">
        <f t="shared" si="154"/>
        <v>2024</v>
      </c>
      <c r="T1605">
        <f t="shared" si="155"/>
        <v>2</v>
      </c>
    </row>
    <row r="1606" spans="1:20" x14ac:dyDescent="0.25">
      <c r="A1606" t="s">
        <v>1913</v>
      </c>
      <c r="B1606" t="s">
        <v>686</v>
      </c>
      <c r="C1606" t="s">
        <v>722</v>
      </c>
      <c r="D1606" s="1">
        <v>44979</v>
      </c>
      <c r="E1606">
        <v>10</v>
      </c>
      <c r="F1606">
        <v>72.236778674775294</v>
      </c>
      <c r="G1606" s="1">
        <v>44998</v>
      </c>
      <c r="H1606" s="1">
        <v>45000</v>
      </c>
      <c r="I1606">
        <v>722.36778674775303</v>
      </c>
      <c r="J1606">
        <f t="shared" si="150"/>
        <v>2</v>
      </c>
      <c r="K1606" t="str">
        <f>VLOOKUP(B1606,Raw_Suppliers!$A$2:$G$101,2,FALSE)</f>
        <v>Eco Gamma GmbH</v>
      </c>
      <c r="L1606" t="str">
        <f>VLOOKUP(B1606,Raw_Suppliers!$A$2:$G$101,3,FALSE)</f>
        <v>China</v>
      </c>
      <c r="M1606" t="str">
        <f>VLOOKUP(B1606,Raw_Suppliers!$A$2:$G$101,4,FALSE)</f>
        <v>South</v>
      </c>
      <c r="N1606" t="str">
        <f>VLOOKUP(B1606,Raw_Suppliers!$A$2:$G$101,6,FALSE)</f>
        <v>ISO 9001</v>
      </c>
      <c r="O1606">
        <f>VLOOKUP(B1606,Raw_Suppliers!$A$2:$G$101,7,FALSE)</f>
        <v>0</v>
      </c>
      <c r="P1606" t="str">
        <f t="shared" si="151"/>
        <v>No</v>
      </c>
      <c r="Q1606">
        <f t="shared" si="152"/>
        <v>0</v>
      </c>
      <c r="R1606" t="str">
        <f t="shared" si="153"/>
        <v>Late</v>
      </c>
      <c r="S1606">
        <f t="shared" si="154"/>
        <v>2023</v>
      </c>
      <c r="T1606">
        <f t="shared" si="155"/>
        <v>2</v>
      </c>
    </row>
    <row r="1607" spans="1:20" x14ac:dyDescent="0.25">
      <c r="A1607" t="s">
        <v>1914</v>
      </c>
      <c r="B1607" t="s">
        <v>493</v>
      </c>
      <c r="C1607" t="s">
        <v>105</v>
      </c>
      <c r="D1607" s="1">
        <v>45027</v>
      </c>
      <c r="E1607">
        <v>9</v>
      </c>
      <c r="F1607">
        <v>7.2870951843118599</v>
      </c>
      <c r="G1607" s="1">
        <v>45049</v>
      </c>
      <c r="H1607" s="1">
        <v>45055</v>
      </c>
      <c r="I1607">
        <v>65.583856658806695</v>
      </c>
      <c r="J1607">
        <f t="shared" si="150"/>
        <v>6</v>
      </c>
      <c r="K1607" t="str">
        <f>VLOOKUP(B1607,Raw_Suppliers!$A$2:$G$101,2,FALSE)</f>
        <v>Delta Vertex LLC</v>
      </c>
      <c r="L1607" t="str">
        <f>VLOOKUP(B1607,Raw_Suppliers!$A$2:$G$101,3,FALSE)</f>
        <v>China</v>
      </c>
      <c r="M1607" t="str">
        <f>VLOOKUP(B1607,Raw_Suppliers!$A$2:$G$101,4,FALSE)</f>
        <v>East</v>
      </c>
      <c r="N1607" t="str">
        <f>VLOOKUP(B1607,Raw_Suppliers!$A$2:$G$101,6,FALSE)</f>
        <v>None</v>
      </c>
      <c r="O1607">
        <f>VLOOKUP(B1607,Raw_Suppliers!$A$2:$G$101,7,FALSE)</f>
        <v>0</v>
      </c>
      <c r="P1607" t="str">
        <f t="shared" si="151"/>
        <v>No</v>
      </c>
      <c r="Q1607">
        <f t="shared" si="152"/>
        <v>0</v>
      </c>
      <c r="R1607" t="str">
        <f t="shared" si="153"/>
        <v>Late</v>
      </c>
      <c r="S1607">
        <f t="shared" si="154"/>
        <v>2023</v>
      </c>
      <c r="T1607">
        <f t="shared" si="155"/>
        <v>4</v>
      </c>
    </row>
    <row r="1608" spans="1:20" x14ac:dyDescent="0.25">
      <c r="A1608" t="s">
        <v>1915</v>
      </c>
      <c r="B1608" t="s">
        <v>242</v>
      </c>
      <c r="C1608" t="s">
        <v>661</v>
      </c>
      <c r="D1608" s="1">
        <v>45126</v>
      </c>
      <c r="E1608">
        <v>12</v>
      </c>
      <c r="F1608">
        <v>48.482645701840902</v>
      </c>
      <c r="G1608" s="1">
        <v>45141</v>
      </c>
      <c r="H1608" s="1">
        <v>45139</v>
      </c>
      <c r="I1608">
        <v>581.79174842209102</v>
      </c>
      <c r="J1608">
        <f t="shared" si="150"/>
        <v>-2</v>
      </c>
      <c r="K1608" t="str">
        <f>VLOOKUP(B1608,Raw_Suppliers!$A$2:$G$101,2,FALSE)</f>
        <v>Omega Nova GmbH</v>
      </c>
      <c r="L1608" t="str">
        <f>VLOOKUP(B1608,Raw_Suppliers!$A$2:$G$101,3,FALSE)</f>
        <v>Denmark</v>
      </c>
      <c r="M1608" t="str">
        <f>VLOOKUP(B1608,Raw_Suppliers!$A$2:$G$101,4,FALSE)</f>
        <v>East</v>
      </c>
      <c r="N1608" t="str">
        <f>VLOOKUP(B1608,Raw_Suppliers!$A$2:$G$101,6,FALSE)</f>
        <v>ISO 45001</v>
      </c>
      <c r="O1608">
        <f>VLOOKUP(B1608,Raw_Suppliers!$A$2:$G$101,7,FALSE)</f>
        <v>0</v>
      </c>
      <c r="P1608" t="str">
        <f t="shared" si="151"/>
        <v>No</v>
      </c>
      <c r="Q1608">
        <f t="shared" si="152"/>
        <v>1</v>
      </c>
      <c r="R1608" t="str">
        <f t="shared" si="153"/>
        <v>On Time</v>
      </c>
      <c r="S1608">
        <f t="shared" si="154"/>
        <v>2023</v>
      </c>
      <c r="T1608">
        <f t="shared" si="155"/>
        <v>7</v>
      </c>
    </row>
    <row r="1609" spans="1:20" x14ac:dyDescent="0.25">
      <c r="A1609" t="s">
        <v>1916</v>
      </c>
      <c r="B1609" t="s">
        <v>82</v>
      </c>
      <c r="C1609" t="s">
        <v>432</v>
      </c>
      <c r="D1609" s="1">
        <v>44333</v>
      </c>
      <c r="E1609">
        <v>11</v>
      </c>
      <c r="F1609">
        <v>9.3870150436401705</v>
      </c>
      <c r="G1609" s="1">
        <v>44347</v>
      </c>
      <c r="H1609" s="1">
        <v>44350</v>
      </c>
      <c r="I1609">
        <v>103.257165480041</v>
      </c>
      <c r="J1609">
        <f t="shared" si="150"/>
        <v>3</v>
      </c>
      <c r="K1609" t="str">
        <f>VLOOKUP(B1609,Raw_Suppliers!$A$2:$G$101,2,FALSE)</f>
        <v>Gamma Quantum LLC</v>
      </c>
      <c r="L1609" t="str">
        <f>VLOOKUP(B1609,Raw_Suppliers!$A$2:$G$101,3,FALSE)</f>
        <v>Canada</v>
      </c>
      <c r="M1609" t="str">
        <f>VLOOKUP(B1609,Raw_Suppliers!$A$2:$G$101,4,FALSE)</f>
        <v>Central</v>
      </c>
      <c r="N1609" t="str">
        <f>VLOOKUP(B1609,Raw_Suppliers!$A$2:$G$101,6,FALSE)</f>
        <v>None</v>
      </c>
      <c r="O1609">
        <f>VLOOKUP(B1609,Raw_Suppliers!$A$2:$G$101,7,FALSE)</f>
        <v>1</v>
      </c>
      <c r="P1609" t="str">
        <f t="shared" si="151"/>
        <v>Yes</v>
      </c>
      <c r="Q1609">
        <f t="shared" si="152"/>
        <v>0</v>
      </c>
      <c r="R1609" t="str">
        <f t="shared" si="153"/>
        <v>Late</v>
      </c>
      <c r="S1609">
        <f t="shared" si="154"/>
        <v>2021</v>
      </c>
      <c r="T1609">
        <f t="shared" si="155"/>
        <v>5</v>
      </c>
    </row>
    <row r="1610" spans="1:20" x14ac:dyDescent="0.25">
      <c r="A1610" t="s">
        <v>1917</v>
      </c>
      <c r="B1610" t="s">
        <v>64</v>
      </c>
      <c r="C1610" t="s">
        <v>290</v>
      </c>
      <c r="D1610" s="1">
        <v>44838</v>
      </c>
      <c r="E1610">
        <v>14</v>
      </c>
      <c r="F1610">
        <v>41.348260728834703</v>
      </c>
      <c r="G1610" s="1">
        <v>44862</v>
      </c>
      <c r="H1610" s="1">
        <v>44862</v>
      </c>
      <c r="I1610">
        <v>578.87565020368697</v>
      </c>
      <c r="J1610">
        <f t="shared" si="150"/>
        <v>0</v>
      </c>
      <c r="K1610" t="str">
        <f>VLOOKUP(B1610,Raw_Suppliers!$A$2:$G$101,2,FALSE)</f>
        <v>Apex Quantum Inc</v>
      </c>
      <c r="L1610" t="str">
        <f>VLOOKUP(B1610,Raw_Suppliers!$A$2:$G$101,3,FALSE)</f>
        <v>India</v>
      </c>
      <c r="M1610" t="str">
        <f>VLOOKUP(B1610,Raw_Suppliers!$A$2:$G$101,4,FALSE)</f>
        <v>North</v>
      </c>
      <c r="N1610" t="str">
        <f>VLOOKUP(B1610,Raw_Suppliers!$A$2:$G$101,6,FALSE)</f>
        <v>ISO 45001</v>
      </c>
      <c r="O1610">
        <f>VLOOKUP(B1610,Raw_Suppliers!$A$2:$G$101,7,FALSE)</f>
        <v>1</v>
      </c>
      <c r="P1610" t="str">
        <f t="shared" si="151"/>
        <v>Yes</v>
      </c>
      <c r="Q1610">
        <f t="shared" si="152"/>
        <v>1</v>
      </c>
      <c r="R1610" t="str">
        <f t="shared" si="153"/>
        <v>On Time</v>
      </c>
      <c r="S1610">
        <f t="shared" si="154"/>
        <v>2022</v>
      </c>
      <c r="T1610">
        <f t="shared" si="155"/>
        <v>10</v>
      </c>
    </row>
    <row r="1611" spans="1:20" x14ac:dyDescent="0.25">
      <c r="A1611" t="s">
        <v>1918</v>
      </c>
      <c r="B1611" t="s">
        <v>82</v>
      </c>
      <c r="C1611" t="s">
        <v>283</v>
      </c>
      <c r="D1611" s="1">
        <v>44732</v>
      </c>
      <c r="E1611">
        <v>12</v>
      </c>
      <c r="F1611">
        <v>33.139159054120398</v>
      </c>
      <c r="G1611" s="1">
        <v>44742</v>
      </c>
      <c r="H1611" s="1">
        <v>44739</v>
      </c>
      <c r="I1611">
        <v>397.66990864944501</v>
      </c>
      <c r="J1611">
        <f t="shared" si="150"/>
        <v>-3</v>
      </c>
      <c r="K1611" t="str">
        <f>VLOOKUP(B1611,Raw_Suppliers!$A$2:$G$101,2,FALSE)</f>
        <v>Gamma Quantum LLC</v>
      </c>
      <c r="L1611" t="str">
        <f>VLOOKUP(B1611,Raw_Suppliers!$A$2:$G$101,3,FALSE)</f>
        <v>Canada</v>
      </c>
      <c r="M1611" t="str">
        <f>VLOOKUP(B1611,Raw_Suppliers!$A$2:$G$101,4,FALSE)</f>
        <v>Central</v>
      </c>
      <c r="N1611" t="str">
        <f>VLOOKUP(B1611,Raw_Suppliers!$A$2:$G$101,6,FALSE)</f>
        <v>None</v>
      </c>
      <c r="O1611">
        <f>VLOOKUP(B1611,Raw_Suppliers!$A$2:$G$101,7,FALSE)</f>
        <v>1</v>
      </c>
      <c r="P1611" t="str">
        <f t="shared" si="151"/>
        <v>Yes</v>
      </c>
      <c r="Q1611">
        <f t="shared" si="152"/>
        <v>1</v>
      </c>
      <c r="R1611" t="str">
        <f t="shared" si="153"/>
        <v>On Time</v>
      </c>
      <c r="S1611">
        <f t="shared" si="154"/>
        <v>2022</v>
      </c>
      <c r="T1611">
        <f t="shared" si="155"/>
        <v>6</v>
      </c>
    </row>
    <row r="1612" spans="1:20" x14ac:dyDescent="0.25">
      <c r="A1612" t="s">
        <v>1919</v>
      </c>
      <c r="B1612" t="s">
        <v>240</v>
      </c>
      <c r="C1612" t="s">
        <v>243</v>
      </c>
      <c r="D1612" s="1">
        <v>44225</v>
      </c>
      <c r="E1612">
        <v>10</v>
      </c>
      <c r="F1612">
        <v>29.203539216228201</v>
      </c>
      <c r="G1612" s="1">
        <v>44249</v>
      </c>
      <c r="H1612" s="1">
        <v>44255</v>
      </c>
      <c r="I1612">
        <v>292.03539216228199</v>
      </c>
      <c r="J1612">
        <f t="shared" si="150"/>
        <v>6</v>
      </c>
      <c r="K1612" t="str">
        <f>VLOOKUP(B1612,Raw_Suppliers!$A$2:$G$101,2,FALSE)</f>
        <v>Apex Omega LLC</v>
      </c>
      <c r="L1612" t="str">
        <f>VLOOKUP(B1612,Raw_Suppliers!$A$2:$G$101,3,FALSE)</f>
        <v>UK</v>
      </c>
      <c r="M1612" t="str">
        <f>VLOOKUP(B1612,Raw_Suppliers!$A$2:$G$101,4,FALSE)</f>
        <v>South</v>
      </c>
      <c r="N1612" t="str">
        <f>VLOOKUP(B1612,Raw_Suppliers!$A$2:$G$101,6,FALSE)</f>
        <v>ISO 9001</v>
      </c>
      <c r="O1612">
        <f>VLOOKUP(B1612,Raw_Suppliers!$A$2:$G$101,7,FALSE)</f>
        <v>0</v>
      </c>
      <c r="P1612" t="str">
        <f t="shared" si="151"/>
        <v>No</v>
      </c>
      <c r="Q1612">
        <f t="shared" si="152"/>
        <v>0</v>
      </c>
      <c r="R1612" t="str">
        <f t="shared" si="153"/>
        <v>Late</v>
      </c>
      <c r="S1612">
        <f t="shared" si="154"/>
        <v>2021</v>
      </c>
      <c r="T1612">
        <f t="shared" si="155"/>
        <v>1</v>
      </c>
    </row>
    <row r="1613" spans="1:20" x14ac:dyDescent="0.25">
      <c r="A1613" t="s">
        <v>1920</v>
      </c>
      <c r="B1613" t="s">
        <v>121</v>
      </c>
      <c r="C1613" t="s">
        <v>47</v>
      </c>
      <c r="D1613" s="1">
        <v>44368</v>
      </c>
      <c r="E1613">
        <v>6</v>
      </c>
      <c r="F1613">
        <v>40.052688623371999</v>
      </c>
      <c r="G1613" s="1">
        <v>44386</v>
      </c>
      <c r="H1613" s="1">
        <v>44390</v>
      </c>
      <c r="I1613">
        <v>240.31613174023201</v>
      </c>
      <c r="J1613">
        <f t="shared" si="150"/>
        <v>4</v>
      </c>
      <c r="K1613" t="str">
        <f>VLOOKUP(B1613,Raw_Suppliers!$A$2:$G$101,2,FALSE)</f>
        <v>Vertex Vertex Inc</v>
      </c>
      <c r="L1613" t="str">
        <f>VLOOKUP(B1613,Raw_Suppliers!$A$2:$G$101,3,FALSE)</f>
        <v>USA</v>
      </c>
      <c r="M1613" t="str">
        <f>VLOOKUP(B1613,Raw_Suppliers!$A$2:$G$101,4,FALSE)</f>
        <v>West</v>
      </c>
      <c r="N1613" t="str">
        <f>VLOOKUP(B1613,Raw_Suppliers!$A$2:$G$101,6,FALSE)</f>
        <v>None</v>
      </c>
      <c r="O1613">
        <f>VLOOKUP(B1613,Raw_Suppliers!$A$2:$G$101,7,FALSE)</f>
        <v>0</v>
      </c>
      <c r="P1613" t="str">
        <f t="shared" si="151"/>
        <v>No</v>
      </c>
      <c r="Q1613">
        <f t="shared" si="152"/>
        <v>0</v>
      </c>
      <c r="R1613" t="str">
        <f t="shared" si="153"/>
        <v>Late</v>
      </c>
      <c r="S1613">
        <f t="shared" si="154"/>
        <v>2021</v>
      </c>
      <c r="T1613">
        <f t="shared" si="155"/>
        <v>6</v>
      </c>
    </row>
    <row r="1614" spans="1:20" x14ac:dyDescent="0.25">
      <c r="A1614" t="s">
        <v>1921</v>
      </c>
      <c r="B1614" t="s">
        <v>119</v>
      </c>
      <c r="C1614" t="s">
        <v>1129</v>
      </c>
      <c r="D1614" s="1">
        <v>45333</v>
      </c>
      <c r="E1614">
        <v>14</v>
      </c>
      <c r="F1614">
        <v>47.341911304744002</v>
      </c>
      <c r="G1614" s="1">
        <v>45346</v>
      </c>
      <c r="H1614" s="1">
        <v>45350</v>
      </c>
      <c r="I1614">
        <v>662.786758266417</v>
      </c>
      <c r="J1614">
        <f t="shared" si="150"/>
        <v>4</v>
      </c>
      <c r="K1614" t="str">
        <f>VLOOKUP(B1614,Raw_Suppliers!$A$2:$G$101,2,FALSE)</f>
        <v>Pioneer Apex Corp</v>
      </c>
      <c r="L1614" t="str">
        <f>VLOOKUP(B1614,Raw_Suppliers!$A$2:$G$101,3,FALSE)</f>
        <v>USA</v>
      </c>
      <c r="M1614" t="str">
        <f>VLOOKUP(B1614,Raw_Suppliers!$A$2:$G$101,4,FALSE)</f>
        <v>Central</v>
      </c>
      <c r="N1614" t="str">
        <f>VLOOKUP(B1614,Raw_Suppliers!$A$2:$G$101,6,FALSE)</f>
        <v>None</v>
      </c>
      <c r="O1614">
        <f>VLOOKUP(B1614,Raw_Suppliers!$A$2:$G$101,7,FALSE)</f>
        <v>0</v>
      </c>
      <c r="P1614" t="str">
        <f t="shared" si="151"/>
        <v>No</v>
      </c>
      <c r="Q1614">
        <f t="shared" si="152"/>
        <v>0</v>
      </c>
      <c r="R1614" t="str">
        <f t="shared" si="153"/>
        <v>Late</v>
      </c>
      <c r="S1614">
        <f t="shared" si="154"/>
        <v>2024</v>
      </c>
      <c r="T1614">
        <f t="shared" si="155"/>
        <v>2</v>
      </c>
    </row>
    <row r="1615" spans="1:20" x14ac:dyDescent="0.25">
      <c r="A1615" t="s">
        <v>1922</v>
      </c>
      <c r="B1615" t="s">
        <v>472</v>
      </c>
      <c r="C1615" t="s">
        <v>594</v>
      </c>
      <c r="D1615" s="1">
        <v>44214</v>
      </c>
      <c r="E1615">
        <v>13</v>
      </c>
      <c r="F1615">
        <v>4.1152476732088896</v>
      </c>
      <c r="G1615" s="1">
        <v>44232</v>
      </c>
      <c r="H1615" s="1">
        <v>44237</v>
      </c>
      <c r="I1615">
        <v>53.498219751715602</v>
      </c>
      <c r="J1615">
        <f t="shared" si="150"/>
        <v>5</v>
      </c>
      <c r="K1615" t="str">
        <f>VLOOKUP(B1615,Raw_Suppliers!$A$2:$G$101,2,FALSE)</f>
        <v>Pioneer Alpha Corp</v>
      </c>
      <c r="L1615" t="str">
        <f>VLOOKUP(B1615,Raw_Suppliers!$A$2:$G$101,3,FALSE)</f>
        <v>Canada</v>
      </c>
      <c r="M1615" t="str">
        <f>VLOOKUP(B1615,Raw_Suppliers!$A$2:$G$101,4,FALSE)</f>
        <v>North</v>
      </c>
      <c r="N1615" t="str">
        <f>VLOOKUP(B1615,Raw_Suppliers!$A$2:$G$101,6,FALSE)</f>
        <v>None</v>
      </c>
      <c r="O1615">
        <f>VLOOKUP(B1615,Raw_Suppliers!$A$2:$G$101,7,FALSE)</f>
        <v>1</v>
      </c>
      <c r="P1615" t="str">
        <f t="shared" si="151"/>
        <v>Yes</v>
      </c>
      <c r="Q1615">
        <f t="shared" si="152"/>
        <v>0</v>
      </c>
      <c r="R1615" t="str">
        <f t="shared" si="153"/>
        <v>Late</v>
      </c>
      <c r="S1615">
        <f t="shared" si="154"/>
        <v>2021</v>
      </c>
      <c r="T1615">
        <f t="shared" si="155"/>
        <v>1</v>
      </c>
    </row>
    <row r="1616" spans="1:20" x14ac:dyDescent="0.25">
      <c r="A1616" t="s">
        <v>1923</v>
      </c>
      <c r="B1616" t="s">
        <v>194</v>
      </c>
      <c r="C1616" t="s">
        <v>356</v>
      </c>
      <c r="D1616" s="1">
        <v>45375</v>
      </c>
      <c r="E1616">
        <v>8</v>
      </c>
      <c r="F1616">
        <v>40.794803204443497</v>
      </c>
      <c r="G1616" s="1">
        <v>45388</v>
      </c>
      <c r="H1616" s="1">
        <v>45388</v>
      </c>
      <c r="I1616">
        <v>326.35842563554797</v>
      </c>
      <c r="J1616">
        <f t="shared" si="150"/>
        <v>0</v>
      </c>
      <c r="K1616" t="str">
        <f>VLOOKUP(B1616,Raw_Suppliers!$A$2:$G$101,2,FALSE)</f>
        <v>Eco Pioneer Corp</v>
      </c>
      <c r="L1616" t="str">
        <f>VLOOKUP(B1616,Raw_Suppliers!$A$2:$G$101,3,FALSE)</f>
        <v>China</v>
      </c>
      <c r="M1616" t="str">
        <f>VLOOKUP(B1616,Raw_Suppliers!$A$2:$G$101,4,FALSE)</f>
        <v>East</v>
      </c>
      <c r="N1616" t="str">
        <f>VLOOKUP(B1616,Raw_Suppliers!$A$2:$G$101,6,FALSE)</f>
        <v>ISO 14001</v>
      </c>
      <c r="O1616">
        <f>VLOOKUP(B1616,Raw_Suppliers!$A$2:$G$101,7,FALSE)</f>
        <v>1</v>
      </c>
      <c r="P1616" t="str">
        <f t="shared" si="151"/>
        <v>Yes</v>
      </c>
      <c r="Q1616">
        <f t="shared" si="152"/>
        <v>1</v>
      </c>
      <c r="R1616" t="str">
        <f t="shared" si="153"/>
        <v>On Time</v>
      </c>
      <c r="S1616">
        <f t="shared" si="154"/>
        <v>2024</v>
      </c>
      <c r="T1616">
        <f t="shared" si="155"/>
        <v>3</v>
      </c>
    </row>
    <row r="1617" spans="1:20" x14ac:dyDescent="0.25">
      <c r="A1617" t="s">
        <v>1924</v>
      </c>
      <c r="B1617" t="s">
        <v>321</v>
      </c>
      <c r="C1617" t="s">
        <v>661</v>
      </c>
      <c r="D1617" s="1">
        <v>44649</v>
      </c>
      <c r="E1617">
        <v>17</v>
      </c>
      <c r="F1617">
        <v>43.707797085476102</v>
      </c>
      <c r="G1617" s="1">
        <v>44665</v>
      </c>
      <c r="H1617" s="1">
        <v>44671</v>
      </c>
      <c r="I1617">
        <v>743.03255045309504</v>
      </c>
      <c r="J1617">
        <f t="shared" si="150"/>
        <v>6</v>
      </c>
      <c r="K1617" t="str">
        <f>VLOOKUP(B1617,Raw_Suppliers!$A$2:$G$101,2,FALSE)</f>
        <v>Vertex Delta LLC</v>
      </c>
      <c r="L1617" t="str">
        <f>VLOOKUP(B1617,Raw_Suppliers!$A$2:$G$101,3,FALSE)</f>
        <v>India</v>
      </c>
      <c r="M1617" t="str">
        <f>VLOOKUP(B1617,Raw_Suppliers!$A$2:$G$101,4,FALSE)</f>
        <v>South</v>
      </c>
      <c r="N1617" t="str">
        <f>VLOOKUP(B1617,Raw_Suppliers!$A$2:$G$101,6,FALSE)</f>
        <v>ISO 45001</v>
      </c>
      <c r="O1617">
        <f>VLOOKUP(B1617,Raw_Suppliers!$A$2:$G$101,7,FALSE)</f>
        <v>0</v>
      </c>
      <c r="P1617" t="str">
        <f t="shared" si="151"/>
        <v>No</v>
      </c>
      <c r="Q1617">
        <f t="shared" si="152"/>
        <v>0</v>
      </c>
      <c r="R1617" t="str">
        <f t="shared" si="153"/>
        <v>Late</v>
      </c>
      <c r="S1617">
        <f t="shared" si="154"/>
        <v>2022</v>
      </c>
      <c r="T1617">
        <f t="shared" si="155"/>
        <v>3</v>
      </c>
    </row>
    <row r="1618" spans="1:20" x14ac:dyDescent="0.25">
      <c r="A1618" t="s">
        <v>1925</v>
      </c>
      <c r="B1618" t="s">
        <v>253</v>
      </c>
      <c r="C1618" t="s">
        <v>792</v>
      </c>
      <c r="D1618" s="1">
        <v>45152</v>
      </c>
      <c r="E1618">
        <v>7</v>
      </c>
      <c r="F1618">
        <v>14.964704103012799</v>
      </c>
      <c r="G1618" s="1">
        <v>45166</v>
      </c>
      <c r="H1618" s="1">
        <v>45167</v>
      </c>
      <c r="I1618">
        <v>104.75292872108901</v>
      </c>
      <c r="J1618">
        <f t="shared" si="150"/>
        <v>1</v>
      </c>
      <c r="K1618" t="str">
        <f>VLOOKUP(B1618,Raw_Suppliers!$A$2:$G$101,2,FALSE)</f>
        <v>Vertex Apex Ltd</v>
      </c>
      <c r="L1618" t="str">
        <f>VLOOKUP(B1618,Raw_Suppliers!$A$2:$G$101,3,FALSE)</f>
        <v>Brazil</v>
      </c>
      <c r="M1618" t="str">
        <f>VLOOKUP(B1618,Raw_Suppliers!$A$2:$G$101,4,FALSE)</f>
        <v>South</v>
      </c>
      <c r="N1618" t="str">
        <f>VLOOKUP(B1618,Raw_Suppliers!$A$2:$G$101,6,FALSE)</f>
        <v>None</v>
      </c>
      <c r="O1618">
        <f>VLOOKUP(B1618,Raw_Suppliers!$A$2:$G$101,7,FALSE)</f>
        <v>1</v>
      </c>
      <c r="P1618" t="str">
        <f t="shared" si="151"/>
        <v>Yes</v>
      </c>
      <c r="Q1618">
        <f t="shared" si="152"/>
        <v>0</v>
      </c>
      <c r="R1618" t="str">
        <f t="shared" si="153"/>
        <v>Late</v>
      </c>
      <c r="S1618">
        <f t="shared" si="154"/>
        <v>2023</v>
      </c>
      <c r="T1618">
        <f t="shared" si="155"/>
        <v>8</v>
      </c>
    </row>
    <row r="1619" spans="1:20" x14ac:dyDescent="0.25">
      <c r="A1619" t="s">
        <v>1926</v>
      </c>
      <c r="B1619" t="s">
        <v>451</v>
      </c>
      <c r="C1619" t="s">
        <v>691</v>
      </c>
      <c r="D1619" s="1">
        <v>45143</v>
      </c>
      <c r="E1619">
        <v>10</v>
      </c>
      <c r="F1619">
        <v>4.1691981316147499</v>
      </c>
      <c r="G1619" s="1">
        <v>45165</v>
      </c>
      <c r="H1619" s="1">
        <v>45170</v>
      </c>
      <c r="I1619">
        <v>41.691981316147498</v>
      </c>
      <c r="J1619">
        <f t="shared" si="150"/>
        <v>5</v>
      </c>
      <c r="K1619" t="str">
        <f>VLOOKUP(B1619,Raw_Suppliers!$A$2:$G$101,2,FALSE)</f>
        <v>Beta Apex Corp</v>
      </c>
      <c r="L1619" t="str">
        <f>VLOOKUP(B1619,Raw_Suppliers!$A$2:$G$101,3,FALSE)</f>
        <v>India</v>
      </c>
      <c r="M1619" t="str">
        <f>VLOOKUP(B1619,Raw_Suppliers!$A$2:$G$101,4,FALSE)</f>
        <v>Central</v>
      </c>
      <c r="N1619" t="str">
        <f>VLOOKUP(B1619,Raw_Suppliers!$A$2:$G$101,6,FALSE)</f>
        <v>ISO 9001</v>
      </c>
      <c r="O1619">
        <f>VLOOKUP(B1619,Raw_Suppliers!$A$2:$G$101,7,FALSE)</f>
        <v>0</v>
      </c>
      <c r="P1619" t="str">
        <f t="shared" si="151"/>
        <v>No</v>
      </c>
      <c r="Q1619">
        <f t="shared" si="152"/>
        <v>0</v>
      </c>
      <c r="R1619" t="str">
        <f t="shared" si="153"/>
        <v>Late</v>
      </c>
      <c r="S1619">
        <f t="shared" si="154"/>
        <v>2023</v>
      </c>
      <c r="T1619">
        <f t="shared" si="155"/>
        <v>8</v>
      </c>
    </row>
    <row r="1620" spans="1:20" x14ac:dyDescent="0.25">
      <c r="A1620" t="s">
        <v>1927</v>
      </c>
      <c r="B1620" t="s">
        <v>379</v>
      </c>
      <c r="C1620" t="s">
        <v>477</v>
      </c>
      <c r="D1620" s="1">
        <v>44832</v>
      </c>
      <c r="E1620">
        <v>9</v>
      </c>
      <c r="F1620">
        <v>74.163325219458102</v>
      </c>
      <c r="G1620" s="1">
        <v>44847</v>
      </c>
      <c r="H1620" s="1">
        <v>44851</v>
      </c>
      <c r="I1620">
        <v>667.46992697512303</v>
      </c>
      <c r="J1620">
        <f t="shared" si="150"/>
        <v>4</v>
      </c>
      <c r="K1620" t="str">
        <f>VLOOKUP(B1620,Raw_Suppliers!$A$2:$G$101,2,FALSE)</f>
        <v>Apex Fusion Ltd</v>
      </c>
      <c r="L1620" t="str">
        <f>VLOOKUP(B1620,Raw_Suppliers!$A$2:$G$101,3,FALSE)</f>
        <v>USA</v>
      </c>
      <c r="M1620" t="str">
        <f>VLOOKUP(B1620,Raw_Suppliers!$A$2:$G$101,4,FALSE)</f>
        <v>East</v>
      </c>
      <c r="N1620" t="str">
        <f>VLOOKUP(B1620,Raw_Suppliers!$A$2:$G$101,6,FALSE)</f>
        <v>ISO 14001</v>
      </c>
      <c r="O1620">
        <f>VLOOKUP(B1620,Raw_Suppliers!$A$2:$G$101,7,FALSE)</f>
        <v>1</v>
      </c>
      <c r="P1620" t="str">
        <f t="shared" si="151"/>
        <v>Yes</v>
      </c>
      <c r="Q1620">
        <f t="shared" si="152"/>
        <v>0</v>
      </c>
      <c r="R1620" t="str">
        <f t="shared" si="153"/>
        <v>Late</v>
      </c>
      <c r="S1620">
        <f t="shared" si="154"/>
        <v>2022</v>
      </c>
      <c r="T1620">
        <f t="shared" si="155"/>
        <v>9</v>
      </c>
    </row>
    <row r="1621" spans="1:20" x14ac:dyDescent="0.25">
      <c r="A1621" t="s">
        <v>1928</v>
      </c>
      <c r="B1621" t="s">
        <v>237</v>
      </c>
      <c r="C1621" t="s">
        <v>312</v>
      </c>
      <c r="D1621" s="1">
        <v>44449</v>
      </c>
      <c r="E1621">
        <v>8</v>
      </c>
      <c r="F1621">
        <v>28.672006717091101</v>
      </c>
      <c r="G1621" s="1">
        <v>44471</v>
      </c>
      <c r="H1621" s="1">
        <v>44472</v>
      </c>
      <c r="I1621">
        <v>229.37605373672901</v>
      </c>
      <c r="J1621">
        <f t="shared" si="150"/>
        <v>1</v>
      </c>
      <c r="K1621" t="str">
        <f>VLOOKUP(B1621,Raw_Suppliers!$A$2:$G$101,2,FALSE)</f>
        <v>Eco Beta Inc</v>
      </c>
      <c r="L1621" t="str">
        <f>VLOOKUP(B1621,Raw_Suppliers!$A$2:$G$101,3,FALSE)</f>
        <v>Germany</v>
      </c>
      <c r="M1621" t="str">
        <f>VLOOKUP(B1621,Raw_Suppliers!$A$2:$G$101,4,FALSE)</f>
        <v>North</v>
      </c>
      <c r="N1621" t="str">
        <f>VLOOKUP(B1621,Raw_Suppliers!$A$2:$G$101,6,FALSE)</f>
        <v>ISO 14001</v>
      </c>
      <c r="O1621">
        <f>VLOOKUP(B1621,Raw_Suppliers!$A$2:$G$101,7,FALSE)</f>
        <v>0</v>
      </c>
      <c r="P1621" t="str">
        <f t="shared" si="151"/>
        <v>No</v>
      </c>
      <c r="Q1621">
        <f t="shared" si="152"/>
        <v>0</v>
      </c>
      <c r="R1621" t="str">
        <f t="shared" si="153"/>
        <v>Late</v>
      </c>
      <c r="S1621">
        <f t="shared" si="154"/>
        <v>2021</v>
      </c>
      <c r="T1621">
        <f t="shared" si="155"/>
        <v>9</v>
      </c>
    </row>
    <row r="1622" spans="1:20" x14ac:dyDescent="0.25">
      <c r="A1622" t="s">
        <v>1929</v>
      </c>
      <c r="B1622" t="s">
        <v>157</v>
      </c>
      <c r="C1622" t="s">
        <v>547</v>
      </c>
      <c r="D1622" s="1">
        <v>45156</v>
      </c>
      <c r="E1622">
        <v>7</v>
      </c>
      <c r="F1622">
        <v>49.997170515085102</v>
      </c>
      <c r="G1622" s="1">
        <v>45174</v>
      </c>
      <c r="H1622" s="1">
        <v>45176</v>
      </c>
      <c r="I1622">
        <v>349.98019360559499</v>
      </c>
      <c r="J1622">
        <f t="shared" si="150"/>
        <v>2</v>
      </c>
      <c r="K1622" t="str">
        <f>VLOOKUP(B1622,Raw_Suppliers!$A$2:$G$101,2,FALSE)</f>
        <v>Pioneer Omega Ltd</v>
      </c>
      <c r="L1622" t="str">
        <f>VLOOKUP(B1622,Raw_Suppliers!$A$2:$G$101,3,FALSE)</f>
        <v>Brazil</v>
      </c>
      <c r="M1622" t="str">
        <f>VLOOKUP(B1622,Raw_Suppliers!$A$2:$G$101,4,FALSE)</f>
        <v>East</v>
      </c>
      <c r="N1622" t="str">
        <f>VLOOKUP(B1622,Raw_Suppliers!$A$2:$G$101,6,FALSE)</f>
        <v>None</v>
      </c>
      <c r="O1622">
        <f>VLOOKUP(B1622,Raw_Suppliers!$A$2:$G$101,7,FALSE)</f>
        <v>0</v>
      </c>
      <c r="P1622" t="str">
        <f t="shared" si="151"/>
        <v>No</v>
      </c>
      <c r="Q1622">
        <f t="shared" si="152"/>
        <v>0</v>
      </c>
      <c r="R1622" t="str">
        <f t="shared" si="153"/>
        <v>Late</v>
      </c>
      <c r="S1622">
        <f t="shared" si="154"/>
        <v>2023</v>
      </c>
      <c r="T1622">
        <f t="shared" si="155"/>
        <v>8</v>
      </c>
    </row>
    <row r="1623" spans="1:20" x14ac:dyDescent="0.25">
      <c r="A1623" t="s">
        <v>1930</v>
      </c>
      <c r="B1623" t="s">
        <v>40</v>
      </c>
      <c r="C1623" t="s">
        <v>425</v>
      </c>
      <c r="D1623" s="1">
        <v>44595</v>
      </c>
      <c r="E1623">
        <v>15</v>
      </c>
      <c r="F1623">
        <v>26.073718971422501</v>
      </c>
      <c r="G1623" s="1">
        <v>44614</v>
      </c>
      <c r="H1623" s="1">
        <v>44617</v>
      </c>
      <c r="I1623">
        <v>391.10578457133698</v>
      </c>
      <c r="J1623">
        <f t="shared" si="150"/>
        <v>3</v>
      </c>
      <c r="K1623" t="str">
        <f>VLOOKUP(B1623,Raw_Suppliers!$A$2:$G$101,2,FALSE)</f>
        <v>Ultra Apex Inc</v>
      </c>
      <c r="L1623" t="str">
        <f>VLOOKUP(B1623,Raw_Suppliers!$A$2:$G$101,3,FALSE)</f>
        <v>India</v>
      </c>
      <c r="M1623" t="str">
        <f>VLOOKUP(B1623,Raw_Suppliers!$A$2:$G$101,4,FALSE)</f>
        <v>West</v>
      </c>
      <c r="N1623" t="str">
        <f>VLOOKUP(B1623,Raw_Suppliers!$A$2:$G$101,6,FALSE)</f>
        <v>ISO 9001</v>
      </c>
      <c r="O1623">
        <f>VLOOKUP(B1623,Raw_Suppliers!$A$2:$G$101,7,FALSE)</f>
        <v>0</v>
      </c>
      <c r="P1623" t="str">
        <f t="shared" si="151"/>
        <v>No</v>
      </c>
      <c r="Q1623">
        <f t="shared" si="152"/>
        <v>0</v>
      </c>
      <c r="R1623" t="str">
        <f t="shared" si="153"/>
        <v>Late</v>
      </c>
      <c r="S1623">
        <f t="shared" si="154"/>
        <v>2022</v>
      </c>
      <c r="T1623">
        <f t="shared" si="155"/>
        <v>2</v>
      </c>
    </row>
    <row r="1624" spans="1:20" x14ac:dyDescent="0.25">
      <c r="A1624" t="s">
        <v>1931</v>
      </c>
      <c r="B1624" t="s">
        <v>43</v>
      </c>
      <c r="C1624" t="s">
        <v>396</v>
      </c>
      <c r="D1624" s="1">
        <v>44890</v>
      </c>
      <c r="E1624">
        <v>13</v>
      </c>
      <c r="F1624">
        <v>48.440083460165603</v>
      </c>
      <c r="G1624" s="1">
        <v>44900</v>
      </c>
      <c r="H1624" s="1">
        <v>44902</v>
      </c>
      <c r="I1624">
        <v>629.721084982153</v>
      </c>
      <c r="J1624">
        <f t="shared" si="150"/>
        <v>2</v>
      </c>
      <c r="K1624" t="str">
        <f>VLOOKUP(B1624,Raw_Suppliers!$A$2:$G$101,2,FALSE)</f>
        <v>Alpha Ultra Corp</v>
      </c>
      <c r="L1624" t="str">
        <f>VLOOKUP(B1624,Raw_Suppliers!$A$2:$G$101,3,FALSE)</f>
        <v>USA</v>
      </c>
      <c r="M1624" t="str">
        <f>VLOOKUP(B1624,Raw_Suppliers!$A$2:$G$101,4,FALSE)</f>
        <v>Central</v>
      </c>
      <c r="N1624" t="str">
        <f>VLOOKUP(B1624,Raw_Suppliers!$A$2:$G$101,6,FALSE)</f>
        <v>ISO 9001</v>
      </c>
      <c r="O1624">
        <f>VLOOKUP(B1624,Raw_Suppliers!$A$2:$G$101,7,FALSE)</f>
        <v>1</v>
      </c>
      <c r="P1624" t="str">
        <f t="shared" si="151"/>
        <v>Yes</v>
      </c>
      <c r="Q1624">
        <f t="shared" si="152"/>
        <v>0</v>
      </c>
      <c r="R1624" t="str">
        <f t="shared" si="153"/>
        <v>Late</v>
      </c>
      <c r="S1624">
        <f t="shared" si="154"/>
        <v>2022</v>
      </c>
      <c r="T1624">
        <f t="shared" si="155"/>
        <v>11</v>
      </c>
    </row>
    <row r="1625" spans="1:20" x14ac:dyDescent="0.25">
      <c r="A1625" t="s">
        <v>1932</v>
      </c>
      <c r="B1625" t="s">
        <v>340</v>
      </c>
      <c r="C1625" t="s">
        <v>587</v>
      </c>
      <c r="D1625" s="1">
        <v>45174</v>
      </c>
      <c r="E1625">
        <v>14</v>
      </c>
      <c r="F1625">
        <v>21.5115748567409</v>
      </c>
      <c r="G1625" s="1">
        <v>45193</v>
      </c>
      <c r="H1625" s="1">
        <v>45190</v>
      </c>
      <c r="I1625">
        <v>301.16204799437298</v>
      </c>
      <c r="J1625">
        <f t="shared" si="150"/>
        <v>-3</v>
      </c>
      <c r="K1625" t="str">
        <f>VLOOKUP(B1625,Raw_Suppliers!$A$2:$G$101,2,FALSE)</f>
        <v>Pioneer Ultra GmbH</v>
      </c>
      <c r="L1625" t="str">
        <f>VLOOKUP(B1625,Raw_Suppliers!$A$2:$G$101,3,FALSE)</f>
        <v>China</v>
      </c>
      <c r="M1625" t="str">
        <f>VLOOKUP(B1625,Raw_Suppliers!$A$2:$G$101,4,FALSE)</f>
        <v>Central</v>
      </c>
      <c r="N1625" t="str">
        <f>VLOOKUP(B1625,Raw_Suppliers!$A$2:$G$101,6,FALSE)</f>
        <v>ISO 9001</v>
      </c>
      <c r="O1625">
        <f>VLOOKUP(B1625,Raw_Suppliers!$A$2:$G$101,7,FALSE)</f>
        <v>0</v>
      </c>
      <c r="P1625" t="str">
        <f t="shared" si="151"/>
        <v>No</v>
      </c>
      <c r="Q1625">
        <f t="shared" si="152"/>
        <v>1</v>
      </c>
      <c r="R1625" t="str">
        <f t="shared" si="153"/>
        <v>On Time</v>
      </c>
      <c r="S1625">
        <f t="shared" si="154"/>
        <v>2023</v>
      </c>
      <c r="T1625">
        <f t="shared" si="155"/>
        <v>9</v>
      </c>
    </row>
    <row r="1626" spans="1:20" x14ac:dyDescent="0.25">
      <c r="A1626" t="s">
        <v>1933</v>
      </c>
      <c r="B1626" t="s">
        <v>340</v>
      </c>
      <c r="C1626" t="s">
        <v>720</v>
      </c>
      <c r="D1626" s="1">
        <v>44749</v>
      </c>
      <c r="E1626">
        <v>10</v>
      </c>
      <c r="F1626">
        <v>15.264139788124799</v>
      </c>
      <c r="G1626" s="1">
        <v>44761</v>
      </c>
      <c r="H1626" s="1">
        <v>44758</v>
      </c>
      <c r="I1626">
        <v>152.641397881248</v>
      </c>
      <c r="J1626">
        <f t="shared" si="150"/>
        <v>-3</v>
      </c>
      <c r="K1626" t="str">
        <f>VLOOKUP(B1626,Raw_Suppliers!$A$2:$G$101,2,FALSE)</f>
        <v>Pioneer Ultra GmbH</v>
      </c>
      <c r="L1626" t="str">
        <f>VLOOKUP(B1626,Raw_Suppliers!$A$2:$G$101,3,FALSE)</f>
        <v>China</v>
      </c>
      <c r="M1626" t="str">
        <f>VLOOKUP(B1626,Raw_Suppliers!$A$2:$G$101,4,FALSE)</f>
        <v>Central</v>
      </c>
      <c r="N1626" t="str">
        <f>VLOOKUP(B1626,Raw_Suppliers!$A$2:$G$101,6,FALSE)</f>
        <v>ISO 9001</v>
      </c>
      <c r="O1626">
        <f>VLOOKUP(B1626,Raw_Suppliers!$A$2:$G$101,7,FALSE)</f>
        <v>0</v>
      </c>
      <c r="P1626" t="str">
        <f t="shared" si="151"/>
        <v>No</v>
      </c>
      <c r="Q1626">
        <f t="shared" si="152"/>
        <v>1</v>
      </c>
      <c r="R1626" t="str">
        <f t="shared" si="153"/>
        <v>On Time</v>
      </c>
      <c r="S1626">
        <f t="shared" si="154"/>
        <v>2022</v>
      </c>
      <c r="T1626">
        <f t="shared" si="155"/>
        <v>7</v>
      </c>
    </row>
    <row r="1627" spans="1:20" x14ac:dyDescent="0.25">
      <c r="A1627" t="s">
        <v>1934</v>
      </c>
      <c r="B1627" t="s">
        <v>324</v>
      </c>
      <c r="C1627" t="s">
        <v>317</v>
      </c>
      <c r="D1627" s="1">
        <v>44799</v>
      </c>
      <c r="E1627">
        <v>9</v>
      </c>
      <c r="F1627">
        <v>79.360188357651793</v>
      </c>
      <c r="G1627" s="1">
        <v>44822</v>
      </c>
      <c r="H1627" s="1">
        <v>44819</v>
      </c>
      <c r="I1627">
        <v>714.24169521886597</v>
      </c>
      <c r="J1627">
        <f t="shared" si="150"/>
        <v>-3</v>
      </c>
      <c r="K1627" t="str">
        <f>VLOOKUP(B1627,Raw_Suppliers!$A$2:$G$101,2,FALSE)</f>
        <v>Gamma Nano Corp</v>
      </c>
      <c r="L1627" t="str">
        <f>VLOOKUP(B1627,Raw_Suppliers!$A$2:$G$101,3,FALSE)</f>
        <v>Germany</v>
      </c>
      <c r="M1627" t="str">
        <f>VLOOKUP(B1627,Raw_Suppliers!$A$2:$G$101,4,FALSE)</f>
        <v>West</v>
      </c>
      <c r="N1627" t="str">
        <f>VLOOKUP(B1627,Raw_Suppliers!$A$2:$G$101,6,FALSE)</f>
        <v>ISO 9001</v>
      </c>
      <c r="O1627">
        <f>VLOOKUP(B1627,Raw_Suppliers!$A$2:$G$101,7,FALSE)</f>
        <v>0</v>
      </c>
      <c r="P1627" t="str">
        <f t="shared" si="151"/>
        <v>No</v>
      </c>
      <c r="Q1627">
        <f t="shared" si="152"/>
        <v>1</v>
      </c>
      <c r="R1627" t="str">
        <f t="shared" si="153"/>
        <v>On Time</v>
      </c>
      <c r="S1627">
        <f t="shared" si="154"/>
        <v>2022</v>
      </c>
      <c r="T1627">
        <f t="shared" si="155"/>
        <v>8</v>
      </c>
    </row>
    <row r="1628" spans="1:20" x14ac:dyDescent="0.25">
      <c r="A1628" t="s">
        <v>1935</v>
      </c>
      <c r="B1628" t="s">
        <v>242</v>
      </c>
      <c r="C1628" t="s">
        <v>462</v>
      </c>
      <c r="D1628" s="1">
        <v>44809</v>
      </c>
      <c r="E1628">
        <v>9</v>
      </c>
      <c r="F1628">
        <v>15.170446866997599</v>
      </c>
      <c r="G1628" s="1">
        <v>44824</v>
      </c>
      <c r="H1628" s="1">
        <v>44830</v>
      </c>
      <c r="I1628">
        <v>136.534021802978</v>
      </c>
      <c r="J1628">
        <f t="shared" si="150"/>
        <v>6</v>
      </c>
      <c r="K1628" t="str">
        <f>VLOOKUP(B1628,Raw_Suppliers!$A$2:$G$101,2,FALSE)</f>
        <v>Omega Nova GmbH</v>
      </c>
      <c r="L1628" t="str">
        <f>VLOOKUP(B1628,Raw_Suppliers!$A$2:$G$101,3,FALSE)</f>
        <v>Denmark</v>
      </c>
      <c r="M1628" t="str">
        <f>VLOOKUP(B1628,Raw_Suppliers!$A$2:$G$101,4,FALSE)</f>
        <v>East</v>
      </c>
      <c r="N1628" t="str">
        <f>VLOOKUP(B1628,Raw_Suppliers!$A$2:$G$101,6,FALSE)</f>
        <v>ISO 45001</v>
      </c>
      <c r="O1628">
        <f>VLOOKUP(B1628,Raw_Suppliers!$A$2:$G$101,7,FALSE)</f>
        <v>0</v>
      </c>
      <c r="P1628" t="str">
        <f t="shared" si="151"/>
        <v>No</v>
      </c>
      <c r="Q1628">
        <f t="shared" si="152"/>
        <v>0</v>
      </c>
      <c r="R1628" t="str">
        <f t="shared" si="153"/>
        <v>Late</v>
      </c>
      <c r="S1628">
        <f t="shared" si="154"/>
        <v>2022</v>
      </c>
      <c r="T1628">
        <f t="shared" si="155"/>
        <v>9</v>
      </c>
    </row>
    <row r="1629" spans="1:20" x14ac:dyDescent="0.25">
      <c r="A1629" t="s">
        <v>1936</v>
      </c>
      <c r="B1629" t="s">
        <v>247</v>
      </c>
      <c r="C1629" t="s">
        <v>421</v>
      </c>
      <c r="D1629" s="1">
        <v>44548</v>
      </c>
      <c r="E1629">
        <v>10</v>
      </c>
      <c r="F1629">
        <v>74.810519451393503</v>
      </c>
      <c r="G1629" s="1">
        <v>44561</v>
      </c>
      <c r="H1629" s="1">
        <v>44565</v>
      </c>
      <c r="I1629">
        <v>748.10519451393498</v>
      </c>
      <c r="J1629">
        <f t="shared" si="150"/>
        <v>4</v>
      </c>
      <c r="K1629" t="str">
        <f>VLOOKUP(B1629,Raw_Suppliers!$A$2:$G$101,2,FALSE)</f>
        <v>Ultra Apex LLC</v>
      </c>
      <c r="L1629" t="str">
        <f>VLOOKUP(B1629,Raw_Suppliers!$A$2:$G$101,3,FALSE)</f>
        <v>Germany</v>
      </c>
      <c r="M1629" t="str">
        <f>VLOOKUP(B1629,Raw_Suppliers!$A$2:$G$101,4,FALSE)</f>
        <v>West</v>
      </c>
      <c r="N1629" t="str">
        <f>VLOOKUP(B1629,Raw_Suppliers!$A$2:$G$101,6,FALSE)</f>
        <v>ISO 9001</v>
      </c>
      <c r="O1629">
        <f>VLOOKUP(B1629,Raw_Suppliers!$A$2:$G$101,7,FALSE)</f>
        <v>0</v>
      </c>
      <c r="P1629" t="str">
        <f t="shared" si="151"/>
        <v>No</v>
      </c>
      <c r="Q1629">
        <f t="shared" si="152"/>
        <v>0</v>
      </c>
      <c r="R1629" t="str">
        <f t="shared" si="153"/>
        <v>Late</v>
      </c>
      <c r="S1629">
        <f t="shared" si="154"/>
        <v>2021</v>
      </c>
      <c r="T1629">
        <f t="shared" si="155"/>
        <v>12</v>
      </c>
    </row>
    <row r="1630" spans="1:20" x14ac:dyDescent="0.25">
      <c r="A1630" t="s">
        <v>1937</v>
      </c>
      <c r="B1630" t="s">
        <v>564</v>
      </c>
      <c r="C1630" t="s">
        <v>238</v>
      </c>
      <c r="D1630" s="1">
        <v>45330</v>
      </c>
      <c r="E1630">
        <v>15</v>
      </c>
      <c r="F1630">
        <v>28.910205415494101</v>
      </c>
      <c r="G1630" s="1">
        <v>45348</v>
      </c>
      <c r="H1630" s="1">
        <v>45353</v>
      </c>
      <c r="I1630">
        <v>433.65308123241198</v>
      </c>
      <c r="J1630">
        <f t="shared" si="150"/>
        <v>5</v>
      </c>
      <c r="K1630" t="str">
        <f>VLOOKUP(B1630,Raw_Suppliers!$A$2:$G$101,2,FALSE)</f>
        <v>Ultra Ultra GmbH</v>
      </c>
      <c r="L1630" t="str">
        <f>VLOOKUP(B1630,Raw_Suppliers!$A$2:$G$101,3,FALSE)</f>
        <v>India</v>
      </c>
      <c r="M1630" t="str">
        <f>VLOOKUP(B1630,Raw_Suppliers!$A$2:$G$101,4,FALSE)</f>
        <v>Central</v>
      </c>
      <c r="N1630" t="str">
        <f>VLOOKUP(B1630,Raw_Suppliers!$A$2:$G$101,6,FALSE)</f>
        <v>ISO 14001</v>
      </c>
      <c r="O1630">
        <f>VLOOKUP(B1630,Raw_Suppliers!$A$2:$G$101,7,FALSE)</f>
        <v>1</v>
      </c>
      <c r="P1630" t="str">
        <f t="shared" si="151"/>
        <v>Yes</v>
      </c>
      <c r="Q1630">
        <f t="shared" si="152"/>
        <v>0</v>
      </c>
      <c r="R1630" t="str">
        <f t="shared" si="153"/>
        <v>Late</v>
      </c>
      <c r="S1630">
        <f t="shared" si="154"/>
        <v>2024</v>
      </c>
      <c r="T1630">
        <f t="shared" si="155"/>
        <v>2</v>
      </c>
    </row>
    <row r="1631" spans="1:20" x14ac:dyDescent="0.25">
      <c r="A1631" t="s">
        <v>1938</v>
      </c>
      <c r="B1631" t="s">
        <v>85</v>
      </c>
      <c r="C1631" t="s">
        <v>224</v>
      </c>
      <c r="D1631" s="1">
        <v>44534</v>
      </c>
      <c r="E1631">
        <v>15</v>
      </c>
      <c r="F1631">
        <v>31.084888436011401</v>
      </c>
      <c r="G1631" s="1">
        <v>44552</v>
      </c>
      <c r="H1631" s="1">
        <v>44558</v>
      </c>
      <c r="I1631">
        <v>466.27332654017198</v>
      </c>
      <c r="J1631">
        <f t="shared" si="150"/>
        <v>6</v>
      </c>
      <c r="K1631" t="str">
        <f>VLOOKUP(B1631,Raw_Suppliers!$A$2:$G$101,2,FALSE)</f>
        <v>Fusion Gamma LLC</v>
      </c>
      <c r="L1631" t="str">
        <f>VLOOKUP(B1631,Raw_Suppliers!$A$2:$G$101,3,FALSE)</f>
        <v>China</v>
      </c>
      <c r="M1631" t="str">
        <f>VLOOKUP(B1631,Raw_Suppliers!$A$2:$G$101,4,FALSE)</f>
        <v>East</v>
      </c>
      <c r="N1631" t="str">
        <f>VLOOKUP(B1631,Raw_Suppliers!$A$2:$G$101,6,FALSE)</f>
        <v>ISO 9001</v>
      </c>
      <c r="O1631">
        <f>VLOOKUP(B1631,Raw_Suppliers!$A$2:$G$101,7,FALSE)</f>
        <v>1</v>
      </c>
      <c r="P1631" t="str">
        <f t="shared" si="151"/>
        <v>Yes</v>
      </c>
      <c r="Q1631">
        <f t="shared" si="152"/>
        <v>0</v>
      </c>
      <c r="R1631" t="str">
        <f t="shared" si="153"/>
        <v>Late</v>
      </c>
      <c r="S1631">
        <f t="shared" si="154"/>
        <v>2021</v>
      </c>
      <c r="T1631">
        <f t="shared" si="155"/>
        <v>12</v>
      </c>
    </row>
    <row r="1632" spans="1:20" x14ac:dyDescent="0.25">
      <c r="A1632" t="s">
        <v>1939</v>
      </c>
      <c r="B1632" t="s">
        <v>359</v>
      </c>
      <c r="C1632" t="s">
        <v>59</v>
      </c>
      <c r="D1632" s="1">
        <v>44569</v>
      </c>
      <c r="E1632">
        <v>6</v>
      </c>
      <c r="F1632">
        <v>59.828505400206097</v>
      </c>
      <c r="G1632" s="1">
        <v>44581</v>
      </c>
      <c r="H1632" s="1">
        <v>44585</v>
      </c>
      <c r="I1632">
        <v>358.97103240123698</v>
      </c>
      <c r="J1632">
        <f t="shared" si="150"/>
        <v>4</v>
      </c>
      <c r="K1632" t="str">
        <f>VLOOKUP(B1632,Raw_Suppliers!$A$2:$G$101,2,FALSE)</f>
        <v>Alpha Alpha Corp</v>
      </c>
      <c r="L1632" t="str">
        <f>VLOOKUP(B1632,Raw_Suppliers!$A$2:$G$101,3,FALSE)</f>
        <v>India</v>
      </c>
      <c r="M1632" t="str">
        <f>VLOOKUP(B1632,Raw_Suppliers!$A$2:$G$101,4,FALSE)</f>
        <v>North</v>
      </c>
      <c r="N1632" t="str">
        <f>VLOOKUP(B1632,Raw_Suppliers!$A$2:$G$101,6,FALSE)</f>
        <v>ISO 9001</v>
      </c>
      <c r="O1632">
        <f>VLOOKUP(B1632,Raw_Suppliers!$A$2:$G$101,7,FALSE)</f>
        <v>1</v>
      </c>
      <c r="P1632" t="str">
        <f t="shared" si="151"/>
        <v>Yes</v>
      </c>
      <c r="Q1632">
        <f t="shared" si="152"/>
        <v>0</v>
      </c>
      <c r="R1632" t="str">
        <f t="shared" si="153"/>
        <v>Late</v>
      </c>
      <c r="S1632">
        <f t="shared" si="154"/>
        <v>2022</v>
      </c>
      <c r="T1632">
        <f t="shared" si="155"/>
        <v>1</v>
      </c>
    </row>
    <row r="1633" spans="1:20" x14ac:dyDescent="0.25">
      <c r="A1633" t="s">
        <v>1940</v>
      </c>
      <c r="B1633" t="s">
        <v>321</v>
      </c>
      <c r="C1633" t="s">
        <v>654</v>
      </c>
      <c r="D1633" s="1">
        <v>45159</v>
      </c>
      <c r="E1633">
        <v>12</v>
      </c>
      <c r="F1633">
        <v>32.188061720870003</v>
      </c>
      <c r="G1633" s="1">
        <v>45176</v>
      </c>
      <c r="H1633" s="1">
        <v>45181</v>
      </c>
      <c r="I1633">
        <v>386.25674065044097</v>
      </c>
      <c r="J1633">
        <f t="shared" si="150"/>
        <v>5</v>
      </c>
      <c r="K1633" t="str">
        <f>VLOOKUP(B1633,Raw_Suppliers!$A$2:$G$101,2,FALSE)</f>
        <v>Vertex Delta LLC</v>
      </c>
      <c r="L1633" t="str">
        <f>VLOOKUP(B1633,Raw_Suppliers!$A$2:$G$101,3,FALSE)</f>
        <v>India</v>
      </c>
      <c r="M1633" t="str">
        <f>VLOOKUP(B1633,Raw_Suppliers!$A$2:$G$101,4,FALSE)</f>
        <v>South</v>
      </c>
      <c r="N1633" t="str">
        <f>VLOOKUP(B1633,Raw_Suppliers!$A$2:$G$101,6,FALSE)</f>
        <v>ISO 45001</v>
      </c>
      <c r="O1633">
        <f>VLOOKUP(B1633,Raw_Suppliers!$A$2:$G$101,7,FALSE)</f>
        <v>0</v>
      </c>
      <c r="P1633" t="str">
        <f t="shared" si="151"/>
        <v>No</v>
      </c>
      <c r="Q1633">
        <f t="shared" si="152"/>
        <v>0</v>
      </c>
      <c r="R1633" t="str">
        <f t="shared" si="153"/>
        <v>Late</v>
      </c>
      <c r="S1633">
        <f t="shared" si="154"/>
        <v>2023</v>
      </c>
      <c r="T1633">
        <f t="shared" si="155"/>
        <v>8</v>
      </c>
    </row>
    <row r="1634" spans="1:20" x14ac:dyDescent="0.25">
      <c r="A1634" t="s">
        <v>1941</v>
      </c>
      <c r="B1634" t="s">
        <v>43</v>
      </c>
      <c r="C1634" t="s">
        <v>245</v>
      </c>
      <c r="D1634" s="1">
        <v>44777</v>
      </c>
      <c r="E1634">
        <v>17</v>
      </c>
      <c r="F1634">
        <v>49.507331937926097</v>
      </c>
      <c r="G1634" s="1">
        <v>44799</v>
      </c>
      <c r="H1634" s="1">
        <v>44803</v>
      </c>
      <c r="I1634">
        <v>841.62464294474398</v>
      </c>
      <c r="J1634">
        <f t="shared" si="150"/>
        <v>4</v>
      </c>
      <c r="K1634" t="str">
        <f>VLOOKUP(B1634,Raw_Suppliers!$A$2:$G$101,2,FALSE)</f>
        <v>Alpha Ultra Corp</v>
      </c>
      <c r="L1634" t="str">
        <f>VLOOKUP(B1634,Raw_Suppliers!$A$2:$G$101,3,FALSE)</f>
        <v>USA</v>
      </c>
      <c r="M1634" t="str">
        <f>VLOOKUP(B1634,Raw_Suppliers!$A$2:$G$101,4,FALSE)</f>
        <v>Central</v>
      </c>
      <c r="N1634" t="str">
        <f>VLOOKUP(B1634,Raw_Suppliers!$A$2:$G$101,6,FALSE)</f>
        <v>ISO 9001</v>
      </c>
      <c r="O1634">
        <f>VLOOKUP(B1634,Raw_Suppliers!$A$2:$G$101,7,FALSE)</f>
        <v>1</v>
      </c>
      <c r="P1634" t="str">
        <f t="shared" si="151"/>
        <v>Yes</v>
      </c>
      <c r="Q1634">
        <f t="shared" si="152"/>
        <v>0</v>
      </c>
      <c r="R1634" t="str">
        <f t="shared" si="153"/>
        <v>Late</v>
      </c>
      <c r="S1634">
        <f t="shared" si="154"/>
        <v>2022</v>
      </c>
      <c r="T1634">
        <f t="shared" si="155"/>
        <v>8</v>
      </c>
    </row>
    <row r="1635" spans="1:20" x14ac:dyDescent="0.25">
      <c r="A1635" t="s">
        <v>1942</v>
      </c>
      <c r="B1635" t="s">
        <v>96</v>
      </c>
      <c r="C1635" t="s">
        <v>1176</v>
      </c>
      <c r="D1635" s="1">
        <v>44340</v>
      </c>
      <c r="E1635">
        <v>14</v>
      </c>
      <c r="F1635">
        <v>11.9080434062962</v>
      </c>
      <c r="G1635" s="1">
        <v>44359</v>
      </c>
      <c r="H1635" s="1">
        <v>44358</v>
      </c>
      <c r="I1635">
        <v>166.71260768814699</v>
      </c>
      <c r="J1635">
        <f t="shared" si="150"/>
        <v>-1</v>
      </c>
      <c r="K1635" t="str">
        <f>VLOOKUP(B1635,Raw_Suppliers!$A$2:$G$101,2,FALSE)</f>
        <v>Alpha Nova Ltd</v>
      </c>
      <c r="L1635" t="str">
        <f>VLOOKUP(B1635,Raw_Suppliers!$A$2:$G$101,3,FALSE)</f>
        <v>UK</v>
      </c>
      <c r="M1635" t="str">
        <f>VLOOKUP(B1635,Raw_Suppliers!$A$2:$G$101,4,FALSE)</f>
        <v>West</v>
      </c>
      <c r="N1635" t="str">
        <f>VLOOKUP(B1635,Raw_Suppliers!$A$2:$G$101,6,FALSE)</f>
        <v>ISO 14001</v>
      </c>
      <c r="O1635">
        <f>VLOOKUP(B1635,Raw_Suppliers!$A$2:$G$101,7,FALSE)</f>
        <v>0</v>
      </c>
      <c r="P1635" t="str">
        <f t="shared" si="151"/>
        <v>No</v>
      </c>
      <c r="Q1635">
        <f t="shared" si="152"/>
        <v>1</v>
      </c>
      <c r="R1635" t="str">
        <f t="shared" si="153"/>
        <v>On Time</v>
      </c>
      <c r="S1635">
        <f t="shared" si="154"/>
        <v>2021</v>
      </c>
      <c r="T1635">
        <f t="shared" si="155"/>
        <v>5</v>
      </c>
    </row>
    <row r="1636" spans="1:20" x14ac:dyDescent="0.25">
      <c r="A1636" t="s">
        <v>1943</v>
      </c>
      <c r="B1636" t="s">
        <v>96</v>
      </c>
      <c r="C1636" t="s">
        <v>763</v>
      </c>
      <c r="D1636" s="1">
        <v>44725</v>
      </c>
      <c r="E1636">
        <v>17</v>
      </c>
      <c r="F1636">
        <v>76.254981336500293</v>
      </c>
      <c r="G1636" s="1">
        <v>44741</v>
      </c>
      <c r="H1636" s="1">
        <v>44738</v>
      </c>
      <c r="I1636">
        <v>1296.3346827205</v>
      </c>
      <c r="J1636">
        <f t="shared" si="150"/>
        <v>-3</v>
      </c>
      <c r="K1636" t="str">
        <f>VLOOKUP(B1636,Raw_Suppliers!$A$2:$G$101,2,FALSE)</f>
        <v>Alpha Nova Ltd</v>
      </c>
      <c r="L1636" t="str">
        <f>VLOOKUP(B1636,Raw_Suppliers!$A$2:$G$101,3,FALSE)</f>
        <v>UK</v>
      </c>
      <c r="M1636" t="str">
        <f>VLOOKUP(B1636,Raw_Suppliers!$A$2:$G$101,4,FALSE)</f>
        <v>West</v>
      </c>
      <c r="N1636" t="str">
        <f>VLOOKUP(B1636,Raw_Suppliers!$A$2:$G$101,6,FALSE)</f>
        <v>ISO 14001</v>
      </c>
      <c r="O1636">
        <f>VLOOKUP(B1636,Raw_Suppliers!$A$2:$G$101,7,FALSE)</f>
        <v>0</v>
      </c>
      <c r="P1636" t="str">
        <f t="shared" si="151"/>
        <v>No</v>
      </c>
      <c r="Q1636">
        <f t="shared" si="152"/>
        <v>1</v>
      </c>
      <c r="R1636" t="str">
        <f t="shared" si="153"/>
        <v>On Time</v>
      </c>
      <c r="S1636">
        <f t="shared" si="154"/>
        <v>2022</v>
      </c>
      <c r="T1636">
        <f t="shared" si="155"/>
        <v>6</v>
      </c>
    </row>
    <row r="1637" spans="1:20" x14ac:dyDescent="0.25">
      <c r="A1637" t="s">
        <v>1944</v>
      </c>
      <c r="B1637" t="s">
        <v>52</v>
      </c>
      <c r="C1637" t="s">
        <v>50</v>
      </c>
      <c r="D1637" s="1">
        <v>44221</v>
      </c>
      <c r="E1637">
        <v>9</v>
      </c>
      <c r="F1637">
        <v>45.709008614654699</v>
      </c>
      <c r="G1637" s="1">
        <v>44234</v>
      </c>
      <c r="H1637" s="1">
        <v>44233</v>
      </c>
      <c r="I1637">
        <v>411.381077531892</v>
      </c>
      <c r="J1637">
        <f t="shared" si="150"/>
        <v>-1</v>
      </c>
      <c r="K1637" t="str">
        <f>VLOOKUP(B1637,Raw_Suppliers!$A$2:$G$101,2,FALSE)</f>
        <v>Beta Nano Corp</v>
      </c>
      <c r="L1637" t="str">
        <f>VLOOKUP(B1637,Raw_Suppliers!$A$2:$G$101,3,FALSE)</f>
        <v>UK</v>
      </c>
      <c r="M1637" t="str">
        <f>VLOOKUP(B1637,Raw_Suppliers!$A$2:$G$101,4,FALSE)</f>
        <v>Central</v>
      </c>
      <c r="N1637" t="str">
        <f>VLOOKUP(B1637,Raw_Suppliers!$A$2:$G$101,6,FALSE)</f>
        <v>ISO 45001</v>
      </c>
      <c r="O1637">
        <f>VLOOKUP(B1637,Raw_Suppliers!$A$2:$G$101,7,FALSE)</f>
        <v>0</v>
      </c>
      <c r="P1637" t="str">
        <f t="shared" si="151"/>
        <v>No</v>
      </c>
      <c r="Q1637">
        <f t="shared" si="152"/>
        <v>1</v>
      </c>
      <c r="R1637" t="str">
        <f t="shared" si="153"/>
        <v>On Time</v>
      </c>
      <c r="S1637">
        <f t="shared" si="154"/>
        <v>2021</v>
      </c>
      <c r="T1637">
        <f t="shared" si="155"/>
        <v>1</v>
      </c>
    </row>
    <row r="1638" spans="1:20" x14ac:dyDescent="0.25">
      <c r="A1638" t="s">
        <v>1945</v>
      </c>
      <c r="B1638" t="s">
        <v>124</v>
      </c>
      <c r="C1638" t="s">
        <v>89</v>
      </c>
      <c r="D1638" s="1">
        <v>44472</v>
      </c>
      <c r="E1638">
        <v>14</v>
      </c>
      <c r="F1638">
        <v>31.5773768989235</v>
      </c>
      <c r="G1638" s="1">
        <v>44495</v>
      </c>
      <c r="H1638" s="1">
        <v>44499</v>
      </c>
      <c r="I1638">
        <v>442.08327658492902</v>
      </c>
      <c r="J1638">
        <f t="shared" si="150"/>
        <v>4</v>
      </c>
      <c r="K1638" t="str">
        <f>VLOOKUP(B1638,Raw_Suppliers!$A$2:$G$101,2,FALSE)</f>
        <v>Vertex Delta Inc</v>
      </c>
      <c r="L1638" t="str">
        <f>VLOOKUP(B1638,Raw_Suppliers!$A$2:$G$101,3,FALSE)</f>
        <v>Germany</v>
      </c>
      <c r="M1638" t="str">
        <f>VLOOKUP(B1638,Raw_Suppliers!$A$2:$G$101,4,FALSE)</f>
        <v>South</v>
      </c>
      <c r="N1638" t="str">
        <f>VLOOKUP(B1638,Raw_Suppliers!$A$2:$G$101,6,FALSE)</f>
        <v>ISO 9001</v>
      </c>
      <c r="O1638">
        <f>VLOOKUP(B1638,Raw_Suppliers!$A$2:$G$101,7,FALSE)</f>
        <v>0</v>
      </c>
      <c r="P1638" t="str">
        <f t="shared" si="151"/>
        <v>No</v>
      </c>
      <c r="Q1638">
        <f t="shared" si="152"/>
        <v>0</v>
      </c>
      <c r="R1638" t="str">
        <f t="shared" si="153"/>
        <v>Late</v>
      </c>
      <c r="S1638">
        <f t="shared" si="154"/>
        <v>2021</v>
      </c>
      <c r="T1638">
        <f t="shared" si="155"/>
        <v>10</v>
      </c>
    </row>
    <row r="1639" spans="1:20" x14ac:dyDescent="0.25">
      <c r="A1639" t="s">
        <v>1946</v>
      </c>
      <c r="B1639" t="s">
        <v>82</v>
      </c>
      <c r="C1639" t="s">
        <v>80</v>
      </c>
      <c r="D1639" s="1">
        <v>44715</v>
      </c>
      <c r="E1639">
        <v>21</v>
      </c>
      <c r="F1639">
        <v>26.804712886130101</v>
      </c>
      <c r="G1639" s="1">
        <v>44729</v>
      </c>
      <c r="H1639" s="1">
        <v>44730</v>
      </c>
      <c r="I1639">
        <v>562.89897060873295</v>
      </c>
      <c r="J1639">
        <f t="shared" si="150"/>
        <v>1</v>
      </c>
      <c r="K1639" t="str">
        <f>VLOOKUP(B1639,Raw_Suppliers!$A$2:$G$101,2,FALSE)</f>
        <v>Gamma Quantum LLC</v>
      </c>
      <c r="L1639" t="str">
        <f>VLOOKUP(B1639,Raw_Suppliers!$A$2:$G$101,3,FALSE)</f>
        <v>Canada</v>
      </c>
      <c r="M1639" t="str">
        <f>VLOOKUP(B1639,Raw_Suppliers!$A$2:$G$101,4,FALSE)</f>
        <v>Central</v>
      </c>
      <c r="N1639" t="str">
        <f>VLOOKUP(B1639,Raw_Suppliers!$A$2:$G$101,6,FALSE)</f>
        <v>None</v>
      </c>
      <c r="O1639">
        <f>VLOOKUP(B1639,Raw_Suppliers!$A$2:$G$101,7,FALSE)</f>
        <v>1</v>
      </c>
      <c r="P1639" t="str">
        <f t="shared" si="151"/>
        <v>Yes</v>
      </c>
      <c r="Q1639">
        <f t="shared" si="152"/>
        <v>0</v>
      </c>
      <c r="R1639" t="str">
        <f t="shared" si="153"/>
        <v>Late</v>
      </c>
      <c r="S1639">
        <f t="shared" si="154"/>
        <v>2022</v>
      </c>
      <c r="T1639">
        <f t="shared" si="155"/>
        <v>6</v>
      </c>
    </row>
    <row r="1640" spans="1:20" x14ac:dyDescent="0.25">
      <c r="A1640" t="s">
        <v>1947</v>
      </c>
      <c r="B1640" t="s">
        <v>475</v>
      </c>
      <c r="C1640" t="s">
        <v>254</v>
      </c>
      <c r="D1640" s="1">
        <v>44227</v>
      </c>
      <c r="E1640">
        <v>8</v>
      </c>
      <c r="F1640">
        <v>27.6096236068962</v>
      </c>
      <c r="G1640" s="1">
        <v>44239</v>
      </c>
      <c r="H1640" s="1">
        <v>44242</v>
      </c>
      <c r="I1640">
        <v>220.876988855169</v>
      </c>
      <c r="J1640">
        <f t="shared" si="150"/>
        <v>3</v>
      </c>
      <c r="K1640" t="str">
        <f>VLOOKUP(B1640,Raw_Suppliers!$A$2:$G$101,2,FALSE)</f>
        <v>Ultra Delta LLC</v>
      </c>
      <c r="L1640" t="str">
        <f>VLOOKUP(B1640,Raw_Suppliers!$A$2:$G$101,3,FALSE)</f>
        <v>UK</v>
      </c>
      <c r="M1640" t="str">
        <f>VLOOKUP(B1640,Raw_Suppliers!$A$2:$G$101,4,FALSE)</f>
        <v>North</v>
      </c>
      <c r="N1640" t="str">
        <f>VLOOKUP(B1640,Raw_Suppliers!$A$2:$G$101,6,FALSE)</f>
        <v>None</v>
      </c>
      <c r="O1640">
        <f>VLOOKUP(B1640,Raw_Suppliers!$A$2:$G$101,7,FALSE)</f>
        <v>1</v>
      </c>
      <c r="P1640" t="str">
        <f t="shared" si="151"/>
        <v>Yes</v>
      </c>
      <c r="Q1640">
        <f t="shared" si="152"/>
        <v>0</v>
      </c>
      <c r="R1640" t="str">
        <f t="shared" si="153"/>
        <v>Late</v>
      </c>
      <c r="S1640">
        <f t="shared" si="154"/>
        <v>2021</v>
      </c>
      <c r="T1640">
        <f t="shared" si="155"/>
        <v>1</v>
      </c>
    </row>
    <row r="1641" spans="1:20" x14ac:dyDescent="0.25">
      <c r="A1641" t="s">
        <v>1948</v>
      </c>
      <c r="B1641" t="s">
        <v>227</v>
      </c>
      <c r="C1641" t="s">
        <v>290</v>
      </c>
      <c r="D1641" s="1">
        <v>45079</v>
      </c>
      <c r="E1641">
        <v>10</v>
      </c>
      <c r="F1641">
        <v>54.535330298909798</v>
      </c>
      <c r="G1641" s="1">
        <v>45092</v>
      </c>
      <c r="H1641" s="1">
        <v>45090</v>
      </c>
      <c r="I1641">
        <v>545.35330298909798</v>
      </c>
      <c r="J1641">
        <f t="shared" si="150"/>
        <v>-2</v>
      </c>
      <c r="K1641" t="str">
        <f>VLOOKUP(B1641,Raw_Suppliers!$A$2:$G$101,2,FALSE)</f>
        <v>Delta Prime Inc</v>
      </c>
      <c r="L1641" t="str">
        <f>VLOOKUP(B1641,Raw_Suppliers!$A$2:$G$101,3,FALSE)</f>
        <v>Denmark</v>
      </c>
      <c r="M1641" t="str">
        <f>VLOOKUP(B1641,Raw_Suppliers!$A$2:$G$101,4,FALSE)</f>
        <v>South</v>
      </c>
      <c r="N1641" t="str">
        <f>VLOOKUP(B1641,Raw_Suppliers!$A$2:$G$101,6,FALSE)</f>
        <v>ISO 14001</v>
      </c>
      <c r="O1641">
        <f>VLOOKUP(B1641,Raw_Suppliers!$A$2:$G$101,7,FALSE)</f>
        <v>0</v>
      </c>
      <c r="P1641" t="str">
        <f t="shared" si="151"/>
        <v>No</v>
      </c>
      <c r="Q1641">
        <f t="shared" si="152"/>
        <v>1</v>
      </c>
      <c r="R1641" t="str">
        <f t="shared" si="153"/>
        <v>On Time</v>
      </c>
      <c r="S1641">
        <f t="shared" si="154"/>
        <v>2023</v>
      </c>
      <c r="T1641">
        <f t="shared" si="155"/>
        <v>6</v>
      </c>
    </row>
    <row r="1642" spans="1:20" x14ac:dyDescent="0.25">
      <c r="A1642" t="s">
        <v>1949</v>
      </c>
      <c r="B1642" t="s">
        <v>686</v>
      </c>
      <c r="C1642" t="s">
        <v>128</v>
      </c>
      <c r="D1642" s="1">
        <v>45310</v>
      </c>
      <c r="E1642">
        <v>5</v>
      </c>
      <c r="F1642">
        <v>47.1482453837897</v>
      </c>
      <c r="G1642" s="1">
        <v>45323</v>
      </c>
      <c r="H1642" s="1">
        <v>45323</v>
      </c>
      <c r="I1642">
        <v>235.741226918948</v>
      </c>
      <c r="J1642">
        <f t="shared" si="150"/>
        <v>0</v>
      </c>
      <c r="K1642" t="str">
        <f>VLOOKUP(B1642,Raw_Suppliers!$A$2:$G$101,2,FALSE)</f>
        <v>Eco Gamma GmbH</v>
      </c>
      <c r="L1642" t="str">
        <f>VLOOKUP(B1642,Raw_Suppliers!$A$2:$G$101,3,FALSE)</f>
        <v>China</v>
      </c>
      <c r="M1642" t="str">
        <f>VLOOKUP(B1642,Raw_Suppliers!$A$2:$G$101,4,FALSE)</f>
        <v>South</v>
      </c>
      <c r="N1642" t="str">
        <f>VLOOKUP(B1642,Raw_Suppliers!$A$2:$G$101,6,FALSE)</f>
        <v>ISO 9001</v>
      </c>
      <c r="O1642">
        <f>VLOOKUP(B1642,Raw_Suppliers!$A$2:$G$101,7,FALSE)</f>
        <v>0</v>
      </c>
      <c r="P1642" t="str">
        <f t="shared" si="151"/>
        <v>No</v>
      </c>
      <c r="Q1642">
        <f t="shared" si="152"/>
        <v>1</v>
      </c>
      <c r="R1642" t="str">
        <f t="shared" si="153"/>
        <v>On Time</v>
      </c>
      <c r="S1642">
        <f t="shared" si="154"/>
        <v>2024</v>
      </c>
      <c r="T1642">
        <f t="shared" si="155"/>
        <v>1</v>
      </c>
    </row>
    <row r="1643" spans="1:20" x14ac:dyDescent="0.25">
      <c r="A1643" t="s">
        <v>1950</v>
      </c>
      <c r="B1643" t="s">
        <v>49</v>
      </c>
      <c r="C1643" t="s">
        <v>133</v>
      </c>
      <c r="D1643" s="1">
        <v>44724</v>
      </c>
      <c r="E1643">
        <v>12</v>
      </c>
      <c r="F1643">
        <v>24.710231706549301</v>
      </c>
      <c r="G1643" s="1">
        <v>44745</v>
      </c>
      <c r="H1643" s="1">
        <v>44745</v>
      </c>
      <c r="I1643">
        <v>296.52278047859102</v>
      </c>
      <c r="J1643">
        <f t="shared" si="150"/>
        <v>0</v>
      </c>
      <c r="K1643" t="str">
        <f>VLOOKUP(B1643,Raw_Suppliers!$A$2:$G$101,2,FALSE)</f>
        <v>Prime Prime Corp</v>
      </c>
      <c r="L1643" t="str">
        <f>VLOOKUP(B1643,Raw_Suppliers!$A$2:$G$101,3,FALSE)</f>
        <v>China</v>
      </c>
      <c r="M1643" t="str">
        <f>VLOOKUP(B1643,Raw_Suppliers!$A$2:$G$101,4,FALSE)</f>
        <v>North</v>
      </c>
      <c r="N1643" t="str">
        <f>VLOOKUP(B1643,Raw_Suppliers!$A$2:$G$101,6,FALSE)</f>
        <v>ISO 45001</v>
      </c>
      <c r="O1643">
        <f>VLOOKUP(B1643,Raw_Suppliers!$A$2:$G$101,7,FALSE)</f>
        <v>0</v>
      </c>
      <c r="P1643" t="str">
        <f t="shared" si="151"/>
        <v>No</v>
      </c>
      <c r="Q1643">
        <f t="shared" si="152"/>
        <v>1</v>
      </c>
      <c r="R1643" t="str">
        <f t="shared" si="153"/>
        <v>On Time</v>
      </c>
      <c r="S1643">
        <f t="shared" si="154"/>
        <v>2022</v>
      </c>
      <c r="T1643">
        <f t="shared" si="155"/>
        <v>6</v>
      </c>
    </row>
    <row r="1644" spans="1:20" x14ac:dyDescent="0.25">
      <c r="A1644" t="s">
        <v>1951</v>
      </c>
      <c r="B1644" t="s">
        <v>237</v>
      </c>
      <c r="C1644" t="s">
        <v>165</v>
      </c>
      <c r="D1644" s="1">
        <v>44895</v>
      </c>
      <c r="E1644">
        <v>15</v>
      </c>
      <c r="F1644">
        <v>8.1604648131074295</v>
      </c>
      <c r="G1644" s="1">
        <v>44905</v>
      </c>
      <c r="H1644" s="1">
        <v>44910</v>
      </c>
      <c r="I1644">
        <v>122.40697219661099</v>
      </c>
      <c r="J1644">
        <f t="shared" si="150"/>
        <v>5</v>
      </c>
      <c r="K1644" t="str">
        <f>VLOOKUP(B1644,Raw_Suppliers!$A$2:$G$101,2,FALSE)</f>
        <v>Eco Beta Inc</v>
      </c>
      <c r="L1644" t="str">
        <f>VLOOKUP(B1644,Raw_Suppliers!$A$2:$G$101,3,FALSE)</f>
        <v>Germany</v>
      </c>
      <c r="M1644" t="str">
        <f>VLOOKUP(B1644,Raw_Suppliers!$A$2:$G$101,4,FALSE)</f>
        <v>North</v>
      </c>
      <c r="N1644" t="str">
        <f>VLOOKUP(B1644,Raw_Suppliers!$A$2:$G$101,6,FALSE)</f>
        <v>ISO 14001</v>
      </c>
      <c r="O1644">
        <f>VLOOKUP(B1644,Raw_Suppliers!$A$2:$G$101,7,FALSE)</f>
        <v>0</v>
      </c>
      <c r="P1644" t="str">
        <f t="shared" si="151"/>
        <v>No</v>
      </c>
      <c r="Q1644">
        <f t="shared" si="152"/>
        <v>0</v>
      </c>
      <c r="R1644" t="str">
        <f t="shared" si="153"/>
        <v>Late</v>
      </c>
      <c r="S1644">
        <f t="shared" si="154"/>
        <v>2022</v>
      </c>
      <c r="T1644">
        <f t="shared" si="155"/>
        <v>11</v>
      </c>
    </row>
    <row r="1645" spans="1:20" x14ac:dyDescent="0.25">
      <c r="A1645" t="s">
        <v>1952</v>
      </c>
      <c r="B1645" t="s">
        <v>295</v>
      </c>
      <c r="C1645" t="s">
        <v>415</v>
      </c>
      <c r="D1645" s="1">
        <v>45016</v>
      </c>
      <c r="E1645">
        <v>14</v>
      </c>
      <c r="F1645">
        <v>45.365750329073002</v>
      </c>
      <c r="G1645" s="1">
        <v>45026</v>
      </c>
      <c r="H1645" s="1">
        <v>45031</v>
      </c>
      <c r="I1645">
        <v>635.12050460702301</v>
      </c>
      <c r="J1645">
        <f t="shared" si="150"/>
        <v>5</v>
      </c>
      <c r="K1645" t="str">
        <f>VLOOKUP(B1645,Raw_Suppliers!$A$2:$G$101,2,FALSE)</f>
        <v>Delta Quantum GmbH</v>
      </c>
      <c r="L1645" t="str">
        <f>VLOOKUP(B1645,Raw_Suppliers!$A$2:$G$101,3,FALSE)</f>
        <v>Brazil</v>
      </c>
      <c r="M1645" t="str">
        <f>VLOOKUP(B1645,Raw_Suppliers!$A$2:$G$101,4,FALSE)</f>
        <v>North</v>
      </c>
      <c r="N1645" t="str">
        <f>VLOOKUP(B1645,Raw_Suppliers!$A$2:$G$101,6,FALSE)</f>
        <v>ISO 9001</v>
      </c>
      <c r="O1645">
        <f>VLOOKUP(B1645,Raw_Suppliers!$A$2:$G$101,7,FALSE)</f>
        <v>1</v>
      </c>
      <c r="P1645" t="str">
        <f t="shared" si="151"/>
        <v>Yes</v>
      </c>
      <c r="Q1645">
        <f t="shared" si="152"/>
        <v>0</v>
      </c>
      <c r="R1645" t="str">
        <f t="shared" si="153"/>
        <v>Late</v>
      </c>
      <c r="S1645">
        <f t="shared" si="154"/>
        <v>2023</v>
      </c>
      <c r="T1645">
        <f t="shared" si="155"/>
        <v>3</v>
      </c>
    </row>
    <row r="1646" spans="1:20" x14ac:dyDescent="0.25">
      <c r="A1646" t="s">
        <v>1953</v>
      </c>
      <c r="B1646" t="s">
        <v>76</v>
      </c>
      <c r="C1646" t="s">
        <v>489</v>
      </c>
      <c r="D1646" s="1">
        <v>44968</v>
      </c>
      <c r="E1646">
        <v>12</v>
      </c>
      <c r="F1646">
        <v>15.0686819941095</v>
      </c>
      <c r="G1646" s="1">
        <v>44980</v>
      </c>
      <c r="H1646" s="1">
        <v>44978</v>
      </c>
      <c r="I1646">
        <v>180.82418392931501</v>
      </c>
      <c r="J1646">
        <f t="shared" si="150"/>
        <v>-2</v>
      </c>
      <c r="K1646" t="str">
        <f>VLOOKUP(B1646,Raw_Suppliers!$A$2:$G$101,2,FALSE)</f>
        <v>Alpha Beta Ltd</v>
      </c>
      <c r="L1646" t="str">
        <f>VLOOKUP(B1646,Raw_Suppliers!$A$2:$G$101,3,FALSE)</f>
        <v>UK</v>
      </c>
      <c r="M1646" t="str">
        <f>VLOOKUP(B1646,Raw_Suppliers!$A$2:$G$101,4,FALSE)</f>
        <v>South</v>
      </c>
      <c r="N1646" t="str">
        <f>VLOOKUP(B1646,Raw_Suppliers!$A$2:$G$101,6,FALSE)</f>
        <v>None</v>
      </c>
      <c r="O1646">
        <f>VLOOKUP(B1646,Raw_Suppliers!$A$2:$G$101,7,FALSE)</f>
        <v>1</v>
      </c>
      <c r="P1646" t="str">
        <f t="shared" si="151"/>
        <v>Yes</v>
      </c>
      <c r="Q1646">
        <f t="shared" si="152"/>
        <v>1</v>
      </c>
      <c r="R1646" t="str">
        <f t="shared" si="153"/>
        <v>On Time</v>
      </c>
      <c r="S1646">
        <f t="shared" si="154"/>
        <v>2023</v>
      </c>
      <c r="T1646">
        <f t="shared" si="155"/>
        <v>2</v>
      </c>
    </row>
    <row r="1647" spans="1:20" x14ac:dyDescent="0.25">
      <c r="A1647" t="s">
        <v>1954</v>
      </c>
      <c r="B1647" t="s">
        <v>143</v>
      </c>
      <c r="C1647" t="s">
        <v>763</v>
      </c>
      <c r="D1647" s="1">
        <v>45118</v>
      </c>
      <c r="E1647">
        <v>11</v>
      </c>
      <c r="F1647">
        <v>77.897898968121197</v>
      </c>
      <c r="G1647" s="1">
        <v>45131</v>
      </c>
      <c r="H1647" s="1">
        <v>45136</v>
      </c>
      <c r="I1647">
        <v>856.87688864933398</v>
      </c>
      <c r="J1647">
        <f t="shared" si="150"/>
        <v>5</v>
      </c>
      <c r="K1647" t="str">
        <f>VLOOKUP(B1647,Raw_Suppliers!$A$2:$G$101,2,FALSE)</f>
        <v>Prime Gamma Inc</v>
      </c>
      <c r="L1647" t="str">
        <f>VLOOKUP(B1647,Raw_Suppliers!$A$2:$G$101,3,FALSE)</f>
        <v>China</v>
      </c>
      <c r="M1647" t="str">
        <f>VLOOKUP(B1647,Raw_Suppliers!$A$2:$G$101,4,FALSE)</f>
        <v>East</v>
      </c>
      <c r="N1647" t="str">
        <f>VLOOKUP(B1647,Raw_Suppliers!$A$2:$G$101,6,FALSE)</f>
        <v>ISO 14001</v>
      </c>
      <c r="O1647">
        <f>VLOOKUP(B1647,Raw_Suppliers!$A$2:$G$101,7,FALSE)</f>
        <v>0</v>
      </c>
      <c r="P1647" t="str">
        <f t="shared" si="151"/>
        <v>No</v>
      </c>
      <c r="Q1647">
        <f t="shared" si="152"/>
        <v>0</v>
      </c>
      <c r="R1647" t="str">
        <f t="shared" si="153"/>
        <v>Late</v>
      </c>
      <c r="S1647">
        <f t="shared" si="154"/>
        <v>2023</v>
      </c>
      <c r="T1647">
        <f t="shared" si="155"/>
        <v>7</v>
      </c>
    </row>
    <row r="1648" spans="1:20" x14ac:dyDescent="0.25">
      <c r="A1648" t="s">
        <v>1955</v>
      </c>
      <c r="B1648" t="s">
        <v>96</v>
      </c>
      <c r="C1648" t="s">
        <v>228</v>
      </c>
      <c r="D1648" s="1">
        <v>44399</v>
      </c>
      <c r="E1648">
        <v>14</v>
      </c>
      <c r="F1648">
        <v>60.6397574760853</v>
      </c>
      <c r="G1648" s="1">
        <v>44422</v>
      </c>
      <c r="H1648" s="1">
        <v>44426</v>
      </c>
      <c r="I1648">
        <v>848.95660466519405</v>
      </c>
      <c r="J1648">
        <f t="shared" si="150"/>
        <v>4</v>
      </c>
      <c r="K1648" t="str">
        <f>VLOOKUP(B1648,Raw_Suppliers!$A$2:$G$101,2,FALSE)</f>
        <v>Alpha Nova Ltd</v>
      </c>
      <c r="L1648" t="str">
        <f>VLOOKUP(B1648,Raw_Suppliers!$A$2:$G$101,3,FALSE)</f>
        <v>UK</v>
      </c>
      <c r="M1648" t="str">
        <f>VLOOKUP(B1648,Raw_Suppliers!$A$2:$G$101,4,FALSE)</f>
        <v>West</v>
      </c>
      <c r="N1648" t="str">
        <f>VLOOKUP(B1648,Raw_Suppliers!$A$2:$G$101,6,FALSE)</f>
        <v>ISO 14001</v>
      </c>
      <c r="O1648">
        <f>VLOOKUP(B1648,Raw_Suppliers!$A$2:$G$101,7,FALSE)</f>
        <v>0</v>
      </c>
      <c r="P1648" t="str">
        <f t="shared" si="151"/>
        <v>No</v>
      </c>
      <c r="Q1648">
        <f t="shared" si="152"/>
        <v>0</v>
      </c>
      <c r="R1648" t="str">
        <f t="shared" si="153"/>
        <v>Late</v>
      </c>
      <c r="S1648">
        <f t="shared" si="154"/>
        <v>2021</v>
      </c>
      <c r="T1648">
        <f t="shared" si="155"/>
        <v>7</v>
      </c>
    </row>
    <row r="1649" spans="1:20" x14ac:dyDescent="0.25">
      <c r="A1649" t="s">
        <v>1956</v>
      </c>
      <c r="B1649" t="s">
        <v>37</v>
      </c>
      <c r="C1649" t="s">
        <v>161</v>
      </c>
      <c r="D1649" s="1">
        <v>44852</v>
      </c>
      <c r="E1649">
        <v>12</v>
      </c>
      <c r="F1649">
        <v>8.3066276867424307</v>
      </c>
      <c r="G1649" s="1">
        <v>44862</v>
      </c>
      <c r="H1649" s="1">
        <v>44865</v>
      </c>
      <c r="I1649">
        <v>99.679532240909197</v>
      </c>
      <c r="J1649">
        <f t="shared" si="150"/>
        <v>3</v>
      </c>
      <c r="K1649" t="str">
        <f>VLOOKUP(B1649,Raw_Suppliers!$A$2:$G$101,2,FALSE)</f>
        <v>Apex Apex Ltd</v>
      </c>
      <c r="L1649" t="str">
        <f>VLOOKUP(B1649,Raw_Suppliers!$A$2:$G$101,3,FALSE)</f>
        <v>Canada</v>
      </c>
      <c r="M1649" t="str">
        <f>VLOOKUP(B1649,Raw_Suppliers!$A$2:$G$101,4,FALSE)</f>
        <v>East</v>
      </c>
      <c r="N1649" t="str">
        <f>VLOOKUP(B1649,Raw_Suppliers!$A$2:$G$101,6,FALSE)</f>
        <v>ISO 9001</v>
      </c>
      <c r="O1649">
        <f>VLOOKUP(B1649,Raw_Suppliers!$A$2:$G$101,7,FALSE)</f>
        <v>1</v>
      </c>
      <c r="P1649" t="str">
        <f t="shared" si="151"/>
        <v>Yes</v>
      </c>
      <c r="Q1649">
        <f t="shared" si="152"/>
        <v>0</v>
      </c>
      <c r="R1649" t="str">
        <f t="shared" si="153"/>
        <v>Late</v>
      </c>
      <c r="S1649">
        <f t="shared" si="154"/>
        <v>2022</v>
      </c>
      <c r="T1649">
        <f t="shared" si="155"/>
        <v>10</v>
      </c>
    </row>
    <row r="1650" spans="1:20" x14ac:dyDescent="0.25">
      <c r="A1650" t="s">
        <v>1957</v>
      </c>
      <c r="B1650" t="s">
        <v>340</v>
      </c>
      <c r="C1650" t="s">
        <v>518</v>
      </c>
      <c r="D1650" s="1">
        <v>45051</v>
      </c>
      <c r="E1650">
        <v>15</v>
      </c>
      <c r="F1650">
        <v>55.349838335066003</v>
      </c>
      <c r="G1650" s="1">
        <v>45067</v>
      </c>
      <c r="H1650" s="1">
        <v>45070</v>
      </c>
      <c r="I1650">
        <v>830.24757502599005</v>
      </c>
      <c r="J1650">
        <f t="shared" si="150"/>
        <v>3</v>
      </c>
      <c r="K1650" t="str">
        <f>VLOOKUP(B1650,Raw_Suppliers!$A$2:$G$101,2,FALSE)</f>
        <v>Pioneer Ultra GmbH</v>
      </c>
      <c r="L1650" t="str">
        <f>VLOOKUP(B1650,Raw_Suppliers!$A$2:$G$101,3,FALSE)</f>
        <v>China</v>
      </c>
      <c r="M1650" t="str">
        <f>VLOOKUP(B1650,Raw_Suppliers!$A$2:$G$101,4,FALSE)</f>
        <v>Central</v>
      </c>
      <c r="N1650" t="str">
        <f>VLOOKUP(B1650,Raw_Suppliers!$A$2:$G$101,6,FALSE)</f>
        <v>ISO 9001</v>
      </c>
      <c r="O1650">
        <f>VLOOKUP(B1650,Raw_Suppliers!$A$2:$G$101,7,FALSE)</f>
        <v>0</v>
      </c>
      <c r="P1650" t="str">
        <f t="shared" si="151"/>
        <v>No</v>
      </c>
      <c r="Q1650">
        <f t="shared" si="152"/>
        <v>0</v>
      </c>
      <c r="R1650" t="str">
        <f t="shared" si="153"/>
        <v>Late</v>
      </c>
      <c r="S1650">
        <f t="shared" si="154"/>
        <v>2023</v>
      </c>
      <c r="T1650">
        <f t="shared" si="155"/>
        <v>5</v>
      </c>
    </row>
    <row r="1651" spans="1:20" x14ac:dyDescent="0.25">
      <c r="A1651" t="s">
        <v>1958</v>
      </c>
      <c r="B1651" t="s">
        <v>85</v>
      </c>
      <c r="C1651" t="s">
        <v>703</v>
      </c>
      <c r="D1651" s="1">
        <v>44733</v>
      </c>
      <c r="E1651">
        <v>11</v>
      </c>
      <c r="F1651">
        <v>77.658186274770799</v>
      </c>
      <c r="G1651" s="1">
        <v>44751</v>
      </c>
      <c r="H1651" s="1">
        <v>44749</v>
      </c>
      <c r="I1651">
        <v>854.24004902247805</v>
      </c>
      <c r="J1651">
        <f t="shared" si="150"/>
        <v>-2</v>
      </c>
      <c r="K1651" t="str">
        <f>VLOOKUP(B1651,Raw_Suppliers!$A$2:$G$101,2,FALSE)</f>
        <v>Fusion Gamma LLC</v>
      </c>
      <c r="L1651" t="str">
        <f>VLOOKUP(B1651,Raw_Suppliers!$A$2:$G$101,3,FALSE)</f>
        <v>China</v>
      </c>
      <c r="M1651" t="str">
        <f>VLOOKUP(B1651,Raw_Suppliers!$A$2:$G$101,4,FALSE)</f>
        <v>East</v>
      </c>
      <c r="N1651" t="str">
        <f>VLOOKUP(B1651,Raw_Suppliers!$A$2:$G$101,6,FALSE)</f>
        <v>ISO 9001</v>
      </c>
      <c r="O1651">
        <f>VLOOKUP(B1651,Raw_Suppliers!$A$2:$G$101,7,FALSE)</f>
        <v>1</v>
      </c>
      <c r="P1651" t="str">
        <f t="shared" si="151"/>
        <v>Yes</v>
      </c>
      <c r="Q1651">
        <f t="shared" si="152"/>
        <v>1</v>
      </c>
      <c r="R1651" t="str">
        <f t="shared" si="153"/>
        <v>On Time</v>
      </c>
      <c r="S1651">
        <f t="shared" si="154"/>
        <v>2022</v>
      </c>
      <c r="T1651">
        <f t="shared" si="155"/>
        <v>6</v>
      </c>
    </row>
    <row r="1652" spans="1:20" x14ac:dyDescent="0.25">
      <c r="A1652" t="s">
        <v>1959</v>
      </c>
      <c r="B1652" t="s">
        <v>88</v>
      </c>
      <c r="C1652" t="s">
        <v>65</v>
      </c>
      <c r="D1652" s="1">
        <v>44803</v>
      </c>
      <c r="E1652">
        <v>15</v>
      </c>
      <c r="F1652">
        <v>48.064211145138103</v>
      </c>
      <c r="G1652" s="1">
        <v>44813</v>
      </c>
      <c r="H1652" s="1">
        <v>44811</v>
      </c>
      <c r="I1652">
        <v>720.963167177071</v>
      </c>
      <c r="J1652">
        <f t="shared" si="150"/>
        <v>-2</v>
      </c>
      <c r="K1652" t="str">
        <f>VLOOKUP(B1652,Raw_Suppliers!$A$2:$G$101,2,FALSE)</f>
        <v>Eco Nano GmbH</v>
      </c>
      <c r="L1652" t="str">
        <f>VLOOKUP(B1652,Raw_Suppliers!$A$2:$G$101,3,FALSE)</f>
        <v>Denmark</v>
      </c>
      <c r="M1652" t="str">
        <f>VLOOKUP(B1652,Raw_Suppliers!$A$2:$G$101,4,FALSE)</f>
        <v>Central</v>
      </c>
      <c r="N1652" t="str">
        <f>VLOOKUP(B1652,Raw_Suppliers!$A$2:$G$101,6,FALSE)</f>
        <v>ISO 9001</v>
      </c>
      <c r="O1652">
        <f>VLOOKUP(B1652,Raw_Suppliers!$A$2:$G$101,7,FALSE)</f>
        <v>1</v>
      </c>
      <c r="P1652" t="str">
        <f t="shared" si="151"/>
        <v>Yes</v>
      </c>
      <c r="Q1652">
        <f t="shared" si="152"/>
        <v>1</v>
      </c>
      <c r="R1652" t="str">
        <f t="shared" si="153"/>
        <v>On Time</v>
      </c>
      <c r="S1652">
        <f t="shared" si="154"/>
        <v>2022</v>
      </c>
      <c r="T1652">
        <f t="shared" si="155"/>
        <v>8</v>
      </c>
    </row>
    <row r="1653" spans="1:20" x14ac:dyDescent="0.25">
      <c r="A1653" t="s">
        <v>1960</v>
      </c>
      <c r="B1653" t="s">
        <v>179</v>
      </c>
      <c r="C1653" t="s">
        <v>795</v>
      </c>
      <c r="D1653" s="1">
        <v>44226</v>
      </c>
      <c r="E1653">
        <v>11</v>
      </c>
      <c r="F1653">
        <v>41.779475934439098</v>
      </c>
      <c r="G1653" s="1">
        <v>44239</v>
      </c>
      <c r="H1653" s="1">
        <v>44236</v>
      </c>
      <c r="I1653">
        <v>459.57423527882997</v>
      </c>
      <c r="J1653">
        <f t="shared" si="150"/>
        <v>-3</v>
      </c>
      <c r="K1653" t="str">
        <f>VLOOKUP(B1653,Raw_Suppliers!$A$2:$G$101,2,FALSE)</f>
        <v>Nova Gamma Ltd</v>
      </c>
      <c r="L1653" t="str">
        <f>VLOOKUP(B1653,Raw_Suppliers!$A$2:$G$101,3,FALSE)</f>
        <v>Denmark</v>
      </c>
      <c r="M1653" t="str">
        <f>VLOOKUP(B1653,Raw_Suppliers!$A$2:$G$101,4,FALSE)</f>
        <v>East</v>
      </c>
      <c r="N1653" t="str">
        <f>VLOOKUP(B1653,Raw_Suppliers!$A$2:$G$101,6,FALSE)</f>
        <v>ISO 9001</v>
      </c>
      <c r="O1653">
        <f>VLOOKUP(B1653,Raw_Suppliers!$A$2:$G$101,7,FALSE)</f>
        <v>0</v>
      </c>
      <c r="P1653" t="str">
        <f t="shared" si="151"/>
        <v>No</v>
      </c>
      <c r="Q1653">
        <f t="shared" si="152"/>
        <v>1</v>
      </c>
      <c r="R1653" t="str">
        <f t="shared" si="153"/>
        <v>On Time</v>
      </c>
      <c r="S1653">
        <f t="shared" si="154"/>
        <v>2021</v>
      </c>
      <c r="T1653">
        <f t="shared" si="155"/>
        <v>1</v>
      </c>
    </row>
    <row r="1654" spans="1:20" x14ac:dyDescent="0.25">
      <c r="A1654" t="s">
        <v>1961</v>
      </c>
      <c r="B1654" t="s">
        <v>340</v>
      </c>
      <c r="C1654" t="s">
        <v>122</v>
      </c>
      <c r="D1654" s="1">
        <v>45114</v>
      </c>
      <c r="E1654">
        <v>11</v>
      </c>
      <c r="F1654">
        <v>78.957606443815195</v>
      </c>
      <c r="G1654" s="1">
        <v>45137</v>
      </c>
      <c r="H1654" s="1">
        <v>45140</v>
      </c>
      <c r="I1654">
        <v>868.53367088196705</v>
      </c>
      <c r="J1654">
        <f t="shared" si="150"/>
        <v>3</v>
      </c>
      <c r="K1654" t="str">
        <f>VLOOKUP(B1654,Raw_Suppliers!$A$2:$G$101,2,FALSE)</f>
        <v>Pioneer Ultra GmbH</v>
      </c>
      <c r="L1654" t="str">
        <f>VLOOKUP(B1654,Raw_Suppliers!$A$2:$G$101,3,FALSE)</f>
        <v>China</v>
      </c>
      <c r="M1654" t="str">
        <f>VLOOKUP(B1654,Raw_Suppliers!$A$2:$G$101,4,FALSE)</f>
        <v>Central</v>
      </c>
      <c r="N1654" t="str">
        <f>VLOOKUP(B1654,Raw_Suppliers!$A$2:$G$101,6,FALSE)</f>
        <v>ISO 9001</v>
      </c>
      <c r="O1654">
        <f>VLOOKUP(B1654,Raw_Suppliers!$A$2:$G$101,7,FALSE)</f>
        <v>0</v>
      </c>
      <c r="P1654" t="str">
        <f t="shared" si="151"/>
        <v>No</v>
      </c>
      <c r="Q1654">
        <f t="shared" si="152"/>
        <v>0</v>
      </c>
      <c r="R1654" t="str">
        <f t="shared" si="153"/>
        <v>Late</v>
      </c>
      <c r="S1654">
        <f t="shared" si="154"/>
        <v>2023</v>
      </c>
      <c r="T1654">
        <f t="shared" si="155"/>
        <v>7</v>
      </c>
    </row>
    <row r="1655" spans="1:20" x14ac:dyDescent="0.25">
      <c r="A1655" t="s">
        <v>1962</v>
      </c>
      <c r="B1655" t="s">
        <v>324</v>
      </c>
      <c r="C1655" t="s">
        <v>400</v>
      </c>
      <c r="D1655" s="1">
        <v>44980</v>
      </c>
      <c r="E1655">
        <v>8</v>
      </c>
      <c r="F1655">
        <v>26.109657545443699</v>
      </c>
      <c r="G1655" s="1">
        <v>44996</v>
      </c>
      <c r="H1655" s="1">
        <v>44994</v>
      </c>
      <c r="I1655">
        <v>208.877260363549</v>
      </c>
      <c r="J1655">
        <f t="shared" si="150"/>
        <v>-2</v>
      </c>
      <c r="K1655" t="str">
        <f>VLOOKUP(B1655,Raw_Suppliers!$A$2:$G$101,2,FALSE)</f>
        <v>Gamma Nano Corp</v>
      </c>
      <c r="L1655" t="str">
        <f>VLOOKUP(B1655,Raw_Suppliers!$A$2:$G$101,3,FALSE)</f>
        <v>Germany</v>
      </c>
      <c r="M1655" t="str">
        <f>VLOOKUP(B1655,Raw_Suppliers!$A$2:$G$101,4,FALSE)</f>
        <v>West</v>
      </c>
      <c r="N1655" t="str">
        <f>VLOOKUP(B1655,Raw_Suppliers!$A$2:$G$101,6,FALSE)</f>
        <v>ISO 9001</v>
      </c>
      <c r="O1655">
        <f>VLOOKUP(B1655,Raw_Suppliers!$A$2:$G$101,7,FALSE)</f>
        <v>0</v>
      </c>
      <c r="P1655" t="str">
        <f t="shared" si="151"/>
        <v>No</v>
      </c>
      <c r="Q1655">
        <f t="shared" si="152"/>
        <v>1</v>
      </c>
      <c r="R1655" t="str">
        <f t="shared" si="153"/>
        <v>On Time</v>
      </c>
      <c r="S1655">
        <f t="shared" si="154"/>
        <v>2023</v>
      </c>
      <c r="T1655">
        <f t="shared" si="155"/>
        <v>2</v>
      </c>
    </row>
    <row r="1656" spans="1:20" x14ac:dyDescent="0.25">
      <c r="A1656" t="s">
        <v>1963</v>
      </c>
      <c r="B1656" t="s">
        <v>394</v>
      </c>
      <c r="C1656" t="s">
        <v>47</v>
      </c>
      <c r="D1656" s="1">
        <v>44351</v>
      </c>
      <c r="E1656">
        <v>11</v>
      </c>
      <c r="F1656">
        <v>51.903922922829103</v>
      </c>
      <c r="G1656" s="1">
        <v>44363</v>
      </c>
      <c r="H1656" s="1">
        <v>44363</v>
      </c>
      <c r="I1656">
        <v>570.94315215111999</v>
      </c>
      <c r="J1656">
        <f t="shared" si="150"/>
        <v>0</v>
      </c>
      <c r="K1656" t="str">
        <f>VLOOKUP(B1656,Raw_Suppliers!$A$2:$G$101,2,FALSE)</f>
        <v>Ultra Prime Inc</v>
      </c>
      <c r="L1656" t="str">
        <f>VLOOKUP(B1656,Raw_Suppliers!$A$2:$G$101,3,FALSE)</f>
        <v>Brazil</v>
      </c>
      <c r="M1656" t="str">
        <f>VLOOKUP(B1656,Raw_Suppliers!$A$2:$G$101,4,FALSE)</f>
        <v>West</v>
      </c>
      <c r="N1656" t="str">
        <f>VLOOKUP(B1656,Raw_Suppliers!$A$2:$G$101,6,FALSE)</f>
        <v>ISO 9001</v>
      </c>
      <c r="O1656">
        <f>VLOOKUP(B1656,Raw_Suppliers!$A$2:$G$101,7,FALSE)</f>
        <v>1</v>
      </c>
      <c r="P1656" t="str">
        <f t="shared" si="151"/>
        <v>Yes</v>
      </c>
      <c r="Q1656">
        <f t="shared" si="152"/>
        <v>1</v>
      </c>
      <c r="R1656" t="str">
        <f t="shared" si="153"/>
        <v>On Time</v>
      </c>
      <c r="S1656">
        <f t="shared" si="154"/>
        <v>2021</v>
      </c>
      <c r="T1656">
        <f t="shared" si="155"/>
        <v>6</v>
      </c>
    </row>
    <row r="1657" spans="1:20" x14ac:dyDescent="0.25">
      <c r="A1657" t="s">
        <v>1964</v>
      </c>
      <c r="B1657" t="s">
        <v>88</v>
      </c>
      <c r="C1657" t="s">
        <v>17</v>
      </c>
      <c r="D1657" s="1">
        <v>44530</v>
      </c>
      <c r="E1657">
        <v>9</v>
      </c>
      <c r="F1657">
        <v>63.005231566307202</v>
      </c>
      <c r="G1657" s="1">
        <v>44550</v>
      </c>
      <c r="H1657" s="1">
        <v>44556</v>
      </c>
      <c r="I1657">
        <v>567.04708409676505</v>
      </c>
      <c r="J1657">
        <f t="shared" si="150"/>
        <v>6</v>
      </c>
      <c r="K1657" t="str">
        <f>VLOOKUP(B1657,Raw_Suppliers!$A$2:$G$101,2,FALSE)</f>
        <v>Eco Nano GmbH</v>
      </c>
      <c r="L1657" t="str">
        <f>VLOOKUP(B1657,Raw_Suppliers!$A$2:$G$101,3,FALSE)</f>
        <v>Denmark</v>
      </c>
      <c r="M1657" t="str">
        <f>VLOOKUP(B1657,Raw_Suppliers!$A$2:$G$101,4,FALSE)</f>
        <v>Central</v>
      </c>
      <c r="N1657" t="str">
        <f>VLOOKUP(B1657,Raw_Suppliers!$A$2:$G$101,6,FALSE)</f>
        <v>ISO 9001</v>
      </c>
      <c r="O1657">
        <f>VLOOKUP(B1657,Raw_Suppliers!$A$2:$G$101,7,FALSE)</f>
        <v>1</v>
      </c>
      <c r="P1657" t="str">
        <f t="shared" si="151"/>
        <v>Yes</v>
      </c>
      <c r="Q1657">
        <f t="shared" si="152"/>
        <v>0</v>
      </c>
      <c r="R1657" t="str">
        <f t="shared" si="153"/>
        <v>Late</v>
      </c>
      <c r="S1657">
        <f t="shared" si="154"/>
        <v>2021</v>
      </c>
      <c r="T1657">
        <f t="shared" si="155"/>
        <v>11</v>
      </c>
    </row>
    <row r="1658" spans="1:20" x14ac:dyDescent="0.25">
      <c r="A1658" t="s">
        <v>1965</v>
      </c>
      <c r="B1658" t="s">
        <v>227</v>
      </c>
      <c r="C1658" t="s">
        <v>361</v>
      </c>
      <c r="D1658" s="1">
        <v>45037</v>
      </c>
      <c r="E1658">
        <v>17</v>
      </c>
      <c r="F1658">
        <v>59.7811398459041</v>
      </c>
      <c r="G1658" s="1">
        <v>45054</v>
      </c>
      <c r="H1658" s="1">
        <v>45051</v>
      </c>
      <c r="I1658">
        <v>1016.27937738037</v>
      </c>
      <c r="J1658">
        <f t="shared" si="150"/>
        <v>-3</v>
      </c>
      <c r="K1658" t="str">
        <f>VLOOKUP(B1658,Raw_Suppliers!$A$2:$G$101,2,FALSE)</f>
        <v>Delta Prime Inc</v>
      </c>
      <c r="L1658" t="str">
        <f>VLOOKUP(B1658,Raw_Suppliers!$A$2:$G$101,3,FALSE)</f>
        <v>Denmark</v>
      </c>
      <c r="M1658" t="str">
        <f>VLOOKUP(B1658,Raw_Suppliers!$A$2:$G$101,4,FALSE)</f>
        <v>South</v>
      </c>
      <c r="N1658" t="str">
        <f>VLOOKUP(B1658,Raw_Suppliers!$A$2:$G$101,6,FALSE)</f>
        <v>ISO 14001</v>
      </c>
      <c r="O1658">
        <f>VLOOKUP(B1658,Raw_Suppliers!$A$2:$G$101,7,FALSE)</f>
        <v>0</v>
      </c>
      <c r="P1658" t="str">
        <f t="shared" si="151"/>
        <v>No</v>
      </c>
      <c r="Q1658">
        <f t="shared" si="152"/>
        <v>1</v>
      </c>
      <c r="R1658" t="str">
        <f t="shared" si="153"/>
        <v>On Time</v>
      </c>
      <c r="S1658">
        <f t="shared" si="154"/>
        <v>2023</v>
      </c>
      <c r="T1658">
        <f t="shared" si="155"/>
        <v>4</v>
      </c>
    </row>
    <row r="1659" spans="1:20" x14ac:dyDescent="0.25">
      <c r="A1659" t="s">
        <v>1966</v>
      </c>
      <c r="B1659" t="s">
        <v>61</v>
      </c>
      <c r="C1659" t="s">
        <v>594</v>
      </c>
      <c r="D1659" s="1">
        <v>44416</v>
      </c>
      <c r="E1659">
        <v>10</v>
      </c>
      <c r="F1659">
        <v>24.253666224336801</v>
      </c>
      <c r="G1659" s="1">
        <v>44439</v>
      </c>
      <c r="H1659" s="1">
        <v>44438</v>
      </c>
      <c r="I1659">
        <v>242.536662243368</v>
      </c>
      <c r="J1659">
        <f t="shared" si="150"/>
        <v>-1</v>
      </c>
      <c r="K1659" t="str">
        <f>VLOOKUP(B1659,Raw_Suppliers!$A$2:$G$101,2,FALSE)</f>
        <v>Ultra Gamma LLC</v>
      </c>
      <c r="L1659" t="str">
        <f>VLOOKUP(B1659,Raw_Suppliers!$A$2:$G$101,3,FALSE)</f>
        <v>Canada</v>
      </c>
      <c r="M1659" t="str">
        <f>VLOOKUP(B1659,Raw_Suppliers!$A$2:$G$101,4,FALSE)</f>
        <v>North</v>
      </c>
      <c r="N1659" t="str">
        <f>VLOOKUP(B1659,Raw_Suppliers!$A$2:$G$101,6,FALSE)</f>
        <v>ISO 9001</v>
      </c>
      <c r="O1659">
        <f>VLOOKUP(B1659,Raw_Suppliers!$A$2:$G$101,7,FALSE)</f>
        <v>1</v>
      </c>
      <c r="P1659" t="str">
        <f t="shared" si="151"/>
        <v>Yes</v>
      </c>
      <c r="Q1659">
        <f t="shared" si="152"/>
        <v>1</v>
      </c>
      <c r="R1659" t="str">
        <f t="shared" si="153"/>
        <v>On Time</v>
      </c>
      <c r="S1659">
        <f t="shared" si="154"/>
        <v>2021</v>
      </c>
      <c r="T1659">
        <f t="shared" si="155"/>
        <v>8</v>
      </c>
    </row>
    <row r="1660" spans="1:20" x14ac:dyDescent="0.25">
      <c r="A1660" t="s">
        <v>1967</v>
      </c>
      <c r="B1660" t="s">
        <v>189</v>
      </c>
      <c r="C1660" t="s">
        <v>473</v>
      </c>
      <c r="D1660" s="1">
        <v>44659</v>
      </c>
      <c r="E1660">
        <v>10</v>
      </c>
      <c r="F1660">
        <v>38.592398718540998</v>
      </c>
      <c r="G1660" s="1">
        <v>44683</v>
      </c>
      <c r="H1660" s="1">
        <v>44689</v>
      </c>
      <c r="I1660">
        <v>385.92398718541</v>
      </c>
      <c r="J1660">
        <f t="shared" si="150"/>
        <v>6</v>
      </c>
      <c r="K1660" t="str">
        <f>VLOOKUP(B1660,Raw_Suppliers!$A$2:$G$101,2,FALSE)</f>
        <v>Apex Pioneer Ltd</v>
      </c>
      <c r="L1660" t="str">
        <f>VLOOKUP(B1660,Raw_Suppliers!$A$2:$G$101,3,FALSE)</f>
        <v>Canada</v>
      </c>
      <c r="M1660" t="str">
        <f>VLOOKUP(B1660,Raw_Suppliers!$A$2:$G$101,4,FALSE)</f>
        <v>South</v>
      </c>
      <c r="N1660" t="str">
        <f>VLOOKUP(B1660,Raw_Suppliers!$A$2:$G$101,6,FALSE)</f>
        <v>ISO 14001</v>
      </c>
      <c r="O1660">
        <f>VLOOKUP(B1660,Raw_Suppliers!$A$2:$G$101,7,FALSE)</f>
        <v>1</v>
      </c>
      <c r="P1660" t="str">
        <f t="shared" si="151"/>
        <v>Yes</v>
      </c>
      <c r="Q1660">
        <f t="shared" si="152"/>
        <v>0</v>
      </c>
      <c r="R1660" t="str">
        <f t="shared" si="153"/>
        <v>Late</v>
      </c>
      <c r="S1660">
        <f t="shared" si="154"/>
        <v>2022</v>
      </c>
      <c r="T1660">
        <f t="shared" si="155"/>
        <v>4</v>
      </c>
    </row>
    <row r="1661" spans="1:20" x14ac:dyDescent="0.25">
      <c r="A1661" t="s">
        <v>1968</v>
      </c>
      <c r="B1661" t="s">
        <v>299</v>
      </c>
      <c r="C1661" t="s">
        <v>562</v>
      </c>
      <c r="D1661" s="1">
        <v>44340</v>
      </c>
      <c r="E1661">
        <v>15</v>
      </c>
      <c r="F1661">
        <v>16.805091100496199</v>
      </c>
      <c r="G1661" s="1">
        <v>44362</v>
      </c>
      <c r="H1661" s="1">
        <v>44360</v>
      </c>
      <c r="I1661">
        <v>252.076366507443</v>
      </c>
      <c r="J1661">
        <f t="shared" si="150"/>
        <v>-2</v>
      </c>
      <c r="K1661" t="str">
        <f>VLOOKUP(B1661,Raw_Suppliers!$A$2:$G$101,2,FALSE)</f>
        <v>Nova Alpha Inc</v>
      </c>
      <c r="L1661" t="str">
        <f>VLOOKUP(B1661,Raw_Suppliers!$A$2:$G$101,3,FALSE)</f>
        <v>UK</v>
      </c>
      <c r="M1661" t="str">
        <f>VLOOKUP(B1661,Raw_Suppliers!$A$2:$G$101,4,FALSE)</f>
        <v>South</v>
      </c>
      <c r="N1661" t="str">
        <f>VLOOKUP(B1661,Raw_Suppliers!$A$2:$G$101,6,FALSE)</f>
        <v>None</v>
      </c>
      <c r="O1661">
        <f>VLOOKUP(B1661,Raw_Suppliers!$A$2:$G$101,7,FALSE)</f>
        <v>1</v>
      </c>
      <c r="P1661" t="str">
        <f t="shared" si="151"/>
        <v>Yes</v>
      </c>
      <c r="Q1661">
        <f t="shared" si="152"/>
        <v>1</v>
      </c>
      <c r="R1661" t="str">
        <f t="shared" si="153"/>
        <v>On Time</v>
      </c>
      <c r="S1661">
        <f t="shared" si="154"/>
        <v>2021</v>
      </c>
      <c r="T1661">
        <f t="shared" si="155"/>
        <v>5</v>
      </c>
    </row>
    <row r="1662" spans="1:20" x14ac:dyDescent="0.25">
      <c r="A1662" t="s">
        <v>1969</v>
      </c>
      <c r="B1662" t="s">
        <v>176</v>
      </c>
      <c r="C1662" t="s">
        <v>748</v>
      </c>
      <c r="D1662" s="1">
        <v>44597</v>
      </c>
      <c r="E1662">
        <v>7</v>
      </c>
      <c r="F1662">
        <v>9.0109324014189909</v>
      </c>
      <c r="G1662" s="1">
        <v>44616</v>
      </c>
      <c r="H1662" s="1">
        <v>44616</v>
      </c>
      <c r="I1662">
        <v>63.076526809932901</v>
      </c>
      <c r="J1662">
        <f t="shared" si="150"/>
        <v>0</v>
      </c>
      <c r="K1662" t="str">
        <f>VLOOKUP(B1662,Raw_Suppliers!$A$2:$G$101,2,FALSE)</f>
        <v>Nano Ultra Corp</v>
      </c>
      <c r="L1662" t="str">
        <f>VLOOKUP(B1662,Raw_Suppliers!$A$2:$G$101,3,FALSE)</f>
        <v>Canada</v>
      </c>
      <c r="M1662" t="str">
        <f>VLOOKUP(B1662,Raw_Suppliers!$A$2:$G$101,4,FALSE)</f>
        <v>Central</v>
      </c>
      <c r="N1662" t="str">
        <f>VLOOKUP(B1662,Raw_Suppliers!$A$2:$G$101,6,FALSE)</f>
        <v>ISO 9001</v>
      </c>
      <c r="O1662">
        <f>VLOOKUP(B1662,Raw_Suppliers!$A$2:$G$101,7,FALSE)</f>
        <v>0</v>
      </c>
      <c r="P1662" t="str">
        <f t="shared" si="151"/>
        <v>No</v>
      </c>
      <c r="Q1662">
        <f t="shared" si="152"/>
        <v>1</v>
      </c>
      <c r="R1662" t="str">
        <f t="shared" si="153"/>
        <v>On Time</v>
      </c>
      <c r="S1662">
        <f t="shared" si="154"/>
        <v>2022</v>
      </c>
      <c r="T1662">
        <f t="shared" si="155"/>
        <v>2</v>
      </c>
    </row>
    <row r="1663" spans="1:20" x14ac:dyDescent="0.25">
      <c r="A1663" t="s">
        <v>1970</v>
      </c>
      <c r="B1663" t="s">
        <v>301</v>
      </c>
      <c r="C1663" t="s">
        <v>587</v>
      </c>
      <c r="D1663" s="1">
        <v>45295</v>
      </c>
      <c r="E1663">
        <v>5</v>
      </c>
      <c r="F1663">
        <v>23.633618725327398</v>
      </c>
      <c r="G1663" s="1">
        <v>45306</v>
      </c>
      <c r="H1663" s="1">
        <v>45310</v>
      </c>
      <c r="I1663">
        <v>118.168093626637</v>
      </c>
      <c r="J1663">
        <f t="shared" si="150"/>
        <v>4</v>
      </c>
      <c r="K1663" t="str">
        <f>VLOOKUP(B1663,Raw_Suppliers!$A$2:$G$101,2,FALSE)</f>
        <v>Beta Eco Inc</v>
      </c>
      <c r="L1663" t="str">
        <f>VLOOKUP(B1663,Raw_Suppliers!$A$2:$G$101,3,FALSE)</f>
        <v>Denmark</v>
      </c>
      <c r="M1663" t="str">
        <f>VLOOKUP(B1663,Raw_Suppliers!$A$2:$G$101,4,FALSE)</f>
        <v>South</v>
      </c>
      <c r="N1663" t="str">
        <f>VLOOKUP(B1663,Raw_Suppliers!$A$2:$G$101,6,FALSE)</f>
        <v>ISO 14001</v>
      </c>
      <c r="O1663">
        <f>VLOOKUP(B1663,Raw_Suppliers!$A$2:$G$101,7,FALSE)</f>
        <v>1</v>
      </c>
      <c r="P1663" t="str">
        <f t="shared" si="151"/>
        <v>Yes</v>
      </c>
      <c r="Q1663">
        <f t="shared" si="152"/>
        <v>0</v>
      </c>
      <c r="R1663" t="str">
        <f t="shared" si="153"/>
        <v>Late</v>
      </c>
      <c r="S1663">
        <f t="shared" si="154"/>
        <v>2024</v>
      </c>
      <c r="T1663">
        <f t="shared" si="155"/>
        <v>1</v>
      </c>
    </row>
    <row r="1664" spans="1:20" x14ac:dyDescent="0.25">
      <c r="A1664" t="s">
        <v>1971</v>
      </c>
      <c r="B1664" t="s">
        <v>379</v>
      </c>
      <c r="C1664" t="s">
        <v>689</v>
      </c>
      <c r="D1664" s="1">
        <v>44989</v>
      </c>
      <c r="E1664">
        <v>7</v>
      </c>
      <c r="F1664">
        <v>13.310885056024</v>
      </c>
      <c r="G1664" s="1">
        <v>45000</v>
      </c>
      <c r="H1664" s="1">
        <v>45000</v>
      </c>
      <c r="I1664">
        <v>93.176195392167998</v>
      </c>
      <c r="J1664">
        <f t="shared" si="150"/>
        <v>0</v>
      </c>
      <c r="K1664" t="str">
        <f>VLOOKUP(B1664,Raw_Suppliers!$A$2:$G$101,2,FALSE)</f>
        <v>Apex Fusion Ltd</v>
      </c>
      <c r="L1664" t="str">
        <f>VLOOKUP(B1664,Raw_Suppliers!$A$2:$G$101,3,FALSE)</f>
        <v>USA</v>
      </c>
      <c r="M1664" t="str">
        <f>VLOOKUP(B1664,Raw_Suppliers!$A$2:$G$101,4,FALSE)</f>
        <v>East</v>
      </c>
      <c r="N1664" t="str">
        <f>VLOOKUP(B1664,Raw_Suppliers!$A$2:$G$101,6,FALSE)</f>
        <v>ISO 14001</v>
      </c>
      <c r="O1664">
        <f>VLOOKUP(B1664,Raw_Suppliers!$A$2:$G$101,7,FALSE)</f>
        <v>1</v>
      </c>
      <c r="P1664" t="str">
        <f t="shared" si="151"/>
        <v>Yes</v>
      </c>
      <c r="Q1664">
        <f t="shared" si="152"/>
        <v>1</v>
      </c>
      <c r="R1664" t="str">
        <f t="shared" si="153"/>
        <v>On Time</v>
      </c>
      <c r="S1664">
        <f t="shared" si="154"/>
        <v>2023</v>
      </c>
      <c r="T1664">
        <f t="shared" si="155"/>
        <v>3</v>
      </c>
    </row>
    <row r="1665" spans="1:20" x14ac:dyDescent="0.25">
      <c r="A1665" t="s">
        <v>1972</v>
      </c>
      <c r="B1665" t="s">
        <v>227</v>
      </c>
      <c r="C1665" t="s">
        <v>245</v>
      </c>
      <c r="D1665" s="1">
        <v>44566</v>
      </c>
      <c r="E1665">
        <v>6</v>
      </c>
      <c r="F1665">
        <v>14.7657614550956</v>
      </c>
      <c r="G1665" s="1">
        <v>44584</v>
      </c>
      <c r="H1665" s="1">
        <v>44583</v>
      </c>
      <c r="I1665">
        <v>88.594568730573997</v>
      </c>
      <c r="J1665">
        <f t="shared" si="150"/>
        <v>-1</v>
      </c>
      <c r="K1665" t="str">
        <f>VLOOKUP(B1665,Raw_Suppliers!$A$2:$G$101,2,FALSE)</f>
        <v>Delta Prime Inc</v>
      </c>
      <c r="L1665" t="str">
        <f>VLOOKUP(B1665,Raw_Suppliers!$A$2:$G$101,3,FALSE)</f>
        <v>Denmark</v>
      </c>
      <c r="M1665" t="str">
        <f>VLOOKUP(B1665,Raw_Suppliers!$A$2:$G$101,4,FALSE)</f>
        <v>South</v>
      </c>
      <c r="N1665" t="str">
        <f>VLOOKUP(B1665,Raw_Suppliers!$A$2:$G$101,6,FALSE)</f>
        <v>ISO 14001</v>
      </c>
      <c r="O1665">
        <f>VLOOKUP(B1665,Raw_Suppliers!$A$2:$G$101,7,FALSE)</f>
        <v>0</v>
      </c>
      <c r="P1665" t="str">
        <f t="shared" si="151"/>
        <v>No</v>
      </c>
      <c r="Q1665">
        <f t="shared" si="152"/>
        <v>1</v>
      </c>
      <c r="R1665" t="str">
        <f t="shared" si="153"/>
        <v>On Time</v>
      </c>
      <c r="S1665">
        <f t="shared" si="154"/>
        <v>2022</v>
      </c>
      <c r="T1665">
        <f t="shared" si="155"/>
        <v>1</v>
      </c>
    </row>
    <row r="1666" spans="1:20" x14ac:dyDescent="0.25">
      <c r="A1666" t="s">
        <v>1973</v>
      </c>
      <c r="B1666" t="s">
        <v>295</v>
      </c>
      <c r="C1666" t="s">
        <v>254</v>
      </c>
      <c r="D1666" s="1">
        <v>45131</v>
      </c>
      <c r="E1666">
        <v>14</v>
      </c>
      <c r="F1666">
        <v>38.115655389451199</v>
      </c>
      <c r="G1666" s="1">
        <v>45155</v>
      </c>
      <c r="H1666" s="1">
        <v>45161</v>
      </c>
      <c r="I1666">
        <v>533.61917545231699</v>
      </c>
      <c r="J1666">
        <f t="shared" si="150"/>
        <v>6</v>
      </c>
      <c r="K1666" t="str">
        <f>VLOOKUP(B1666,Raw_Suppliers!$A$2:$G$101,2,FALSE)</f>
        <v>Delta Quantum GmbH</v>
      </c>
      <c r="L1666" t="str">
        <f>VLOOKUP(B1666,Raw_Suppliers!$A$2:$G$101,3,FALSE)</f>
        <v>Brazil</v>
      </c>
      <c r="M1666" t="str">
        <f>VLOOKUP(B1666,Raw_Suppliers!$A$2:$G$101,4,FALSE)</f>
        <v>North</v>
      </c>
      <c r="N1666" t="str">
        <f>VLOOKUP(B1666,Raw_Suppliers!$A$2:$G$101,6,FALSE)</f>
        <v>ISO 9001</v>
      </c>
      <c r="O1666">
        <f>VLOOKUP(B1666,Raw_Suppliers!$A$2:$G$101,7,FALSE)</f>
        <v>1</v>
      </c>
      <c r="P1666" t="str">
        <f t="shared" si="151"/>
        <v>Yes</v>
      </c>
      <c r="Q1666">
        <f t="shared" si="152"/>
        <v>0</v>
      </c>
      <c r="R1666" t="str">
        <f t="shared" si="153"/>
        <v>Late</v>
      </c>
      <c r="S1666">
        <f t="shared" si="154"/>
        <v>2023</v>
      </c>
      <c r="T1666">
        <f t="shared" si="155"/>
        <v>7</v>
      </c>
    </row>
    <row r="1667" spans="1:20" x14ac:dyDescent="0.25">
      <c r="A1667" t="s">
        <v>1974</v>
      </c>
      <c r="B1667" t="s">
        <v>169</v>
      </c>
      <c r="C1667" t="s">
        <v>430</v>
      </c>
      <c r="D1667" s="1">
        <v>45012</v>
      </c>
      <c r="E1667">
        <v>14</v>
      </c>
      <c r="F1667">
        <v>33.727313758875297</v>
      </c>
      <c r="G1667" s="1">
        <v>45028</v>
      </c>
      <c r="H1667" s="1">
        <v>45028</v>
      </c>
      <c r="I1667">
        <v>472.18239262425402</v>
      </c>
      <c r="J1667">
        <f t="shared" ref="J1667:J1730" si="156">H1667-G1667</f>
        <v>0</v>
      </c>
      <c r="K1667" t="str">
        <f>VLOOKUP(B1667,Raw_Suppliers!$A$2:$G$101,2,FALSE)</f>
        <v>Vertex Beta LLC</v>
      </c>
      <c r="L1667" t="str">
        <f>VLOOKUP(B1667,Raw_Suppliers!$A$2:$G$101,3,FALSE)</f>
        <v>China</v>
      </c>
      <c r="M1667" t="str">
        <f>VLOOKUP(B1667,Raw_Suppliers!$A$2:$G$101,4,FALSE)</f>
        <v>South</v>
      </c>
      <c r="N1667" t="str">
        <f>VLOOKUP(B1667,Raw_Suppliers!$A$2:$G$101,6,FALSE)</f>
        <v>ISO 14001</v>
      </c>
      <c r="O1667">
        <f>VLOOKUP(B1667,Raw_Suppliers!$A$2:$G$101,7,FALSE)</f>
        <v>0</v>
      </c>
      <c r="P1667" t="str">
        <f t="shared" ref="P1667:P1730" si="157">IF(O1667=1,"Yes","No")</f>
        <v>No</v>
      </c>
      <c r="Q1667">
        <f t="shared" ref="Q1667:Q1730" si="158">IF(J1667&lt;=0,1,0)</f>
        <v>1</v>
      </c>
      <c r="R1667" t="str">
        <f t="shared" ref="R1667:R1730" si="159">IF(Q1667=1,"On Time","Late")</f>
        <v>On Time</v>
      </c>
      <c r="S1667">
        <f t="shared" ref="S1667:S1730" si="160">YEAR(D1667)</f>
        <v>2023</v>
      </c>
      <c r="T1667">
        <f t="shared" ref="T1667:T1730" si="161">MONTH(D1667)</f>
        <v>3</v>
      </c>
    </row>
    <row r="1668" spans="1:20" x14ac:dyDescent="0.25">
      <c r="A1668" t="s">
        <v>1975</v>
      </c>
      <c r="B1668" t="s">
        <v>179</v>
      </c>
      <c r="C1668" t="s">
        <v>763</v>
      </c>
      <c r="D1668" s="1">
        <v>44463</v>
      </c>
      <c r="E1668">
        <v>7</v>
      </c>
      <c r="F1668">
        <v>58.933142809311597</v>
      </c>
      <c r="G1668" s="1">
        <v>44475</v>
      </c>
      <c r="H1668" s="1">
        <v>44476</v>
      </c>
      <c r="I1668">
        <v>412.53199966518099</v>
      </c>
      <c r="J1668">
        <f t="shared" si="156"/>
        <v>1</v>
      </c>
      <c r="K1668" t="str">
        <f>VLOOKUP(B1668,Raw_Suppliers!$A$2:$G$101,2,FALSE)</f>
        <v>Nova Gamma Ltd</v>
      </c>
      <c r="L1668" t="str">
        <f>VLOOKUP(B1668,Raw_Suppliers!$A$2:$G$101,3,FALSE)</f>
        <v>Denmark</v>
      </c>
      <c r="M1668" t="str">
        <f>VLOOKUP(B1668,Raw_Suppliers!$A$2:$G$101,4,FALSE)</f>
        <v>East</v>
      </c>
      <c r="N1668" t="str">
        <f>VLOOKUP(B1668,Raw_Suppliers!$A$2:$G$101,6,FALSE)</f>
        <v>ISO 9001</v>
      </c>
      <c r="O1668">
        <f>VLOOKUP(B1668,Raw_Suppliers!$A$2:$G$101,7,FALSE)</f>
        <v>0</v>
      </c>
      <c r="P1668" t="str">
        <f t="shared" si="157"/>
        <v>No</v>
      </c>
      <c r="Q1668">
        <f t="shared" si="158"/>
        <v>0</v>
      </c>
      <c r="R1668" t="str">
        <f t="shared" si="159"/>
        <v>Late</v>
      </c>
      <c r="S1668">
        <f t="shared" si="160"/>
        <v>2021</v>
      </c>
      <c r="T1668">
        <f t="shared" si="161"/>
        <v>9</v>
      </c>
    </row>
    <row r="1669" spans="1:20" x14ac:dyDescent="0.25">
      <c r="A1669" t="s">
        <v>1976</v>
      </c>
      <c r="B1669" t="s">
        <v>261</v>
      </c>
      <c r="C1669" t="s">
        <v>235</v>
      </c>
      <c r="D1669" s="1">
        <v>44515</v>
      </c>
      <c r="E1669">
        <v>12</v>
      </c>
      <c r="F1669">
        <v>64.202855803077895</v>
      </c>
      <c r="G1669" s="1">
        <v>44538</v>
      </c>
      <c r="H1669" s="1">
        <v>44539</v>
      </c>
      <c r="I1669">
        <v>770.434269636934</v>
      </c>
      <c r="J1669">
        <f t="shared" si="156"/>
        <v>1</v>
      </c>
      <c r="K1669" t="str">
        <f>VLOOKUP(B1669,Raw_Suppliers!$A$2:$G$101,2,FALSE)</f>
        <v>Delta Fusion Corp</v>
      </c>
      <c r="L1669" t="str">
        <f>VLOOKUP(B1669,Raw_Suppliers!$A$2:$G$101,3,FALSE)</f>
        <v>Denmark</v>
      </c>
      <c r="M1669" t="str">
        <f>VLOOKUP(B1669,Raw_Suppliers!$A$2:$G$101,4,FALSE)</f>
        <v>West</v>
      </c>
      <c r="N1669" t="str">
        <f>VLOOKUP(B1669,Raw_Suppliers!$A$2:$G$101,6,FALSE)</f>
        <v>ISO 45001</v>
      </c>
      <c r="O1669">
        <f>VLOOKUP(B1669,Raw_Suppliers!$A$2:$G$101,7,FALSE)</f>
        <v>0</v>
      </c>
      <c r="P1669" t="str">
        <f t="shared" si="157"/>
        <v>No</v>
      </c>
      <c r="Q1669">
        <f t="shared" si="158"/>
        <v>0</v>
      </c>
      <c r="R1669" t="str">
        <f t="shared" si="159"/>
        <v>Late</v>
      </c>
      <c r="S1669">
        <f t="shared" si="160"/>
        <v>2021</v>
      </c>
      <c r="T1669">
        <f t="shared" si="161"/>
        <v>11</v>
      </c>
    </row>
    <row r="1670" spans="1:20" x14ac:dyDescent="0.25">
      <c r="A1670" t="s">
        <v>1977</v>
      </c>
      <c r="B1670" t="s">
        <v>340</v>
      </c>
      <c r="C1670" t="s">
        <v>224</v>
      </c>
      <c r="D1670" s="1">
        <v>44479</v>
      </c>
      <c r="E1670">
        <v>7</v>
      </c>
      <c r="F1670">
        <v>8.2248843406608199</v>
      </c>
      <c r="G1670" s="1">
        <v>44492</v>
      </c>
      <c r="H1670" s="1">
        <v>44490</v>
      </c>
      <c r="I1670">
        <v>57.574190384625702</v>
      </c>
      <c r="J1670">
        <f t="shared" si="156"/>
        <v>-2</v>
      </c>
      <c r="K1670" t="str">
        <f>VLOOKUP(B1670,Raw_Suppliers!$A$2:$G$101,2,FALSE)</f>
        <v>Pioneer Ultra GmbH</v>
      </c>
      <c r="L1670" t="str">
        <f>VLOOKUP(B1670,Raw_Suppliers!$A$2:$G$101,3,FALSE)</f>
        <v>China</v>
      </c>
      <c r="M1670" t="str">
        <f>VLOOKUP(B1670,Raw_Suppliers!$A$2:$G$101,4,FALSE)</f>
        <v>Central</v>
      </c>
      <c r="N1670" t="str">
        <f>VLOOKUP(B1670,Raw_Suppliers!$A$2:$G$101,6,FALSE)</f>
        <v>ISO 9001</v>
      </c>
      <c r="O1670">
        <f>VLOOKUP(B1670,Raw_Suppliers!$A$2:$G$101,7,FALSE)</f>
        <v>0</v>
      </c>
      <c r="P1670" t="str">
        <f t="shared" si="157"/>
        <v>No</v>
      </c>
      <c r="Q1670">
        <f t="shared" si="158"/>
        <v>1</v>
      </c>
      <c r="R1670" t="str">
        <f t="shared" si="159"/>
        <v>On Time</v>
      </c>
      <c r="S1670">
        <f t="shared" si="160"/>
        <v>2021</v>
      </c>
      <c r="T1670">
        <f t="shared" si="161"/>
        <v>10</v>
      </c>
    </row>
    <row r="1671" spans="1:20" x14ac:dyDescent="0.25">
      <c r="A1671" t="s">
        <v>1978</v>
      </c>
      <c r="B1671" t="s">
        <v>326</v>
      </c>
      <c r="C1671" t="s">
        <v>413</v>
      </c>
      <c r="D1671" s="1">
        <v>44601</v>
      </c>
      <c r="E1671">
        <v>9</v>
      </c>
      <c r="F1671">
        <v>31.567424165133499</v>
      </c>
      <c r="G1671" s="1">
        <v>44615</v>
      </c>
      <c r="H1671" s="1">
        <v>44618</v>
      </c>
      <c r="I1671">
        <v>284.10681748620198</v>
      </c>
      <c r="J1671">
        <f t="shared" si="156"/>
        <v>3</v>
      </c>
      <c r="K1671" t="str">
        <f>VLOOKUP(B1671,Raw_Suppliers!$A$2:$G$101,2,FALSE)</f>
        <v>Ultra Fusion Corp</v>
      </c>
      <c r="L1671" t="str">
        <f>VLOOKUP(B1671,Raw_Suppliers!$A$2:$G$101,3,FALSE)</f>
        <v>Canada</v>
      </c>
      <c r="M1671" t="str">
        <f>VLOOKUP(B1671,Raw_Suppliers!$A$2:$G$101,4,FALSE)</f>
        <v>South</v>
      </c>
      <c r="N1671" t="str">
        <f>VLOOKUP(B1671,Raw_Suppliers!$A$2:$G$101,6,FALSE)</f>
        <v>None</v>
      </c>
      <c r="O1671">
        <f>VLOOKUP(B1671,Raw_Suppliers!$A$2:$G$101,7,FALSE)</f>
        <v>1</v>
      </c>
      <c r="P1671" t="str">
        <f t="shared" si="157"/>
        <v>Yes</v>
      </c>
      <c r="Q1671">
        <f t="shared" si="158"/>
        <v>0</v>
      </c>
      <c r="R1671" t="str">
        <f t="shared" si="159"/>
        <v>Late</v>
      </c>
      <c r="S1671">
        <f t="shared" si="160"/>
        <v>2022</v>
      </c>
      <c r="T1671">
        <f t="shared" si="161"/>
        <v>2</v>
      </c>
    </row>
    <row r="1672" spans="1:20" x14ac:dyDescent="0.25">
      <c r="A1672" t="s">
        <v>1979</v>
      </c>
      <c r="B1672" t="s">
        <v>314</v>
      </c>
      <c r="C1672" t="s">
        <v>238</v>
      </c>
      <c r="D1672" s="1">
        <v>44885</v>
      </c>
      <c r="E1672">
        <v>7</v>
      </c>
      <c r="F1672">
        <v>15.564387869975301</v>
      </c>
      <c r="G1672" s="1">
        <v>44895</v>
      </c>
      <c r="H1672" s="1">
        <v>44894</v>
      </c>
      <c r="I1672">
        <v>108.950715089827</v>
      </c>
      <c r="J1672">
        <f t="shared" si="156"/>
        <v>-1</v>
      </c>
      <c r="K1672" t="str">
        <f>VLOOKUP(B1672,Raw_Suppliers!$A$2:$G$101,2,FALSE)</f>
        <v>Gamma Nova Ltd</v>
      </c>
      <c r="L1672" t="str">
        <f>VLOOKUP(B1672,Raw_Suppliers!$A$2:$G$101,3,FALSE)</f>
        <v>USA</v>
      </c>
      <c r="M1672" t="str">
        <f>VLOOKUP(B1672,Raw_Suppliers!$A$2:$G$101,4,FALSE)</f>
        <v>North</v>
      </c>
      <c r="N1672" t="str">
        <f>VLOOKUP(B1672,Raw_Suppliers!$A$2:$G$101,6,FALSE)</f>
        <v>ISO 45001</v>
      </c>
      <c r="O1672">
        <f>VLOOKUP(B1672,Raw_Suppliers!$A$2:$G$101,7,FALSE)</f>
        <v>0</v>
      </c>
      <c r="P1672" t="str">
        <f t="shared" si="157"/>
        <v>No</v>
      </c>
      <c r="Q1672">
        <f t="shared" si="158"/>
        <v>1</v>
      </c>
      <c r="R1672" t="str">
        <f t="shared" si="159"/>
        <v>On Time</v>
      </c>
      <c r="S1672">
        <f t="shared" si="160"/>
        <v>2022</v>
      </c>
      <c r="T1672">
        <f t="shared" si="161"/>
        <v>11</v>
      </c>
    </row>
    <row r="1673" spans="1:20" x14ac:dyDescent="0.25">
      <c r="A1673" t="s">
        <v>1980</v>
      </c>
      <c r="B1673" t="s">
        <v>88</v>
      </c>
      <c r="C1673" t="s">
        <v>199</v>
      </c>
      <c r="D1673" s="1">
        <v>44660</v>
      </c>
      <c r="E1673">
        <v>13</v>
      </c>
      <c r="F1673">
        <v>53.674989870230199</v>
      </c>
      <c r="G1673" s="1">
        <v>44670</v>
      </c>
      <c r="H1673" s="1">
        <v>44673</v>
      </c>
      <c r="I1673">
        <v>697.774868312992</v>
      </c>
      <c r="J1673">
        <f t="shared" si="156"/>
        <v>3</v>
      </c>
      <c r="K1673" t="str">
        <f>VLOOKUP(B1673,Raw_Suppliers!$A$2:$G$101,2,FALSE)</f>
        <v>Eco Nano GmbH</v>
      </c>
      <c r="L1673" t="str">
        <f>VLOOKUP(B1673,Raw_Suppliers!$A$2:$G$101,3,FALSE)</f>
        <v>Denmark</v>
      </c>
      <c r="M1673" t="str">
        <f>VLOOKUP(B1673,Raw_Suppliers!$A$2:$G$101,4,FALSE)</f>
        <v>Central</v>
      </c>
      <c r="N1673" t="str">
        <f>VLOOKUP(B1673,Raw_Suppliers!$A$2:$G$101,6,FALSE)</f>
        <v>ISO 9001</v>
      </c>
      <c r="O1673">
        <f>VLOOKUP(B1673,Raw_Suppliers!$A$2:$G$101,7,FALSE)</f>
        <v>1</v>
      </c>
      <c r="P1673" t="str">
        <f t="shared" si="157"/>
        <v>Yes</v>
      </c>
      <c r="Q1673">
        <f t="shared" si="158"/>
        <v>0</v>
      </c>
      <c r="R1673" t="str">
        <f t="shared" si="159"/>
        <v>Late</v>
      </c>
      <c r="S1673">
        <f t="shared" si="160"/>
        <v>2022</v>
      </c>
      <c r="T1673">
        <f t="shared" si="161"/>
        <v>4</v>
      </c>
    </row>
    <row r="1674" spans="1:20" x14ac:dyDescent="0.25">
      <c r="A1674" t="s">
        <v>1981</v>
      </c>
      <c r="B1674" t="s">
        <v>394</v>
      </c>
      <c r="C1674" t="s">
        <v>623</v>
      </c>
      <c r="D1674" s="1">
        <v>44558</v>
      </c>
      <c r="E1674">
        <v>11</v>
      </c>
      <c r="F1674">
        <v>51.084041422435703</v>
      </c>
      <c r="G1674" s="1">
        <v>44571</v>
      </c>
      <c r="H1674" s="1">
        <v>44569</v>
      </c>
      <c r="I1674">
        <v>561.92445564679304</v>
      </c>
      <c r="J1674">
        <f t="shared" si="156"/>
        <v>-2</v>
      </c>
      <c r="K1674" t="str">
        <f>VLOOKUP(B1674,Raw_Suppliers!$A$2:$G$101,2,FALSE)</f>
        <v>Ultra Prime Inc</v>
      </c>
      <c r="L1674" t="str">
        <f>VLOOKUP(B1674,Raw_Suppliers!$A$2:$G$101,3,FALSE)</f>
        <v>Brazil</v>
      </c>
      <c r="M1674" t="str">
        <f>VLOOKUP(B1674,Raw_Suppliers!$A$2:$G$101,4,FALSE)</f>
        <v>West</v>
      </c>
      <c r="N1674" t="str">
        <f>VLOOKUP(B1674,Raw_Suppliers!$A$2:$G$101,6,FALSE)</f>
        <v>ISO 9001</v>
      </c>
      <c r="O1674">
        <f>VLOOKUP(B1674,Raw_Suppliers!$A$2:$G$101,7,FALSE)</f>
        <v>1</v>
      </c>
      <c r="P1674" t="str">
        <f t="shared" si="157"/>
        <v>Yes</v>
      </c>
      <c r="Q1674">
        <f t="shared" si="158"/>
        <v>1</v>
      </c>
      <c r="R1674" t="str">
        <f t="shared" si="159"/>
        <v>On Time</v>
      </c>
      <c r="S1674">
        <f t="shared" si="160"/>
        <v>2021</v>
      </c>
      <c r="T1674">
        <f t="shared" si="161"/>
        <v>12</v>
      </c>
    </row>
    <row r="1675" spans="1:20" x14ac:dyDescent="0.25">
      <c r="A1675" t="s">
        <v>1982</v>
      </c>
      <c r="B1675" t="s">
        <v>539</v>
      </c>
      <c r="C1675" t="s">
        <v>881</v>
      </c>
      <c r="D1675" s="1">
        <v>45262</v>
      </c>
      <c r="E1675">
        <v>11</v>
      </c>
      <c r="F1675">
        <v>15.195235705912101</v>
      </c>
      <c r="G1675" s="1">
        <v>45284</v>
      </c>
      <c r="H1675" s="1">
        <v>45283</v>
      </c>
      <c r="I1675">
        <v>167.14759276503301</v>
      </c>
      <c r="J1675">
        <f t="shared" si="156"/>
        <v>-1</v>
      </c>
      <c r="K1675" t="str">
        <f>VLOOKUP(B1675,Raw_Suppliers!$A$2:$G$101,2,FALSE)</f>
        <v>Eco Eco Ltd</v>
      </c>
      <c r="L1675" t="str">
        <f>VLOOKUP(B1675,Raw_Suppliers!$A$2:$G$101,3,FALSE)</f>
        <v>USA</v>
      </c>
      <c r="M1675" t="str">
        <f>VLOOKUP(B1675,Raw_Suppliers!$A$2:$G$101,4,FALSE)</f>
        <v>South</v>
      </c>
      <c r="N1675" t="str">
        <f>VLOOKUP(B1675,Raw_Suppliers!$A$2:$G$101,6,FALSE)</f>
        <v>ISO 45001</v>
      </c>
      <c r="O1675">
        <f>VLOOKUP(B1675,Raw_Suppliers!$A$2:$G$101,7,FALSE)</f>
        <v>1</v>
      </c>
      <c r="P1675" t="str">
        <f t="shared" si="157"/>
        <v>Yes</v>
      </c>
      <c r="Q1675">
        <f t="shared" si="158"/>
        <v>1</v>
      </c>
      <c r="R1675" t="str">
        <f t="shared" si="159"/>
        <v>On Time</v>
      </c>
      <c r="S1675">
        <f t="shared" si="160"/>
        <v>2023</v>
      </c>
      <c r="T1675">
        <f t="shared" si="161"/>
        <v>12</v>
      </c>
    </row>
    <row r="1676" spans="1:20" x14ac:dyDescent="0.25">
      <c r="A1676" t="s">
        <v>1983</v>
      </c>
      <c r="B1676" t="s">
        <v>314</v>
      </c>
      <c r="C1676" t="s">
        <v>336</v>
      </c>
      <c r="D1676" s="1">
        <v>45133</v>
      </c>
      <c r="E1676">
        <v>10</v>
      </c>
      <c r="F1676">
        <v>70.427994116134201</v>
      </c>
      <c r="G1676" s="1">
        <v>45145</v>
      </c>
      <c r="H1676" s="1">
        <v>45144</v>
      </c>
      <c r="I1676">
        <v>704.27994116134198</v>
      </c>
      <c r="J1676">
        <f t="shared" si="156"/>
        <v>-1</v>
      </c>
      <c r="K1676" t="str">
        <f>VLOOKUP(B1676,Raw_Suppliers!$A$2:$G$101,2,FALSE)</f>
        <v>Gamma Nova Ltd</v>
      </c>
      <c r="L1676" t="str">
        <f>VLOOKUP(B1676,Raw_Suppliers!$A$2:$G$101,3,FALSE)</f>
        <v>USA</v>
      </c>
      <c r="M1676" t="str">
        <f>VLOOKUP(B1676,Raw_Suppliers!$A$2:$G$101,4,FALSE)</f>
        <v>North</v>
      </c>
      <c r="N1676" t="str">
        <f>VLOOKUP(B1676,Raw_Suppliers!$A$2:$G$101,6,FALSE)</f>
        <v>ISO 45001</v>
      </c>
      <c r="O1676">
        <f>VLOOKUP(B1676,Raw_Suppliers!$A$2:$G$101,7,FALSE)</f>
        <v>0</v>
      </c>
      <c r="P1676" t="str">
        <f t="shared" si="157"/>
        <v>No</v>
      </c>
      <c r="Q1676">
        <f t="shared" si="158"/>
        <v>1</v>
      </c>
      <c r="R1676" t="str">
        <f t="shared" si="159"/>
        <v>On Time</v>
      </c>
      <c r="S1676">
        <f t="shared" si="160"/>
        <v>2023</v>
      </c>
      <c r="T1676">
        <f t="shared" si="161"/>
        <v>7</v>
      </c>
    </row>
    <row r="1677" spans="1:20" x14ac:dyDescent="0.25">
      <c r="A1677" t="s">
        <v>1984</v>
      </c>
      <c r="B1677" t="s">
        <v>442</v>
      </c>
      <c r="C1677" t="s">
        <v>224</v>
      </c>
      <c r="D1677" s="1">
        <v>44769</v>
      </c>
      <c r="E1677">
        <v>12</v>
      </c>
      <c r="F1677">
        <v>23.501504349444001</v>
      </c>
      <c r="G1677" s="1">
        <v>44781</v>
      </c>
      <c r="H1677" s="1">
        <v>44784</v>
      </c>
      <c r="I1677">
        <v>282.018052193328</v>
      </c>
      <c r="J1677">
        <f t="shared" si="156"/>
        <v>3</v>
      </c>
      <c r="K1677" t="str">
        <f>VLOOKUP(B1677,Raw_Suppliers!$A$2:$G$101,2,FALSE)</f>
        <v>Vertex Delta LLC</v>
      </c>
      <c r="L1677" t="str">
        <f>VLOOKUP(B1677,Raw_Suppliers!$A$2:$G$101,3,FALSE)</f>
        <v>Canada</v>
      </c>
      <c r="M1677" t="str">
        <f>VLOOKUP(B1677,Raw_Suppliers!$A$2:$G$101,4,FALSE)</f>
        <v>East</v>
      </c>
      <c r="N1677" t="str">
        <f>VLOOKUP(B1677,Raw_Suppliers!$A$2:$G$101,6,FALSE)</f>
        <v>ISO 14001</v>
      </c>
      <c r="O1677">
        <f>VLOOKUP(B1677,Raw_Suppliers!$A$2:$G$101,7,FALSE)</f>
        <v>1</v>
      </c>
      <c r="P1677" t="str">
        <f t="shared" si="157"/>
        <v>Yes</v>
      </c>
      <c r="Q1677">
        <f t="shared" si="158"/>
        <v>0</v>
      </c>
      <c r="R1677" t="str">
        <f t="shared" si="159"/>
        <v>Late</v>
      </c>
      <c r="S1677">
        <f t="shared" si="160"/>
        <v>2022</v>
      </c>
      <c r="T1677">
        <f t="shared" si="161"/>
        <v>7</v>
      </c>
    </row>
    <row r="1678" spans="1:20" x14ac:dyDescent="0.25">
      <c r="A1678" t="s">
        <v>1985</v>
      </c>
      <c r="B1678" t="s">
        <v>359</v>
      </c>
      <c r="C1678" t="s">
        <v>370</v>
      </c>
      <c r="D1678" s="1">
        <v>44216</v>
      </c>
      <c r="E1678">
        <v>12</v>
      </c>
      <c r="F1678">
        <v>3.28935454678117</v>
      </c>
      <c r="G1678" s="1">
        <v>44231</v>
      </c>
      <c r="H1678" s="1">
        <v>44233</v>
      </c>
      <c r="I1678">
        <v>39.472254561374001</v>
      </c>
      <c r="J1678">
        <f t="shared" si="156"/>
        <v>2</v>
      </c>
      <c r="K1678" t="str">
        <f>VLOOKUP(B1678,Raw_Suppliers!$A$2:$G$101,2,FALSE)</f>
        <v>Alpha Alpha Corp</v>
      </c>
      <c r="L1678" t="str">
        <f>VLOOKUP(B1678,Raw_Suppliers!$A$2:$G$101,3,FALSE)</f>
        <v>India</v>
      </c>
      <c r="M1678" t="str">
        <f>VLOOKUP(B1678,Raw_Suppliers!$A$2:$G$101,4,FALSE)</f>
        <v>North</v>
      </c>
      <c r="N1678" t="str">
        <f>VLOOKUP(B1678,Raw_Suppliers!$A$2:$G$101,6,FALSE)</f>
        <v>ISO 9001</v>
      </c>
      <c r="O1678">
        <f>VLOOKUP(B1678,Raw_Suppliers!$A$2:$G$101,7,FALSE)</f>
        <v>1</v>
      </c>
      <c r="P1678" t="str">
        <f t="shared" si="157"/>
        <v>Yes</v>
      </c>
      <c r="Q1678">
        <f t="shared" si="158"/>
        <v>0</v>
      </c>
      <c r="R1678" t="str">
        <f t="shared" si="159"/>
        <v>Late</v>
      </c>
      <c r="S1678">
        <f t="shared" si="160"/>
        <v>2021</v>
      </c>
      <c r="T1678">
        <f t="shared" si="161"/>
        <v>1</v>
      </c>
    </row>
    <row r="1679" spans="1:20" x14ac:dyDescent="0.25">
      <c r="A1679" t="s">
        <v>1986</v>
      </c>
      <c r="B1679" t="s">
        <v>751</v>
      </c>
      <c r="C1679" t="s">
        <v>396</v>
      </c>
      <c r="D1679" s="1">
        <v>45054</v>
      </c>
      <c r="E1679">
        <v>13</v>
      </c>
      <c r="F1679">
        <v>58.546436856314699</v>
      </c>
      <c r="G1679" s="1">
        <v>45067</v>
      </c>
      <c r="H1679" s="1">
        <v>45073</v>
      </c>
      <c r="I1679">
        <v>761.10367913209097</v>
      </c>
      <c r="J1679">
        <f t="shared" si="156"/>
        <v>6</v>
      </c>
      <c r="K1679" t="str">
        <f>VLOOKUP(B1679,Raw_Suppliers!$A$2:$G$101,2,FALSE)</f>
        <v>Nano Vertex LLC</v>
      </c>
      <c r="L1679" t="str">
        <f>VLOOKUP(B1679,Raw_Suppliers!$A$2:$G$101,3,FALSE)</f>
        <v>China</v>
      </c>
      <c r="M1679" t="str">
        <f>VLOOKUP(B1679,Raw_Suppliers!$A$2:$G$101,4,FALSE)</f>
        <v>North</v>
      </c>
      <c r="N1679" t="str">
        <f>VLOOKUP(B1679,Raw_Suppliers!$A$2:$G$101,6,FALSE)</f>
        <v>ISO 9001</v>
      </c>
      <c r="O1679">
        <f>VLOOKUP(B1679,Raw_Suppliers!$A$2:$G$101,7,FALSE)</f>
        <v>1</v>
      </c>
      <c r="P1679" t="str">
        <f t="shared" si="157"/>
        <v>Yes</v>
      </c>
      <c r="Q1679">
        <f t="shared" si="158"/>
        <v>0</v>
      </c>
      <c r="R1679" t="str">
        <f t="shared" si="159"/>
        <v>Late</v>
      </c>
      <c r="S1679">
        <f t="shared" si="160"/>
        <v>2023</v>
      </c>
      <c r="T1679">
        <f t="shared" si="161"/>
        <v>5</v>
      </c>
    </row>
    <row r="1680" spans="1:20" x14ac:dyDescent="0.25">
      <c r="A1680" t="s">
        <v>1987</v>
      </c>
      <c r="B1680" t="s">
        <v>127</v>
      </c>
      <c r="C1680" t="s">
        <v>727</v>
      </c>
      <c r="D1680" s="1">
        <v>45222</v>
      </c>
      <c r="E1680">
        <v>5</v>
      </c>
      <c r="F1680">
        <v>61.418827075058097</v>
      </c>
      <c r="G1680" s="1">
        <v>45246</v>
      </c>
      <c r="H1680" s="1">
        <v>45245</v>
      </c>
      <c r="I1680">
        <v>307.09413537529002</v>
      </c>
      <c r="J1680">
        <f t="shared" si="156"/>
        <v>-1</v>
      </c>
      <c r="K1680" t="str">
        <f>VLOOKUP(B1680,Raw_Suppliers!$A$2:$G$101,2,FALSE)</f>
        <v>Eco Gamma LLC</v>
      </c>
      <c r="L1680" t="str">
        <f>VLOOKUP(B1680,Raw_Suppliers!$A$2:$G$101,3,FALSE)</f>
        <v>Canada</v>
      </c>
      <c r="M1680" t="str">
        <f>VLOOKUP(B1680,Raw_Suppliers!$A$2:$G$101,4,FALSE)</f>
        <v>West</v>
      </c>
      <c r="N1680" t="str">
        <f>VLOOKUP(B1680,Raw_Suppliers!$A$2:$G$101,6,FALSE)</f>
        <v>ISO 9001</v>
      </c>
      <c r="O1680">
        <f>VLOOKUP(B1680,Raw_Suppliers!$A$2:$G$101,7,FALSE)</f>
        <v>1</v>
      </c>
      <c r="P1680" t="str">
        <f t="shared" si="157"/>
        <v>Yes</v>
      </c>
      <c r="Q1680">
        <f t="shared" si="158"/>
        <v>1</v>
      </c>
      <c r="R1680" t="str">
        <f t="shared" si="159"/>
        <v>On Time</v>
      </c>
      <c r="S1680">
        <f t="shared" si="160"/>
        <v>2023</v>
      </c>
      <c r="T1680">
        <f t="shared" si="161"/>
        <v>10</v>
      </c>
    </row>
    <row r="1681" spans="1:20" x14ac:dyDescent="0.25">
      <c r="A1681" t="s">
        <v>1988</v>
      </c>
      <c r="B1681" t="s">
        <v>267</v>
      </c>
      <c r="C1681" t="s">
        <v>20</v>
      </c>
      <c r="D1681" s="1">
        <v>44809</v>
      </c>
      <c r="E1681">
        <v>13</v>
      </c>
      <c r="F1681">
        <v>60.385328067930097</v>
      </c>
      <c r="G1681" s="1">
        <v>44825</v>
      </c>
      <c r="H1681" s="1">
        <v>44827</v>
      </c>
      <c r="I1681">
        <v>785.00926488309199</v>
      </c>
      <c r="J1681">
        <f t="shared" si="156"/>
        <v>2</v>
      </c>
      <c r="K1681" t="str">
        <f>VLOOKUP(B1681,Raw_Suppliers!$A$2:$G$101,2,FALSE)</f>
        <v>Omega Nova Corp</v>
      </c>
      <c r="L1681" t="str">
        <f>VLOOKUP(B1681,Raw_Suppliers!$A$2:$G$101,3,FALSE)</f>
        <v>India</v>
      </c>
      <c r="M1681" t="str">
        <f>VLOOKUP(B1681,Raw_Suppliers!$A$2:$G$101,4,FALSE)</f>
        <v>West</v>
      </c>
      <c r="N1681" t="str">
        <f>VLOOKUP(B1681,Raw_Suppliers!$A$2:$G$101,6,FALSE)</f>
        <v>ISO 45001</v>
      </c>
      <c r="O1681">
        <f>VLOOKUP(B1681,Raw_Suppliers!$A$2:$G$101,7,FALSE)</f>
        <v>0</v>
      </c>
      <c r="P1681" t="str">
        <f t="shared" si="157"/>
        <v>No</v>
      </c>
      <c r="Q1681">
        <f t="shared" si="158"/>
        <v>0</v>
      </c>
      <c r="R1681" t="str">
        <f t="shared" si="159"/>
        <v>Late</v>
      </c>
      <c r="S1681">
        <f t="shared" si="160"/>
        <v>2022</v>
      </c>
      <c r="T1681">
        <f t="shared" si="161"/>
        <v>9</v>
      </c>
    </row>
    <row r="1682" spans="1:20" x14ac:dyDescent="0.25">
      <c r="A1682" t="s">
        <v>1989</v>
      </c>
      <c r="B1682" t="s">
        <v>189</v>
      </c>
      <c r="C1682" t="s">
        <v>623</v>
      </c>
      <c r="D1682" s="1">
        <v>44276</v>
      </c>
      <c r="E1682">
        <v>8</v>
      </c>
      <c r="F1682">
        <v>71.369398281619993</v>
      </c>
      <c r="G1682" s="1">
        <v>44289</v>
      </c>
      <c r="H1682" s="1">
        <v>44286</v>
      </c>
      <c r="I1682">
        <v>570.95518625295995</v>
      </c>
      <c r="J1682">
        <f t="shared" si="156"/>
        <v>-3</v>
      </c>
      <c r="K1682" t="str">
        <f>VLOOKUP(B1682,Raw_Suppliers!$A$2:$G$101,2,FALSE)</f>
        <v>Apex Pioneer Ltd</v>
      </c>
      <c r="L1682" t="str">
        <f>VLOOKUP(B1682,Raw_Suppliers!$A$2:$G$101,3,FALSE)</f>
        <v>Canada</v>
      </c>
      <c r="M1682" t="str">
        <f>VLOOKUP(B1682,Raw_Suppliers!$A$2:$G$101,4,FALSE)</f>
        <v>South</v>
      </c>
      <c r="N1682" t="str">
        <f>VLOOKUP(B1682,Raw_Suppliers!$A$2:$G$101,6,FALSE)</f>
        <v>ISO 14001</v>
      </c>
      <c r="O1682">
        <f>VLOOKUP(B1682,Raw_Suppliers!$A$2:$G$101,7,FALSE)</f>
        <v>1</v>
      </c>
      <c r="P1682" t="str">
        <f t="shared" si="157"/>
        <v>Yes</v>
      </c>
      <c r="Q1682">
        <f t="shared" si="158"/>
        <v>1</v>
      </c>
      <c r="R1682" t="str">
        <f t="shared" si="159"/>
        <v>On Time</v>
      </c>
      <c r="S1682">
        <f t="shared" si="160"/>
        <v>2021</v>
      </c>
      <c r="T1682">
        <f t="shared" si="161"/>
        <v>3</v>
      </c>
    </row>
    <row r="1683" spans="1:20" x14ac:dyDescent="0.25">
      <c r="A1683" t="s">
        <v>1990</v>
      </c>
      <c r="B1683" t="s">
        <v>267</v>
      </c>
      <c r="C1683" t="s">
        <v>290</v>
      </c>
      <c r="D1683" s="1">
        <v>44263</v>
      </c>
      <c r="E1683">
        <v>9</v>
      </c>
      <c r="F1683">
        <v>21.663779614241999</v>
      </c>
      <c r="G1683" s="1">
        <v>44275</v>
      </c>
      <c r="H1683" s="1">
        <v>44280</v>
      </c>
      <c r="I1683">
        <v>194.974016528178</v>
      </c>
      <c r="J1683">
        <f t="shared" si="156"/>
        <v>5</v>
      </c>
      <c r="K1683" t="str">
        <f>VLOOKUP(B1683,Raw_Suppliers!$A$2:$G$101,2,FALSE)</f>
        <v>Omega Nova Corp</v>
      </c>
      <c r="L1683" t="str">
        <f>VLOOKUP(B1683,Raw_Suppliers!$A$2:$G$101,3,FALSE)</f>
        <v>India</v>
      </c>
      <c r="M1683" t="str">
        <f>VLOOKUP(B1683,Raw_Suppliers!$A$2:$G$101,4,FALSE)</f>
        <v>West</v>
      </c>
      <c r="N1683" t="str">
        <f>VLOOKUP(B1683,Raw_Suppliers!$A$2:$G$101,6,FALSE)</f>
        <v>ISO 45001</v>
      </c>
      <c r="O1683">
        <f>VLOOKUP(B1683,Raw_Suppliers!$A$2:$G$101,7,FALSE)</f>
        <v>0</v>
      </c>
      <c r="P1683" t="str">
        <f t="shared" si="157"/>
        <v>No</v>
      </c>
      <c r="Q1683">
        <f t="shared" si="158"/>
        <v>0</v>
      </c>
      <c r="R1683" t="str">
        <f t="shared" si="159"/>
        <v>Late</v>
      </c>
      <c r="S1683">
        <f t="shared" si="160"/>
        <v>2021</v>
      </c>
      <c r="T1683">
        <f t="shared" si="161"/>
        <v>3</v>
      </c>
    </row>
    <row r="1684" spans="1:20" x14ac:dyDescent="0.25">
      <c r="A1684" t="s">
        <v>1991</v>
      </c>
      <c r="B1684" t="s">
        <v>119</v>
      </c>
      <c r="C1684" t="s">
        <v>370</v>
      </c>
      <c r="D1684" s="1">
        <v>44990</v>
      </c>
      <c r="E1684">
        <v>8</v>
      </c>
      <c r="F1684">
        <v>64.187021934982099</v>
      </c>
      <c r="G1684" s="1">
        <v>45001</v>
      </c>
      <c r="H1684" s="1">
        <v>45006</v>
      </c>
      <c r="I1684">
        <v>513.49617547985702</v>
      </c>
      <c r="J1684">
        <f t="shared" si="156"/>
        <v>5</v>
      </c>
      <c r="K1684" t="str">
        <f>VLOOKUP(B1684,Raw_Suppliers!$A$2:$G$101,2,FALSE)</f>
        <v>Pioneer Apex Corp</v>
      </c>
      <c r="L1684" t="str">
        <f>VLOOKUP(B1684,Raw_Suppliers!$A$2:$G$101,3,FALSE)</f>
        <v>USA</v>
      </c>
      <c r="M1684" t="str">
        <f>VLOOKUP(B1684,Raw_Suppliers!$A$2:$G$101,4,FALSE)</f>
        <v>Central</v>
      </c>
      <c r="N1684" t="str">
        <f>VLOOKUP(B1684,Raw_Suppliers!$A$2:$G$101,6,FALSE)</f>
        <v>None</v>
      </c>
      <c r="O1684">
        <f>VLOOKUP(B1684,Raw_Suppliers!$A$2:$G$101,7,FALSE)</f>
        <v>0</v>
      </c>
      <c r="P1684" t="str">
        <f t="shared" si="157"/>
        <v>No</v>
      </c>
      <c r="Q1684">
        <f t="shared" si="158"/>
        <v>0</v>
      </c>
      <c r="R1684" t="str">
        <f t="shared" si="159"/>
        <v>Late</v>
      </c>
      <c r="S1684">
        <f t="shared" si="160"/>
        <v>2023</v>
      </c>
      <c r="T1684">
        <f t="shared" si="161"/>
        <v>3</v>
      </c>
    </row>
    <row r="1685" spans="1:20" x14ac:dyDescent="0.25">
      <c r="A1685" t="s">
        <v>1992</v>
      </c>
      <c r="B1685" t="s">
        <v>40</v>
      </c>
      <c r="C1685" t="s">
        <v>270</v>
      </c>
      <c r="D1685" s="1">
        <v>44289</v>
      </c>
      <c r="E1685">
        <v>6</v>
      </c>
      <c r="F1685">
        <v>26.1234099439475</v>
      </c>
      <c r="G1685" s="1">
        <v>44302</v>
      </c>
      <c r="H1685" s="1">
        <v>44308</v>
      </c>
      <c r="I1685">
        <v>156.74045966368499</v>
      </c>
      <c r="J1685">
        <f t="shared" si="156"/>
        <v>6</v>
      </c>
      <c r="K1685" t="str">
        <f>VLOOKUP(B1685,Raw_Suppliers!$A$2:$G$101,2,FALSE)</f>
        <v>Ultra Apex Inc</v>
      </c>
      <c r="L1685" t="str">
        <f>VLOOKUP(B1685,Raw_Suppliers!$A$2:$G$101,3,FALSE)</f>
        <v>India</v>
      </c>
      <c r="M1685" t="str">
        <f>VLOOKUP(B1685,Raw_Suppliers!$A$2:$G$101,4,FALSE)</f>
        <v>West</v>
      </c>
      <c r="N1685" t="str">
        <f>VLOOKUP(B1685,Raw_Suppliers!$A$2:$G$101,6,FALSE)</f>
        <v>ISO 9001</v>
      </c>
      <c r="O1685">
        <f>VLOOKUP(B1685,Raw_Suppliers!$A$2:$G$101,7,FALSE)</f>
        <v>0</v>
      </c>
      <c r="P1685" t="str">
        <f t="shared" si="157"/>
        <v>No</v>
      </c>
      <c r="Q1685">
        <f t="shared" si="158"/>
        <v>0</v>
      </c>
      <c r="R1685" t="str">
        <f t="shared" si="159"/>
        <v>Late</v>
      </c>
      <c r="S1685">
        <f t="shared" si="160"/>
        <v>2021</v>
      </c>
      <c r="T1685">
        <f t="shared" si="161"/>
        <v>4</v>
      </c>
    </row>
    <row r="1686" spans="1:20" x14ac:dyDescent="0.25">
      <c r="A1686" t="s">
        <v>1993</v>
      </c>
      <c r="B1686" t="s">
        <v>578</v>
      </c>
      <c r="C1686" t="s">
        <v>571</v>
      </c>
      <c r="D1686" s="1">
        <v>44713</v>
      </c>
      <c r="E1686">
        <v>10</v>
      </c>
      <c r="F1686">
        <v>48.9834681881823</v>
      </c>
      <c r="G1686" s="1">
        <v>44734</v>
      </c>
      <c r="H1686" s="1">
        <v>44737</v>
      </c>
      <c r="I1686">
        <v>489.83468188182297</v>
      </c>
      <c r="J1686">
        <f t="shared" si="156"/>
        <v>3</v>
      </c>
      <c r="K1686" t="str">
        <f>VLOOKUP(B1686,Raw_Suppliers!$A$2:$G$101,2,FALSE)</f>
        <v>Beta Eco Ltd</v>
      </c>
      <c r="L1686" t="str">
        <f>VLOOKUP(B1686,Raw_Suppliers!$A$2:$G$101,3,FALSE)</f>
        <v>Canada</v>
      </c>
      <c r="M1686" t="str">
        <f>VLOOKUP(B1686,Raw_Suppliers!$A$2:$G$101,4,FALSE)</f>
        <v>East</v>
      </c>
      <c r="N1686" t="str">
        <f>VLOOKUP(B1686,Raw_Suppliers!$A$2:$G$101,6,FALSE)</f>
        <v>None</v>
      </c>
      <c r="O1686">
        <f>VLOOKUP(B1686,Raw_Suppliers!$A$2:$G$101,7,FALSE)</f>
        <v>0</v>
      </c>
      <c r="P1686" t="str">
        <f t="shared" si="157"/>
        <v>No</v>
      </c>
      <c r="Q1686">
        <f t="shared" si="158"/>
        <v>0</v>
      </c>
      <c r="R1686" t="str">
        <f t="shared" si="159"/>
        <v>Late</v>
      </c>
      <c r="S1686">
        <f t="shared" si="160"/>
        <v>2022</v>
      </c>
      <c r="T1686">
        <f t="shared" si="161"/>
        <v>6</v>
      </c>
    </row>
    <row r="1687" spans="1:20" x14ac:dyDescent="0.25">
      <c r="A1687" t="s">
        <v>1994</v>
      </c>
      <c r="B1687" t="s">
        <v>267</v>
      </c>
      <c r="C1687" t="s">
        <v>691</v>
      </c>
      <c r="D1687" s="1">
        <v>44281</v>
      </c>
      <c r="E1687">
        <v>11</v>
      </c>
      <c r="F1687">
        <v>9.3593807211797007</v>
      </c>
      <c r="G1687" s="1">
        <v>44305</v>
      </c>
      <c r="H1687" s="1">
        <v>44303</v>
      </c>
      <c r="I1687">
        <v>102.95318793297599</v>
      </c>
      <c r="J1687">
        <f t="shared" si="156"/>
        <v>-2</v>
      </c>
      <c r="K1687" t="str">
        <f>VLOOKUP(B1687,Raw_Suppliers!$A$2:$G$101,2,FALSE)</f>
        <v>Omega Nova Corp</v>
      </c>
      <c r="L1687" t="str">
        <f>VLOOKUP(B1687,Raw_Suppliers!$A$2:$G$101,3,FALSE)</f>
        <v>India</v>
      </c>
      <c r="M1687" t="str">
        <f>VLOOKUP(B1687,Raw_Suppliers!$A$2:$G$101,4,FALSE)</f>
        <v>West</v>
      </c>
      <c r="N1687" t="str">
        <f>VLOOKUP(B1687,Raw_Suppliers!$A$2:$G$101,6,FALSE)</f>
        <v>ISO 45001</v>
      </c>
      <c r="O1687">
        <f>VLOOKUP(B1687,Raw_Suppliers!$A$2:$G$101,7,FALSE)</f>
        <v>0</v>
      </c>
      <c r="P1687" t="str">
        <f t="shared" si="157"/>
        <v>No</v>
      </c>
      <c r="Q1687">
        <f t="shared" si="158"/>
        <v>1</v>
      </c>
      <c r="R1687" t="str">
        <f t="shared" si="159"/>
        <v>On Time</v>
      </c>
      <c r="S1687">
        <f t="shared" si="160"/>
        <v>2021</v>
      </c>
      <c r="T1687">
        <f t="shared" si="161"/>
        <v>3</v>
      </c>
    </row>
    <row r="1688" spans="1:20" x14ac:dyDescent="0.25">
      <c r="A1688" t="s">
        <v>1995</v>
      </c>
      <c r="B1688" t="s">
        <v>301</v>
      </c>
      <c r="C1688" t="s">
        <v>527</v>
      </c>
      <c r="D1688" s="1">
        <v>45179</v>
      </c>
      <c r="E1688">
        <v>15</v>
      </c>
      <c r="F1688">
        <v>29.513874293965898</v>
      </c>
      <c r="G1688" s="1">
        <v>45190</v>
      </c>
      <c r="H1688" s="1">
        <v>45196</v>
      </c>
      <c r="I1688">
        <v>442.70811440948899</v>
      </c>
      <c r="J1688">
        <f t="shared" si="156"/>
        <v>6</v>
      </c>
      <c r="K1688" t="str">
        <f>VLOOKUP(B1688,Raw_Suppliers!$A$2:$G$101,2,FALSE)</f>
        <v>Beta Eco Inc</v>
      </c>
      <c r="L1688" t="str">
        <f>VLOOKUP(B1688,Raw_Suppliers!$A$2:$G$101,3,FALSE)</f>
        <v>Denmark</v>
      </c>
      <c r="M1688" t="str">
        <f>VLOOKUP(B1688,Raw_Suppliers!$A$2:$G$101,4,FALSE)</f>
        <v>South</v>
      </c>
      <c r="N1688" t="str">
        <f>VLOOKUP(B1688,Raw_Suppliers!$A$2:$G$101,6,FALSE)</f>
        <v>ISO 14001</v>
      </c>
      <c r="O1688">
        <f>VLOOKUP(B1688,Raw_Suppliers!$A$2:$G$101,7,FALSE)</f>
        <v>1</v>
      </c>
      <c r="P1688" t="str">
        <f t="shared" si="157"/>
        <v>Yes</v>
      </c>
      <c r="Q1688">
        <f t="shared" si="158"/>
        <v>0</v>
      </c>
      <c r="R1688" t="str">
        <f t="shared" si="159"/>
        <v>Late</v>
      </c>
      <c r="S1688">
        <f t="shared" si="160"/>
        <v>2023</v>
      </c>
      <c r="T1688">
        <f t="shared" si="161"/>
        <v>9</v>
      </c>
    </row>
    <row r="1689" spans="1:20" x14ac:dyDescent="0.25">
      <c r="A1689" t="s">
        <v>1996</v>
      </c>
      <c r="B1689" t="s">
        <v>299</v>
      </c>
      <c r="C1689" t="s">
        <v>290</v>
      </c>
      <c r="D1689" s="1">
        <v>44433</v>
      </c>
      <c r="E1689">
        <v>16</v>
      </c>
      <c r="F1689">
        <v>71.471306818196794</v>
      </c>
      <c r="G1689" s="1">
        <v>44444</v>
      </c>
      <c r="H1689" s="1">
        <v>44441</v>
      </c>
      <c r="I1689">
        <v>1143.5409090911501</v>
      </c>
      <c r="J1689">
        <f t="shared" si="156"/>
        <v>-3</v>
      </c>
      <c r="K1689" t="str">
        <f>VLOOKUP(B1689,Raw_Suppliers!$A$2:$G$101,2,FALSE)</f>
        <v>Nova Alpha Inc</v>
      </c>
      <c r="L1689" t="str">
        <f>VLOOKUP(B1689,Raw_Suppliers!$A$2:$G$101,3,FALSE)</f>
        <v>UK</v>
      </c>
      <c r="M1689" t="str">
        <f>VLOOKUP(B1689,Raw_Suppliers!$A$2:$G$101,4,FALSE)</f>
        <v>South</v>
      </c>
      <c r="N1689" t="str">
        <f>VLOOKUP(B1689,Raw_Suppliers!$A$2:$G$101,6,FALSE)</f>
        <v>None</v>
      </c>
      <c r="O1689">
        <f>VLOOKUP(B1689,Raw_Suppliers!$A$2:$G$101,7,FALSE)</f>
        <v>1</v>
      </c>
      <c r="P1689" t="str">
        <f t="shared" si="157"/>
        <v>Yes</v>
      </c>
      <c r="Q1689">
        <f t="shared" si="158"/>
        <v>1</v>
      </c>
      <c r="R1689" t="str">
        <f t="shared" si="159"/>
        <v>On Time</v>
      </c>
      <c r="S1689">
        <f t="shared" si="160"/>
        <v>2021</v>
      </c>
      <c r="T1689">
        <f t="shared" si="161"/>
        <v>8</v>
      </c>
    </row>
    <row r="1690" spans="1:20" x14ac:dyDescent="0.25">
      <c r="A1690" t="s">
        <v>1997</v>
      </c>
      <c r="B1690" t="s">
        <v>379</v>
      </c>
      <c r="C1690" t="s">
        <v>720</v>
      </c>
      <c r="D1690" s="1">
        <v>44687</v>
      </c>
      <c r="E1690">
        <v>12</v>
      </c>
      <c r="F1690">
        <v>25.701302748679801</v>
      </c>
      <c r="G1690" s="1">
        <v>44710</v>
      </c>
      <c r="H1690" s="1">
        <v>44709</v>
      </c>
      <c r="I1690">
        <v>308.41563298415798</v>
      </c>
      <c r="J1690">
        <f t="shared" si="156"/>
        <v>-1</v>
      </c>
      <c r="K1690" t="str">
        <f>VLOOKUP(B1690,Raw_Suppliers!$A$2:$G$101,2,FALSE)</f>
        <v>Apex Fusion Ltd</v>
      </c>
      <c r="L1690" t="str">
        <f>VLOOKUP(B1690,Raw_Suppliers!$A$2:$G$101,3,FALSE)</f>
        <v>USA</v>
      </c>
      <c r="M1690" t="str">
        <f>VLOOKUP(B1690,Raw_Suppliers!$A$2:$G$101,4,FALSE)</f>
        <v>East</v>
      </c>
      <c r="N1690" t="str">
        <f>VLOOKUP(B1690,Raw_Suppliers!$A$2:$G$101,6,FALSE)</f>
        <v>ISO 14001</v>
      </c>
      <c r="O1690">
        <f>VLOOKUP(B1690,Raw_Suppliers!$A$2:$G$101,7,FALSE)</f>
        <v>1</v>
      </c>
      <c r="P1690" t="str">
        <f t="shared" si="157"/>
        <v>Yes</v>
      </c>
      <c r="Q1690">
        <f t="shared" si="158"/>
        <v>1</v>
      </c>
      <c r="R1690" t="str">
        <f t="shared" si="159"/>
        <v>On Time</v>
      </c>
      <c r="S1690">
        <f t="shared" si="160"/>
        <v>2022</v>
      </c>
      <c r="T1690">
        <f t="shared" si="161"/>
        <v>5</v>
      </c>
    </row>
    <row r="1691" spans="1:20" x14ac:dyDescent="0.25">
      <c r="A1691" t="s">
        <v>1998</v>
      </c>
      <c r="B1691" t="s">
        <v>157</v>
      </c>
      <c r="C1691" t="s">
        <v>518</v>
      </c>
      <c r="D1691" s="1">
        <v>44321</v>
      </c>
      <c r="E1691">
        <v>13</v>
      </c>
      <c r="F1691">
        <v>59.124097919539402</v>
      </c>
      <c r="G1691" s="1">
        <v>44339</v>
      </c>
      <c r="H1691" s="1">
        <v>44343</v>
      </c>
      <c r="I1691">
        <v>768.61327295401304</v>
      </c>
      <c r="J1691">
        <f t="shared" si="156"/>
        <v>4</v>
      </c>
      <c r="K1691" t="str">
        <f>VLOOKUP(B1691,Raw_Suppliers!$A$2:$G$101,2,FALSE)</f>
        <v>Pioneer Omega Ltd</v>
      </c>
      <c r="L1691" t="str">
        <f>VLOOKUP(B1691,Raw_Suppliers!$A$2:$G$101,3,FALSE)</f>
        <v>Brazil</v>
      </c>
      <c r="M1691" t="str">
        <f>VLOOKUP(B1691,Raw_Suppliers!$A$2:$G$101,4,FALSE)</f>
        <v>East</v>
      </c>
      <c r="N1691" t="str">
        <f>VLOOKUP(B1691,Raw_Suppliers!$A$2:$G$101,6,FALSE)</f>
        <v>None</v>
      </c>
      <c r="O1691">
        <f>VLOOKUP(B1691,Raw_Suppliers!$A$2:$G$101,7,FALSE)</f>
        <v>0</v>
      </c>
      <c r="P1691" t="str">
        <f t="shared" si="157"/>
        <v>No</v>
      </c>
      <c r="Q1691">
        <f t="shared" si="158"/>
        <v>0</v>
      </c>
      <c r="R1691" t="str">
        <f t="shared" si="159"/>
        <v>Late</v>
      </c>
      <c r="S1691">
        <f t="shared" si="160"/>
        <v>2021</v>
      </c>
      <c r="T1691">
        <f t="shared" si="161"/>
        <v>5</v>
      </c>
    </row>
    <row r="1692" spans="1:20" x14ac:dyDescent="0.25">
      <c r="A1692" t="s">
        <v>1999</v>
      </c>
      <c r="B1692" t="s">
        <v>22</v>
      </c>
      <c r="C1692" t="s">
        <v>383</v>
      </c>
      <c r="D1692" s="1">
        <v>44577</v>
      </c>
      <c r="E1692">
        <v>14</v>
      </c>
      <c r="F1692">
        <v>77.513194378864597</v>
      </c>
      <c r="G1692" s="1">
        <v>44596</v>
      </c>
      <c r="H1692" s="1">
        <v>44602</v>
      </c>
      <c r="I1692">
        <v>1085.1847213041001</v>
      </c>
      <c r="J1692">
        <f t="shared" si="156"/>
        <v>6</v>
      </c>
      <c r="K1692" t="str">
        <f>VLOOKUP(B1692,Raw_Suppliers!$A$2:$G$101,2,FALSE)</f>
        <v>Delta Gamma Corp</v>
      </c>
      <c r="L1692" t="str">
        <f>VLOOKUP(B1692,Raw_Suppliers!$A$2:$G$101,3,FALSE)</f>
        <v>Denmark</v>
      </c>
      <c r="M1692" t="str">
        <f>VLOOKUP(B1692,Raw_Suppliers!$A$2:$G$101,4,FALSE)</f>
        <v>West</v>
      </c>
      <c r="N1692" t="str">
        <f>VLOOKUP(B1692,Raw_Suppliers!$A$2:$G$101,6,FALSE)</f>
        <v>ISO 45001</v>
      </c>
      <c r="O1692">
        <f>VLOOKUP(B1692,Raw_Suppliers!$A$2:$G$101,7,FALSE)</f>
        <v>1</v>
      </c>
      <c r="P1692" t="str">
        <f t="shared" si="157"/>
        <v>Yes</v>
      </c>
      <c r="Q1692">
        <f t="shared" si="158"/>
        <v>0</v>
      </c>
      <c r="R1692" t="str">
        <f t="shared" si="159"/>
        <v>Late</v>
      </c>
      <c r="S1692">
        <f t="shared" si="160"/>
        <v>2022</v>
      </c>
      <c r="T1692">
        <f t="shared" si="161"/>
        <v>1</v>
      </c>
    </row>
    <row r="1693" spans="1:20" x14ac:dyDescent="0.25">
      <c r="A1693" t="s">
        <v>2000</v>
      </c>
      <c r="B1693" t="s">
        <v>198</v>
      </c>
      <c r="C1693" t="s">
        <v>128</v>
      </c>
      <c r="D1693" s="1">
        <v>44688</v>
      </c>
      <c r="E1693">
        <v>12</v>
      </c>
      <c r="F1693">
        <v>43.021437660635101</v>
      </c>
      <c r="G1693" s="1">
        <v>44702</v>
      </c>
      <c r="H1693" s="1">
        <v>44702</v>
      </c>
      <c r="I1693">
        <v>516.25725192762104</v>
      </c>
      <c r="J1693">
        <f t="shared" si="156"/>
        <v>0</v>
      </c>
      <c r="K1693" t="str">
        <f>VLOOKUP(B1693,Raw_Suppliers!$A$2:$G$101,2,FALSE)</f>
        <v>Gamma Vertex Corp</v>
      </c>
      <c r="L1693" t="str">
        <f>VLOOKUP(B1693,Raw_Suppliers!$A$2:$G$101,3,FALSE)</f>
        <v>Denmark</v>
      </c>
      <c r="M1693" t="str">
        <f>VLOOKUP(B1693,Raw_Suppliers!$A$2:$G$101,4,FALSE)</f>
        <v>South</v>
      </c>
      <c r="N1693" t="str">
        <f>VLOOKUP(B1693,Raw_Suppliers!$A$2:$G$101,6,FALSE)</f>
        <v>None</v>
      </c>
      <c r="O1693">
        <f>VLOOKUP(B1693,Raw_Suppliers!$A$2:$G$101,7,FALSE)</f>
        <v>1</v>
      </c>
      <c r="P1693" t="str">
        <f t="shared" si="157"/>
        <v>Yes</v>
      </c>
      <c r="Q1693">
        <f t="shared" si="158"/>
        <v>1</v>
      </c>
      <c r="R1693" t="str">
        <f t="shared" si="159"/>
        <v>On Time</v>
      </c>
      <c r="S1693">
        <f t="shared" si="160"/>
        <v>2022</v>
      </c>
      <c r="T1693">
        <f t="shared" si="161"/>
        <v>5</v>
      </c>
    </row>
    <row r="1694" spans="1:20" x14ac:dyDescent="0.25">
      <c r="A1694" t="s">
        <v>2001</v>
      </c>
      <c r="B1694" t="s">
        <v>359</v>
      </c>
      <c r="C1694" t="s">
        <v>14</v>
      </c>
      <c r="D1694" s="1">
        <v>44574</v>
      </c>
      <c r="E1694">
        <v>10</v>
      </c>
      <c r="F1694">
        <v>17.106617900579401</v>
      </c>
      <c r="G1694" s="1">
        <v>44596</v>
      </c>
      <c r="H1694" s="1">
        <v>44593</v>
      </c>
      <c r="I1694">
        <v>171.066179005794</v>
      </c>
      <c r="J1694">
        <f t="shared" si="156"/>
        <v>-3</v>
      </c>
      <c r="K1694" t="str">
        <f>VLOOKUP(B1694,Raw_Suppliers!$A$2:$G$101,2,FALSE)</f>
        <v>Alpha Alpha Corp</v>
      </c>
      <c r="L1694" t="str">
        <f>VLOOKUP(B1694,Raw_Suppliers!$A$2:$G$101,3,FALSE)</f>
        <v>India</v>
      </c>
      <c r="M1694" t="str">
        <f>VLOOKUP(B1694,Raw_Suppliers!$A$2:$G$101,4,FALSE)</f>
        <v>North</v>
      </c>
      <c r="N1694" t="str">
        <f>VLOOKUP(B1694,Raw_Suppliers!$A$2:$G$101,6,FALSE)</f>
        <v>ISO 9001</v>
      </c>
      <c r="O1694">
        <f>VLOOKUP(B1694,Raw_Suppliers!$A$2:$G$101,7,FALSE)</f>
        <v>1</v>
      </c>
      <c r="P1694" t="str">
        <f t="shared" si="157"/>
        <v>Yes</v>
      </c>
      <c r="Q1694">
        <f t="shared" si="158"/>
        <v>1</v>
      </c>
      <c r="R1694" t="str">
        <f t="shared" si="159"/>
        <v>On Time</v>
      </c>
      <c r="S1694">
        <f t="shared" si="160"/>
        <v>2022</v>
      </c>
      <c r="T1694">
        <f t="shared" si="161"/>
        <v>1</v>
      </c>
    </row>
    <row r="1695" spans="1:20" x14ac:dyDescent="0.25">
      <c r="A1695" t="s">
        <v>2002</v>
      </c>
      <c r="B1695" t="s">
        <v>475</v>
      </c>
      <c r="C1695" t="s">
        <v>594</v>
      </c>
      <c r="D1695" s="1">
        <v>45382</v>
      </c>
      <c r="E1695">
        <v>8</v>
      </c>
      <c r="F1695">
        <v>15.6865379799787</v>
      </c>
      <c r="G1695" s="1">
        <v>45399</v>
      </c>
      <c r="H1695" s="1">
        <v>45400</v>
      </c>
      <c r="I1695">
        <v>125.49230383983</v>
      </c>
      <c r="J1695">
        <f t="shared" si="156"/>
        <v>1</v>
      </c>
      <c r="K1695" t="str">
        <f>VLOOKUP(B1695,Raw_Suppliers!$A$2:$G$101,2,FALSE)</f>
        <v>Ultra Delta LLC</v>
      </c>
      <c r="L1695" t="str">
        <f>VLOOKUP(B1695,Raw_Suppliers!$A$2:$G$101,3,FALSE)</f>
        <v>UK</v>
      </c>
      <c r="M1695" t="str">
        <f>VLOOKUP(B1695,Raw_Suppliers!$A$2:$G$101,4,FALSE)</f>
        <v>North</v>
      </c>
      <c r="N1695" t="str">
        <f>VLOOKUP(B1695,Raw_Suppliers!$A$2:$G$101,6,FALSE)</f>
        <v>None</v>
      </c>
      <c r="O1695">
        <f>VLOOKUP(B1695,Raw_Suppliers!$A$2:$G$101,7,FALSE)</f>
        <v>1</v>
      </c>
      <c r="P1695" t="str">
        <f t="shared" si="157"/>
        <v>Yes</v>
      </c>
      <c r="Q1695">
        <f t="shared" si="158"/>
        <v>0</v>
      </c>
      <c r="R1695" t="str">
        <f t="shared" si="159"/>
        <v>Late</v>
      </c>
      <c r="S1695">
        <f t="shared" si="160"/>
        <v>2024</v>
      </c>
      <c r="T1695">
        <f t="shared" si="161"/>
        <v>3</v>
      </c>
    </row>
    <row r="1696" spans="1:20" x14ac:dyDescent="0.25">
      <c r="A1696" t="s">
        <v>2003</v>
      </c>
      <c r="B1696" t="s">
        <v>130</v>
      </c>
      <c r="C1696" t="s">
        <v>92</v>
      </c>
      <c r="D1696" s="1">
        <v>45075</v>
      </c>
      <c r="E1696">
        <v>9</v>
      </c>
      <c r="F1696">
        <v>8.7800962662021291</v>
      </c>
      <c r="G1696" s="1">
        <v>45095</v>
      </c>
      <c r="H1696" s="1">
        <v>45100</v>
      </c>
      <c r="I1696">
        <v>79.020866395819198</v>
      </c>
      <c r="J1696">
        <f t="shared" si="156"/>
        <v>5</v>
      </c>
      <c r="K1696" t="str">
        <f>VLOOKUP(B1696,Raw_Suppliers!$A$2:$G$101,2,FALSE)</f>
        <v>Beta Gamma Corp</v>
      </c>
      <c r="L1696" t="str">
        <f>VLOOKUP(B1696,Raw_Suppliers!$A$2:$G$101,3,FALSE)</f>
        <v>USA</v>
      </c>
      <c r="M1696" t="str">
        <f>VLOOKUP(B1696,Raw_Suppliers!$A$2:$G$101,4,FALSE)</f>
        <v>West</v>
      </c>
      <c r="N1696" t="str">
        <f>VLOOKUP(B1696,Raw_Suppliers!$A$2:$G$101,6,FALSE)</f>
        <v>None</v>
      </c>
      <c r="O1696">
        <f>VLOOKUP(B1696,Raw_Suppliers!$A$2:$G$101,7,FALSE)</f>
        <v>0</v>
      </c>
      <c r="P1696" t="str">
        <f t="shared" si="157"/>
        <v>No</v>
      </c>
      <c r="Q1696">
        <f t="shared" si="158"/>
        <v>0</v>
      </c>
      <c r="R1696" t="str">
        <f t="shared" si="159"/>
        <v>Late</v>
      </c>
      <c r="S1696">
        <f t="shared" si="160"/>
        <v>2023</v>
      </c>
      <c r="T1696">
        <f t="shared" si="161"/>
        <v>5</v>
      </c>
    </row>
    <row r="1697" spans="1:20" x14ac:dyDescent="0.25">
      <c r="A1697" t="s">
        <v>2004</v>
      </c>
      <c r="B1697" t="s">
        <v>267</v>
      </c>
      <c r="C1697" t="s">
        <v>152</v>
      </c>
      <c r="D1697" s="1">
        <v>44702</v>
      </c>
      <c r="E1697">
        <v>12</v>
      </c>
      <c r="F1697">
        <v>15.5640190266282</v>
      </c>
      <c r="G1697" s="1">
        <v>44720</v>
      </c>
      <c r="H1697" s="1">
        <v>44718</v>
      </c>
      <c r="I1697">
        <v>186.768228319538</v>
      </c>
      <c r="J1697">
        <f t="shared" si="156"/>
        <v>-2</v>
      </c>
      <c r="K1697" t="str">
        <f>VLOOKUP(B1697,Raw_Suppliers!$A$2:$G$101,2,FALSE)</f>
        <v>Omega Nova Corp</v>
      </c>
      <c r="L1697" t="str">
        <f>VLOOKUP(B1697,Raw_Suppliers!$A$2:$G$101,3,FALSE)</f>
        <v>India</v>
      </c>
      <c r="M1697" t="str">
        <f>VLOOKUP(B1697,Raw_Suppliers!$A$2:$G$101,4,FALSE)</f>
        <v>West</v>
      </c>
      <c r="N1697" t="str">
        <f>VLOOKUP(B1697,Raw_Suppliers!$A$2:$G$101,6,FALSE)</f>
        <v>ISO 45001</v>
      </c>
      <c r="O1697">
        <f>VLOOKUP(B1697,Raw_Suppliers!$A$2:$G$101,7,FALSE)</f>
        <v>0</v>
      </c>
      <c r="P1697" t="str">
        <f t="shared" si="157"/>
        <v>No</v>
      </c>
      <c r="Q1697">
        <f t="shared" si="158"/>
        <v>1</v>
      </c>
      <c r="R1697" t="str">
        <f t="shared" si="159"/>
        <v>On Time</v>
      </c>
      <c r="S1697">
        <f t="shared" si="160"/>
        <v>2022</v>
      </c>
      <c r="T1697">
        <f t="shared" si="161"/>
        <v>5</v>
      </c>
    </row>
    <row r="1698" spans="1:20" x14ac:dyDescent="0.25">
      <c r="A1698" t="s">
        <v>2005</v>
      </c>
      <c r="B1698" t="s">
        <v>82</v>
      </c>
      <c r="C1698" t="s">
        <v>336</v>
      </c>
      <c r="D1698" s="1">
        <v>44984</v>
      </c>
      <c r="E1698">
        <v>15</v>
      </c>
      <c r="F1698">
        <v>54.590075930393802</v>
      </c>
      <c r="G1698" s="1">
        <v>45002</v>
      </c>
      <c r="H1698" s="1">
        <v>45004</v>
      </c>
      <c r="I1698">
        <v>818.851138955907</v>
      </c>
      <c r="J1698">
        <f t="shared" si="156"/>
        <v>2</v>
      </c>
      <c r="K1698" t="str">
        <f>VLOOKUP(B1698,Raw_Suppliers!$A$2:$G$101,2,FALSE)</f>
        <v>Gamma Quantum LLC</v>
      </c>
      <c r="L1698" t="str">
        <f>VLOOKUP(B1698,Raw_Suppliers!$A$2:$G$101,3,FALSE)</f>
        <v>Canada</v>
      </c>
      <c r="M1698" t="str">
        <f>VLOOKUP(B1698,Raw_Suppliers!$A$2:$G$101,4,FALSE)</f>
        <v>Central</v>
      </c>
      <c r="N1698" t="str">
        <f>VLOOKUP(B1698,Raw_Suppliers!$A$2:$G$101,6,FALSE)</f>
        <v>None</v>
      </c>
      <c r="O1698">
        <f>VLOOKUP(B1698,Raw_Suppliers!$A$2:$G$101,7,FALSE)</f>
        <v>1</v>
      </c>
      <c r="P1698" t="str">
        <f t="shared" si="157"/>
        <v>Yes</v>
      </c>
      <c r="Q1698">
        <f t="shared" si="158"/>
        <v>0</v>
      </c>
      <c r="R1698" t="str">
        <f t="shared" si="159"/>
        <v>Late</v>
      </c>
      <c r="S1698">
        <f t="shared" si="160"/>
        <v>2023</v>
      </c>
      <c r="T1698">
        <f t="shared" si="161"/>
        <v>2</v>
      </c>
    </row>
    <row r="1699" spans="1:20" x14ac:dyDescent="0.25">
      <c r="A1699" t="s">
        <v>2006</v>
      </c>
      <c r="B1699" t="s">
        <v>67</v>
      </c>
      <c r="C1699" t="s">
        <v>230</v>
      </c>
      <c r="D1699" s="1">
        <v>44403</v>
      </c>
      <c r="E1699">
        <v>12</v>
      </c>
      <c r="F1699">
        <v>74.426186774102604</v>
      </c>
      <c r="G1699" s="1">
        <v>44420</v>
      </c>
      <c r="H1699" s="1">
        <v>44422</v>
      </c>
      <c r="I1699">
        <v>893.11424128923102</v>
      </c>
      <c r="J1699">
        <f t="shared" si="156"/>
        <v>2</v>
      </c>
      <c r="K1699" t="str">
        <f>VLOOKUP(B1699,Raw_Suppliers!$A$2:$G$101,2,FALSE)</f>
        <v>Nova Eco LLC</v>
      </c>
      <c r="L1699" t="str">
        <f>VLOOKUP(B1699,Raw_Suppliers!$A$2:$G$101,3,FALSE)</f>
        <v>Germany</v>
      </c>
      <c r="M1699" t="str">
        <f>VLOOKUP(B1699,Raw_Suppliers!$A$2:$G$101,4,FALSE)</f>
        <v>Central</v>
      </c>
      <c r="N1699" t="str">
        <f>VLOOKUP(B1699,Raw_Suppliers!$A$2:$G$101,6,FALSE)</f>
        <v>ISO 9001</v>
      </c>
      <c r="O1699">
        <f>VLOOKUP(B1699,Raw_Suppliers!$A$2:$G$101,7,FALSE)</f>
        <v>1</v>
      </c>
      <c r="P1699" t="str">
        <f t="shared" si="157"/>
        <v>Yes</v>
      </c>
      <c r="Q1699">
        <f t="shared" si="158"/>
        <v>0</v>
      </c>
      <c r="R1699" t="str">
        <f t="shared" si="159"/>
        <v>Late</v>
      </c>
      <c r="S1699">
        <f t="shared" si="160"/>
        <v>2021</v>
      </c>
      <c r="T1699">
        <f t="shared" si="161"/>
        <v>7</v>
      </c>
    </row>
    <row r="1700" spans="1:20" x14ac:dyDescent="0.25">
      <c r="A1700" t="s">
        <v>2007</v>
      </c>
      <c r="B1700" t="s">
        <v>198</v>
      </c>
      <c r="C1700" t="s">
        <v>165</v>
      </c>
      <c r="D1700" s="1">
        <v>44770</v>
      </c>
      <c r="E1700">
        <v>14</v>
      </c>
      <c r="F1700">
        <v>54.793197223125098</v>
      </c>
      <c r="G1700" s="1">
        <v>44780</v>
      </c>
      <c r="H1700" s="1">
        <v>44783</v>
      </c>
      <c r="I1700">
        <v>767.10476112375204</v>
      </c>
      <c r="J1700">
        <f t="shared" si="156"/>
        <v>3</v>
      </c>
      <c r="K1700" t="str">
        <f>VLOOKUP(B1700,Raw_Suppliers!$A$2:$G$101,2,FALSE)</f>
        <v>Gamma Vertex Corp</v>
      </c>
      <c r="L1700" t="str">
        <f>VLOOKUP(B1700,Raw_Suppliers!$A$2:$G$101,3,FALSE)</f>
        <v>Denmark</v>
      </c>
      <c r="M1700" t="str">
        <f>VLOOKUP(B1700,Raw_Suppliers!$A$2:$G$101,4,FALSE)</f>
        <v>South</v>
      </c>
      <c r="N1700" t="str">
        <f>VLOOKUP(B1700,Raw_Suppliers!$A$2:$G$101,6,FALSE)</f>
        <v>None</v>
      </c>
      <c r="O1700">
        <f>VLOOKUP(B1700,Raw_Suppliers!$A$2:$G$101,7,FALSE)</f>
        <v>1</v>
      </c>
      <c r="P1700" t="str">
        <f t="shared" si="157"/>
        <v>Yes</v>
      </c>
      <c r="Q1700">
        <f t="shared" si="158"/>
        <v>0</v>
      </c>
      <c r="R1700" t="str">
        <f t="shared" si="159"/>
        <v>Late</v>
      </c>
      <c r="S1700">
        <f t="shared" si="160"/>
        <v>2022</v>
      </c>
      <c r="T1700">
        <f t="shared" si="161"/>
        <v>7</v>
      </c>
    </row>
    <row r="1701" spans="1:20" x14ac:dyDescent="0.25">
      <c r="A1701" t="s">
        <v>2008</v>
      </c>
      <c r="B1701" t="s">
        <v>169</v>
      </c>
      <c r="C1701" t="s">
        <v>689</v>
      </c>
      <c r="D1701" s="1">
        <v>44711</v>
      </c>
      <c r="E1701">
        <v>16</v>
      </c>
      <c r="F1701">
        <v>15.5440566417348</v>
      </c>
      <c r="G1701" s="1">
        <v>44721</v>
      </c>
      <c r="H1701" s="1">
        <v>44719</v>
      </c>
      <c r="I1701">
        <v>248.704906267756</v>
      </c>
      <c r="J1701">
        <f t="shared" si="156"/>
        <v>-2</v>
      </c>
      <c r="K1701" t="str">
        <f>VLOOKUP(B1701,Raw_Suppliers!$A$2:$G$101,2,FALSE)</f>
        <v>Vertex Beta LLC</v>
      </c>
      <c r="L1701" t="str">
        <f>VLOOKUP(B1701,Raw_Suppliers!$A$2:$G$101,3,FALSE)</f>
        <v>China</v>
      </c>
      <c r="M1701" t="str">
        <f>VLOOKUP(B1701,Raw_Suppliers!$A$2:$G$101,4,FALSE)</f>
        <v>South</v>
      </c>
      <c r="N1701" t="str">
        <f>VLOOKUP(B1701,Raw_Suppliers!$A$2:$G$101,6,FALSE)</f>
        <v>ISO 14001</v>
      </c>
      <c r="O1701">
        <f>VLOOKUP(B1701,Raw_Suppliers!$A$2:$G$101,7,FALSE)</f>
        <v>0</v>
      </c>
      <c r="P1701" t="str">
        <f t="shared" si="157"/>
        <v>No</v>
      </c>
      <c r="Q1701">
        <f t="shared" si="158"/>
        <v>1</v>
      </c>
      <c r="R1701" t="str">
        <f t="shared" si="159"/>
        <v>On Time</v>
      </c>
      <c r="S1701">
        <f t="shared" si="160"/>
        <v>2022</v>
      </c>
      <c r="T1701">
        <f t="shared" si="161"/>
        <v>5</v>
      </c>
    </row>
    <row r="1702" spans="1:20" x14ac:dyDescent="0.25">
      <c r="A1702" t="s">
        <v>2009</v>
      </c>
      <c r="B1702" t="s">
        <v>451</v>
      </c>
      <c r="C1702" t="s">
        <v>163</v>
      </c>
      <c r="D1702" s="1">
        <v>45336</v>
      </c>
      <c r="E1702">
        <v>5</v>
      </c>
      <c r="F1702">
        <v>30.218944520401799</v>
      </c>
      <c r="G1702" s="1">
        <v>45351</v>
      </c>
      <c r="H1702" s="1">
        <v>45354</v>
      </c>
      <c r="I1702">
        <v>151.094722602009</v>
      </c>
      <c r="J1702">
        <f t="shared" si="156"/>
        <v>3</v>
      </c>
      <c r="K1702" t="str">
        <f>VLOOKUP(B1702,Raw_Suppliers!$A$2:$G$101,2,FALSE)</f>
        <v>Beta Apex Corp</v>
      </c>
      <c r="L1702" t="str">
        <f>VLOOKUP(B1702,Raw_Suppliers!$A$2:$G$101,3,FALSE)</f>
        <v>India</v>
      </c>
      <c r="M1702" t="str">
        <f>VLOOKUP(B1702,Raw_Suppliers!$A$2:$G$101,4,FALSE)</f>
        <v>Central</v>
      </c>
      <c r="N1702" t="str">
        <f>VLOOKUP(B1702,Raw_Suppliers!$A$2:$G$101,6,FALSE)</f>
        <v>ISO 9001</v>
      </c>
      <c r="O1702">
        <f>VLOOKUP(B1702,Raw_Suppliers!$A$2:$G$101,7,FALSE)</f>
        <v>0</v>
      </c>
      <c r="P1702" t="str">
        <f t="shared" si="157"/>
        <v>No</v>
      </c>
      <c r="Q1702">
        <f t="shared" si="158"/>
        <v>0</v>
      </c>
      <c r="R1702" t="str">
        <f t="shared" si="159"/>
        <v>Late</v>
      </c>
      <c r="S1702">
        <f t="shared" si="160"/>
        <v>2024</v>
      </c>
      <c r="T1702">
        <f t="shared" si="161"/>
        <v>2</v>
      </c>
    </row>
    <row r="1703" spans="1:20" x14ac:dyDescent="0.25">
      <c r="A1703" t="s">
        <v>2010</v>
      </c>
      <c r="B1703" t="s">
        <v>55</v>
      </c>
      <c r="C1703" t="s">
        <v>270</v>
      </c>
      <c r="D1703" s="1">
        <v>44321</v>
      </c>
      <c r="E1703">
        <v>13</v>
      </c>
      <c r="F1703">
        <v>45.080733486979703</v>
      </c>
      <c r="G1703" s="1">
        <v>44339</v>
      </c>
      <c r="H1703" s="1">
        <v>44343</v>
      </c>
      <c r="I1703">
        <v>586.04953533073603</v>
      </c>
      <c r="J1703">
        <f t="shared" si="156"/>
        <v>4</v>
      </c>
      <c r="K1703" t="str">
        <f>VLOOKUP(B1703,Raw_Suppliers!$A$2:$G$101,2,FALSE)</f>
        <v>Prime Vertex Inc</v>
      </c>
      <c r="L1703" t="str">
        <f>VLOOKUP(B1703,Raw_Suppliers!$A$2:$G$101,3,FALSE)</f>
        <v>Germany</v>
      </c>
      <c r="M1703" t="str">
        <f>VLOOKUP(B1703,Raw_Suppliers!$A$2:$G$101,4,FALSE)</f>
        <v>South</v>
      </c>
      <c r="N1703" t="str">
        <f>VLOOKUP(B1703,Raw_Suppliers!$A$2:$G$101,6,FALSE)</f>
        <v>ISO 14001</v>
      </c>
      <c r="O1703">
        <f>VLOOKUP(B1703,Raw_Suppliers!$A$2:$G$101,7,FALSE)</f>
        <v>0</v>
      </c>
      <c r="P1703" t="str">
        <f t="shared" si="157"/>
        <v>No</v>
      </c>
      <c r="Q1703">
        <f t="shared" si="158"/>
        <v>0</v>
      </c>
      <c r="R1703" t="str">
        <f t="shared" si="159"/>
        <v>Late</v>
      </c>
      <c r="S1703">
        <f t="shared" si="160"/>
        <v>2021</v>
      </c>
      <c r="T1703">
        <f t="shared" si="161"/>
        <v>5</v>
      </c>
    </row>
    <row r="1704" spans="1:20" x14ac:dyDescent="0.25">
      <c r="A1704" t="s">
        <v>2011</v>
      </c>
      <c r="B1704" t="s">
        <v>140</v>
      </c>
      <c r="C1704" t="s">
        <v>281</v>
      </c>
      <c r="D1704" s="1">
        <v>44442</v>
      </c>
      <c r="E1704">
        <v>5</v>
      </c>
      <c r="F1704">
        <v>69.356163977538998</v>
      </c>
      <c r="G1704" s="1">
        <v>44462</v>
      </c>
      <c r="H1704" s="1">
        <v>44464</v>
      </c>
      <c r="I1704">
        <v>346.78081988769497</v>
      </c>
      <c r="J1704">
        <f t="shared" si="156"/>
        <v>2</v>
      </c>
      <c r="K1704" t="str">
        <f>VLOOKUP(B1704,Raw_Suppliers!$A$2:$G$101,2,FALSE)</f>
        <v>Gamma Quantum Inc</v>
      </c>
      <c r="L1704" t="str">
        <f>VLOOKUP(B1704,Raw_Suppliers!$A$2:$G$101,3,FALSE)</f>
        <v>Germany</v>
      </c>
      <c r="M1704" t="str">
        <f>VLOOKUP(B1704,Raw_Suppliers!$A$2:$G$101,4,FALSE)</f>
        <v>North</v>
      </c>
      <c r="N1704" t="str">
        <f>VLOOKUP(B1704,Raw_Suppliers!$A$2:$G$101,6,FALSE)</f>
        <v>None</v>
      </c>
      <c r="O1704">
        <f>VLOOKUP(B1704,Raw_Suppliers!$A$2:$G$101,7,FALSE)</f>
        <v>1</v>
      </c>
      <c r="P1704" t="str">
        <f t="shared" si="157"/>
        <v>Yes</v>
      </c>
      <c r="Q1704">
        <f t="shared" si="158"/>
        <v>0</v>
      </c>
      <c r="R1704" t="str">
        <f t="shared" si="159"/>
        <v>Late</v>
      </c>
      <c r="S1704">
        <f t="shared" si="160"/>
        <v>2021</v>
      </c>
      <c r="T1704">
        <f t="shared" si="161"/>
        <v>9</v>
      </c>
    </row>
    <row r="1705" spans="1:20" x14ac:dyDescent="0.25">
      <c r="A1705" t="s">
        <v>2012</v>
      </c>
      <c r="B1705" t="s">
        <v>369</v>
      </c>
      <c r="C1705" t="s">
        <v>664</v>
      </c>
      <c r="D1705" s="1">
        <v>45301</v>
      </c>
      <c r="E1705">
        <v>8</v>
      </c>
      <c r="F1705">
        <v>31.180780514769101</v>
      </c>
      <c r="G1705" s="1">
        <v>45321</v>
      </c>
      <c r="H1705" s="1">
        <v>45319</v>
      </c>
      <c r="I1705">
        <v>249.446244118153</v>
      </c>
      <c r="J1705">
        <f t="shared" si="156"/>
        <v>-2</v>
      </c>
      <c r="K1705" t="str">
        <f>VLOOKUP(B1705,Raw_Suppliers!$A$2:$G$101,2,FALSE)</f>
        <v>Beta Fusion GmbH</v>
      </c>
      <c r="L1705" t="str">
        <f>VLOOKUP(B1705,Raw_Suppliers!$A$2:$G$101,3,FALSE)</f>
        <v>China</v>
      </c>
      <c r="M1705" t="str">
        <f>VLOOKUP(B1705,Raw_Suppliers!$A$2:$G$101,4,FALSE)</f>
        <v>South</v>
      </c>
      <c r="N1705" t="str">
        <f>VLOOKUP(B1705,Raw_Suppliers!$A$2:$G$101,6,FALSE)</f>
        <v>ISO 9001</v>
      </c>
      <c r="O1705">
        <f>VLOOKUP(B1705,Raw_Suppliers!$A$2:$G$101,7,FALSE)</f>
        <v>0</v>
      </c>
      <c r="P1705" t="str">
        <f t="shared" si="157"/>
        <v>No</v>
      </c>
      <c r="Q1705">
        <f t="shared" si="158"/>
        <v>1</v>
      </c>
      <c r="R1705" t="str">
        <f t="shared" si="159"/>
        <v>On Time</v>
      </c>
      <c r="S1705">
        <f t="shared" si="160"/>
        <v>2024</v>
      </c>
      <c r="T1705">
        <f t="shared" si="161"/>
        <v>1</v>
      </c>
    </row>
    <row r="1706" spans="1:20" x14ac:dyDescent="0.25">
      <c r="A1706" t="s">
        <v>2013</v>
      </c>
      <c r="B1706" t="s">
        <v>321</v>
      </c>
      <c r="C1706" t="s">
        <v>610</v>
      </c>
      <c r="D1706" s="1">
        <v>44568</v>
      </c>
      <c r="E1706">
        <v>6</v>
      </c>
      <c r="F1706">
        <v>22.201746251620499</v>
      </c>
      <c r="G1706" s="1">
        <v>44578</v>
      </c>
      <c r="H1706" s="1">
        <v>44577</v>
      </c>
      <c r="I1706">
        <v>133.21047750972301</v>
      </c>
      <c r="J1706">
        <f t="shared" si="156"/>
        <v>-1</v>
      </c>
      <c r="K1706" t="str">
        <f>VLOOKUP(B1706,Raw_Suppliers!$A$2:$G$101,2,FALSE)</f>
        <v>Vertex Delta LLC</v>
      </c>
      <c r="L1706" t="str">
        <f>VLOOKUP(B1706,Raw_Suppliers!$A$2:$G$101,3,FALSE)</f>
        <v>India</v>
      </c>
      <c r="M1706" t="str">
        <f>VLOOKUP(B1706,Raw_Suppliers!$A$2:$G$101,4,FALSE)</f>
        <v>South</v>
      </c>
      <c r="N1706" t="str">
        <f>VLOOKUP(B1706,Raw_Suppliers!$A$2:$G$101,6,FALSE)</f>
        <v>ISO 45001</v>
      </c>
      <c r="O1706">
        <f>VLOOKUP(B1706,Raw_Suppliers!$A$2:$G$101,7,FALSE)</f>
        <v>0</v>
      </c>
      <c r="P1706" t="str">
        <f t="shared" si="157"/>
        <v>No</v>
      </c>
      <c r="Q1706">
        <f t="shared" si="158"/>
        <v>1</v>
      </c>
      <c r="R1706" t="str">
        <f t="shared" si="159"/>
        <v>On Time</v>
      </c>
      <c r="S1706">
        <f t="shared" si="160"/>
        <v>2022</v>
      </c>
      <c r="T1706">
        <f t="shared" si="161"/>
        <v>1</v>
      </c>
    </row>
    <row r="1707" spans="1:20" x14ac:dyDescent="0.25">
      <c r="A1707" t="s">
        <v>2014</v>
      </c>
      <c r="B1707" t="s">
        <v>247</v>
      </c>
      <c r="C1707" t="s">
        <v>899</v>
      </c>
      <c r="D1707" s="1">
        <v>44235</v>
      </c>
      <c r="E1707">
        <v>9</v>
      </c>
      <c r="F1707">
        <v>19.6638967308498</v>
      </c>
      <c r="G1707" s="1">
        <v>44256</v>
      </c>
      <c r="H1707" s="1">
        <v>44257</v>
      </c>
      <c r="I1707">
        <v>176.97507057764801</v>
      </c>
      <c r="J1707">
        <f t="shared" si="156"/>
        <v>1</v>
      </c>
      <c r="K1707" t="str">
        <f>VLOOKUP(B1707,Raw_Suppliers!$A$2:$G$101,2,FALSE)</f>
        <v>Ultra Apex LLC</v>
      </c>
      <c r="L1707" t="str">
        <f>VLOOKUP(B1707,Raw_Suppliers!$A$2:$G$101,3,FALSE)</f>
        <v>Germany</v>
      </c>
      <c r="M1707" t="str">
        <f>VLOOKUP(B1707,Raw_Suppliers!$A$2:$G$101,4,FALSE)</f>
        <v>West</v>
      </c>
      <c r="N1707" t="str">
        <f>VLOOKUP(B1707,Raw_Suppliers!$A$2:$G$101,6,FALSE)</f>
        <v>ISO 9001</v>
      </c>
      <c r="O1707">
        <f>VLOOKUP(B1707,Raw_Suppliers!$A$2:$G$101,7,FALSE)</f>
        <v>0</v>
      </c>
      <c r="P1707" t="str">
        <f t="shared" si="157"/>
        <v>No</v>
      </c>
      <c r="Q1707">
        <f t="shared" si="158"/>
        <v>0</v>
      </c>
      <c r="R1707" t="str">
        <f t="shared" si="159"/>
        <v>Late</v>
      </c>
      <c r="S1707">
        <f t="shared" si="160"/>
        <v>2021</v>
      </c>
      <c r="T1707">
        <f t="shared" si="161"/>
        <v>2</v>
      </c>
    </row>
    <row r="1708" spans="1:20" x14ac:dyDescent="0.25">
      <c r="A1708" t="s">
        <v>2015</v>
      </c>
      <c r="B1708" t="s">
        <v>482</v>
      </c>
      <c r="C1708" t="s">
        <v>400</v>
      </c>
      <c r="D1708" s="1">
        <v>45142</v>
      </c>
      <c r="E1708">
        <v>12</v>
      </c>
      <c r="F1708">
        <v>62.323356794350197</v>
      </c>
      <c r="G1708" s="1">
        <v>45165</v>
      </c>
      <c r="H1708" s="1">
        <v>45165</v>
      </c>
      <c r="I1708">
        <v>747.88028153220296</v>
      </c>
      <c r="J1708">
        <f t="shared" si="156"/>
        <v>0</v>
      </c>
      <c r="K1708" t="str">
        <f>VLOOKUP(B1708,Raw_Suppliers!$A$2:$G$101,2,FALSE)</f>
        <v>Eco Prime Corp</v>
      </c>
      <c r="L1708" t="str">
        <f>VLOOKUP(B1708,Raw_Suppliers!$A$2:$G$101,3,FALSE)</f>
        <v>China</v>
      </c>
      <c r="M1708" t="str">
        <f>VLOOKUP(B1708,Raw_Suppliers!$A$2:$G$101,4,FALSE)</f>
        <v>East</v>
      </c>
      <c r="N1708" t="str">
        <f>VLOOKUP(B1708,Raw_Suppliers!$A$2:$G$101,6,FALSE)</f>
        <v>ISO 45001</v>
      </c>
      <c r="O1708">
        <f>VLOOKUP(B1708,Raw_Suppliers!$A$2:$G$101,7,FALSE)</f>
        <v>1</v>
      </c>
      <c r="P1708" t="str">
        <f t="shared" si="157"/>
        <v>Yes</v>
      </c>
      <c r="Q1708">
        <f t="shared" si="158"/>
        <v>1</v>
      </c>
      <c r="R1708" t="str">
        <f t="shared" si="159"/>
        <v>On Time</v>
      </c>
      <c r="S1708">
        <f t="shared" si="160"/>
        <v>2023</v>
      </c>
      <c r="T1708">
        <f t="shared" si="161"/>
        <v>8</v>
      </c>
    </row>
    <row r="1709" spans="1:20" x14ac:dyDescent="0.25">
      <c r="A1709" t="s">
        <v>2016</v>
      </c>
      <c r="B1709" t="s">
        <v>169</v>
      </c>
      <c r="C1709" t="s">
        <v>396</v>
      </c>
      <c r="D1709" s="1">
        <v>44668</v>
      </c>
      <c r="E1709">
        <v>9</v>
      </c>
      <c r="F1709">
        <v>36.004643740197999</v>
      </c>
      <c r="G1709" s="1">
        <v>44683</v>
      </c>
      <c r="H1709" s="1">
        <v>44680</v>
      </c>
      <c r="I1709">
        <v>324.04179366178198</v>
      </c>
      <c r="J1709">
        <f t="shared" si="156"/>
        <v>-3</v>
      </c>
      <c r="K1709" t="str">
        <f>VLOOKUP(B1709,Raw_Suppliers!$A$2:$G$101,2,FALSE)</f>
        <v>Vertex Beta LLC</v>
      </c>
      <c r="L1709" t="str">
        <f>VLOOKUP(B1709,Raw_Suppliers!$A$2:$G$101,3,FALSE)</f>
        <v>China</v>
      </c>
      <c r="M1709" t="str">
        <f>VLOOKUP(B1709,Raw_Suppliers!$A$2:$G$101,4,FALSE)</f>
        <v>South</v>
      </c>
      <c r="N1709" t="str">
        <f>VLOOKUP(B1709,Raw_Suppliers!$A$2:$G$101,6,FALSE)</f>
        <v>ISO 14001</v>
      </c>
      <c r="O1709">
        <f>VLOOKUP(B1709,Raw_Suppliers!$A$2:$G$101,7,FALSE)</f>
        <v>0</v>
      </c>
      <c r="P1709" t="str">
        <f t="shared" si="157"/>
        <v>No</v>
      </c>
      <c r="Q1709">
        <f t="shared" si="158"/>
        <v>1</v>
      </c>
      <c r="R1709" t="str">
        <f t="shared" si="159"/>
        <v>On Time</v>
      </c>
      <c r="S1709">
        <f t="shared" si="160"/>
        <v>2022</v>
      </c>
      <c r="T1709">
        <f t="shared" si="161"/>
        <v>4</v>
      </c>
    </row>
    <row r="1710" spans="1:20" x14ac:dyDescent="0.25">
      <c r="A1710" t="s">
        <v>2017</v>
      </c>
      <c r="B1710" t="s">
        <v>91</v>
      </c>
      <c r="C1710" t="s">
        <v>26</v>
      </c>
      <c r="D1710" s="1">
        <v>44853</v>
      </c>
      <c r="E1710">
        <v>13</v>
      </c>
      <c r="F1710">
        <v>14.1510727318986</v>
      </c>
      <c r="G1710" s="1">
        <v>44869</v>
      </c>
      <c r="H1710" s="1">
        <v>44869</v>
      </c>
      <c r="I1710">
        <v>183.963945514682</v>
      </c>
      <c r="J1710">
        <f t="shared" si="156"/>
        <v>0</v>
      </c>
      <c r="K1710" t="str">
        <f>VLOOKUP(B1710,Raw_Suppliers!$A$2:$G$101,2,FALSE)</f>
        <v>Apex Prime Ltd</v>
      </c>
      <c r="L1710" t="str">
        <f>VLOOKUP(B1710,Raw_Suppliers!$A$2:$G$101,3,FALSE)</f>
        <v>India</v>
      </c>
      <c r="M1710" t="str">
        <f>VLOOKUP(B1710,Raw_Suppliers!$A$2:$G$101,4,FALSE)</f>
        <v>South</v>
      </c>
      <c r="N1710" t="str">
        <f>VLOOKUP(B1710,Raw_Suppliers!$A$2:$G$101,6,FALSE)</f>
        <v>ISO 9001</v>
      </c>
      <c r="O1710">
        <f>VLOOKUP(B1710,Raw_Suppliers!$A$2:$G$101,7,FALSE)</f>
        <v>0</v>
      </c>
      <c r="P1710" t="str">
        <f t="shared" si="157"/>
        <v>No</v>
      </c>
      <c r="Q1710">
        <f t="shared" si="158"/>
        <v>1</v>
      </c>
      <c r="R1710" t="str">
        <f t="shared" si="159"/>
        <v>On Time</v>
      </c>
      <c r="S1710">
        <f t="shared" si="160"/>
        <v>2022</v>
      </c>
      <c r="T1710">
        <f t="shared" si="161"/>
        <v>10</v>
      </c>
    </row>
    <row r="1711" spans="1:20" x14ac:dyDescent="0.25">
      <c r="A1711" t="s">
        <v>2018</v>
      </c>
      <c r="B1711" t="s">
        <v>578</v>
      </c>
      <c r="C1711" t="s">
        <v>915</v>
      </c>
      <c r="D1711" s="1">
        <v>44247</v>
      </c>
      <c r="E1711">
        <v>12</v>
      </c>
      <c r="F1711">
        <v>65.390404333690398</v>
      </c>
      <c r="G1711" s="1">
        <v>44266</v>
      </c>
      <c r="H1711" s="1">
        <v>44271</v>
      </c>
      <c r="I1711">
        <v>784.68485200428495</v>
      </c>
      <c r="J1711">
        <f t="shared" si="156"/>
        <v>5</v>
      </c>
      <c r="K1711" t="str">
        <f>VLOOKUP(B1711,Raw_Suppliers!$A$2:$G$101,2,FALSE)</f>
        <v>Beta Eco Ltd</v>
      </c>
      <c r="L1711" t="str">
        <f>VLOOKUP(B1711,Raw_Suppliers!$A$2:$G$101,3,FALSE)</f>
        <v>Canada</v>
      </c>
      <c r="M1711" t="str">
        <f>VLOOKUP(B1711,Raw_Suppliers!$A$2:$G$101,4,FALSE)</f>
        <v>East</v>
      </c>
      <c r="N1711" t="str">
        <f>VLOOKUP(B1711,Raw_Suppliers!$A$2:$G$101,6,FALSE)</f>
        <v>None</v>
      </c>
      <c r="O1711">
        <f>VLOOKUP(B1711,Raw_Suppliers!$A$2:$G$101,7,FALSE)</f>
        <v>0</v>
      </c>
      <c r="P1711" t="str">
        <f t="shared" si="157"/>
        <v>No</v>
      </c>
      <c r="Q1711">
        <f t="shared" si="158"/>
        <v>0</v>
      </c>
      <c r="R1711" t="str">
        <f t="shared" si="159"/>
        <v>Late</v>
      </c>
      <c r="S1711">
        <f t="shared" si="160"/>
        <v>2021</v>
      </c>
      <c r="T1711">
        <f t="shared" si="161"/>
        <v>2</v>
      </c>
    </row>
    <row r="1712" spans="1:20" x14ac:dyDescent="0.25">
      <c r="A1712" t="s">
        <v>2019</v>
      </c>
      <c r="B1712" t="s">
        <v>261</v>
      </c>
      <c r="C1712" t="s">
        <v>312</v>
      </c>
      <c r="D1712" s="1">
        <v>44920</v>
      </c>
      <c r="E1712">
        <v>11</v>
      </c>
      <c r="F1712">
        <v>4.9739610453905403</v>
      </c>
      <c r="G1712" s="1">
        <v>44942</v>
      </c>
      <c r="H1712" s="1">
        <v>44941</v>
      </c>
      <c r="I1712">
        <v>54.713571499296002</v>
      </c>
      <c r="J1712">
        <f t="shared" si="156"/>
        <v>-1</v>
      </c>
      <c r="K1712" t="str">
        <f>VLOOKUP(B1712,Raw_Suppliers!$A$2:$G$101,2,FALSE)</f>
        <v>Delta Fusion Corp</v>
      </c>
      <c r="L1712" t="str">
        <f>VLOOKUP(B1712,Raw_Suppliers!$A$2:$G$101,3,FALSE)</f>
        <v>Denmark</v>
      </c>
      <c r="M1712" t="str">
        <f>VLOOKUP(B1712,Raw_Suppliers!$A$2:$G$101,4,FALSE)</f>
        <v>West</v>
      </c>
      <c r="N1712" t="str">
        <f>VLOOKUP(B1712,Raw_Suppliers!$A$2:$G$101,6,FALSE)</f>
        <v>ISO 45001</v>
      </c>
      <c r="O1712">
        <f>VLOOKUP(B1712,Raw_Suppliers!$A$2:$G$101,7,FALSE)</f>
        <v>0</v>
      </c>
      <c r="P1712" t="str">
        <f t="shared" si="157"/>
        <v>No</v>
      </c>
      <c r="Q1712">
        <f t="shared" si="158"/>
        <v>1</v>
      </c>
      <c r="R1712" t="str">
        <f t="shared" si="159"/>
        <v>On Time</v>
      </c>
      <c r="S1712">
        <f t="shared" si="160"/>
        <v>2022</v>
      </c>
      <c r="T1712">
        <f t="shared" si="161"/>
        <v>12</v>
      </c>
    </row>
    <row r="1713" spans="1:20" x14ac:dyDescent="0.25">
      <c r="A1713" t="s">
        <v>2020</v>
      </c>
      <c r="B1713" t="s">
        <v>216</v>
      </c>
      <c r="C1713" t="s">
        <v>128</v>
      </c>
      <c r="D1713" s="1">
        <v>45244</v>
      </c>
      <c r="E1713">
        <v>8</v>
      </c>
      <c r="F1713">
        <v>31.155637392331499</v>
      </c>
      <c r="G1713" s="1">
        <v>45264</v>
      </c>
      <c r="H1713" s="1">
        <v>45262</v>
      </c>
      <c r="I1713">
        <v>249.24509913865199</v>
      </c>
      <c r="J1713">
        <f t="shared" si="156"/>
        <v>-2</v>
      </c>
      <c r="K1713" t="str">
        <f>VLOOKUP(B1713,Raw_Suppliers!$A$2:$G$101,2,FALSE)</f>
        <v>Fusion Delta LLC</v>
      </c>
      <c r="L1713" t="str">
        <f>VLOOKUP(B1713,Raw_Suppliers!$A$2:$G$101,3,FALSE)</f>
        <v>Brazil</v>
      </c>
      <c r="M1713" t="str">
        <f>VLOOKUP(B1713,Raw_Suppliers!$A$2:$G$101,4,FALSE)</f>
        <v>Central</v>
      </c>
      <c r="N1713" t="str">
        <f>VLOOKUP(B1713,Raw_Suppliers!$A$2:$G$101,6,FALSE)</f>
        <v>ISO 14001</v>
      </c>
      <c r="O1713">
        <f>VLOOKUP(B1713,Raw_Suppliers!$A$2:$G$101,7,FALSE)</f>
        <v>0</v>
      </c>
      <c r="P1713" t="str">
        <f t="shared" si="157"/>
        <v>No</v>
      </c>
      <c r="Q1713">
        <f t="shared" si="158"/>
        <v>1</v>
      </c>
      <c r="R1713" t="str">
        <f t="shared" si="159"/>
        <v>On Time</v>
      </c>
      <c r="S1713">
        <f t="shared" si="160"/>
        <v>2023</v>
      </c>
      <c r="T1713">
        <f t="shared" si="161"/>
        <v>11</v>
      </c>
    </row>
    <row r="1714" spans="1:20" x14ac:dyDescent="0.25">
      <c r="A1714" t="s">
        <v>2021</v>
      </c>
      <c r="B1714" t="s">
        <v>293</v>
      </c>
      <c r="C1714" t="s">
        <v>1259</v>
      </c>
      <c r="D1714" s="1">
        <v>44565</v>
      </c>
      <c r="E1714">
        <v>14</v>
      </c>
      <c r="F1714">
        <v>19.539920956273999</v>
      </c>
      <c r="G1714" s="1">
        <v>44587</v>
      </c>
      <c r="H1714" s="1">
        <v>44584</v>
      </c>
      <c r="I1714">
        <v>273.55889338783601</v>
      </c>
      <c r="J1714">
        <f t="shared" si="156"/>
        <v>-3</v>
      </c>
      <c r="K1714" t="str">
        <f>VLOOKUP(B1714,Raw_Suppliers!$A$2:$G$101,2,FALSE)</f>
        <v>Fusion Apex LLC</v>
      </c>
      <c r="L1714" t="str">
        <f>VLOOKUP(B1714,Raw_Suppliers!$A$2:$G$101,3,FALSE)</f>
        <v>India</v>
      </c>
      <c r="M1714" t="str">
        <f>VLOOKUP(B1714,Raw_Suppliers!$A$2:$G$101,4,FALSE)</f>
        <v>Central</v>
      </c>
      <c r="N1714" t="str">
        <f>VLOOKUP(B1714,Raw_Suppliers!$A$2:$G$101,6,FALSE)</f>
        <v>ISO 14001</v>
      </c>
      <c r="O1714">
        <f>VLOOKUP(B1714,Raw_Suppliers!$A$2:$G$101,7,FALSE)</f>
        <v>1</v>
      </c>
      <c r="P1714" t="str">
        <f t="shared" si="157"/>
        <v>Yes</v>
      </c>
      <c r="Q1714">
        <f t="shared" si="158"/>
        <v>1</v>
      </c>
      <c r="R1714" t="str">
        <f t="shared" si="159"/>
        <v>On Time</v>
      </c>
      <c r="S1714">
        <f t="shared" si="160"/>
        <v>2022</v>
      </c>
      <c r="T1714">
        <f t="shared" si="161"/>
        <v>1</v>
      </c>
    </row>
    <row r="1715" spans="1:20" x14ac:dyDescent="0.25">
      <c r="A1715" t="s">
        <v>2022</v>
      </c>
      <c r="B1715" t="s">
        <v>10</v>
      </c>
      <c r="C1715" t="s">
        <v>727</v>
      </c>
      <c r="D1715" s="1">
        <v>45353</v>
      </c>
      <c r="E1715">
        <v>6</v>
      </c>
      <c r="F1715">
        <v>57.539131856251402</v>
      </c>
      <c r="G1715" s="1">
        <v>45367</v>
      </c>
      <c r="H1715" s="1">
        <v>45367</v>
      </c>
      <c r="I1715">
        <v>345.23479113750801</v>
      </c>
      <c r="J1715">
        <f t="shared" si="156"/>
        <v>0</v>
      </c>
      <c r="K1715" t="str">
        <f>VLOOKUP(B1715,Raw_Suppliers!$A$2:$G$101,2,FALSE)</f>
        <v>Vertex Beta GmbH</v>
      </c>
      <c r="L1715" t="str">
        <f>VLOOKUP(B1715,Raw_Suppliers!$A$2:$G$101,3,FALSE)</f>
        <v>India</v>
      </c>
      <c r="M1715" t="str">
        <f>VLOOKUP(B1715,Raw_Suppliers!$A$2:$G$101,4,FALSE)</f>
        <v>North</v>
      </c>
      <c r="N1715" t="str">
        <f>VLOOKUP(B1715,Raw_Suppliers!$A$2:$G$101,6,FALSE)</f>
        <v>ISO 14001</v>
      </c>
      <c r="O1715">
        <f>VLOOKUP(B1715,Raw_Suppliers!$A$2:$G$101,7,FALSE)</f>
        <v>0</v>
      </c>
      <c r="P1715" t="str">
        <f t="shared" si="157"/>
        <v>No</v>
      </c>
      <c r="Q1715">
        <f t="shared" si="158"/>
        <v>1</v>
      </c>
      <c r="R1715" t="str">
        <f t="shared" si="159"/>
        <v>On Time</v>
      </c>
      <c r="S1715">
        <f t="shared" si="160"/>
        <v>2024</v>
      </c>
      <c r="T1715">
        <f t="shared" si="161"/>
        <v>3</v>
      </c>
    </row>
    <row r="1716" spans="1:20" x14ac:dyDescent="0.25">
      <c r="A1716" t="s">
        <v>2023</v>
      </c>
      <c r="B1716" t="s">
        <v>189</v>
      </c>
      <c r="C1716" t="s">
        <v>701</v>
      </c>
      <c r="D1716" s="1">
        <v>44230</v>
      </c>
      <c r="E1716">
        <v>11</v>
      </c>
      <c r="F1716">
        <v>64.243881969358995</v>
      </c>
      <c r="G1716" s="1">
        <v>44246</v>
      </c>
      <c r="H1716" s="1">
        <v>44252</v>
      </c>
      <c r="I1716">
        <v>706.68270166294894</v>
      </c>
      <c r="J1716">
        <f t="shared" si="156"/>
        <v>6</v>
      </c>
      <c r="K1716" t="str">
        <f>VLOOKUP(B1716,Raw_Suppliers!$A$2:$G$101,2,FALSE)</f>
        <v>Apex Pioneer Ltd</v>
      </c>
      <c r="L1716" t="str">
        <f>VLOOKUP(B1716,Raw_Suppliers!$A$2:$G$101,3,FALSE)</f>
        <v>Canada</v>
      </c>
      <c r="M1716" t="str">
        <f>VLOOKUP(B1716,Raw_Suppliers!$A$2:$G$101,4,FALSE)</f>
        <v>South</v>
      </c>
      <c r="N1716" t="str">
        <f>VLOOKUP(B1716,Raw_Suppliers!$A$2:$G$101,6,FALSE)</f>
        <v>ISO 14001</v>
      </c>
      <c r="O1716">
        <f>VLOOKUP(B1716,Raw_Suppliers!$A$2:$G$101,7,FALSE)</f>
        <v>1</v>
      </c>
      <c r="P1716" t="str">
        <f t="shared" si="157"/>
        <v>Yes</v>
      </c>
      <c r="Q1716">
        <f t="shared" si="158"/>
        <v>0</v>
      </c>
      <c r="R1716" t="str">
        <f t="shared" si="159"/>
        <v>Late</v>
      </c>
      <c r="S1716">
        <f t="shared" si="160"/>
        <v>2021</v>
      </c>
      <c r="T1716">
        <f t="shared" si="161"/>
        <v>2</v>
      </c>
    </row>
    <row r="1717" spans="1:20" x14ac:dyDescent="0.25">
      <c r="A1717" t="s">
        <v>2024</v>
      </c>
      <c r="B1717" t="s">
        <v>28</v>
      </c>
      <c r="C1717" t="s">
        <v>65</v>
      </c>
      <c r="D1717" s="1">
        <v>45283</v>
      </c>
      <c r="E1717">
        <v>15</v>
      </c>
      <c r="F1717">
        <v>43.533054045230301</v>
      </c>
      <c r="G1717" s="1">
        <v>45302</v>
      </c>
      <c r="H1717" s="1">
        <v>45300</v>
      </c>
      <c r="I1717">
        <v>652.99581067845497</v>
      </c>
      <c r="J1717">
        <f t="shared" si="156"/>
        <v>-2</v>
      </c>
      <c r="K1717" t="str">
        <f>VLOOKUP(B1717,Raw_Suppliers!$A$2:$G$101,2,FALSE)</f>
        <v>Fusion Vertex Inc</v>
      </c>
      <c r="L1717" t="str">
        <f>VLOOKUP(B1717,Raw_Suppliers!$A$2:$G$101,3,FALSE)</f>
        <v>Denmark</v>
      </c>
      <c r="M1717" t="str">
        <f>VLOOKUP(B1717,Raw_Suppliers!$A$2:$G$101,4,FALSE)</f>
        <v>Central</v>
      </c>
      <c r="N1717" t="str">
        <f>VLOOKUP(B1717,Raw_Suppliers!$A$2:$G$101,6,FALSE)</f>
        <v>ISO 45001</v>
      </c>
      <c r="O1717">
        <f>VLOOKUP(B1717,Raw_Suppliers!$A$2:$G$101,7,FALSE)</f>
        <v>0</v>
      </c>
      <c r="P1717" t="str">
        <f t="shared" si="157"/>
        <v>No</v>
      </c>
      <c r="Q1717">
        <f t="shared" si="158"/>
        <v>1</v>
      </c>
      <c r="R1717" t="str">
        <f t="shared" si="159"/>
        <v>On Time</v>
      </c>
      <c r="S1717">
        <f t="shared" si="160"/>
        <v>2023</v>
      </c>
      <c r="T1717">
        <f t="shared" si="161"/>
        <v>12</v>
      </c>
    </row>
    <row r="1718" spans="1:20" x14ac:dyDescent="0.25">
      <c r="A1718" t="s">
        <v>2025</v>
      </c>
      <c r="B1718" t="s">
        <v>13</v>
      </c>
      <c r="C1718" t="s">
        <v>495</v>
      </c>
      <c r="D1718" s="1">
        <v>45389</v>
      </c>
      <c r="E1718">
        <v>10</v>
      </c>
      <c r="F1718">
        <v>73.101784642100696</v>
      </c>
      <c r="G1718" s="1">
        <v>45407</v>
      </c>
      <c r="H1718" s="1">
        <v>45409</v>
      </c>
      <c r="I1718">
        <v>731.01784642100699</v>
      </c>
      <c r="J1718">
        <f t="shared" si="156"/>
        <v>2</v>
      </c>
      <c r="K1718" t="str">
        <f>VLOOKUP(B1718,Raw_Suppliers!$A$2:$G$101,2,FALSE)</f>
        <v>Beta Delta LLC</v>
      </c>
      <c r="L1718" t="str">
        <f>VLOOKUP(B1718,Raw_Suppliers!$A$2:$G$101,3,FALSE)</f>
        <v>Germany</v>
      </c>
      <c r="M1718" t="str">
        <f>VLOOKUP(B1718,Raw_Suppliers!$A$2:$G$101,4,FALSE)</f>
        <v>Central</v>
      </c>
      <c r="N1718" t="str">
        <f>VLOOKUP(B1718,Raw_Suppliers!$A$2:$G$101,6,FALSE)</f>
        <v>ISO 9001</v>
      </c>
      <c r="O1718">
        <f>VLOOKUP(B1718,Raw_Suppliers!$A$2:$G$101,7,FALSE)</f>
        <v>1</v>
      </c>
      <c r="P1718" t="str">
        <f t="shared" si="157"/>
        <v>Yes</v>
      </c>
      <c r="Q1718">
        <f t="shared" si="158"/>
        <v>0</v>
      </c>
      <c r="R1718" t="str">
        <f t="shared" si="159"/>
        <v>Late</v>
      </c>
      <c r="S1718">
        <f t="shared" si="160"/>
        <v>2024</v>
      </c>
      <c r="T1718">
        <f t="shared" si="161"/>
        <v>4</v>
      </c>
    </row>
    <row r="1719" spans="1:20" x14ac:dyDescent="0.25">
      <c r="A1719" t="s">
        <v>2026</v>
      </c>
      <c r="B1719" t="s">
        <v>10</v>
      </c>
      <c r="C1719" t="s">
        <v>748</v>
      </c>
      <c r="D1719" s="1">
        <v>44630</v>
      </c>
      <c r="E1719">
        <v>9</v>
      </c>
      <c r="F1719">
        <v>37.8687517992363</v>
      </c>
      <c r="G1719" s="1">
        <v>44653</v>
      </c>
      <c r="H1719" s="1">
        <v>44656</v>
      </c>
      <c r="I1719">
        <v>340.81876619312601</v>
      </c>
      <c r="J1719">
        <f t="shared" si="156"/>
        <v>3</v>
      </c>
      <c r="K1719" t="str">
        <f>VLOOKUP(B1719,Raw_Suppliers!$A$2:$G$101,2,FALSE)</f>
        <v>Vertex Beta GmbH</v>
      </c>
      <c r="L1719" t="str">
        <f>VLOOKUP(B1719,Raw_Suppliers!$A$2:$G$101,3,FALSE)</f>
        <v>India</v>
      </c>
      <c r="M1719" t="str">
        <f>VLOOKUP(B1719,Raw_Suppliers!$A$2:$G$101,4,FALSE)</f>
        <v>North</v>
      </c>
      <c r="N1719" t="str">
        <f>VLOOKUP(B1719,Raw_Suppliers!$A$2:$G$101,6,FALSE)</f>
        <v>ISO 14001</v>
      </c>
      <c r="O1719">
        <f>VLOOKUP(B1719,Raw_Suppliers!$A$2:$G$101,7,FALSE)</f>
        <v>0</v>
      </c>
      <c r="P1719" t="str">
        <f t="shared" si="157"/>
        <v>No</v>
      </c>
      <c r="Q1719">
        <f t="shared" si="158"/>
        <v>0</v>
      </c>
      <c r="R1719" t="str">
        <f t="shared" si="159"/>
        <v>Late</v>
      </c>
      <c r="S1719">
        <f t="shared" si="160"/>
        <v>2022</v>
      </c>
      <c r="T1719">
        <f t="shared" si="161"/>
        <v>3</v>
      </c>
    </row>
    <row r="1720" spans="1:20" x14ac:dyDescent="0.25">
      <c r="A1720" t="s">
        <v>2027</v>
      </c>
      <c r="B1720" t="s">
        <v>176</v>
      </c>
      <c r="C1720" t="s">
        <v>257</v>
      </c>
      <c r="D1720" s="1">
        <v>45290</v>
      </c>
      <c r="E1720">
        <v>15</v>
      </c>
      <c r="F1720">
        <v>14.1488783751114</v>
      </c>
      <c r="G1720" s="1">
        <v>45303</v>
      </c>
      <c r="H1720" s="1">
        <v>45304</v>
      </c>
      <c r="I1720">
        <v>212.233175626671</v>
      </c>
      <c r="J1720">
        <f t="shared" si="156"/>
        <v>1</v>
      </c>
      <c r="K1720" t="str">
        <f>VLOOKUP(B1720,Raw_Suppliers!$A$2:$G$101,2,FALSE)</f>
        <v>Nano Ultra Corp</v>
      </c>
      <c r="L1720" t="str">
        <f>VLOOKUP(B1720,Raw_Suppliers!$A$2:$G$101,3,FALSE)</f>
        <v>Canada</v>
      </c>
      <c r="M1720" t="str">
        <f>VLOOKUP(B1720,Raw_Suppliers!$A$2:$G$101,4,FALSE)</f>
        <v>Central</v>
      </c>
      <c r="N1720" t="str">
        <f>VLOOKUP(B1720,Raw_Suppliers!$A$2:$G$101,6,FALSE)</f>
        <v>ISO 9001</v>
      </c>
      <c r="O1720">
        <f>VLOOKUP(B1720,Raw_Suppliers!$A$2:$G$101,7,FALSE)</f>
        <v>0</v>
      </c>
      <c r="P1720" t="str">
        <f t="shared" si="157"/>
        <v>No</v>
      </c>
      <c r="Q1720">
        <f t="shared" si="158"/>
        <v>0</v>
      </c>
      <c r="R1720" t="str">
        <f t="shared" si="159"/>
        <v>Late</v>
      </c>
      <c r="S1720">
        <f t="shared" si="160"/>
        <v>2023</v>
      </c>
      <c r="T1720">
        <f t="shared" si="161"/>
        <v>12</v>
      </c>
    </row>
    <row r="1721" spans="1:20" x14ac:dyDescent="0.25">
      <c r="A1721" t="s">
        <v>2028</v>
      </c>
      <c r="B1721" t="s">
        <v>88</v>
      </c>
      <c r="C1721" t="s">
        <v>400</v>
      </c>
      <c r="D1721" s="1">
        <v>45287</v>
      </c>
      <c r="E1721">
        <v>12</v>
      </c>
      <c r="F1721">
        <v>19.3178434771376</v>
      </c>
      <c r="G1721" s="1">
        <v>45310</v>
      </c>
      <c r="H1721" s="1">
        <v>45312</v>
      </c>
      <c r="I1721">
        <v>231.81412172565101</v>
      </c>
      <c r="J1721">
        <f t="shared" si="156"/>
        <v>2</v>
      </c>
      <c r="K1721" t="str">
        <f>VLOOKUP(B1721,Raw_Suppliers!$A$2:$G$101,2,FALSE)</f>
        <v>Eco Nano GmbH</v>
      </c>
      <c r="L1721" t="str">
        <f>VLOOKUP(B1721,Raw_Suppliers!$A$2:$G$101,3,FALSE)</f>
        <v>Denmark</v>
      </c>
      <c r="M1721" t="str">
        <f>VLOOKUP(B1721,Raw_Suppliers!$A$2:$G$101,4,FALSE)</f>
        <v>Central</v>
      </c>
      <c r="N1721" t="str">
        <f>VLOOKUP(B1721,Raw_Suppliers!$A$2:$G$101,6,FALSE)</f>
        <v>ISO 9001</v>
      </c>
      <c r="O1721">
        <f>VLOOKUP(B1721,Raw_Suppliers!$A$2:$G$101,7,FALSE)</f>
        <v>1</v>
      </c>
      <c r="P1721" t="str">
        <f t="shared" si="157"/>
        <v>Yes</v>
      </c>
      <c r="Q1721">
        <f t="shared" si="158"/>
        <v>0</v>
      </c>
      <c r="R1721" t="str">
        <f t="shared" si="159"/>
        <v>Late</v>
      </c>
      <c r="S1721">
        <f t="shared" si="160"/>
        <v>2023</v>
      </c>
      <c r="T1721">
        <f t="shared" si="161"/>
        <v>12</v>
      </c>
    </row>
    <row r="1722" spans="1:20" x14ac:dyDescent="0.25">
      <c r="A1722" t="s">
        <v>2029</v>
      </c>
      <c r="B1722" t="s">
        <v>394</v>
      </c>
      <c r="C1722" t="s">
        <v>112</v>
      </c>
      <c r="D1722" s="1">
        <v>45009</v>
      </c>
      <c r="E1722">
        <v>13</v>
      </c>
      <c r="F1722">
        <v>57.084266430798202</v>
      </c>
      <c r="G1722" s="1">
        <v>45027</v>
      </c>
      <c r="H1722" s="1">
        <v>45033</v>
      </c>
      <c r="I1722">
        <v>742.095463600377</v>
      </c>
      <c r="J1722">
        <f t="shared" si="156"/>
        <v>6</v>
      </c>
      <c r="K1722" t="str">
        <f>VLOOKUP(B1722,Raw_Suppliers!$A$2:$G$101,2,FALSE)</f>
        <v>Ultra Prime Inc</v>
      </c>
      <c r="L1722" t="str">
        <f>VLOOKUP(B1722,Raw_Suppliers!$A$2:$G$101,3,FALSE)</f>
        <v>Brazil</v>
      </c>
      <c r="M1722" t="str">
        <f>VLOOKUP(B1722,Raw_Suppliers!$A$2:$G$101,4,FALSE)</f>
        <v>West</v>
      </c>
      <c r="N1722" t="str">
        <f>VLOOKUP(B1722,Raw_Suppliers!$A$2:$G$101,6,FALSE)</f>
        <v>ISO 9001</v>
      </c>
      <c r="O1722">
        <f>VLOOKUP(B1722,Raw_Suppliers!$A$2:$G$101,7,FALSE)</f>
        <v>1</v>
      </c>
      <c r="P1722" t="str">
        <f t="shared" si="157"/>
        <v>Yes</v>
      </c>
      <c r="Q1722">
        <f t="shared" si="158"/>
        <v>0</v>
      </c>
      <c r="R1722" t="str">
        <f t="shared" si="159"/>
        <v>Late</v>
      </c>
      <c r="S1722">
        <f t="shared" si="160"/>
        <v>2023</v>
      </c>
      <c r="T1722">
        <f t="shared" si="161"/>
        <v>3</v>
      </c>
    </row>
    <row r="1723" spans="1:20" x14ac:dyDescent="0.25">
      <c r="A1723" t="s">
        <v>2030</v>
      </c>
      <c r="B1723" t="s">
        <v>13</v>
      </c>
      <c r="C1723" t="s">
        <v>972</v>
      </c>
      <c r="D1723" s="1">
        <v>44313</v>
      </c>
      <c r="E1723">
        <v>14</v>
      </c>
      <c r="F1723">
        <v>51.853640331429801</v>
      </c>
      <c r="G1723" s="1">
        <v>44325</v>
      </c>
      <c r="H1723" s="1">
        <v>44324</v>
      </c>
      <c r="I1723">
        <v>725.95096464001699</v>
      </c>
      <c r="J1723">
        <f t="shared" si="156"/>
        <v>-1</v>
      </c>
      <c r="K1723" t="str">
        <f>VLOOKUP(B1723,Raw_Suppliers!$A$2:$G$101,2,FALSE)</f>
        <v>Beta Delta LLC</v>
      </c>
      <c r="L1723" t="str">
        <f>VLOOKUP(B1723,Raw_Suppliers!$A$2:$G$101,3,FALSE)</f>
        <v>Germany</v>
      </c>
      <c r="M1723" t="str">
        <f>VLOOKUP(B1723,Raw_Suppliers!$A$2:$G$101,4,FALSE)</f>
        <v>Central</v>
      </c>
      <c r="N1723" t="str">
        <f>VLOOKUP(B1723,Raw_Suppliers!$A$2:$G$101,6,FALSE)</f>
        <v>ISO 9001</v>
      </c>
      <c r="O1723">
        <f>VLOOKUP(B1723,Raw_Suppliers!$A$2:$G$101,7,FALSE)</f>
        <v>1</v>
      </c>
      <c r="P1723" t="str">
        <f t="shared" si="157"/>
        <v>Yes</v>
      </c>
      <c r="Q1723">
        <f t="shared" si="158"/>
        <v>1</v>
      </c>
      <c r="R1723" t="str">
        <f t="shared" si="159"/>
        <v>On Time</v>
      </c>
      <c r="S1723">
        <f t="shared" si="160"/>
        <v>2021</v>
      </c>
      <c r="T1723">
        <f t="shared" si="161"/>
        <v>4</v>
      </c>
    </row>
    <row r="1724" spans="1:20" x14ac:dyDescent="0.25">
      <c r="A1724" t="s">
        <v>2031</v>
      </c>
      <c r="B1724" t="s">
        <v>382</v>
      </c>
      <c r="C1724" t="s">
        <v>763</v>
      </c>
      <c r="D1724" s="1">
        <v>45219</v>
      </c>
      <c r="E1724">
        <v>15</v>
      </c>
      <c r="F1724">
        <v>56.3188642694208</v>
      </c>
      <c r="G1724" s="1">
        <v>45230</v>
      </c>
      <c r="H1724" s="1">
        <v>45232</v>
      </c>
      <c r="I1724">
        <v>844.78296404131299</v>
      </c>
      <c r="J1724">
        <f t="shared" si="156"/>
        <v>2</v>
      </c>
      <c r="K1724" t="str">
        <f>VLOOKUP(B1724,Raw_Suppliers!$A$2:$G$101,2,FALSE)</f>
        <v>Omega Gamma Ltd</v>
      </c>
      <c r="L1724" t="str">
        <f>VLOOKUP(B1724,Raw_Suppliers!$A$2:$G$101,3,FALSE)</f>
        <v>USA</v>
      </c>
      <c r="M1724" t="str">
        <f>VLOOKUP(B1724,Raw_Suppliers!$A$2:$G$101,4,FALSE)</f>
        <v>Central</v>
      </c>
      <c r="N1724" t="str">
        <f>VLOOKUP(B1724,Raw_Suppliers!$A$2:$G$101,6,FALSE)</f>
        <v>None</v>
      </c>
      <c r="O1724">
        <f>VLOOKUP(B1724,Raw_Suppliers!$A$2:$G$101,7,FALSE)</f>
        <v>0</v>
      </c>
      <c r="P1724" t="str">
        <f t="shared" si="157"/>
        <v>No</v>
      </c>
      <c r="Q1724">
        <f t="shared" si="158"/>
        <v>0</v>
      </c>
      <c r="R1724" t="str">
        <f t="shared" si="159"/>
        <v>Late</v>
      </c>
      <c r="S1724">
        <f t="shared" si="160"/>
        <v>2023</v>
      </c>
      <c r="T1724">
        <f t="shared" si="161"/>
        <v>10</v>
      </c>
    </row>
    <row r="1725" spans="1:20" x14ac:dyDescent="0.25">
      <c r="A1725" t="s">
        <v>2032</v>
      </c>
      <c r="B1725" t="s">
        <v>88</v>
      </c>
      <c r="C1725" t="s">
        <v>165</v>
      </c>
      <c r="D1725" s="1">
        <v>45191</v>
      </c>
      <c r="E1725">
        <v>9</v>
      </c>
      <c r="F1725">
        <v>33.911083044491299</v>
      </c>
      <c r="G1725" s="1">
        <v>45212</v>
      </c>
      <c r="H1725" s="1">
        <v>45213</v>
      </c>
      <c r="I1725">
        <v>305.19974740042198</v>
      </c>
      <c r="J1725">
        <f t="shared" si="156"/>
        <v>1</v>
      </c>
      <c r="K1725" t="str">
        <f>VLOOKUP(B1725,Raw_Suppliers!$A$2:$G$101,2,FALSE)</f>
        <v>Eco Nano GmbH</v>
      </c>
      <c r="L1725" t="str">
        <f>VLOOKUP(B1725,Raw_Suppliers!$A$2:$G$101,3,FALSE)</f>
        <v>Denmark</v>
      </c>
      <c r="M1725" t="str">
        <f>VLOOKUP(B1725,Raw_Suppliers!$A$2:$G$101,4,FALSE)</f>
        <v>Central</v>
      </c>
      <c r="N1725" t="str">
        <f>VLOOKUP(B1725,Raw_Suppliers!$A$2:$G$101,6,FALSE)</f>
        <v>ISO 9001</v>
      </c>
      <c r="O1725">
        <f>VLOOKUP(B1725,Raw_Suppliers!$A$2:$G$101,7,FALSE)</f>
        <v>1</v>
      </c>
      <c r="P1725" t="str">
        <f t="shared" si="157"/>
        <v>Yes</v>
      </c>
      <c r="Q1725">
        <f t="shared" si="158"/>
        <v>0</v>
      </c>
      <c r="R1725" t="str">
        <f t="shared" si="159"/>
        <v>Late</v>
      </c>
      <c r="S1725">
        <f t="shared" si="160"/>
        <v>2023</v>
      </c>
      <c r="T1725">
        <f t="shared" si="161"/>
        <v>9</v>
      </c>
    </row>
    <row r="1726" spans="1:20" x14ac:dyDescent="0.25">
      <c r="A1726" t="s">
        <v>2033</v>
      </c>
      <c r="B1726" t="s">
        <v>359</v>
      </c>
      <c r="C1726" t="s">
        <v>629</v>
      </c>
      <c r="D1726" s="1">
        <v>45160</v>
      </c>
      <c r="E1726">
        <v>19</v>
      </c>
      <c r="F1726">
        <v>25.1646181588136</v>
      </c>
      <c r="G1726" s="1">
        <v>45179</v>
      </c>
      <c r="H1726" s="1">
        <v>45181</v>
      </c>
      <c r="I1726">
        <v>478.12774501745901</v>
      </c>
      <c r="J1726">
        <f t="shared" si="156"/>
        <v>2</v>
      </c>
      <c r="K1726" t="str">
        <f>VLOOKUP(B1726,Raw_Suppliers!$A$2:$G$101,2,FALSE)</f>
        <v>Alpha Alpha Corp</v>
      </c>
      <c r="L1726" t="str">
        <f>VLOOKUP(B1726,Raw_Suppliers!$A$2:$G$101,3,FALSE)</f>
        <v>India</v>
      </c>
      <c r="M1726" t="str">
        <f>VLOOKUP(B1726,Raw_Suppliers!$A$2:$G$101,4,FALSE)</f>
        <v>North</v>
      </c>
      <c r="N1726" t="str">
        <f>VLOOKUP(B1726,Raw_Suppliers!$A$2:$G$101,6,FALSE)</f>
        <v>ISO 9001</v>
      </c>
      <c r="O1726">
        <f>VLOOKUP(B1726,Raw_Suppliers!$A$2:$G$101,7,FALSE)</f>
        <v>1</v>
      </c>
      <c r="P1726" t="str">
        <f t="shared" si="157"/>
        <v>Yes</v>
      </c>
      <c r="Q1726">
        <f t="shared" si="158"/>
        <v>0</v>
      </c>
      <c r="R1726" t="str">
        <f t="shared" si="159"/>
        <v>Late</v>
      </c>
      <c r="S1726">
        <f t="shared" si="160"/>
        <v>2023</v>
      </c>
      <c r="T1726">
        <f t="shared" si="161"/>
        <v>8</v>
      </c>
    </row>
    <row r="1727" spans="1:20" x14ac:dyDescent="0.25">
      <c r="A1727" t="s">
        <v>2034</v>
      </c>
      <c r="B1727" t="s">
        <v>10</v>
      </c>
      <c r="C1727" t="s">
        <v>661</v>
      </c>
      <c r="D1727" s="1">
        <v>44873</v>
      </c>
      <c r="E1727">
        <v>13</v>
      </c>
      <c r="F1727">
        <v>19.3899058638012</v>
      </c>
      <c r="G1727" s="1">
        <v>44895</v>
      </c>
      <c r="H1727" s="1">
        <v>44900</v>
      </c>
      <c r="I1727">
        <v>252.06877622941599</v>
      </c>
      <c r="J1727">
        <f t="shared" si="156"/>
        <v>5</v>
      </c>
      <c r="K1727" t="str">
        <f>VLOOKUP(B1727,Raw_Suppliers!$A$2:$G$101,2,FALSE)</f>
        <v>Vertex Beta GmbH</v>
      </c>
      <c r="L1727" t="str">
        <f>VLOOKUP(B1727,Raw_Suppliers!$A$2:$G$101,3,FALSE)</f>
        <v>India</v>
      </c>
      <c r="M1727" t="str">
        <f>VLOOKUP(B1727,Raw_Suppliers!$A$2:$G$101,4,FALSE)</f>
        <v>North</v>
      </c>
      <c r="N1727" t="str">
        <f>VLOOKUP(B1727,Raw_Suppliers!$A$2:$G$101,6,FALSE)</f>
        <v>ISO 14001</v>
      </c>
      <c r="O1727">
        <f>VLOOKUP(B1727,Raw_Suppliers!$A$2:$G$101,7,FALSE)</f>
        <v>0</v>
      </c>
      <c r="P1727" t="str">
        <f t="shared" si="157"/>
        <v>No</v>
      </c>
      <c r="Q1727">
        <f t="shared" si="158"/>
        <v>0</v>
      </c>
      <c r="R1727" t="str">
        <f t="shared" si="159"/>
        <v>Late</v>
      </c>
      <c r="S1727">
        <f t="shared" si="160"/>
        <v>2022</v>
      </c>
      <c r="T1727">
        <f t="shared" si="161"/>
        <v>11</v>
      </c>
    </row>
    <row r="1728" spans="1:20" x14ac:dyDescent="0.25">
      <c r="A1728" t="s">
        <v>2035</v>
      </c>
      <c r="B1728" t="s">
        <v>359</v>
      </c>
      <c r="C1728" t="s">
        <v>276</v>
      </c>
      <c r="D1728" s="1">
        <v>44532</v>
      </c>
      <c r="E1728">
        <v>11</v>
      </c>
      <c r="F1728">
        <v>21.053350565141699</v>
      </c>
      <c r="G1728" s="1">
        <v>44545</v>
      </c>
      <c r="H1728" s="1">
        <v>44546</v>
      </c>
      <c r="I1728">
        <v>231.586856216559</v>
      </c>
      <c r="J1728">
        <f t="shared" si="156"/>
        <v>1</v>
      </c>
      <c r="K1728" t="str">
        <f>VLOOKUP(B1728,Raw_Suppliers!$A$2:$G$101,2,FALSE)</f>
        <v>Alpha Alpha Corp</v>
      </c>
      <c r="L1728" t="str">
        <f>VLOOKUP(B1728,Raw_Suppliers!$A$2:$G$101,3,FALSE)</f>
        <v>India</v>
      </c>
      <c r="M1728" t="str">
        <f>VLOOKUP(B1728,Raw_Suppliers!$A$2:$G$101,4,FALSE)</f>
        <v>North</v>
      </c>
      <c r="N1728" t="str">
        <f>VLOOKUP(B1728,Raw_Suppliers!$A$2:$G$101,6,FALSE)</f>
        <v>ISO 9001</v>
      </c>
      <c r="O1728">
        <f>VLOOKUP(B1728,Raw_Suppliers!$A$2:$G$101,7,FALSE)</f>
        <v>1</v>
      </c>
      <c r="P1728" t="str">
        <f t="shared" si="157"/>
        <v>Yes</v>
      </c>
      <c r="Q1728">
        <f t="shared" si="158"/>
        <v>0</v>
      </c>
      <c r="R1728" t="str">
        <f t="shared" si="159"/>
        <v>Late</v>
      </c>
      <c r="S1728">
        <f t="shared" si="160"/>
        <v>2021</v>
      </c>
      <c r="T1728">
        <f t="shared" si="161"/>
        <v>12</v>
      </c>
    </row>
    <row r="1729" spans="1:20" x14ac:dyDescent="0.25">
      <c r="A1729" t="s">
        <v>2036</v>
      </c>
      <c r="B1729" t="s">
        <v>124</v>
      </c>
      <c r="C1729" t="s">
        <v>610</v>
      </c>
      <c r="D1729" s="1">
        <v>45245</v>
      </c>
      <c r="E1729">
        <v>11</v>
      </c>
      <c r="F1729">
        <v>70.105586429650501</v>
      </c>
      <c r="G1729" s="1">
        <v>45267</v>
      </c>
      <c r="H1729" s="1">
        <v>45273</v>
      </c>
      <c r="I1729">
        <v>771.16145072615598</v>
      </c>
      <c r="J1729">
        <f t="shared" si="156"/>
        <v>6</v>
      </c>
      <c r="K1729" t="str">
        <f>VLOOKUP(B1729,Raw_Suppliers!$A$2:$G$101,2,FALSE)</f>
        <v>Vertex Delta Inc</v>
      </c>
      <c r="L1729" t="str">
        <f>VLOOKUP(B1729,Raw_Suppliers!$A$2:$G$101,3,FALSE)</f>
        <v>Germany</v>
      </c>
      <c r="M1729" t="str">
        <f>VLOOKUP(B1729,Raw_Suppliers!$A$2:$G$101,4,FALSE)</f>
        <v>South</v>
      </c>
      <c r="N1729" t="str">
        <f>VLOOKUP(B1729,Raw_Suppliers!$A$2:$G$101,6,FALSE)</f>
        <v>ISO 9001</v>
      </c>
      <c r="O1729">
        <f>VLOOKUP(B1729,Raw_Suppliers!$A$2:$G$101,7,FALSE)</f>
        <v>0</v>
      </c>
      <c r="P1729" t="str">
        <f t="shared" si="157"/>
        <v>No</v>
      </c>
      <c r="Q1729">
        <f t="shared" si="158"/>
        <v>0</v>
      </c>
      <c r="R1729" t="str">
        <f t="shared" si="159"/>
        <v>Late</v>
      </c>
      <c r="S1729">
        <f t="shared" si="160"/>
        <v>2023</v>
      </c>
      <c r="T1729">
        <f t="shared" si="161"/>
        <v>11</v>
      </c>
    </row>
    <row r="1730" spans="1:20" x14ac:dyDescent="0.25">
      <c r="A1730" t="s">
        <v>2037</v>
      </c>
      <c r="B1730" t="s">
        <v>539</v>
      </c>
      <c r="C1730" t="s">
        <v>664</v>
      </c>
      <c r="D1730" s="1">
        <v>44999</v>
      </c>
      <c r="E1730">
        <v>11</v>
      </c>
      <c r="F1730">
        <v>77.999275463694701</v>
      </c>
      <c r="G1730" s="1">
        <v>45012</v>
      </c>
      <c r="H1730" s="1">
        <v>45011</v>
      </c>
      <c r="I1730">
        <v>857.99203010064105</v>
      </c>
      <c r="J1730">
        <f t="shared" si="156"/>
        <v>-1</v>
      </c>
      <c r="K1730" t="str">
        <f>VLOOKUP(B1730,Raw_Suppliers!$A$2:$G$101,2,FALSE)</f>
        <v>Eco Eco Ltd</v>
      </c>
      <c r="L1730" t="str">
        <f>VLOOKUP(B1730,Raw_Suppliers!$A$2:$G$101,3,FALSE)</f>
        <v>USA</v>
      </c>
      <c r="M1730" t="str">
        <f>VLOOKUP(B1730,Raw_Suppliers!$A$2:$G$101,4,FALSE)</f>
        <v>South</v>
      </c>
      <c r="N1730" t="str">
        <f>VLOOKUP(B1730,Raw_Suppliers!$A$2:$G$101,6,FALSE)</f>
        <v>ISO 45001</v>
      </c>
      <c r="O1730">
        <f>VLOOKUP(B1730,Raw_Suppliers!$A$2:$G$101,7,FALSE)</f>
        <v>1</v>
      </c>
      <c r="P1730" t="str">
        <f t="shared" si="157"/>
        <v>Yes</v>
      </c>
      <c r="Q1730">
        <f t="shared" si="158"/>
        <v>1</v>
      </c>
      <c r="R1730" t="str">
        <f t="shared" si="159"/>
        <v>On Time</v>
      </c>
      <c r="S1730">
        <f t="shared" si="160"/>
        <v>2023</v>
      </c>
      <c r="T1730">
        <f t="shared" si="161"/>
        <v>3</v>
      </c>
    </row>
    <row r="1731" spans="1:20" x14ac:dyDescent="0.25">
      <c r="A1731" t="s">
        <v>2038</v>
      </c>
      <c r="B1731" t="s">
        <v>240</v>
      </c>
      <c r="C1731" t="s">
        <v>763</v>
      </c>
      <c r="D1731" s="1">
        <v>44528</v>
      </c>
      <c r="E1731">
        <v>10</v>
      </c>
      <c r="F1731">
        <v>67.388918004383896</v>
      </c>
      <c r="G1731" s="1">
        <v>44541</v>
      </c>
      <c r="H1731" s="1">
        <v>44547</v>
      </c>
      <c r="I1731">
        <v>673.88918004383902</v>
      </c>
      <c r="J1731">
        <f t="shared" ref="J1731:J1794" si="162">H1731-G1731</f>
        <v>6</v>
      </c>
      <c r="K1731" t="str">
        <f>VLOOKUP(B1731,Raw_Suppliers!$A$2:$G$101,2,FALSE)</f>
        <v>Apex Omega LLC</v>
      </c>
      <c r="L1731" t="str">
        <f>VLOOKUP(B1731,Raw_Suppliers!$A$2:$G$101,3,FALSE)</f>
        <v>UK</v>
      </c>
      <c r="M1731" t="str">
        <f>VLOOKUP(B1731,Raw_Suppliers!$A$2:$G$101,4,FALSE)</f>
        <v>South</v>
      </c>
      <c r="N1731" t="str">
        <f>VLOOKUP(B1731,Raw_Suppliers!$A$2:$G$101,6,FALSE)</f>
        <v>ISO 9001</v>
      </c>
      <c r="O1731">
        <f>VLOOKUP(B1731,Raw_Suppliers!$A$2:$G$101,7,FALSE)</f>
        <v>0</v>
      </c>
      <c r="P1731" t="str">
        <f t="shared" ref="P1731:P1794" si="163">IF(O1731=1,"Yes","No")</f>
        <v>No</v>
      </c>
      <c r="Q1731">
        <f t="shared" ref="Q1731:Q1794" si="164">IF(J1731&lt;=0,1,0)</f>
        <v>0</v>
      </c>
      <c r="R1731" t="str">
        <f t="shared" ref="R1731:R1794" si="165">IF(Q1731=1,"On Time","Late")</f>
        <v>Late</v>
      </c>
      <c r="S1731">
        <f t="shared" ref="S1731:S1794" si="166">YEAR(D1731)</f>
        <v>2021</v>
      </c>
      <c r="T1731">
        <f t="shared" ref="T1731:T1794" si="167">MONTH(D1731)</f>
        <v>11</v>
      </c>
    </row>
    <row r="1732" spans="1:20" x14ac:dyDescent="0.25">
      <c r="A1732" t="s">
        <v>2039</v>
      </c>
      <c r="B1732" t="s">
        <v>539</v>
      </c>
      <c r="C1732" t="s">
        <v>133</v>
      </c>
      <c r="D1732" s="1">
        <v>45140</v>
      </c>
      <c r="E1732">
        <v>6</v>
      </c>
      <c r="F1732">
        <v>71.374715787906197</v>
      </c>
      <c r="G1732" s="1">
        <v>45152</v>
      </c>
      <c r="H1732" s="1">
        <v>45151</v>
      </c>
      <c r="I1732">
        <v>428.24829472743698</v>
      </c>
      <c r="J1732">
        <f t="shared" si="162"/>
        <v>-1</v>
      </c>
      <c r="K1732" t="str">
        <f>VLOOKUP(B1732,Raw_Suppliers!$A$2:$G$101,2,FALSE)</f>
        <v>Eco Eco Ltd</v>
      </c>
      <c r="L1732" t="str">
        <f>VLOOKUP(B1732,Raw_Suppliers!$A$2:$G$101,3,FALSE)</f>
        <v>USA</v>
      </c>
      <c r="M1732" t="str">
        <f>VLOOKUP(B1732,Raw_Suppliers!$A$2:$G$101,4,FALSE)</f>
        <v>South</v>
      </c>
      <c r="N1732" t="str">
        <f>VLOOKUP(B1732,Raw_Suppliers!$A$2:$G$101,6,FALSE)</f>
        <v>ISO 45001</v>
      </c>
      <c r="O1732">
        <f>VLOOKUP(B1732,Raw_Suppliers!$A$2:$G$101,7,FALSE)</f>
        <v>1</v>
      </c>
      <c r="P1732" t="str">
        <f t="shared" si="163"/>
        <v>Yes</v>
      </c>
      <c r="Q1732">
        <f t="shared" si="164"/>
        <v>1</v>
      </c>
      <c r="R1732" t="str">
        <f t="shared" si="165"/>
        <v>On Time</v>
      </c>
      <c r="S1732">
        <f t="shared" si="166"/>
        <v>2023</v>
      </c>
      <c r="T1732">
        <f t="shared" si="167"/>
        <v>8</v>
      </c>
    </row>
    <row r="1733" spans="1:20" x14ac:dyDescent="0.25">
      <c r="A1733" t="s">
        <v>2040</v>
      </c>
      <c r="B1733" t="s">
        <v>250</v>
      </c>
      <c r="C1733" t="s">
        <v>47</v>
      </c>
      <c r="D1733" s="1">
        <v>44942</v>
      </c>
      <c r="E1733">
        <v>5</v>
      </c>
      <c r="F1733">
        <v>19.1507663938002</v>
      </c>
      <c r="G1733" s="1">
        <v>44953</v>
      </c>
      <c r="H1733" s="1">
        <v>44951</v>
      </c>
      <c r="I1733">
        <v>95.753831969000998</v>
      </c>
      <c r="J1733">
        <f t="shared" si="162"/>
        <v>-2</v>
      </c>
      <c r="K1733" t="str">
        <f>VLOOKUP(B1733,Raw_Suppliers!$A$2:$G$101,2,FALSE)</f>
        <v>Fusion Fusion Inc</v>
      </c>
      <c r="L1733" t="str">
        <f>VLOOKUP(B1733,Raw_Suppliers!$A$2:$G$101,3,FALSE)</f>
        <v>India</v>
      </c>
      <c r="M1733" t="str">
        <f>VLOOKUP(B1733,Raw_Suppliers!$A$2:$G$101,4,FALSE)</f>
        <v>South</v>
      </c>
      <c r="N1733" t="str">
        <f>VLOOKUP(B1733,Raw_Suppliers!$A$2:$G$101,6,FALSE)</f>
        <v>ISO 9001</v>
      </c>
      <c r="O1733">
        <f>VLOOKUP(B1733,Raw_Suppliers!$A$2:$G$101,7,FALSE)</f>
        <v>0</v>
      </c>
      <c r="P1733" t="str">
        <f t="shared" si="163"/>
        <v>No</v>
      </c>
      <c r="Q1733">
        <f t="shared" si="164"/>
        <v>1</v>
      </c>
      <c r="R1733" t="str">
        <f t="shared" si="165"/>
        <v>On Time</v>
      </c>
      <c r="S1733">
        <f t="shared" si="166"/>
        <v>2023</v>
      </c>
      <c r="T1733">
        <f t="shared" si="167"/>
        <v>1</v>
      </c>
    </row>
    <row r="1734" spans="1:20" x14ac:dyDescent="0.25">
      <c r="A1734" t="s">
        <v>2041</v>
      </c>
      <c r="B1734" t="s">
        <v>10</v>
      </c>
      <c r="C1734" t="s">
        <v>462</v>
      </c>
      <c r="D1734" s="1">
        <v>45320</v>
      </c>
      <c r="E1734">
        <v>11</v>
      </c>
      <c r="F1734">
        <v>8.7045903320704401</v>
      </c>
      <c r="G1734" s="1">
        <v>45334</v>
      </c>
      <c r="H1734" s="1">
        <v>45334</v>
      </c>
      <c r="I1734">
        <v>95.750493652774907</v>
      </c>
      <c r="J1734">
        <f t="shared" si="162"/>
        <v>0</v>
      </c>
      <c r="K1734" t="str">
        <f>VLOOKUP(B1734,Raw_Suppliers!$A$2:$G$101,2,FALSE)</f>
        <v>Vertex Beta GmbH</v>
      </c>
      <c r="L1734" t="str">
        <f>VLOOKUP(B1734,Raw_Suppliers!$A$2:$G$101,3,FALSE)</f>
        <v>India</v>
      </c>
      <c r="M1734" t="str">
        <f>VLOOKUP(B1734,Raw_Suppliers!$A$2:$G$101,4,FALSE)</f>
        <v>North</v>
      </c>
      <c r="N1734" t="str">
        <f>VLOOKUP(B1734,Raw_Suppliers!$A$2:$G$101,6,FALSE)</f>
        <v>ISO 14001</v>
      </c>
      <c r="O1734">
        <f>VLOOKUP(B1734,Raw_Suppliers!$A$2:$G$101,7,FALSE)</f>
        <v>0</v>
      </c>
      <c r="P1734" t="str">
        <f t="shared" si="163"/>
        <v>No</v>
      </c>
      <c r="Q1734">
        <f t="shared" si="164"/>
        <v>1</v>
      </c>
      <c r="R1734" t="str">
        <f t="shared" si="165"/>
        <v>On Time</v>
      </c>
      <c r="S1734">
        <f t="shared" si="166"/>
        <v>2024</v>
      </c>
      <c r="T1734">
        <f t="shared" si="167"/>
        <v>1</v>
      </c>
    </row>
    <row r="1735" spans="1:20" x14ac:dyDescent="0.25">
      <c r="A1735" t="s">
        <v>2042</v>
      </c>
      <c r="B1735" t="s">
        <v>82</v>
      </c>
      <c r="C1735" t="s">
        <v>65</v>
      </c>
      <c r="D1735" s="1">
        <v>45352</v>
      </c>
      <c r="E1735">
        <v>12</v>
      </c>
      <c r="F1735">
        <v>21.179426526231801</v>
      </c>
      <c r="G1735" s="1">
        <v>45367</v>
      </c>
      <c r="H1735" s="1">
        <v>45370</v>
      </c>
      <c r="I1735">
        <v>254.15311831478201</v>
      </c>
      <c r="J1735">
        <f t="shared" si="162"/>
        <v>3</v>
      </c>
      <c r="K1735" t="str">
        <f>VLOOKUP(B1735,Raw_Suppliers!$A$2:$G$101,2,FALSE)</f>
        <v>Gamma Quantum LLC</v>
      </c>
      <c r="L1735" t="str">
        <f>VLOOKUP(B1735,Raw_Suppliers!$A$2:$G$101,3,FALSE)</f>
        <v>Canada</v>
      </c>
      <c r="M1735" t="str">
        <f>VLOOKUP(B1735,Raw_Suppliers!$A$2:$G$101,4,FALSE)</f>
        <v>Central</v>
      </c>
      <c r="N1735" t="str">
        <f>VLOOKUP(B1735,Raw_Suppliers!$A$2:$G$101,6,FALSE)</f>
        <v>None</v>
      </c>
      <c r="O1735">
        <f>VLOOKUP(B1735,Raw_Suppliers!$A$2:$G$101,7,FALSE)</f>
        <v>1</v>
      </c>
      <c r="P1735" t="str">
        <f t="shared" si="163"/>
        <v>Yes</v>
      </c>
      <c r="Q1735">
        <f t="shared" si="164"/>
        <v>0</v>
      </c>
      <c r="R1735" t="str">
        <f t="shared" si="165"/>
        <v>Late</v>
      </c>
      <c r="S1735">
        <f t="shared" si="166"/>
        <v>2024</v>
      </c>
      <c r="T1735">
        <f t="shared" si="167"/>
        <v>3</v>
      </c>
    </row>
    <row r="1736" spans="1:20" x14ac:dyDescent="0.25">
      <c r="A1736" t="s">
        <v>2043</v>
      </c>
      <c r="B1736" t="s">
        <v>109</v>
      </c>
      <c r="C1736" t="s">
        <v>304</v>
      </c>
      <c r="D1736" s="1">
        <v>44427</v>
      </c>
      <c r="E1736">
        <v>6</v>
      </c>
      <c r="F1736">
        <v>36.424895317900898</v>
      </c>
      <c r="G1736" s="1">
        <v>44445</v>
      </c>
      <c r="H1736" s="1">
        <v>44442</v>
      </c>
      <c r="I1736">
        <v>218.549371907405</v>
      </c>
      <c r="J1736">
        <f t="shared" si="162"/>
        <v>-3</v>
      </c>
      <c r="K1736" t="str">
        <f>VLOOKUP(B1736,Raw_Suppliers!$A$2:$G$101,2,FALSE)</f>
        <v>Nano Fusion GmbH</v>
      </c>
      <c r="L1736" t="str">
        <f>VLOOKUP(B1736,Raw_Suppliers!$A$2:$G$101,3,FALSE)</f>
        <v>Denmark</v>
      </c>
      <c r="M1736" t="str">
        <f>VLOOKUP(B1736,Raw_Suppliers!$A$2:$G$101,4,FALSE)</f>
        <v>North</v>
      </c>
      <c r="N1736" t="str">
        <f>VLOOKUP(B1736,Raw_Suppliers!$A$2:$G$101,6,FALSE)</f>
        <v>ISO 9001</v>
      </c>
      <c r="O1736">
        <f>VLOOKUP(B1736,Raw_Suppliers!$A$2:$G$101,7,FALSE)</f>
        <v>0</v>
      </c>
      <c r="P1736" t="str">
        <f t="shared" si="163"/>
        <v>No</v>
      </c>
      <c r="Q1736">
        <f t="shared" si="164"/>
        <v>1</v>
      </c>
      <c r="R1736" t="str">
        <f t="shared" si="165"/>
        <v>On Time</v>
      </c>
      <c r="S1736">
        <f t="shared" si="166"/>
        <v>2021</v>
      </c>
      <c r="T1736">
        <f t="shared" si="167"/>
        <v>8</v>
      </c>
    </row>
    <row r="1737" spans="1:20" x14ac:dyDescent="0.25">
      <c r="A1737" t="s">
        <v>2044</v>
      </c>
      <c r="B1737" t="s">
        <v>427</v>
      </c>
      <c r="C1737" t="s">
        <v>92</v>
      </c>
      <c r="D1737" s="1">
        <v>44320</v>
      </c>
      <c r="E1737">
        <v>9</v>
      </c>
      <c r="F1737">
        <v>77.053973892847395</v>
      </c>
      <c r="G1737" s="1">
        <v>44332</v>
      </c>
      <c r="H1737" s="1">
        <v>44334</v>
      </c>
      <c r="I1737">
        <v>693.48576503562697</v>
      </c>
      <c r="J1737">
        <f t="shared" si="162"/>
        <v>2</v>
      </c>
      <c r="K1737" t="str">
        <f>VLOOKUP(B1737,Raw_Suppliers!$A$2:$G$101,2,FALSE)</f>
        <v>Nova Alpha Corp</v>
      </c>
      <c r="L1737" t="str">
        <f>VLOOKUP(B1737,Raw_Suppliers!$A$2:$G$101,3,FALSE)</f>
        <v>Denmark</v>
      </c>
      <c r="M1737" t="str">
        <f>VLOOKUP(B1737,Raw_Suppliers!$A$2:$G$101,4,FALSE)</f>
        <v>Central</v>
      </c>
      <c r="N1737" t="str">
        <f>VLOOKUP(B1737,Raw_Suppliers!$A$2:$G$101,6,FALSE)</f>
        <v>None</v>
      </c>
      <c r="O1737">
        <f>VLOOKUP(B1737,Raw_Suppliers!$A$2:$G$101,7,FALSE)</f>
        <v>0</v>
      </c>
      <c r="P1737" t="str">
        <f t="shared" si="163"/>
        <v>No</v>
      </c>
      <c r="Q1737">
        <f t="shared" si="164"/>
        <v>0</v>
      </c>
      <c r="R1737" t="str">
        <f t="shared" si="165"/>
        <v>Late</v>
      </c>
      <c r="S1737">
        <f t="shared" si="166"/>
        <v>2021</v>
      </c>
      <c r="T1737">
        <f t="shared" si="167"/>
        <v>5</v>
      </c>
    </row>
    <row r="1738" spans="1:20" x14ac:dyDescent="0.25">
      <c r="A1738" t="s">
        <v>2045</v>
      </c>
      <c r="B1738" t="s">
        <v>157</v>
      </c>
      <c r="C1738" t="s">
        <v>1176</v>
      </c>
      <c r="D1738" s="1">
        <v>44803</v>
      </c>
      <c r="E1738">
        <v>10</v>
      </c>
      <c r="F1738">
        <v>29.219794949462301</v>
      </c>
      <c r="G1738" s="1">
        <v>44820</v>
      </c>
      <c r="H1738" s="1">
        <v>44821</v>
      </c>
      <c r="I1738">
        <v>292.197949494623</v>
      </c>
      <c r="J1738">
        <f t="shared" si="162"/>
        <v>1</v>
      </c>
      <c r="K1738" t="str">
        <f>VLOOKUP(B1738,Raw_Suppliers!$A$2:$G$101,2,FALSE)</f>
        <v>Pioneer Omega Ltd</v>
      </c>
      <c r="L1738" t="str">
        <f>VLOOKUP(B1738,Raw_Suppliers!$A$2:$G$101,3,FALSE)</f>
        <v>Brazil</v>
      </c>
      <c r="M1738" t="str">
        <f>VLOOKUP(B1738,Raw_Suppliers!$A$2:$G$101,4,FALSE)</f>
        <v>East</v>
      </c>
      <c r="N1738" t="str">
        <f>VLOOKUP(B1738,Raw_Suppliers!$A$2:$G$101,6,FALSE)</f>
        <v>None</v>
      </c>
      <c r="O1738">
        <f>VLOOKUP(B1738,Raw_Suppliers!$A$2:$G$101,7,FALSE)</f>
        <v>0</v>
      </c>
      <c r="P1738" t="str">
        <f t="shared" si="163"/>
        <v>No</v>
      </c>
      <c r="Q1738">
        <f t="shared" si="164"/>
        <v>0</v>
      </c>
      <c r="R1738" t="str">
        <f t="shared" si="165"/>
        <v>Late</v>
      </c>
      <c r="S1738">
        <f t="shared" si="166"/>
        <v>2022</v>
      </c>
      <c r="T1738">
        <f t="shared" si="167"/>
        <v>8</v>
      </c>
    </row>
    <row r="1739" spans="1:20" x14ac:dyDescent="0.25">
      <c r="A1739" t="s">
        <v>2046</v>
      </c>
      <c r="B1739" t="s">
        <v>140</v>
      </c>
      <c r="C1739" t="s">
        <v>86</v>
      </c>
      <c r="D1739" s="1">
        <v>45169</v>
      </c>
      <c r="E1739">
        <v>9</v>
      </c>
      <c r="F1739">
        <v>75.116539194985407</v>
      </c>
      <c r="G1739" s="1">
        <v>45187</v>
      </c>
      <c r="H1739" s="1">
        <v>45185</v>
      </c>
      <c r="I1739">
        <v>676.04885275486902</v>
      </c>
      <c r="J1739">
        <f t="shared" si="162"/>
        <v>-2</v>
      </c>
      <c r="K1739" t="str">
        <f>VLOOKUP(B1739,Raw_Suppliers!$A$2:$G$101,2,FALSE)</f>
        <v>Gamma Quantum Inc</v>
      </c>
      <c r="L1739" t="str">
        <f>VLOOKUP(B1739,Raw_Suppliers!$A$2:$G$101,3,FALSE)</f>
        <v>Germany</v>
      </c>
      <c r="M1739" t="str">
        <f>VLOOKUP(B1739,Raw_Suppliers!$A$2:$G$101,4,FALSE)</f>
        <v>North</v>
      </c>
      <c r="N1739" t="str">
        <f>VLOOKUP(B1739,Raw_Suppliers!$A$2:$G$101,6,FALSE)</f>
        <v>None</v>
      </c>
      <c r="O1739">
        <f>VLOOKUP(B1739,Raw_Suppliers!$A$2:$G$101,7,FALSE)</f>
        <v>1</v>
      </c>
      <c r="P1739" t="str">
        <f t="shared" si="163"/>
        <v>Yes</v>
      </c>
      <c r="Q1739">
        <f t="shared" si="164"/>
        <v>1</v>
      </c>
      <c r="R1739" t="str">
        <f t="shared" si="165"/>
        <v>On Time</v>
      </c>
      <c r="S1739">
        <f t="shared" si="166"/>
        <v>2023</v>
      </c>
      <c r="T1739">
        <f t="shared" si="167"/>
        <v>8</v>
      </c>
    </row>
    <row r="1740" spans="1:20" x14ac:dyDescent="0.25">
      <c r="A1740" t="s">
        <v>2047</v>
      </c>
      <c r="B1740" t="s">
        <v>127</v>
      </c>
      <c r="C1740" t="s">
        <v>466</v>
      </c>
      <c r="D1740" s="1">
        <v>44704</v>
      </c>
      <c r="E1740">
        <v>13</v>
      </c>
      <c r="F1740">
        <v>5.7650033982698803</v>
      </c>
      <c r="G1740" s="1">
        <v>44728</v>
      </c>
      <c r="H1740" s="1">
        <v>44730</v>
      </c>
      <c r="I1740">
        <v>74.945044177508507</v>
      </c>
      <c r="J1740">
        <f t="shared" si="162"/>
        <v>2</v>
      </c>
      <c r="K1740" t="str">
        <f>VLOOKUP(B1740,Raw_Suppliers!$A$2:$G$101,2,FALSE)</f>
        <v>Eco Gamma LLC</v>
      </c>
      <c r="L1740" t="str">
        <f>VLOOKUP(B1740,Raw_Suppliers!$A$2:$G$101,3,FALSE)</f>
        <v>Canada</v>
      </c>
      <c r="M1740" t="str">
        <f>VLOOKUP(B1740,Raw_Suppliers!$A$2:$G$101,4,FALSE)</f>
        <v>West</v>
      </c>
      <c r="N1740" t="str">
        <f>VLOOKUP(B1740,Raw_Suppliers!$A$2:$G$101,6,FALSE)</f>
        <v>ISO 9001</v>
      </c>
      <c r="O1740">
        <f>VLOOKUP(B1740,Raw_Suppliers!$A$2:$G$101,7,FALSE)</f>
        <v>1</v>
      </c>
      <c r="P1740" t="str">
        <f t="shared" si="163"/>
        <v>Yes</v>
      </c>
      <c r="Q1740">
        <f t="shared" si="164"/>
        <v>0</v>
      </c>
      <c r="R1740" t="str">
        <f t="shared" si="165"/>
        <v>Late</v>
      </c>
      <c r="S1740">
        <f t="shared" si="166"/>
        <v>2022</v>
      </c>
      <c r="T1740">
        <f t="shared" si="167"/>
        <v>5</v>
      </c>
    </row>
    <row r="1741" spans="1:20" x14ac:dyDescent="0.25">
      <c r="A1741" t="s">
        <v>2048</v>
      </c>
      <c r="B1741" t="s">
        <v>76</v>
      </c>
      <c r="C1741" t="s">
        <v>473</v>
      </c>
      <c r="D1741" s="1">
        <v>45384</v>
      </c>
      <c r="E1741">
        <v>11</v>
      </c>
      <c r="F1741">
        <v>41.013688937193898</v>
      </c>
      <c r="G1741" s="1">
        <v>45406</v>
      </c>
      <c r="H1741" s="1">
        <v>45404</v>
      </c>
      <c r="I1741">
        <v>451.15057830913298</v>
      </c>
      <c r="J1741">
        <f t="shared" si="162"/>
        <v>-2</v>
      </c>
      <c r="K1741" t="str">
        <f>VLOOKUP(B1741,Raw_Suppliers!$A$2:$G$101,2,FALSE)</f>
        <v>Alpha Beta Ltd</v>
      </c>
      <c r="L1741" t="str">
        <f>VLOOKUP(B1741,Raw_Suppliers!$A$2:$G$101,3,FALSE)</f>
        <v>UK</v>
      </c>
      <c r="M1741" t="str">
        <f>VLOOKUP(B1741,Raw_Suppliers!$A$2:$G$101,4,FALSE)</f>
        <v>South</v>
      </c>
      <c r="N1741" t="str">
        <f>VLOOKUP(B1741,Raw_Suppliers!$A$2:$G$101,6,FALSE)</f>
        <v>None</v>
      </c>
      <c r="O1741">
        <f>VLOOKUP(B1741,Raw_Suppliers!$A$2:$G$101,7,FALSE)</f>
        <v>1</v>
      </c>
      <c r="P1741" t="str">
        <f t="shared" si="163"/>
        <v>Yes</v>
      </c>
      <c r="Q1741">
        <f t="shared" si="164"/>
        <v>1</v>
      </c>
      <c r="R1741" t="str">
        <f t="shared" si="165"/>
        <v>On Time</v>
      </c>
      <c r="S1741">
        <f t="shared" si="166"/>
        <v>2024</v>
      </c>
      <c r="T1741">
        <f t="shared" si="167"/>
        <v>4</v>
      </c>
    </row>
    <row r="1742" spans="1:20" x14ac:dyDescent="0.25">
      <c r="A1742" t="s">
        <v>2049</v>
      </c>
      <c r="B1742" t="s">
        <v>242</v>
      </c>
      <c r="C1742" t="s">
        <v>279</v>
      </c>
      <c r="D1742" s="1">
        <v>44323</v>
      </c>
      <c r="E1742">
        <v>10</v>
      </c>
      <c r="F1742">
        <v>65.025238021735703</v>
      </c>
      <c r="G1742" s="1">
        <v>44341</v>
      </c>
      <c r="H1742" s="1">
        <v>44347</v>
      </c>
      <c r="I1742">
        <v>650.25238021735697</v>
      </c>
      <c r="J1742">
        <f t="shared" si="162"/>
        <v>6</v>
      </c>
      <c r="K1742" t="str">
        <f>VLOOKUP(B1742,Raw_Suppliers!$A$2:$G$101,2,FALSE)</f>
        <v>Omega Nova GmbH</v>
      </c>
      <c r="L1742" t="str">
        <f>VLOOKUP(B1742,Raw_Suppliers!$A$2:$G$101,3,FALSE)</f>
        <v>Denmark</v>
      </c>
      <c r="M1742" t="str">
        <f>VLOOKUP(B1742,Raw_Suppliers!$A$2:$G$101,4,FALSE)</f>
        <v>East</v>
      </c>
      <c r="N1742" t="str">
        <f>VLOOKUP(B1742,Raw_Suppliers!$A$2:$G$101,6,FALSE)</f>
        <v>ISO 45001</v>
      </c>
      <c r="O1742">
        <f>VLOOKUP(B1742,Raw_Suppliers!$A$2:$G$101,7,FALSE)</f>
        <v>0</v>
      </c>
      <c r="P1742" t="str">
        <f t="shared" si="163"/>
        <v>No</v>
      </c>
      <c r="Q1742">
        <f t="shared" si="164"/>
        <v>0</v>
      </c>
      <c r="R1742" t="str">
        <f t="shared" si="165"/>
        <v>Late</v>
      </c>
      <c r="S1742">
        <f t="shared" si="166"/>
        <v>2021</v>
      </c>
      <c r="T1742">
        <f t="shared" si="167"/>
        <v>5</v>
      </c>
    </row>
    <row r="1743" spans="1:20" x14ac:dyDescent="0.25">
      <c r="A1743" t="s">
        <v>2050</v>
      </c>
      <c r="B1743" t="s">
        <v>140</v>
      </c>
      <c r="C1743" t="s">
        <v>477</v>
      </c>
      <c r="D1743" s="1">
        <v>45050</v>
      </c>
      <c r="E1743">
        <v>8</v>
      </c>
      <c r="F1743">
        <v>54.4020510507751</v>
      </c>
      <c r="G1743" s="1">
        <v>45073</v>
      </c>
      <c r="H1743" s="1">
        <v>45070</v>
      </c>
      <c r="I1743">
        <v>435.21640840620103</v>
      </c>
      <c r="J1743">
        <f t="shared" si="162"/>
        <v>-3</v>
      </c>
      <c r="K1743" t="str">
        <f>VLOOKUP(B1743,Raw_Suppliers!$A$2:$G$101,2,FALSE)</f>
        <v>Gamma Quantum Inc</v>
      </c>
      <c r="L1743" t="str">
        <f>VLOOKUP(B1743,Raw_Suppliers!$A$2:$G$101,3,FALSE)</f>
        <v>Germany</v>
      </c>
      <c r="M1743" t="str">
        <f>VLOOKUP(B1743,Raw_Suppliers!$A$2:$G$101,4,FALSE)</f>
        <v>North</v>
      </c>
      <c r="N1743" t="str">
        <f>VLOOKUP(B1743,Raw_Suppliers!$A$2:$G$101,6,FALSE)</f>
        <v>None</v>
      </c>
      <c r="O1743">
        <f>VLOOKUP(B1743,Raw_Suppliers!$A$2:$G$101,7,FALSE)</f>
        <v>1</v>
      </c>
      <c r="P1743" t="str">
        <f t="shared" si="163"/>
        <v>Yes</v>
      </c>
      <c r="Q1743">
        <f t="shared" si="164"/>
        <v>1</v>
      </c>
      <c r="R1743" t="str">
        <f t="shared" si="165"/>
        <v>On Time</v>
      </c>
      <c r="S1743">
        <f t="shared" si="166"/>
        <v>2023</v>
      </c>
      <c r="T1743">
        <f t="shared" si="167"/>
        <v>5</v>
      </c>
    </row>
    <row r="1744" spans="1:20" x14ac:dyDescent="0.25">
      <c r="A1744" t="s">
        <v>2051</v>
      </c>
      <c r="B1744" t="s">
        <v>119</v>
      </c>
      <c r="C1744" t="s">
        <v>826</v>
      </c>
      <c r="D1744" s="1">
        <v>45154</v>
      </c>
      <c r="E1744">
        <v>9</v>
      </c>
      <c r="F1744">
        <v>29.674448725838701</v>
      </c>
      <c r="G1744" s="1">
        <v>45175</v>
      </c>
      <c r="H1744" s="1">
        <v>45179</v>
      </c>
      <c r="I1744">
        <v>267.07003853254798</v>
      </c>
      <c r="J1744">
        <f t="shared" si="162"/>
        <v>4</v>
      </c>
      <c r="K1744" t="str">
        <f>VLOOKUP(B1744,Raw_Suppliers!$A$2:$G$101,2,FALSE)</f>
        <v>Pioneer Apex Corp</v>
      </c>
      <c r="L1744" t="str">
        <f>VLOOKUP(B1744,Raw_Suppliers!$A$2:$G$101,3,FALSE)</f>
        <v>USA</v>
      </c>
      <c r="M1744" t="str">
        <f>VLOOKUP(B1744,Raw_Suppliers!$A$2:$G$101,4,FALSE)</f>
        <v>Central</v>
      </c>
      <c r="N1744" t="str">
        <f>VLOOKUP(B1744,Raw_Suppliers!$A$2:$G$101,6,FALSE)</f>
        <v>None</v>
      </c>
      <c r="O1744">
        <f>VLOOKUP(B1744,Raw_Suppliers!$A$2:$G$101,7,FALSE)</f>
        <v>0</v>
      </c>
      <c r="P1744" t="str">
        <f t="shared" si="163"/>
        <v>No</v>
      </c>
      <c r="Q1744">
        <f t="shared" si="164"/>
        <v>0</v>
      </c>
      <c r="R1744" t="str">
        <f t="shared" si="165"/>
        <v>Late</v>
      </c>
      <c r="S1744">
        <f t="shared" si="166"/>
        <v>2023</v>
      </c>
      <c r="T1744">
        <f t="shared" si="167"/>
        <v>8</v>
      </c>
    </row>
    <row r="1745" spans="1:20" x14ac:dyDescent="0.25">
      <c r="A1745" t="s">
        <v>2052</v>
      </c>
      <c r="B1745" t="s">
        <v>301</v>
      </c>
      <c r="C1745" t="s">
        <v>180</v>
      </c>
      <c r="D1745" s="1">
        <v>44930</v>
      </c>
      <c r="E1745">
        <v>12</v>
      </c>
      <c r="F1745">
        <v>11.1805791572739</v>
      </c>
      <c r="G1745" s="1">
        <v>44941</v>
      </c>
      <c r="H1745" s="1">
        <v>44947</v>
      </c>
      <c r="I1745">
        <v>134.16694988728699</v>
      </c>
      <c r="J1745">
        <f t="shared" si="162"/>
        <v>6</v>
      </c>
      <c r="K1745" t="str">
        <f>VLOOKUP(B1745,Raw_Suppliers!$A$2:$G$101,2,FALSE)</f>
        <v>Beta Eco Inc</v>
      </c>
      <c r="L1745" t="str">
        <f>VLOOKUP(B1745,Raw_Suppliers!$A$2:$G$101,3,FALSE)</f>
        <v>Denmark</v>
      </c>
      <c r="M1745" t="str">
        <f>VLOOKUP(B1745,Raw_Suppliers!$A$2:$G$101,4,FALSE)</f>
        <v>South</v>
      </c>
      <c r="N1745" t="str">
        <f>VLOOKUP(B1745,Raw_Suppliers!$A$2:$G$101,6,FALSE)</f>
        <v>ISO 14001</v>
      </c>
      <c r="O1745">
        <f>VLOOKUP(B1745,Raw_Suppliers!$A$2:$G$101,7,FALSE)</f>
        <v>1</v>
      </c>
      <c r="P1745" t="str">
        <f t="shared" si="163"/>
        <v>Yes</v>
      </c>
      <c r="Q1745">
        <f t="shared" si="164"/>
        <v>0</v>
      </c>
      <c r="R1745" t="str">
        <f t="shared" si="165"/>
        <v>Late</v>
      </c>
      <c r="S1745">
        <f t="shared" si="166"/>
        <v>2023</v>
      </c>
      <c r="T1745">
        <f t="shared" si="167"/>
        <v>1</v>
      </c>
    </row>
    <row r="1746" spans="1:20" x14ac:dyDescent="0.25">
      <c r="A1746" t="s">
        <v>2053</v>
      </c>
      <c r="B1746" t="s">
        <v>301</v>
      </c>
      <c r="C1746" t="s">
        <v>826</v>
      </c>
      <c r="D1746" s="1">
        <v>45334</v>
      </c>
      <c r="E1746">
        <v>13</v>
      </c>
      <c r="F1746">
        <v>57.053729004454297</v>
      </c>
      <c r="G1746" s="1">
        <v>45353</v>
      </c>
      <c r="H1746" s="1">
        <v>45353</v>
      </c>
      <c r="I1746">
        <v>741.69847705790596</v>
      </c>
      <c r="J1746">
        <f t="shared" si="162"/>
        <v>0</v>
      </c>
      <c r="K1746" t="str">
        <f>VLOOKUP(B1746,Raw_Suppliers!$A$2:$G$101,2,FALSE)</f>
        <v>Beta Eco Inc</v>
      </c>
      <c r="L1746" t="str">
        <f>VLOOKUP(B1746,Raw_Suppliers!$A$2:$G$101,3,FALSE)</f>
        <v>Denmark</v>
      </c>
      <c r="M1746" t="str">
        <f>VLOOKUP(B1746,Raw_Suppliers!$A$2:$G$101,4,FALSE)</f>
        <v>South</v>
      </c>
      <c r="N1746" t="str">
        <f>VLOOKUP(B1746,Raw_Suppliers!$A$2:$G$101,6,FALSE)</f>
        <v>ISO 14001</v>
      </c>
      <c r="O1746">
        <f>VLOOKUP(B1746,Raw_Suppliers!$A$2:$G$101,7,FALSE)</f>
        <v>1</v>
      </c>
      <c r="P1746" t="str">
        <f t="shared" si="163"/>
        <v>Yes</v>
      </c>
      <c r="Q1746">
        <f t="shared" si="164"/>
        <v>1</v>
      </c>
      <c r="R1746" t="str">
        <f t="shared" si="165"/>
        <v>On Time</v>
      </c>
      <c r="S1746">
        <f t="shared" si="166"/>
        <v>2024</v>
      </c>
      <c r="T1746">
        <f t="shared" si="167"/>
        <v>2</v>
      </c>
    </row>
    <row r="1747" spans="1:20" x14ac:dyDescent="0.25">
      <c r="A1747" t="s">
        <v>2054</v>
      </c>
      <c r="B1747" t="s">
        <v>109</v>
      </c>
      <c r="C1747" t="s">
        <v>105</v>
      </c>
      <c r="D1747" s="1">
        <v>44977</v>
      </c>
      <c r="E1747">
        <v>8</v>
      </c>
      <c r="F1747">
        <v>30.527409582134901</v>
      </c>
      <c r="G1747" s="1">
        <v>44997</v>
      </c>
      <c r="H1747" s="1">
        <v>44997</v>
      </c>
      <c r="I1747">
        <v>244.21927665707901</v>
      </c>
      <c r="J1747">
        <f t="shared" si="162"/>
        <v>0</v>
      </c>
      <c r="K1747" t="str">
        <f>VLOOKUP(B1747,Raw_Suppliers!$A$2:$G$101,2,FALSE)</f>
        <v>Nano Fusion GmbH</v>
      </c>
      <c r="L1747" t="str">
        <f>VLOOKUP(B1747,Raw_Suppliers!$A$2:$G$101,3,FALSE)</f>
        <v>Denmark</v>
      </c>
      <c r="M1747" t="str">
        <f>VLOOKUP(B1747,Raw_Suppliers!$A$2:$G$101,4,FALSE)</f>
        <v>North</v>
      </c>
      <c r="N1747" t="str">
        <f>VLOOKUP(B1747,Raw_Suppliers!$A$2:$G$101,6,FALSE)</f>
        <v>ISO 9001</v>
      </c>
      <c r="O1747">
        <f>VLOOKUP(B1747,Raw_Suppliers!$A$2:$G$101,7,FALSE)</f>
        <v>0</v>
      </c>
      <c r="P1747" t="str">
        <f t="shared" si="163"/>
        <v>No</v>
      </c>
      <c r="Q1747">
        <f t="shared" si="164"/>
        <v>1</v>
      </c>
      <c r="R1747" t="str">
        <f t="shared" si="165"/>
        <v>On Time</v>
      </c>
      <c r="S1747">
        <f t="shared" si="166"/>
        <v>2023</v>
      </c>
      <c r="T1747">
        <f t="shared" si="167"/>
        <v>2</v>
      </c>
    </row>
    <row r="1748" spans="1:20" x14ac:dyDescent="0.25">
      <c r="A1748" t="s">
        <v>2055</v>
      </c>
      <c r="B1748" t="s">
        <v>176</v>
      </c>
      <c r="C1748" t="s">
        <v>418</v>
      </c>
      <c r="D1748" s="1">
        <v>44371</v>
      </c>
      <c r="E1748">
        <v>12</v>
      </c>
      <c r="F1748">
        <v>41.115764451336602</v>
      </c>
      <c r="G1748" s="1">
        <v>44385</v>
      </c>
      <c r="H1748" s="1">
        <v>44390</v>
      </c>
      <c r="I1748">
        <v>493.389173416039</v>
      </c>
      <c r="J1748">
        <f t="shared" si="162"/>
        <v>5</v>
      </c>
      <c r="K1748" t="str">
        <f>VLOOKUP(B1748,Raw_Suppliers!$A$2:$G$101,2,FALSE)</f>
        <v>Nano Ultra Corp</v>
      </c>
      <c r="L1748" t="str">
        <f>VLOOKUP(B1748,Raw_Suppliers!$A$2:$G$101,3,FALSE)</f>
        <v>Canada</v>
      </c>
      <c r="M1748" t="str">
        <f>VLOOKUP(B1748,Raw_Suppliers!$A$2:$G$101,4,FALSE)</f>
        <v>Central</v>
      </c>
      <c r="N1748" t="str">
        <f>VLOOKUP(B1748,Raw_Suppliers!$A$2:$G$101,6,FALSE)</f>
        <v>ISO 9001</v>
      </c>
      <c r="O1748">
        <f>VLOOKUP(B1748,Raw_Suppliers!$A$2:$G$101,7,FALSE)</f>
        <v>0</v>
      </c>
      <c r="P1748" t="str">
        <f t="shared" si="163"/>
        <v>No</v>
      </c>
      <c r="Q1748">
        <f t="shared" si="164"/>
        <v>0</v>
      </c>
      <c r="R1748" t="str">
        <f t="shared" si="165"/>
        <v>Late</v>
      </c>
      <c r="S1748">
        <f t="shared" si="166"/>
        <v>2021</v>
      </c>
      <c r="T1748">
        <f t="shared" si="167"/>
        <v>6</v>
      </c>
    </row>
    <row r="1749" spans="1:20" x14ac:dyDescent="0.25">
      <c r="A1749" t="s">
        <v>2056</v>
      </c>
      <c r="B1749" t="s">
        <v>46</v>
      </c>
      <c r="C1749" t="s">
        <v>1362</v>
      </c>
      <c r="D1749" s="1">
        <v>45040</v>
      </c>
      <c r="E1749">
        <v>15</v>
      </c>
      <c r="F1749">
        <v>11.63586880645</v>
      </c>
      <c r="G1749" s="1">
        <v>45050</v>
      </c>
      <c r="H1749" s="1">
        <v>45055</v>
      </c>
      <c r="I1749">
        <v>174.53803209674999</v>
      </c>
      <c r="J1749">
        <f t="shared" si="162"/>
        <v>5</v>
      </c>
      <c r="K1749" t="str">
        <f>VLOOKUP(B1749,Raw_Suppliers!$A$2:$G$101,2,FALSE)</f>
        <v>Prime Prime Inc</v>
      </c>
      <c r="L1749" t="str">
        <f>VLOOKUP(B1749,Raw_Suppliers!$A$2:$G$101,3,FALSE)</f>
        <v>UK</v>
      </c>
      <c r="M1749" t="str">
        <f>VLOOKUP(B1749,Raw_Suppliers!$A$2:$G$101,4,FALSE)</f>
        <v>South</v>
      </c>
      <c r="N1749" t="str">
        <f>VLOOKUP(B1749,Raw_Suppliers!$A$2:$G$101,6,FALSE)</f>
        <v>None</v>
      </c>
      <c r="O1749">
        <f>VLOOKUP(B1749,Raw_Suppliers!$A$2:$G$101,7,FALSE)</f>
        <v>1</v>
      </c>
      <c r="P1749" t="str">
        <f t="shared" si="163"/>
        <v>Yes</v>
      </c>
      <c r="Q1749">
        <f t="shared" si="164"/>
        <v>0</v>
      </c>
      <c r="R1749" t="str">
        <f t="shared" si="165"/>
        <v>Late</v>
      </c>
      <c r="S1749">
        <f t="shared" si="166"/>
        <v>2023</v>
      </c>
      <c r="T1749">
        <f t="shared" si="167"/>
        <v>4</v>
      </c>
    </row>
    <row r="1750" spans="1:20" x14ac:dyDescent="0.25">
      <c r="A1750" t="s">
        <v>2057</v>
      </c>
      <c r="B1750" t="s">
        <v>46</v>
      </c>
      <c r="C1750" t="s">
        <v>453</v>
      </c>
      <c r="D1750" s="1">
        <v>45121</v>
      </c>
      <c r="E1750">
        <v>13</v>
      </c>
      <c r="F1750">
        <v>22.882901721078301</v>
      </c>
      <c r="G1750" s="1">
        <v>45131</v>
      </c>
      <c r="H1750" s="1">
        <v>45132</v>
      </c>
      <c r="I1750">
        <v>297.47772237401801</v>
      </c>
      <c r="J1750">
        <f t="shared" si="162"/>
        <v>1</v>
      </c>
      <c r="K1750" t="str">
        <f>VLOOKUP(B1750,Raw_Suppliers!$A$2:$G$101,2,FALSE)</f>
        <v>Prime Prime Inc</v>
      </c>
      <c r="L1750" t="str">
        <f>VLOOKUP(B1750,Raw_Suppliers!$A$2:$G$101,3,FALSE)</f>
        <v>UK</v>
      </c>
      <c r="M1750" t="str">
        <f>VLOOKUP(B1750,Raw_Suppliers!$A$2:$G$101,4,FALSE)</f>
        <v>South</v>
      </c>
      <c r="N1750" t="str">
        <f>VLOOKUP(B1750,Raw_Suppliers!$A$2:$G$101,6,FALSE)</f>
        <v>None</v>
      </c>
      <c r="O1750">
        <f>VLOOKUP(B1750,Raw_Suppliers!$A$2:$G$101,7,FALSE)</f>
        <v>1</v>
      </c>
      <c r="P1750" t="str">
        <f t="shared" si="163"/>
        <v>Yes</v>
      </c>
      <c r="Q1750">
        <f t="shared" si="164"/>
        <v>0</v>
      </c>
      <c r="R1750" t="str">
        <f t="shared" si="165"/>
        <v>Late</v>
      </c>
      <c r="S1750">
        <f t="shared" si="166"/>
        <v>2023</v>
      </c>
      <c r="T1750">
        <f t="shared" si="167"/>
        <v>7</v>
      </c>
    </row>
    <row r="1751" spans="1:20" x14ac:dyDescent="0.25">
      <c r="A1751" t="s">
        <v>2058</v>
      </c>
      <c r="B1751" t="s">
        <v>216</v>
      </c>
      <c r="C1751" t="s">
        <v>418</v>
      </c>
      <c r="D1751" s="1">
        <v>44941</v>
      </c>
      <c r="E1751">
        <v>14</v>
      </c>
      <c r="F1751">
        <v>15.092364319685201</v>
      </c>
      <c r="G1751" s="1">
        <v>44951</v>
      </c>
      <c r="H1751" s="1">
        <v>44950</v>
      </c>
      <c r="I1751">
        <v>211.29310047559301</v>
      </c>
      <c r="J1751">
        <f t="shared" si="162"/>
        <v>-1</v>
      </c>
      <c r="K1751" t="str">
        <f>VLOOKUP(B1751,Raw_Suppliers!$A$2:$G$101,2,FALSE)</f>
        <v>Fusion Delta LLC</v>
      </c>
      <c r="L1751" t="str">
        <f>VLOOKUP(B1751,Raw_Suppliers!$A$2:$G$101,3,FALSE)</f>
        <v>Brazil</v>
      </c>
      <c r="M1751" t="str">
        <f>VLOOKUP(B1751,Raw_Suppliers!$A$2:$G$101,4,FALSE)</f>
        <v>Central</v>
      </c>
      <c r="N1751" t="str">
        <f>VLOOKUP(B1751,Raw_Suppliers!$A$2:$G$101,6,FALSE)</f>
        <v>ISO 14001</v>
      </c>
      <c r="O1751">
        <f>VLOOKUP(B1751,Raw_Suppliers!$A$2:$G$101,7,FALSE)</f>
        <v>0</v>
      </c>
      <c r="P1751" t="str">
        <f t="shared" si="163"/>
        <v>No</v>
      </c>
      <c r="Q1751">
        <f t="shared" si="164"/>
        <v>1</v>
      </c>
      <c r="R1751" t="str">
        <f t="shared" si="165"/>
        <v>On Time</v>
      </c>
      <c r="S1751">
        <f t="shared" si="166"/>
        <v>2023</v>
      </c>
      <c r="T1751">
        <f t="shared" si="167"/>
        <v>1</v>
      </c>
    </row>
    <row r="1752" spans="1:20" x14ac:dyDescent="0.25">
      <c r="A1752" t="s">
        <v>2059</v>
      </c>
      <c r="B1752" t="s">
        <v>31</v>
      </c>
      <c r="C1752" t="s">
        <v>68</v>
      </c>
      <c r="D1752" s="1">
        <v>44841</v>
      </c>
      <c r="E1752">
        <v>11</v>
      </c>
      <c r="F1752">
        <v>44.7416279136932</v>
      </c>
      <c r="G1752" s="1">
        <v>44862</v>
      </c>
      <c r="H1752" s="1">
        <v>44866</v>
      </c>
      <c r="I1752">
        <v>492.157907050625</v>
      </c>
      <c r="J1752">
        <f t="shared" si="162"/>
        <v>4</v>
      </c>
      <c r="K1752" t="str">
        <f>VLOOKUP(B1752,Raw_Suppliers!$A$2:$G$101,2,FALSE)</f>
        <v>Nova Nano GmbH</v>
      </c>
      <c r="L1752" t="str">
        <f>VLOOKUP(B1752,Raw_Suppliers!$A$2:$G$101,3,FALSE)</f>
        <v>Denmark</v>
      </c>
      <c r="M1752" t="str">
        <f>VLOOKUP(B1752,Raw_Suppliers!$A$2:$G$101,4,FALSE)</f>
        <v>South</v>
      </c>
      <c r="N1752" t="str">
        <f>VLOOKUP(B1752,Raw_Suppliers!$A$2:$G$101,6,FALSE)</f>
        <v>ISO 14001</v>
      </c>
      <c r="O1752">
        <f>VLOOKUP(B1752,Raw_Suppliers!$A$2:$G$101,7,FALSE)</f>
        <v>1</v>
      </c>
      <c r="P1752" t="str">
        <f t="shared" si="163"/>
        <v>Yes</v>
      </c>
      <c r="Q1752">
        <f t="shared" si="164"/>
        <v>0</v>
      </c>
      <c r="R1752" t="str">
        <f t="shared" si="165"/>
        <v>Late</v>
      </c>
      <c r="S1752">
        <f t="shared" si="166"/>
        <v>2022</v>
      </c>
      <c r="T1752">
        <f t="shared" si="167"/>
        <v>10</v>
      </c>
    </row>
    <row r="1753" spans="1:20" x14ac:dyDescent="0.25">
      <c r="A1753" t="s">
        <v>2060</v>
      </c>
      <c r="B1753" t="s">
        <v>219</v>
      </c>
      <c r="C1753" t="s">
        <v>131</v>
      </c>
      <c r="D1753" s="1">
        <v>44361</v>
      </c>
      <c r="E1753">
        <v>14</v>
      </c>
      <c r="F1753">
        <v>4.2848667737949002</v>
      </c>
      <c r="G1753" s="1">
        <v>44376</v>
      </c>
      <c r="H1753" s="1">
        <v>44381</v>
      </c>
      <c r="I1753">
        <v>59.988134833128697</v>
      </c>
      <c r="J1753">
        <f t="shared" si="162"/>
        <v>5</v>
      </c>
      <c r="K1753" t="str">
        <f>VLOOKUP(B1753,Raw_Suppliers!$A$2:$G$101,2,FALSE)</f>
        <v>Quantum Quantum Ltd</v>
      </c>
      <c r="L1753" t="str">
        <f>VLOOKUP(B1753,Raw_Suppliers!$A$2:$G$101,3,FALSE)</f>
        <v>USA</v>
      </c>
      <c r="M1753" t="str">
        <f>VLOOKUP(B1753,Raw_Suppliers!$A$2:$G$101,4,FALSE)</f>
        <v>South</v>
      </c>
      <c r="N1753" t="str">
        <f>VLOOKUP(B1753,Raw_Suppliers!$A$2:$G$101,6,FALSE)</f>
        <v>ISO 14001</v>
      </c>
      <c r="O1753">
        <f>VLOOKUP(B1753,Raw_Suppliers!$A$2:$G$101,7,FALSE)</f>
        <v>0</v>
      </c>
      <c r="P1753" t="str">
        <f t="shared" si="163"/>
        <v>No</v>
      </c>
      <c r="Q1753">
        <f t="shared" si="164"/>
        <v>0</v>
      </c>
      <c r="R1753" t="str">
        <f t="shared" si="165"/>
        <v>Late</v>
      </c>
      <c r="S1753">
        <f t="shared" si="166"/>
        <v>2021</v>
      </c>
      <c r="T1753">
        <f t="shared" si="167"/>
        <v>6</v>
      </c>
    </row>
    <row r="1754" spans="1:20" x14ac:dyDescent="0.25">
      <c r="A1754" t="s">
        <v>2061</v>
      </c>
      <c r="B1754" t="s">
        <v>340</v>
      </c>
      <c r="C1754" t="s">
        <v>818</v>
      </c>
      <c r="D1754" s="1">
        <v>44844</v>
      </c>
      <c r="E1754">
        <v>8</v>
      </c>
      <c r="F1754">
        <v>3.6406206559055301</v>
      </c>
      <c r="G1754" s="1">
        <v>44858</v>
      </c>
      <c r="H1754" s="1">
        <v>44860</v>
      </c>
      <c r="I1754">
        <v>29.124965247244301</v>
      </c>
      <c r="J1754">
        <f t="shared" si="162"/>
        <v>2</v>
      </c>
      <c r="K1754" t="str">
        <f>VLOOKUP(B1754,Raw_Suppliers!$A$2:$G$101,2,FALSE)</f>
        <v>Pioneer Ultra GmbH</v>
      </c>
      <c r="L1754" t="str">
        <f>VLOOKUP(B1754,Raw_Suppliers!$A$2:$G$101,3,FALSE)</f>
        <v>China</v>
      </c>
      <c r="M1754" t="str">
        <f>VLOOKUP(B1754,Raw_Suppliers!$A$2:$G$101,4,FALSE)</f>
        <v>Central</v>
      </c>
      <c r="N1754" t="str">
        <f>VLOOKUP(B1754,Raw_Suppliers!$A$2:$G$101,6,FALSE)</f>
        <v>ISO 9001</v>
      </c>
      <c r="O1754">
        <f>VLOOKUP(B1754,Raw_Suppliers!$A$2:$G$101,7,FALSE)</f>
        <v>0</v>
      </c>
      <c r="P1754" t="str">
        <f t="shared" si="163"/>
        <v>No</v>
      </c>
      <c r="Q1754">
        <f t="shared" si="164"/>
        <v>0</v>
      </c>
      <c r="R1754" t="str">
        <f t="shared" si="165"/>
        <v>Late</v>
      </c>
      <c r="S1754">
        <f t="shared" si="166"/>
        <v>2022</v>
      </c>
      <c r="T1754">
        <f t="shared" si="167"/>
        <v>10</v>
      </c>
    </row>
    <row r="1755" spans="1:20" x14ac:dyDescent="0.25">
      <c r="A1755" t="s">
        <v>2062</v>
      </c>
      <c r="B1755" t="s">
        <v>240</v>
      </c>
      <c r="C1755" t="s">
        <v>587</v>
      </c>
      <c r="D1755" s="1">
        <v>44267</v>
      </c>
      <c r="E1755">
        <v>9</v>
      </c>
      <c r="F1755">
        <v>17.9684627353877</v>
      </c>
      <c r="G1755" s="1">
        <v>44281</v>
      </c>
      <c r="H1755" s="1">
        <v>44283</v>
      </c>
      <c r="I1755">
        <v>161.71616461848899</v>
      </c>
      <c r="J1755">
        <f t="shared" si="162"/>
        <v>2</v>
      </c>
      <c r="K1755" t="str">
        <f>VLOOKUP(B1755,Raw_Suppliers!$A$2:$G$101,2,FALSE)</f>
        <v>Apex Omega LLC</v>
      </c>
      <c r="L1755" t="str">
        <f>VLOOKUP(B1755,Raw_Suppliers!$A$2:$G$101,3,FALSE)</f>
        <v>UK</v>
      </c>
      <c r="M1755" t="str">
        <f>VLOOKUP(B1755,Raw_Suppliers!$A$2:$G$101,4,FALSE)</f>
        <v>South</v>
      </c>
      <c r="N1755" t="str">
        <f>VLOOKUP(B1755,Raw_Suppliers!$A$2:$G$101,6,FALSE)</f>
        <v>ISO 9001</v>
      </c>
      <c r="O1755">
        <f>VLOOKUP(B1755,Raw_Suppliers!$A$2:$G$101,7,FALSE)</f>
        <v>0</v>
      </c>
      <c r="P1755" t="str">
        <f t="shared" si="163"/>
        <v>No</v>
      </c>
      <c r="Q1755">
        <f t="shared" si="164"/>
        <v>0</v>
      </c>
      <c r="R1755" t="str">
        <f t="shared" si="165"/>
        <v>Late</v>
      </c>
      <c r="S1755">
        <f t="shared" si="166"/>
        <v>2021</v>
      </c>
      <c r="T1755">
        <f t="shared" si="167"/>
        <v>3</v>
      </c>
    </row>
    <row r="1756" spans="1:20" x14ac:dyDescent="0.25">
      <c r="A1756" t="s">
        <v>2063</v>
      </c>
      <c r="B1756" t="s">
        <v>40</v>
      </c>
      <c r="C1756" t="s">
        <v>110</v>
      </c>
      <c r="D1756" s="1">
        <v>45088</v>
      </c>
      <c r="E1756">
        <v>7</v>
      </c>
      <c r="F1756">
        <v>42.474047699883101</v>
      </c>
      <c r="G1756" s="1">
        <v>45101</v>
      </c>
      <c r="H1756" s="1">
        <v>45104</v>
      </c>
      <c r="I1756">
        <v>297.31833389918199</v>
      </c>
      <c r="J1756">
        <f t="shared" si="162"/>
        <v>3</v>
      </c>
      <c r="K1756" t="str">
        <f>VLOOKUP(B1756,Raw_Suppliers!$A$2:$G$101,2,FALSE)</f>
        <v>Ultra Apex Inc</v>
      </c>
      <c r="L1756" t="str">
        <f>VLOOKUP(B1756,Raw_Suppliers!$A$2:$G$101,3,FALSE)</f>
        <v>India</v>
      </c>
      <c r="M1756" t="str">
        <f>VLOOKUP(B1756,Raw_Suppliers!$A$2:$G$101,4,FALSE)</f>
        <v>West</v>
      </c>
      <c r="N1756" t="str">
        <f>VLOOKUP(B1756,Raw_Suppliers!$A$2:$G$101,6,FALSE)</f>
        <v>ISO 9001</v>
      </c>
      <c r="O1756">
        <f>VLOOKUP(B1756,Raw_Suppliers!$A$2:$G$101,7,FALSE)</f>
        <v>0</v>
      </c>
      <c r="P1756" t="str">
        <f t="shared" si="163"/>
        <v>No</v>
      </c>
      <c r="Q1756">
        <f t="shared" si="164"/>
        <v>0</v>
      </c>
      <c r="R1756" t="str">
        <f t="shared" si="165"/>
        <v>Late</v>
      </c>
      <c r="S1756">
        <f t="shared" si="166"/>
        <v>2023</v>
      </c>
      <c r="T1756">
        <f t="shared" si="167"/>
        <v>6</v>
      </c>
    </row>
    <row r="1757" spans="1:20" x14ac:dyDescent="0.25">
      <c r="A1757" t="s">
        <v>2064</v>
      </c>
      <c r="B1757" t="s">
        <v>256</v>
      </c>
      <c r="C1757" t="s">
        <v>131</v>
      </c>
      <c r="D1757" s="1">
        <v>44864</v>
      </c>
      <c r="E1757">
        <v>8</v>
      </c>
      <c r="F1757">
        <v>63.250292104427402</v>
      </c>
      <c r="G1757" s="1">
        <v>44886</v>
      </c>
      <c r="H1757" s="1">
        <v>44889</v>
      </c>
      <c r="I1757">
        <v>506.00233683541899</v>
      </c>
      <c r="J1757">
        <f t="shared" si="162"/>
        <v>3</v>
      </c>
      <c r="K1757" t="str">
        <f>VLOOKUP(B1757,Raw_Suppliers!$A$2:$G$101,2,FALSE)</f>
        <v>Apex Eco Ltd</v>
      </c>
      <c r="L1757" t="str">
        <f>VLOOKUP(B1757,Raw_Suppliers!$A$2:$G$101,3,FALSE)</f>
        <v>USA</v>
      </c>
      <c r="M1757" t="str">
        <f>VLOOKUP(B1757,Raw_Suppliers!$A$2:$G$101,4,FALSE)</f>
        <v>North</v>
      </c>
      <c r="N1757" t="str">
        <f>VLOOKUP(B1757,Raw_Suppliers!$A$2:$G$101,6,FALSE)</f>
        <v>ISO 45001</v>
      </c>
      <c r="O1757">
        <f>VLOOKUP(B1757,Raw_Suppliers!$A$2:$G$101,7,FALSE)</f>
        <v>0</v>
      </c>
      <c r="P1757" t="str">
        <f t="shared" si="163"/>
        <v>No</v>
      </c>
      <c r="Q1757">
        <f t="shared" si="164"/>
        <v>0</v>
      </c>
      <c r="R1757" t="str">
        <f t="shared" si="165"/>
        <v>Late</v>
      </c>
      <c r="S1757">
        <f t="shared" si="166"/>
        <v>2022</v>
      </c>
      <c r="T1757">
        <f t="shared" si="167"/>
        <v>10</v>
      </c>
    </row>
    <row r="1758" spans="1:20" x14ac:dyDescent="0.25">
      <c r="A1758" t="s">
        <v>2065</v>
      </c>
      <c r="B1758" t="s">
        <v>121</v>
      </c>
      <c r="C1758" t="s">
        <v>184</v>
      </c>
      <c r="D1758" s="1">
        <v>44219</v>
      </c>
      <c r="E1758">
        <v>12</v>
      </c>
      <c r="F1758">
        <v>63.094701238240901</v>
      </c>
      <c r="G1758" s="1">
        <v>44230</v>
      </c>
      <c r="H1758" s="1">
        <v>44227</v>
      </c>
      <c r="I1758">
        <v>757.13641485889002</v>
      </c>
      <c r="J1758">
        <f t="shared" si="162"/>
        <v>-3</v>
      </c>
      <c r="K1758" t="str">
        <f>VLOOKUP(B1758,Raw_Suppliers!$A$2:$G$101,2,FALSE)</f>
        <v>Vertex Vertex Inc</v>
      </c>
      <c r="L1758" t="str">
        <f>VLOOKUP(B1758,Raw_Suppliers!$A$2:$G$101,3,FALSE)</f>
        <v>USA</v>
      </c>
      <c r="M1758" t="str">
        <f>VLOOKUP(B1758,Raw_Suppliers!$A$2:$G$101,4,FALSE)</f>
        <v>West</v>
      </c>
      <c r="N1758" t="str">
        <f>VLOOKUP(B1758,Raw_Suppliers!$A$2:$G$101,6,FALSE)</f>
        <v>None</v>
      </c>
      <c r="O1758">
        <f>VLOOKUP(B1758,Raw_Suppliers!$A$2:$G$101,7,FALSE)</f>
        <v>0</v>
      </c>
      <c r="P1758" t="str">
        <f t="shared" si="163"/>
        <v>No</v>
      </c>
      <c r="Q1758">
        <f t="shared" si="164"/>
        <v>1</v>
      </c>
      <c r="R1758" t="str">
        <f t="shared" si="165"/>
        <v>On Time</v>
      </c>
      <c r="S1758">
        <f t="shared" si="166"/>
        <v>2021</v>
      </c>
      <c r="T1758">
        <f t="shared" si="167"/>
        <v>1</v>
      </c>
    </row>
    <row r="1759" spans="1:20" x14ac:dyDescent="0.25">
      <c r="A1759" t="s">
        <v>2066</v>
      </c>
      <c r="B1759" t="s">
        <v>314</v>
      </c>
      <c r="C1759" t="s">
        <v>308</v>
      </c>
      <c r="D1759" s="1">
        <v>44350</v>
      </c>
      <c r="E1759">
        <v>8</v>
      </c>
      <c r="F1759">
        <v>10.9844602779333</v>
      </c>
      <c r="G1759" s="1">
        <v>44368</v>
      </c>
      <c r="H1759" s="1">
        <v>44372</v>
      </c>
      <c r="I1759">
        <v>87.875682223466598</v>
      </c>
      <c r="J1759">
        <f t="shared" si="162"/>
        <v>4</v>
      </c>
      <c r="K1759" t="str">
        <f>VLOOKUP(B1759,Raw_Suppliers!$A$2:$G$101,2,FALSE)</f>
        <v>Gamma Nova Ltd</v>
      </c>
      <c r="L1759" t="str">
        <f>VLOOKUP(B1759,Raw_Suppliers!$A$2:$G$101,3,FALSE)</f>
        <v>USA</v>
      </c>
      <c r="M1759" t="str">
        <f>VLOOKUP(B1759,Raw_Suppliers!$A$2:$G$101,4,FALSE)</f>
        <v>North</v>
      </c>
      <c r="N1759" t="str">
        <f>VLOOKUP(B1759,Raw_Suppliers!$A$2:$G$101,6,FALSE)</f>
        <v>ISO 45001</v>
      </c>
      <c r="O1759">
        <f>VLOOKUP(B1759,Raw_Suppliers!$A$2:$G$101,7,FALSE)</f>
        <v>0</v>
      </c>
      <c r="P1759" t="str">
        <f t="shared" si="163"/>
        <v>No</v>
      </c>
      <c r="Q1759">
        <f t="shared" si="164"/>
        <v>0</v>
      </c>
      <c r="R1759" t="str">
        <f t="shared" si="165"/>
        <v>Late</v>
      </c>
      <c r="S1759">
        <f t="shared" si="166"/>
        <v>2021</v>
      </c>
      <c r="T1759">
        <f t="shared" si="167"/>
        <v>6</v>
      </c>
    </row>
    <row r="1760" spans="1:20" x14ac:dyDescent="0.25">
      <c r="A1760" t="s">
        <v>2067</v>
      </c>
      <c r="B1760" t="s">
        <v>43</v>
      </c>
      <c r="C1760" t="s">
        <v>163</v>
      </c>
      <c r="D1760" s="1">
        <v>44525</v>
      </c>
      <c r="E1760">
        <v>6</v>
      </c>
      <c r="F1760">
        <v>71.512663280073099</v>
      </c>
      <c r="G1760" s="1">
        <v>44541</v>
      </c>
      <c r="H1760" s="1">
        <v>44545</v>
      </c>
      <c r="I1760">
        <v>429.07597968043899</v>
      </c>
      <c r="J1760">
        <f t="shared" si="162"/>
        <v>4</v>
      </c>
      <c r="K1760" t="str">
        <f>VLOOKUP(B1760,Raw_Suppliers!$A$2:$G$101,2,FALSE)</f>
        <v>Alpha Ultra Corp</v>
      </c>
      <c r="L1760" t="str">
        <f>VLOOKUP(B1760,Raw_Suppliers!$A$2:$G$101,3,FALSE)</f>
        <v>USA</v>
      </c>
      <c r="M1760" t="str">
        <f>VLOOKUP(B1760,Raw_Suppliers!$A$2:$G$101,4,FALSE)</f>
        <v>Central</v>
      </c>
      <c r="N1760" t="str">
        <f>VLOOKUP(B1760,Raw_Suppliers!$A$2:$G$101,6,FALSE)</f>
        <v>ISO 9001</v>
      </c>
      <c r="O1760">
        <f>VLOOKUP(B1760,Raw_Suppliers!$A$2:$G$101,7,FALSE)</f>
        <v>1</v>
      </c>
      <c r="P1760" t="str">
        <f t="shared" si="163"/>
        <v>Yes</v>
      </c>
      <c r="Q1760">
        <f t="shared" si="164"/>
        <v>0</v>
      </c>
      <c r="R1760" t="str">
        <f t="shared" si="165"/>
        <v>Late</v>
      </c>
      <c r="S1760">
        <f t="shared" si="166"/>
        <v>2021</v>
      </c>
      <c r="T1760">
        <f t="shared" si="167"/>
        <v>11</v>
      </c>
    </row>
    <row r="1761" spans="1:20" x14ac:dyDescent="0.25">
      <c r="A1761" t="s">
        <v>2068</v>
      </c>
      <c r="B1761" t="s">
        <v>22</v>
      </c>
      <c r="C1761" t="s">
        <v>268</v>
      </c>
      <c r="D1761" s="1">
        <v>44648</v>
      </c>
      <c r="E1761">
        <v>13</v>
      </c>
      <c r="F1761">
        <v>68.664546894957297</v>
      </c>
      <c r="G1761" s="1">
        <v>44661</v>
      </c>
      <c r="H1761" s="1">
        <v>44662</v>
      </c>
      <c r="I1761">
        <v>892.63910963444505</v>
      </c>
      <c r="J1761">
        <f t="shared" si="162"/>
        <v>1</v>
      </c>
      <c r="K1761" t="str">
        <f>VLOOKUP(B1761,Raw_Suppliers!$A$2:$G$101,2,FALSE)</f>
        <v>Delta Gamma Corp</v>
      </c>
      <c r="L1761" t="str">
        <f>VLOOKUP(B1761,Raw_Suppliers!$A$2:$G$101,3,FALSE)</f>
        <v>Denmark</v>
      </c>
      <c r="M1761" t="str">
        <f>VLOOKUP(B1761,Raw_Suppliers!$A$2:$G$101,4,FALSE)</f>
        <v>West</v>
      </c>
      <c r="N1761" t="str">
        <f>VLOOKUP(B1761,Raw_Suppliers!$A$2:$G$101,6,FALSE)</f>
        <v>ISO 45001</v>
      </c>
      <c r="O1761">
        <f>VLOOKUP(B1761,Raw_Suppliers!$A$2:$G$101,7,FALSE)</f>
        <v>1</v>
      </c>
      <c r="P1761" t="str">
        <f t="shared" si="163"/>
        <v>Yes</v>
      </c>
      <c r="Q1761">
        <f t="shared" si="164"/>
        <v>0</v>
      </c>
      <c r="R1761" t="str">
        <f t="shared" si="165"/>
        <v>Late</v>
      </c>
      <c r="S1761">
        <f t="shared" si="166"/>
        <v>2022</v>
      </c>
      <c r="T1761">
        <f t="shared" si="167"/>
        <v>3</v>
      </c>
    </row>
    <row r="1762" spans="1:20" x14ac:dyDescent="0.25">
      <c r="A1762" t="s">
        <v>2069</v>
      </c>
      <c r="B1762" t="s">
        <v>556</v>
      </c>
      <c r="C1762" t="s">
        <v>192</v>
      </c>
      <c r="D1762" s="1">
        <v>44291</v>
      </c>
      <c r="E1762">
        <v>9</v>
      </c>
      <c r="F1762">
        <v>55.667211285443997</v>
      </c>
      <c r="G1762" s="1">
        <v>44312</v>
      </c>
      <c r="H1762" s="1">
        <v>44318</v>
      </c>
      <c r="I1762">
        <v>501.00490156899599</v>
      </c>
      <c r="J1762">
        <f t="shared" si="162"/>
        <v>6</v>
      </c>
      <c r="K1762" t="str">
        <f>VLOOKUP(B1762,Raw_Suppliers!$A$2:$G$101,2,FALSE)</f>
        <v>Ultra Delta Ltd</v>
      </c>
      <c r="L1762" t="str">
        <f>VLOOKUP(B1762,Raw_Suppliers!$A$2:$G$101,3,FALSE)</f>
        <v>China</v>
      </c>
      <c r="M1762" t="str">
        <f>VLOOKUP(B1762,Raw_Suppliers!$A$2:$G$101,4,FALSE)</f>
        <v>Central</v>
      </c>
      <c r="N1762" t="str">
        <f>VLOOKUP(B1762,Raw_Suppliers!$A$2:$G$101,6,FALSE)</f>
        <v>ISO 45001</v>
      </c>
      <c r="O1762">
        <f>VLOOKUP(B1762,Raw_Suppliers!$A$2:$G$101,7,FALSE)</f>
        <v>0</v>
      </c>
      <c r="P1762" t="str">
        <f t="shared" si="163"/>
        <v>No</v>
      </c>
      <c r="Q1762">
        <f t="shared" si="164"/>
        <v>0</v>
      </c>
      <c r="R1762" t="str">
        <f t="shared" si="165"/>
        <v>Late</v>
      </c>
      <c r="S1762">
        <f t="shared" si="166"/>
        <v>2021</v>
      </c>
      <c r="T1762">
        <f t="shared" si="167"/>
        <v>4</v>
      </c>
    </row>
    <row r="1763" spans="1:20" x14ac:dyDescent="0.25">
      <c r="A1763" t="s">
        <v>2070</v>
      </c>
      <c r="B1763" t="s">
        <v>16</v>
      </c>
      <c r="C1763" t="s">
        <v>990</v>
      </c>
      <c r="D1763" s="1">
        <v>44226</v>
      </c>
      <c r="E1763">
        <v>6</v>
      </c>
      <c r="F1763">
        <v>67.096314458516204</v>
      </c>
      <c r="G1763" s="1">
        <v>44242</v>
      </c>
      <c r="H1763" s="1">
        <v>44247</v>
      </c>
      <c r="I1763">
        <v>402.57788675109703</v>
      </c>
      <c r="J1763">
        <f t="shared" si="162"/>
        <v>5</v>
      </c>
      <c r="K1763" t="str">
        <f>VLOOKUP(B1763,Raw_Suppliers!$A$2:$G$101,2,FALSE)</f>
        <v>Beta Pioneer Inc</v>
      </c>
      <c r="L1763" t="str">
        <f>VLOOKUP(B1763,Raw_Suppliers!$A$2:$G$101,3,FALSE)</f>
        <v>USA</v>
      </c>
      <c r="M1763" t="str">
        <f>VLOOKUP(B1763,Raw_Suppliers!$A$2:$G$101,4,FALSE)</f>
        <v>Central</v>
      </c>
      <c r="N1763" t="str">
        <f>VLOOKUP(B1763,Raw_Suppliers!$A$2:$G$101,6,FALSE)</f>
        <v>ISO 45001</v>
      </c>
      <c r="O1763">
        <f>VLOOKUP(B1763,Raw_Suppliers!$A$2:$G$101,7,FALSE)</f>
        <v>1</v>
      </c>
      <c r="P1763" t="str">
        <f t="shared" si="163"/>
        <v>Yes</v>
      </c>
      <c r="Q1763">
        <f t="shared" si="164"/>
        <v>0</v>
      </c>
      <c r="R1763" t="str">
        <f t="shared" si="165"/>
        <v>Late</v>
      </c>
      <c r="S1763">
        <f t="shared" si="166"/>
        <v>2021</v>
      </c>
      <c r="T1763">
        <f t="shared" si="167"/>
        <v>1</v>
      </c>
    </row>
    <row r="1764" spans="1:20" x14ac:dyDescent="0.25">
      <c r="A1764" t="s">
        <v>2071</v>
      </c>
      <c r="B1764" t="s">
        <v>250</v>
      </c>
      <c r="C1764" t="s">
        <v>20</v>
      </c>
      <c r="D1764" s="1">
        <v>45347</v>
      </c>
      <c r="E1764">
        <v>14</v>
      </c>
      <c r="F1764">
        <v>30.797590442696201</v>
      </c>
      <c r="G1764" s="1">
        <v>45365</v>
      </c>
      <c r="H1764" s="1">
        <v>45370</v>
      </c>
      <c r="I1764">
        <v>431.16626619774701</v>
      </c>
      <c r="J1764">
        <f t="shared" si="162"/>
        <v>5</v>
      </c>
      <c r="K1764" t="str">
        <f>VLOOKUP(B1764,Raw_Suppliers!$A$2:$G$101,2,FALSE)</f>
        <v>Fusion Fusion Inc</v>
      </c>
      <c r="L1764" t="str">
        <f>VLOOKUP(B1764,Raw_Suppliers!$A$2:$G$101,3,FALSE)</f>
        <v>India</v>
      </c>
      <c r="M1764" t="str">
        <f>VLOOKUP(B1764,Raw_Suppliers!$A$2:$G$101,4,FALSE)</f>
        <v>South</v>
      </c>
      <c r="N1764" t="str">
        <f>VLOOKUP(B1764,Raw_Suppliers!$A$2:$G$101,6,FALSE)</f>
        <v>ISO 9001</v>
      </c>
      <c r="O1764">
        <f>VLOOKUP(B1764,Raw_Suppliers!$A$2:$G$101,7,FALSE)</f>
        <v>0</v>
      </c>
      <c r="P1764" t="str">
        <f t="shared" si="163"/>
        <v>No</v>
      </c>
      <c r="Q1764">
        <f t="shared" si="164"/>
        <v>0</v>
      </c>
      <c r="R1764" t="str">
        <f t="shared" si="165"/>
        <v>Late</v>
      </c>
      <c r="S1764">
        <f t="shared" si="166"/>
        <v>2024</v>
      </c>
      <c r="T1764">
        <f t="shared" si="167"/>
        <v>2</v>
      </c>
    </row>
    <row r="1765" spans="1:20" x14ac:dyDescent="0.25">
      <c r="A1765" t="s">
        <v>2072</v>
      </c>
      <c r="B1765" t="s">
        <v>301</v>
      </c>
      <c r="C1765" t="s">
        <v>589</v>
      </c>
      <c r="D1765" s="1">
        <v>44387</v>
      </c>
      <c r="E1765">
        <v>6</v>
      </c>
      <c r="F1765">
        <v>10.1572412132577</v>
      </c>
      <c r="G1765" s="1">
        <v>44406</v>
      </c>
      <c r="H1765" s="1">
        <v>44412</v>
      </c>
      <c r="I1765">
        <v>60.943447279546596</v>
      </c>
      <c r="J1765">
        <f t="shared" si="162"/>
        <v>6</v>
      </c>
      <c r="K1765" t="str">
        <f>VLOOKUP(B1765,Raw_Suppliers!$A$2:$G$101,2,FALSE)</f>
        <v>Beta Eco Inc</v>
      </c>
      <c r="L1765" t="str">
        <f>VLOOKUP(B1765,Raw_Suppliers!$A$2:$G$101,3,FALSE)</f>
        <v>Denmark</v>
      </c>
      <c r="M1765" t="str">
        <f>VLOOKUP(B1765,Raw_Suppliers!$A$2:$G$101,4,FALSE)</f>
        <v>South</v>
      </c>
      <c r="N1765" t="str">
        <f>VLOOKUP(B1765,Raw_Suppliers!$A$2:$G$101,6,FALSE)</f>
        <v>ISO 14001</v>
      </c>
      <c r="O1765">
        <f>VLOOKUP(B1765,Raw_Suppliers!$A$2:$G$101,7,FALSE)</f>
        <v>1</v>
      </c>
      <c r="P1765" t="str">
        <f t="shared" si="163"/>
        <v>Yes</v>
      </c>
      <c r="Q1765">
        <f t="shared" si="164"/>
        <v>0</v>
      </c>
      <c r="R1765" t="str">
        <f t="shared" si="165"/>
        <v>Late</v>
      </c>
      <c r="S1765">
        <f t="shared" si="166"/>
        <v>2021</v>
      </c>
      <c r="T1765">
        <f t="shared" si="167"/>
        <v>7</v>
      </c>
    </row>
    <row r="1766" spans="1:20" x14ac:dyDescent="0.25">
      <c r="A1766" t="s">
        <v>2073</v>
      </c>
      <c r="B1766" t="s">
        <v>427</v>
      </c>
      <c r="C1766" t="s">
        <v>527</v>
      </c>
      <c r="D1766" s="1">
        <v>44373</v>
      </c>
      <c r="E1766">
        <v>11</v>
      </c>
      <c r="F1766">
        <v>14.8470948046714</v>
      </c>
      <c r="G1766" s="1">
        <v>44383</v>
      </c>
      <c r="H1766" s="1">
        <v>44389</v>
      </c>
      <c r="I1766">
        <v>163.318042851385</v>
      </c>
      <c r="J1766">
        <f t="shared" si="162"/>
        <v>6</v>
      </c>
      <c r="K1766" t="str">
        <f>VLOOKUP(B1766,Raw_Suppliers!$A$2:$G$101,2,FALSE)</f>
        <v>Nova Alpha Corp</v>
      </c>
      <c r="L1766" t="str">
        <f>VLOOKUP(B1766,Raw_Suppliers!$A$2:$G$101,3,FALSE)</f>
        <v>Denmark</v>
      </c>
      <c r="M1766" t="str">
        <f>VLOOKUP(B1766,Raw_Suppliers!$A$2:$G$101,4,FALSE)</f>
        <v>Central</v>
      </c>
      <c r="N1766" t="str">
        <f>VLOOKUP(B1766,Raw_Suppliers!$A$2:$G$101,6,FALSE)</f>
        <v>None</v>
      </c>
      <c r="O1766">
        <f>VLOOKUP(B1766,Raw_Suppliers!$A$2:$G$101,7,FALSE)</f>
        <v>0</v>
      </c>
      <c r="P1766" t="str">
        <f t="shared" si="163"/>
        <v>No</v>
      </c>
      <c r="Q1766">
        <f t="shared" si="164"/>
        <v>0</v>
      </c>
      <c r="R1766" t="str">
        <f t="shared" si="165"/>
        <v>Late</v>
      </c>
      <c r="S1766">
        <f t="shared" si="166"/>
        <v>2021</v>
      </c>
      <c r="T1766">
        <f t="shared" si="167"/>
        <v>6</v>
      </c>
    </row>
    <row r="1767" spans="1:20" x14ac:dyDescent="0.25">
      <c r="A1767" t="s">
        <v>2074</v>
      </c>
      <c r="B1767" t="s">
        <v>114</v>
      </c>
      <c r="C1767" t="s">
        <v>383</v>
      </c>
      <c r="D1767" s="1">
        <v>44866</v>
      </c>
      <c r="E1767">
        <v>6</v>
      </c>
      <c r="F1767">
        <v>40.398856359504201</v>
      </c>
      <c r="G1767" s="1">
        <v>44888</v>
      </c>
      <c r="H1767" s="1">
        <v>44889</v>
      </c>
      <c r="I1767">
        <v>242.39313815702499</v>
      </c>
      <c r="J1767">
        <f t="shared" si="162"/>
        <v>1</v>
      </c>
      <c r="K1767" t="str">
        <f>VLOOKUP(B1767,Raw_Suppliers!$A$2:$G$101,2,FALSE)</f>
        <v>Fusion Fusion LLC</v>
      </c>
      <c r="L1767" t="str">
        <f>VLOOKUP(B1767,Raw_Suppliers!$A$2:$G$101,3,FALSE)</f>
        <v>China</v>
      </c>
      <c r="M1767" t="str">
        <f>VLOOKUP(B1767,Raw_Suppliers!$A$2:$G$101,4,FALSE)</f>
        <v>North</v>
      </c>
      <c r="N1767" t="str">
        <f>VLOOKUP(B1767,Raw_Suppliers!$A$2:$G$101,6,FALSE)</f>
        <v>ISO 45001</v>
      </c>
      <c r="O1767">
        <f>VLOOKUP(B1767,Raw_Suppliers!$A$2:$G$101,7,FALSE)</f>
        <v>1</v>
      </c>
      <c r="P1767" t="str">
        <f t="shared" si="163"/>
        <v>Yes</v>
      </c>
      <c r="Q1767">
        <f t="shared" si="164"/>
        <v>0</v>
      </c>
      <c r="R1767" t="str">
        <f t="shared" si="165"/>
        <v>Late</v>
      </c>
      <c r="S1767">
        <f t="shared" si="166"/>
        <v>2022</v>
      </c>
      <c r="T1767">
        <f t="shared" si="167"/>
        <v>11</v>
      </c>
    </row>
    <row r="1768" spans="1:20" x14ac:dyDescent="0.25">
      <c r="A1768" t="s">
        <v>2075</v>
      </c>
      <c r="B1768" t="s">
        <v>58</v>
      </c>
      <c r="C1768" t="s">
        <v>44</v>
      </c>
      <c r="D1768" s="1">
        <v>44780</v>
      </c>
      <c r="E1768">
        <v>16</v>
      </c>
      <c r="F1768">
        <v>16.832908866817899</v>
      </c>
      <c r="G1768" s="1">
        <v>44790</v>
      </c>
      <c r="H1768" s="1">
        <v>44794</v>
      </c>
      <c r="I1768">
        <v>269.32654186908701</v>
      </c>
      <c r="J1768">
        <f t="shared" si="162"/>
        <v>4</v>
      </c>
      <c r="K1768" t="str">
        <f>VLOOKUP(B1768,Raw_Suppliers!$A$2:$G$101,2,FALSE)</f>
        <v>Quantum Nano Inc</v>
      </c>
      <c r="L1768" t="str">
        <f>VLOOKUP(B1768,Raw_Suppliers!$A$2:$G$101,3,FALSE)</f>
        <v>Brazil</v>
      </c>
      <c r="M1768" t="str">
        <f>VLOOKUP(B1768,Raw_Suppliers!$A$2:$G$101,4,FALSE)</f>
        <v>East</v>
      </c>
      <c r="N1768" t="str">
        <f>VLOOKUP(B1768,Raw_Suppliers!$A$2:$G$101,6,FALSE)</f>
        <v>ISO 9001</v>
      </c>
      <c r="O1768">
        <f>VLOOKUP(B1768,Raw_Suppliers!$A$2:$G$101,7,FALSE)</f>
        <v>1</v>
      </c>
      <c r="P1768" t="str">
        <f t="shared" si="163"/>
        <v>Yes</v>
      </c>
      <c r="Q1768">
        <f t="shared" si="164"/>
        <v>0</v>
      </c>
      <c r="R1768" t="str">
        <f t="shared" si="165"/>
        <v>Late</v>
      </c>
      <c r="S1768">
        <f t="shared" si="166"/>
        <v>2022</v>
      </c>
      <c r="T1768">
        <f t="shared" si="167"/>
        <v>8</v>
      </c>
    </row>
    <row r="1769" spans="1:20" x14ac:dyDescent="0.25">
      <c r="A1769" t="s">
        <v>2076</v>
      </c>
      <c r="B1769" t="s">
        <v>46</v>
      </c>
      <c r="C1769" t="s">
        <v>408</v>
      </c>
      <c r="D1769" s="1">
        <v>44355</v>
      </c>
      <c r="E1769">
        <v>11</v>
      </c>
      <c r="F1769">
        <v>6.6341008479483499</v>
      </c>
      <c r="G1769" s="1">
        <v>44368</v>
      </c>
      <c r="H1769" s="1">
        <v>44367</v>
      </c>
      <c r="I1769">
        <v>72.975109327431895</v>
      </c>
      <c r="J1769">
        <f t="shared" si="162"/>
        <v>-1</v>
      </c>
      <c r="K1769" t="str">
        <f>VLOOKUP(B1769,Raw_Suppliers!$A$2:$G$101,2,FALSE)</f>
        <v>Prime Prime Inc</v>
      </c>
      <c r="L1769" t="str">
        <f>VLOOKUP(B1769,Raw_Suppliers!$A$2:$G$101,3,FALSE)</f>
        <v>UK</v>
      </c>
      <c r="M1769" t="str">
        <f>VLOOKUP(B1769,Raw_Suppliers!$A$2:$G$101,4,FALSE)</f>
        <v>South</v>
      </c>
      <c r="N1769" t="str">
        <f>VLOOKUP(B1769,Raw_Suppliers!$A$2:$G$101,6,FALSE)</f>
        <v>None</v>
      </c>
      <c r="O1769">
        <f>VLOOKUP(B1769,Raw_Suppliers!$A$2:$G$101,7,FALSE)</f>
        <v>1</v>
      </c>
      <c r="P1769" t="str">
        <f t="shared" si="163"/>
        <v>Yes</v>
      </c>
      <c r="Q1769">
        <f t="shared" si="164"/>
        <v>1</v>
      </c>
      <c r="R1769" t="str">
        <f t="shared" si="165"/>
        <v>On Time</v>
      </c>
      <c r="S1769">
        <f t="shared" si="166"/>
        <v>2021</v>
      </c>
      <c r="T1769">
        <f t="shared" si="167"/>
        <v>6</v>
      </c>
    </row>
    <row r="1770" spans="1:20" x14ac:dyDescent="0.25">
      <c r="A1770" t="s">
        <v>2077</v>
      </c>
      <c r="B1770" t="s">
        <v>73</v>
      </c>
      <c r="C1770" t="s">
        <v>212</v>
      </c>
      <c r="D1770" s="1">
        <v>44333</v>
      </c>
      <c r="E1770">
        <v>13</v>
      </c>
      <c r="F1770">
        <v>21.4424433654744</v>
      </c>
      <c r="G1770" s="1">
        <v>44345</v>
      </c>
      <c r="H1770" s="1">
        <v>44347</v>
      </c>
      <c r="I1770">
        <v>278.75176375116803</v>
      </c>
      <c r="J1770">
        <f t="shared" si="162"/>
        <v>2</v>
      </c>
      <c r="K1770" t="str">
        <f>VLOOKUP(B1770,Raw_Suppliers!$A$2:$G$101,2,FALSE)</f>
        <v>Gamma Quantum LLC</v>
      </c>
      <c r="L1770" t="str">
        <f>VLOOKUP(B1770,Raw_Suppliers!$A$2:$G$101,3,FALSE)</f>
        <v>Germany</v>
      </c>
      <c r="M1770" t="str">
        <f>VLOOKUP(B1770,Raw_Suppliers!$A$2:$G$101,4,FALSE)</f>
        <v>Central</v>
      </c>
      <c r="N1770" t="str">
        <f>VLOOKUP(B1770,Raw_Suppliers!$A$2:$G$101,6,FALSE)</f>
        <v>ISO 9001</v>
      </c>
      <c r="O1770">
        <f>VLOOKUP(B1770,Raw_Suppliers!$A$2:$G$101,7,FALSE)</f>
        <v>1</v>
      </c>
      <c r="P1770" t="str">
        <f t="shared" si="163"/>
        <v>Yes</v>
      </c>
      <c r="Q1770">
        <f t="shared" si="164"/>
        <v>0</v>
      </c>
      <c r="R1770" t="str">
        <f t="shared" si="165"/>
        <v>Late</v>
      </c>
      <c r="S1770">
        <f t="shared" si="166"/>
        <v>2021</v>
      </c>
      <c r="T1770">
        <f t="shared" si="167"/>
        <v>5</v>
      </c>
    </row>
    <row r="1771" spans="1:20" x14ac:dyDescent="0.25">
      <c r="A1771" t="s">
        <v>2078</v>
      </c>
      <c r="B1771" t="s">
        <v>485</v>
      </c>
      <c r="C1771" t="s">
        <v>629</v>
      </c>
      <c r="D1771" s="1">
        <v>44993</v>
      </c>
      <c r="E1771">
        <v>8</v>
      </c>
      <c r="F1771">
        <v>67.783710886723</v>
      </c>
      <c r="G1771" s="1">
        <v>45011</v>
      </c>
      <c r="H1771" s="1">
        <v>45009</v>
      </c>
      <c r="I1771">
        <v>542.269687093784</v>
      </c>
      <c r="J1771">
        <f t="shared" si="162"/>
        <v>-2</v>
      </c>
      <c r="K1771" t="str">
        <f>VLOOKUP(B1771,Raw_Suppliers!$A$2:$G$101,2,FALSE)</f>
        <v>Ultra Quantum Ltd</v>
      </c>
      <c r="L1771" t="str">
        <f>VLOOKUP(B1771,Raw_Suppliers!$A$2:$G$101,3,FALSE)</f>
        <v>Canada</v>
      </c>
      <c r="M1771" t="str">
        <f>VLOOKUP(B1771,Raw_Suppliers!$A$2:$G$101,4,FALSE)</f>
        <v>North</v>
      </c>
      <c r="N1771" t="str">
        <f>VLOOKUP(B1771,Raw_Suppliers!$A$2:$G$101,6,FALSE)</f>
        <v>ISO 14001</v>
      </c>
      <c r="O1771">
        <f>VLOOKUP(B1771,Raw_Suppliers!$A$2:$G$101,7,FALSE)</f>
        <v>0</v>
      </c>
      <c r="P1771" t="str">
        <f t="shared" si="163"/>
        <v>No</v>
      </c>
      <c r="Q1771">
        <f t="shared" si="164"/>
        <v>1</v>
      </c>
      <c r="R1771" t="str">
        <f t="shared" si="165"/>
        <v>On Time</v>
      </c>
      <c r="S1771">
        <f t="shared" si="166"/>
        <v>2023</v>
      </c>
      <c r="T1771">
        <f t="shared" si="167"/>
        <v>3</v>
      </c>
    </row>
    <row r="1772" spans="1:20" x14ac:dyDescent="0.25">
      <c r="A1772" t="s">
        <v>2079</v>
      </c>
      <c r="B1772" t="s">
        <v>267</v>
      </c>
      <c r="C1772" t="s">
        <v>195</v>
      </c>
      <c r="D1772" s="1">
        <v>44253</v>
      </c>
      <c r="E1772">
        <v>11</v>
      </c>
      <c r="F1772">
        <v>29.477324409654798</v>
      </c>
      <c r="G1772" s="1">
        <v>44272</v>
      </c>
      <c r="H1772" s="1">
        <v>44273</v>
      </c>
      <c r="I1772">
        <v>324.25056850620302</v>
      </c>
      <c r="J1772">
        <f t="shared" si="162"/>
        <v>1</v>
      </c>
      <c r="K1772" t="str">
        <f>VLOOKUP(B1772,Raw_Suppliers!$A$2:$G$101,2,FALSE)</f>
        <v>Omega Nova Corp</v>
      </c>
      <c r="L1772" t="str">
        <f>VLOOKUP(B1772,Raw_Suppliers!$A$2:$G$101,3,FALSE)</f>
        <v>India</v>
      </c>
      <c r="M1772" t="str">
        <f>VLOOKUP(B1772,Raw_Suppliers!$A$2:$G$101,4,FALSE)</f>
        <v>West</v>
      </c>
      <c r="N1772" t="str">
        <f>VLOOKUP(B1772,Raw_Suppliers!$A$2:$G$101,6,FALSE)</f>
        <v>ISO 45001</v>
      </c>
      <c r="O1772">
        <f>VLOOKUP(B1772,Raw_Suppliers!$A$2:$G$101,7,FALSE)</f>
        <v>0</v>
      </c>
      <c r="P1772" t="str">
        <f t="shared" si="163"/>
        <v>No</v>
      </c>
      <c r="Q1772">
        <f t="shared" si="164"/>
        <v>0</v>
      </c>
      <c r="R1772" t="str">
        <f t="shared" si="165"/>
        <v>Late</v>
      </c>
      <c r="S1772">
        <f t="shared" si="166"/>
        <v>2021</v>
      </c>
      <c r="T1772">
        <f t="shared" si="167"/>
        <v>2</v>
      </c>
    </row>
    <row r="1773" spans="1:20" x14ac:dyDescent="0.25">
      <c r="A1773" t="s">
        <v>2080</v>
      </c>
      <c r="B1773" t="s">
        <v>28</v>
      </c>
      <c r="C1773" t="s">
        <v>400</v>
      </c>
      <c r="D1773" s="1">
        <v>44685</v>
      </c>
      <c r="E1773">
        <v>12</v>
      </c>
      <c r="F1773">
        <v>67.399267999091705</v>
      </c>
      <c r="G1773" s="1">
        <v>44709</v>
      </c>
      <c r="H1773" s="1">
        <v>44707</v>
      </c>
      <c r="I1773">
        <v>808.79121598910001</v>
      </c>
      <c r="J1773">
        <f t="shared" si="162"/>
        <v>-2</v>
      </c>
      <c r="K1773" t="str">
        <f>VLOOKUP(B1773,Raw_Suppliers!$A$2:$G$101,2,FALSE)</f>
        <v>Fusion Vertex Inc</v>
      </c>
      <c r="L1773" t="str">
        <f>VLOOKUP(B1773,Raw_Suppliers!$A$2:$G$101,3,FALSE)</f>
        <v>Denmark</v>
      </c>
      <c r="M1773" t="str">
        <f>VLOOKUP(B1773,Raw_Suppliers!$A$2:$G$101,4,FALSE)</f>
        <v>Central</v>
      </c>
      <c r="N1773" t="str">
        <f>VLOOKUP(B1773,Raw_Suppliers!$A$2:$G$101,6,FALSE)</f>
        <v>ISO 45001</v>
      </c>
      <c r="O1773">
        <f>VLOOKUP(B1773,Raw_Suppliers!$A$2:$G$101,7,FALSE)</f>
        <v>0</v>
      </c>
      <c r="P1773" t="str">
        <f t="shared" si="163"/>
        <v>No</v>
      </c>
      <c r="Q1773">
        <f t="shared" si="164"/>
        <v>1</v>
      </c>
      <c r="R1773" t="str">
        <f t="shared" si="165"/>
        <v>On Time</v>
      </c>
      <c r="S1773">
        <f t="shared" si="166"/>
        <v>2022</v>
      </c>
      <c r="T1773">
        <f t="shared" si="167"/>
        <v>5</v>
      </c>
    </row>
    <row r="1774" spans="1:20" x14ac:dyDescent="0.25">
      <c r="A1774" t="s">
        <v>2081</v>
      </c>
      <c r="B1774" t="s">
        <v>19</v>
      </c>
      <c r="C1774" t="s">
        <v>547</v>
      </c>
      <c r="D1774" s="1">
        <v>45291</v>
      </c>
      <c r="E1774">
        <v>15</v>
      </c>
      <c r="F1774">
        <v>60.676707282665902</v>
      </c>
      <c r="G1774" s="1">
        <v>45301</v>
      </c>
      <c r="H1774" s="1">
        <v>45300</v>
      </c>
      <c r="I1774">
        <v>910.15060923998897</v>
      </c>
      <c r="J1774">
        <f t="shared" si="162"/>
        <v>-1</v>
      </c>
      <c r="K1774" t="str">
        <f>VLOOKUP(B1774,Raw_Suppliers!$A$2:$G$101,2,FALSE)</f>
        <v>Nova Beta Corp</v>
      </c>
      <c r="L1774" t="str">
        <f>VLOOKUP(B1774,Raw_Suppliers!$A$2:$G$101,3,FALSE)</f>
        <v>Brazil</v>
      </c>
      <c r="M1774" t="str">
        <f>VLOOKUP(B1774,Raw_Suppliers!$A$2:$G$101,4,FALSE)</f>
        <v>South</v>
      </c>
      <c r="N1774" t="str">
        <f>VLOOKUP(B1774,Raw_Suppliers!$A$2:$G$101,6,FALSE)</f>
        <v>ISO 14001</v>
      </c>
      <c r="O1774">
        <f>VLOOKUP(B1774,Raw_Suppliers!$A$2:$G$101,7,FALSE)</f>
        <v>1</v>
      </c>
      <c r="P1774" t="str">
        <f t="shared" si="163"/>
        <v>Yes</v>
      </c>
      <c r="Q1774">
        <f t="shared" si="164"/>
        <v>1</v>
      </c>
      <c r="R1774" t="str">
        <f t="shared" si="165"/>
        <v>On Time</v>
      </c>
      <c r="S1774">
        <f t="shared" si="166"/>
        <v>2023</v>
      </c>
      <c r="T1774">
        <f t="shared" si="167"/>
        <v>12</v>
      </c>
    </row>
    <row r="1775" spans="1:20" x14ac:dyDescent="0.25">
      <c r="A1775" t="s">
        <v>2082</v>
      </c>
      <c r="B1775" t="s">
        <v>216</v>
      </c>
      <c r="C1775" t="s">
        <v>361</v>
      </c>
      <c r="D1775" s="1">
        <v>44688</v>
      </c>
      <c r="E1775">
        <v>11</v>
      </c>
      <c r="F1775">
        <v>54.316921414695102</v>
      </c>
      <c r="G1775" s="1">
        <v>44701</v>
      </c>
      <c r="H1775" s="1">
        <v>44702</v>
      </c>
      <c r="I1775">
        <v>597.48613556164696</v>
      </c>
      <c r="J1775">
        <f t="shared" si="162"/>
        <v>1</v>
      </c>
      <c r="K1775" t="str">
        <f>VLOOKUP(B1775,Raw_Suppliers!$A$2:$G$101,2,FALSE)</f>
        <v>Fusion Delta LLC</v>
      </c>
      <c r="L1775" t="str">
        <f>VLOOKUP(B1775,Raw_Suppliers!$A$2:$G$101,3,FALSE)</f>
        <v>Brazil</v>
      </c>
      <c r="M1775" t="str">
        <f>VLOOKUP(B1775,Raw_Suppliers!$A$2:$G$101,4,FALSE)</f>
        <v>Central</v>
      </c>
      <c r="N1775" t="str">
        <f>VLOOKUP(B1775,Raw_Suppliers!$A$2:$G$101,6,FALSE)</f>
        <v>ISO 14001</v>
      </c>
      <c r="O1775">
        <f>VLOOKUP(B1775,Raw_Suppliers!$A$2:$G$101,7,FALSE)</f>
        <v>0</v>
      </c>
      <c r="P1775" t="str">
        <f t="shared" si="163"/>
        <v>No</v>
      </c>
      <c r="Q1775">
        <f t="shared" si="164"/>
        <v>0</v>
      </c>
      <c r="R1775" t="str">
        <f t="shared" si="165"/>
        <v>Late</v>
      </c>
      <c r="S1775">
        <f t="shared" si="166"/>
        <v>2022</v>
      </c>
      <c r="T1775">
        <f t="shared" si="167"/>
        <v>5</v>
      </c>
    </row>
    <row r="1776" spans="1:20" x14ac:dyDescent="0.25">
      <c r="A1776" t="s">
        <v>2083</v>
      </c>
      <c r="B1776" t="s">
        <v>617</v>
      </c>
      <c r="C1776" t="s">
        <v>425</v>
      </c>
      <c r="D1776" s="1">
        <v>44714</v>
      </c>
      <c r="E1776">
        <v>6</v>
      </c>
      <c r="F1776">
        <v>15.232556713129499</v>
      </c>
      <c r="G1776" s="1">
        <v>44724</v>
      </c>
      <c r="H1776" s="1">
        <v>44723</v>
      </c>
      <c r="I1776">
        <v>91.395340278777297</v>
      </c>
      <c r="J1776">
        <f t="shared" si="162"/>
        <v>-1</v>
      </c>
      <c r="K1776" t="str">
        <f>VLOOKUP(B1776,Raw_Suppliers!$A$2:$G$101,2,FALSE)</f>
        <v>Eco Vertex Ltd</v>
      </c>
      <c r="L1776" t="str">
        <f>VLOOKUP(B1776,Raw_Suppliers!$A$2:$G$101,3,FALSE)</f>
        <v>UK</v>
      </c>
      <c r="M1776" t="str">
        <f>VLOOKUP(B1776,Raw_Suppliers!$A$2:$G$101,4,FALSE)</f>
        <v>Central</v>
      </c>
      <c r="N1776" t="str">
        <f>VLOOKUP(B1776,Raw_Suppliers!$A$2:$G$101,6,FALSE)</f>
        <v>None</v>
      </c>
      <c r="O1776">
        <f>VLOOKUP(B1776,Raw_Suppliers!$A$2:$G$101,7,FALSE)</f>
        <v>0</v>
      </c>
      <c r="P1776" t="str">
        <f t="shared" si="163"/>
        <v>No</v>
      </c>
      <c r="Q1776">
        <f t="shared" si="164"/>
        <v>1</v>
      </c>
      <c r="R1776" t="str">
        <f t="shared" si="165"/>
        <v>On Time</v>
      </c>
      <c r="S1776">
        <f t="shared" si="166"/>
        <v>2022</v>
      </c>
      <c r="T1776">
        <f t="shared" si="167"/>
        <v>6</v>
      </c>
    </row>
    <row r="1777" spans="1:20" x14ac:dyDescent="0.25">
      <c r="A1777" t="s">
        <v>2084</v>
      </c>
      <c r="B1777" t="s">
        <v>427</v>
      </c>
      <c r="C1777" t="s">
        <v>83</v>
      </c>
      <c r="D1777" s="1">
        <v>44850</v>
      </c>
      <c r="E1777">
        <v>14</v>
      </c>
      <c r="F1777">
        <v>30.736640838827299</v>
      </c>
      <c r="G1777" s="1">
        <v>44868</v>
      </c>
      <c r="H1777" s="1">
        <v>44871</v>
      </c>
      <c r="I1777">
        <v>430.31297174358201</v>
      </c>
      <c r="J1777">
        <f t="shared" si="162"/>
        <v>3</v>
      </c>
      <c r="K1777" t="str">
        <f>VLOOKUP(B1777,Raw_Suppliers!$A$2:$G$101,2,FALSE)</f>
        <v>Nova Alpha Corp</v>
      </c>
      <c r="L1777" t="str">
        <f>VLOOKUP(B1777,Raw_Suppliers!$A$2:$G$101,3,FALSE)</f>
        <v>Denmark</v>
      </c>
      <c r="M1777" t="str">
        <f>VLOOKUP(B1777,Raw_Suppliers!$A$2:$G$101,4,FALSE)</f>
        <v>Central</v>
      </c>
      <c r="N1777" t="str">
        <f>VLOOKUP(B1777,Raw_Suppliers!$A$2:$G$101,6,FALSE)</f>
        <v>None</v>
      </c>
      <c r="O1777">
        <f>VLOOKUP(B1777,Raw_Suppliers!$A$2:$G$101,7,FALSE)</f>
        <v>0</v>
      </c>
      <c r="P1777" t="str">
        <f t="shared" si="163"/>
        <v>No</v>
      </c>
      <c r="Q1777">
        <f t="shared" si="164"/>
        <v>0</v>
      </c>
      <c r="R1777" t="str">
        <f t="shared" si="165"/>
        <v>Late</v>
      </c>
      <c r="S1777">
        <f t="shared" si="166"/>
        <v>2022</v>
      </c>
      <c r="T1777">
        <f t="shared" si="167"/>
        <v>10</v>
      </c>
    </row>
    <row r="1778" spans="1:20" x14ac:dyDescent="0.25">
      <c r="A1778" t="s">
        <v>2085</v>
      </c>
      <c r="B1778" t="s">
        <v>250</v>
      </c>
      <c r="C1778" t="s">
        <v>664</v>
      </c>
      <c r="D1778" s="1">
        <v>44912</v>
      </c>
      <c r="E1778">
        <v>17</v>
      </c>
      <c r="F1778">
        <v>6.7565585949288502</v>
      </c>
      <c r="G1778" s="1">
        <v>44922</v>
      </c>
      <c r="H1778" s="1">
        <v>44921</v>
      </c>
      <c r="I1778">
        <v>114.86149611379</v>
      </c>
      <c r="J1778">
        <f t="shared" si="162"/>
        <v>-1</v>
      </c>
      <c r="K1778" t="str">
        <f>VLOOKUP(B1778,Raw_Suppliers!$A$2:$G$101,2,FALSE)</f>
        <v>Fusion Fusion Inc</v>
      </c>
      <c r="L1778" t="str">
        <f>VLOOKUP(B1778,Raw_Suppliers!$A$2:$G$101,3,FALSE)</f>
        <v>India</v>
      </c>
      <c r="M1778" t="str">
        <f>VLOOKUP(B1778,Raw_Suppliers!$A$2:$G$101,4,FALSE)</f>
        <v>South</v>
      </c>
      <c r="N1778" t="str">
        <f>VLOOKUP(B1778,Raw_Suppliers!$A$2:$G$101,6,FALSE)</f>
        <v>ISO 9001</v>
      </c>
      <c r="O1778">
        <f>VLOOKUP(B1778,Raw_Suppliers!$A$2:$G$101,7,FALSE)</f>
        <v>0</v>
      </c>
      <c r="P1778" t="str">
        <f t="shared" si="163"/>
        <v>No</v>
      </c>
      <c r="Q1778">
        <f t="shared" si="164"/>
        <v>1</v>
      </c>
      <c r="R1778" t="str">
        <f t="shared" si="165"/>
        <v>On Time</v>
      </c>
      <c r="S1778">
        <f t="shared" si="166"/>
        <v>2022</v>
      </c>
      <c r="T1778">
        <f t="shared" si="167"/>
        <v>12</v>
      </c>
    </row>
    <row r="1779" spans="1:20" x14ac:dyDescent="0.25">
      <c r="A1779" t="s">
        <v>2086</v>
      </c>
      <c r="B1779" t="s">
        <v>160</v>
      </c>
      <c r="C1779" t="s">
        <v>276</v>
      </c>
      <c r="D1779" s="1">
        <v>44218</v>
      </c>
      <c r="E1779">
        <v>7</v>
      </c>
      <c r="F1779">
        <v>6.9075398715882397</v>
      </c>
      <c r="G1779" s="1">
        <v>44232</v>
      </c>
      <c r="H1779" s="1">
        <v>44234</v>
      </c>
      <c r="I1779">
        <v>48.352779101117598</v>
      </c>
      <c r="J1779">
        <f t="shared" si="162"/>
        <v>2</v>
      </c>
      <c r="K1779" t="str">
        <f>VLOOKUP(B1779,Raw_Suppliers!$A$2:$G$101,2,FALSE)</f>
        <v>Omega Beta Corp</v>
      </c>
      <c r="L1779" t="str">
        <f>VLOOKUP(B1779,Raw_Suppliers!$A$2:$G$101,3,FALSE)</f>
        <v>China</v>
      </c>
      <c r="M1779" t="str">
        <f>VLOOKUP(B1779,Raw_Suppliers!$A$2:$G$101,4,FALSE)</f>
        <v>East</v>
      </c>
      <c r="N1779" t="str">
        <f>VLOOKUP(B1779,Raw_Suppliers!$A$2:$G$101,6,FALSE)</f>
        <v>ISO 45001</v>
      </c>
      <c r="O1779">
        <f>VLOOKUP(B1779,Raw_Suppliers!$A$2:$G$101,7,FALSE)</f>
        <v>1</v>
      </c>
      <c r="P1779" t="str">
        <f t="shared" si="163"/>
        <v>Yes</v>
      </c>
      <c r="Q1779">
        <f t="shared" si="164"/>
        <v>0</v>
      </c>
      <c r="R1779" t="str">
        <f t="shared" si="165"/>
        <v>Late</v>
      </c>
      <c r="S1779">
        <f t="shared" si="166"/>
        <v>2021</v>
      </c>
      <c r="T1779">
        <f t="shared" si="167"/>
        <v>1</v>
      </c>
    </row>
    <row r="1780" spans="1:20" x14ac:dyDescent="0.25">
      <c r="A1780" t="s">
        <v>2087</v>
      </c>
      <c r="B1780" t="s">
        <v>427</v>
      </c>
      <c r="C1780" t="s">
        <v>701</v>
      </c>
      <c r="D1780" s="1">
        <v>44274</v>
      </c>
      <c r="E1780">
        <v>14</v>
      </c>
      <c r="F1780">
        <v>63.895894028516601</v>
      </c>
      <c r="G1780" s="1">
        <v>44295</v>
      </c>
      <c r="H1780" s="1">
        <v>44301</v>
      </c>
      <c r="I1780">
        <v>894.54251639923302</v>
      </c>
      <c r="J1780">
        <f t="shared" si="162"/>
        <v>6</v>
      </c>
      <c r="K1780" t="str">
        <f>VLOOKUP(B1780,Raw_Suppliers!$A$2:$G$101,2,FALSE)</f>
        <v>Nova Alpha Corp</v>
      </c>
      <c r="L1780" t="str">
        <f>VLOOKUP(B1780,Raw_Suppliers!$A$2:$G$101,3,FALSE)</f>
        <v>Denmark</v>
      </c>
      <c r="M1780" t="str">
        <f>VLOOKUP(B1780,Raw_Suppliers!$A$2:$G$101,4,FALSE)</f>
        <v>Central</v>
      </c>
      <c r="N1780" t="str">
        <f>VLOOKUP(B1780,Raw_Suppliers!$A$2:$G$101,6,FALSE)</f>
        <v>None</v>
      </c>
      <c r="O1780">
        <f>VLOOKUP(B1780,Raw_Suppliers!$A$2:$G$101,7,FALSE)</f>
        <v>0</v>
      </c>
      <c r="P1780" t="str">
        <f t="shared" si="163"/>
        <v>No</v>
      </c>
      <c r="Q1780">
        <f t="shared" si="164"/>
        <v>0</v>
      </c>
      <c r="R1780" t="str">
        <f t="shared" si="165"/>
        <v>Late</v>
      </c>
      <c r="S1780">
        <f t="shared" si="166"/>
        <v>2021</v>
      </c>
      <c r="T1780">
        <f t="shared" si="167"/>
        <v>3</v>
      </c>
    </row>
    <row r="1781" spans="1:20" x14ac:dyDescent="0.25">
      <c r="A1781" t="s">
        <v>2088</v>
      </c>
      <c r="B1781" t="s">
        <v>198</v>
      </c>
      <c r="C1781" t="s">
        <v>495</v>
      </c>
      <c r="D1781" s="1">
        <v>44350</v>
      </c>
      <c r="E1781">
        <v>12</v>
      </c>
      <c r="F1781">
        <v>3.0278489544264602</v>
      </c>
      <c r="G1781" s="1">
        <v>44370</v>
      </c>
      <c r="H1781" s="1">
        <v>44369</v>
      </c>
      <c r="I1781">
        <v>36.334187453117501</v>
      </c>
      <c r="J1781">
        <f t="shared" si="162"/>
        <v>-1</v>
      </c>
      <c r="K1781" t="str">
        <f>VLOOKUP(B1781,Raw_Suppliers!$A$2:$G$101,2,FALSE)</f>
        <v>Gamma Vertex Corp</v>
      </c>
      <c r="L1781" t="str">
        <f>VLOOKUP(B1781,Raw_Suppliers!$A$2:$G$101,3,FALSE)</f>
        <v>Denmark</v>
      </c>
      <c r="M1781" t="str">
        <f>VLOOKUP(B1781,Raw_Suppliers!$A$2:$G$101,4,FALSE)</f>
        <v>South</v>
      </c>
      <c r="N1781" t="str">
        <f>VLOOKUP(B1781,Raw_Suppliers!$A$2:$G$101,6,FALSE)</f>
        <v>None</v>
      </c>
      <c r="O1781">
        <f>VLOOKUP(B1781,Raw_Suppliers!$A$2:$G$101,7,FALSE)</f>
        <v>1</v>
      </c>
      <c r="P1781" t="str">
        <f t="shared" si="163"/>
        <v>Yes</v>
      </c>
      <c r="Q1781">
        <f t="shared" si="164"/>
        <v>1</v>
      </c>
      <c r="R1781" t="str">
        <f t="shared" si="165"/>
        <v>On Time</v>
      </c>
      <c r="S1781">
        <f t="shared" si="166"/>
        <v>2021</v>
      </c>
      <c r="T1781">
        <f t="shared" si="167"/>
        <v>6</v>
      </c>
    </row>
    <row r="1782" spans="1:20" x14ac:dyDescent="0.25">
      <c r="A1782" t="s">
        <v>2089</v>
      </c>
      <c r="B1782" t="s">
        <v>194</v>
      </c>
      <c r="C1782" t="s">
        <v>587</v>
      </c>
      <c r="D1782" s="1">
        <v>45152</v>
      </c>
      <c r="E1782">
        <v>13</v>
      </c>
      <c r="F1782">
        <v>51.375834335198398</v>
      </c>
      <c r="G1782" s="1">
        <v>45172</v>
      </c>
      <c r="H1782" s="1">
        <v>45176</v>
      </c>
      <c r="I1782">
        <v>667.885846357579</v>
      </c>
      <c r="J1782">
        <f t="shared" si="162"/>
        <v>4</v>
      </c>
      <c r="K1782" t="str">
        <f>VLOOKUP(B1782,Raw_Suppliers!$A$2:$G$101,2,FALSE)</f>
        <v>Eco Pioneer Corp</v>
      </c>
      <c r="L1782" t="str">
        <f>VLOOKUP(B1782,Raw_Suppliers!$A$2:$G$101,3,FALSE)</f>
        <v>China</v>
      </c>
      <c r="M1782" t="str">
        <f>VLOOKUP(B1782,Raw_Suppliers!$A$2:$G$101,4,FALSE)</f>
        <v>East</v>
      </c>
      <c r="N1782" t="str">
        <f>VLOOKUP(B1782,Raw_Suppliers!$A$2:$G$101,6,FALSE)</f>
        <v>ISO 14001</v>
      </c>
      <c r="O1782">
        <f>VLOOKUP(B1782,Raw_Suppliers!$A$2:$G$101,7,FALSE)</f>
        <v>1</v>
      </c>
      <c r="P1782" t="str">
        <f t="shared" si="163"/>
        <v>Yes</v>
      </c>
      <c r="Q1782">
        <f t="shared" si="164"/>
        <v>0</v>
      </c>
      <c r="R1782" t="str">
        <f t="shared" si="165"/>
        <v>Late</v>
      </c>
      <c r="S1782">
        <f t="shared" si="166"/>
        <v>2023</v>
      </c>
      <c r="T1782">
        <f t="shared" si="167"/>
        <v>8</v>
      </c>
    </row>
    <row r="1783" spans="1:20" x14ac:dyDescent="0.25">
      <c r="A1783" t="s">
        <v>2090</v>
      </c>
      <c r="B1783" t="s">
        <v>321</v>
      </c>
      <c r="C1783" t="s">
        <v>283</v>
      </c>
      <c r="D1783" s="1">
        <v>45057</v>
      </c>
      <c r="E1783">
        <v>13</v>
      </c>
      <c r="F1783">
        <v>30.1184974889823</v>
      </c>
      <c r="G1783" s="1">
        <v>45072</v>
      </c>
      <c r="H1783" s="1">
        <v>45074</v>
      </c>
      <c r="I1783">
        <v>391.54046735677002</v>
      </c>
      <c r="J1783">
        <f t="shared" si="162"/>
        <v>2</v>
      </c>
      <c r="K1783" t="str">
        <f>VLOOKUP(B1783,Raw_Suppliers!$A$2:$G$101,2,FALSE)</f>
        <v>Vertex Delta LLC</v>
      </c>
      <c r="L1783" t="str">
        <f>VLOOKUP(B1783,Raw_Suppliers!$A$2:$G$101,3,FALSE)</f>
        <v>India</v>
      </c>
      <c r="M1783" t="str">
        <f>VLOOKUP(B1783,Raw_Suppliers!$A$2:$G$101,4,FALSE)</f>
        <v>South</v>
      </c>
      <c r="N1783" t="str">
        <f>VLOOKUP(B1783,Raw_Suppliers!$A$2:$G$101,6,FALSE)</f>
        <v>ISO 45001</v>
      </c>
      <c r="O1783">
        <f>VLOOKUP(B1783,Raw_Suppliers!$A$2:$G$101,7,FALSE)</f>
        <v>0</v>
      </c>
      <c r="P1783" t="str">
        <f t="shared" si="163"/>
        <v>No</v>
      </c>
      <c r="Q1783">
        <f t="shared" si="164"/>
        <v>0</v>
      </c>
      <c r="R1783" t="str">
        <f t="shared" si="165"/>
        <v>Late</v>
      </c>
      <c r="S1783">
        <f t="shared" si="166"/>
        <v>2023</v>
      </c>
      <c r="T1783">
        <f t="shared" si="167"/>
        <v>5</v>
      </c>
    </row>
    <row r="1784" spans="1:20" x14ac:dyDescent="0.25">
      <c r="A1784" t="s">
        <v>2091</v>
      </c>
      <c r="B1784" t="s">
        <v>70</v>
      </c>
      <c r="C1784" t="s">
        <v>336</v>
      </c>
      <c r="D1784" s="1">
        <v>45290</v>
      </c>
      <c r="E1784">
        <v>10</v>
      </c>
      <c r="F1784">
        <v>63.822429934920201</v>
      </c>
      <c r="G1784" s="1">
        <v>45300</v>
      </c>
      <c r="H1784" s="1">
        <v>45298</v>
      </c>
      <c r="I1784">
        <v>638.22429934920206</v>
      </c>
      <c r="J1784">
        <f t="shared" si="162"/>
        <v>-2</v>
      </c>
      <c r="K1784" t="str">
        <f>VLOOKUP(B1784,Raw_Suppliers!$A$2:$G$101,2,FALSE)</f>
        <v>Prime Nano Ltd</v>
      </c>
      <c r="L1784" t="str">
        <f>VLOOKUP(B1784,Raw_Suppliers!$A$2:$G$101,3,FALSE)</f>
        <v>USA</v>
      </c>
      <c r="M1784" t="str">
        <f>VLOOKUP(B1784,Raw_Suppliers!$A$2:$G$101,4,FALSE)</f>
        <v>Central</v>
      </c>
      <c r="N1784" t="str">
        <f>VLOOKUP(B1784,Raw_Suppliers!$A$2:$G$101,6,FALSE)</f>
        <v>ISO 45001</v>
      </c>
      <c r="O1784">
        <f>VLOOKUP(B1784,Raw_Suppliers!$A$2:$G$101,7,FALSE)</f>
        <v>0</v>
      </c>
      <c r="P1784" t="str">
        <f t="shared" si="163"/>
        <v>No</v>
      </c>
      <c r="Q1784">
        <f t="shared" si="164"/>
        <v>1</v>
      </c>
      <c r="R1784" t="str">
        <f t="shared" si="165"/>
        <v>On Time</v>
      </c>
      <c r="S1784">
        <f t="shared" si="166"/>
        <v>2023</v>
      </c>
      <c r="T1784">
        <f t="shared" si="167"/>
        <v>12</v>
      </c>
    </row>
    <row r="1785" spans="1:20" x14ac:dyDescent="0.25">
      <c r="A1785" t="s">
        <v>2092</v>
      </c>
      <c r="B1785" t="s">
        <v>482</v>
      </c>
      <c r="C1785" t="s">
        <v>14</v>
      </c>
      <c r="D1785" s="1">
        <v>44715</v>
      </c>
      <c r="E1785">
        <v>9</v>
      </c>
      <c r="F1785">
        <v>44.704703301621699</v>
      </c>
      <c r="G1785" s="1">
        <v>44730</v>
      </c>
      <c r="H1785" s="1">
        <v>44730</v>
      </c>
      <c r="I1785">
        <v>402.342329714595</v>
      </c>
      <c r="J1785">
        <f t="shared" si="162"/>
        <v>0</v>
      </c>
      <c r="K1785" t="str">
        <f>VLOOKUP(B1785,Raw_Suppliers!$A$2:$G$101,2,FALSE)</f>
        <v>Eco Prime Corp</v>
      </c>
      <c r="L1785" t="str">
        <f>VLOOKUP(B1785,Raw_Suppliers!$A$2:$G$101,3,FALSE)</f>
        <v>China</v>
      </c>
      <c r="M1785" t="str">
        <f>VLOOKUP(B1785,Raw_Suppliers!$A$2:$G$101,4,FALSE)</f>
        <v>East</v>
      </c>
      <c r="N1785" t="str">
        <f>VLOOKUP(B1785,Raw_Suppliers!$A$2:$G$101,6,FALSE)</f>
        <v>ISO 45001</v>
      </c>
      <c r="O1785">
        <f>VLOOKUP(B1785,Raw_Suppliers!$A$2:$G$101,7,FALSE)</f>
        <v>1</v>
      </c>
      <c r="P1785" t="str">
        <f t="shared" si="163"/>
        <v>Yes</v>
      </c>
      <c r="Q1785">
        <f t="shared" si="164"/>
        <v>1</v>
      </c>
      <c r="R1785" t="str">
        <f t="shared" si="165"/>
        <v>On Time</v>
      </c>
      <c r="S1785">
        <f t="shared" si="166"/>
        <v>2022</v>
      </c>
      <c r="T1785">
        <f t="shared" si="167"/>
        <v>6</v>
      </c>
    </row>
    <row r="1786" spans="1:20" x14ac:dyDescent="0.25">
      <c r="A1786" t="s">
        <v>2093</v>
      </c>
      <c r="B1786" t="s">
        <v>205</v>
      </c>
      <c r="C1786" t="s">
        <v>257</v>
      </c>
      <c r="D1786" s="1">
        <v>44439</v>
      </c>
      <c r="E1786">
        <v>11</v>
      </c>
      <c r="F1786">
        <v>28.8318225239946</v>
      </c>
      <c r="G1786" s="1">
        <v>44462</v>
      </c>
      <c r="H1786" s="1">
        <v>44463</v>
      </c>
      <c r="I1786">
        <v>317.15004776393999</v>
      </c>
      <c r="J1786">
        <f t="shared" si="162"/>
        <v>1</v>
      </c>
      <c r="K1786" t="str">
        <f>VLOOKUP(B1786,Raw_Suppliers!$A$2:$G$101,2,FALSE)</f>
        <v>Ultra Eco LLC</v>
      </c>
      <c r="L1786" t="str">
        <f>VLOOKUP(B1786,Raw_Suppliers!$A$2:$G$101,3,FALSE)</f>
        <v>China</v>
      </c>
      <c r="M1786" t="str">
        <f>VLOOKUP(B1786,Raw_Suppliers!$A$2:$G$101,4,FALSE)</f>
        <v>South</v>
      </c>
      <c r="N1786" t="str">
        <f>VLOOKUP(B1786,Raw_Suppliers!$A$2:$G$101,6,FALSE)</f>
        <v>ISO 14001</v>
      </c>
      <c r="O1786">
        <f>VLOOKUP(B1786,Raw_Suppliers!$A$2:$G$101,7,FALSE)</f>
        <v>1</v>
      </c>
      <c r="P1786" t="str">
        <f t="shared" si="163"/>
        <v>Yes</v>
      </c>
      <c r="Q1786">
        <f t="shared" si="164"/>
        <v>0</v>
      </c>
      <c r="R1786" t="str">
        <f t="shared" si="165"/>
        <v>Late</v>
      </c>
      <c r="S1786">
        <f t="shared" si="166"/>
        <v>2021</v>
      </c>
      <c r="T1786">
        <f t="shared" si="167"/>
        <v>8</v>
      </c>
    </row>
    <row r="1787" spans="1:20" x14ac:dyDescent="0.25">
      <c r="A1787" t="s">
        <v>2094</v>
      </c>
      <c r="B1787" t="s">
        <v>160</v>
      </c>
      <c r="C1787" t="s">
        <v>290</v>
      </c>
      <c r="D1787" s="1">
        <v>44738</v>
      </c>
      <c r="E1787">
        <v>10</v>
      </c>
      <c r="F1787">
        <v>39.457397066960802</v>
      </c>
      <c r="G1787" s="1">
        <v>44754</v>
      </c>
      <c r="H1787" s="1">
        <v>44758</v>
      </c>
      <c r="I1787">
        <v>394.573970669608</v>
      </c>
      <c r="J1787">
        <f t="shared" si="162"/>
        <v>4</v>
      </c>
      <c r="K1787" t="str">
        <f>VLOOKUP(B1787,Raw_Suppliers!$A$2:$G$101,2,FALSE)</f>
        <v>Omega Beta Corp</v>
      </c>
      <c r="L1787" t="str">
        <f>VLOOKUP(B1787,Raw_Suppliers!$A$2:$G$101,3,FALSE)</f>
        <v>China</v>
      </c>
      <c r="M1787" t="str">
        <f>VLOOKUP(B1787,Raw_Suppliers!$A$2:$G$101,4,FALSE)</f>
        <v>East</v>
      </c>
      <c r="N1787" t="str">
        <f>VLOOKUP(B1787,Raw_Suppliers!$A$2:$G$101,6,FALSE)</f>
        <v>ISO 45001</v>
      </c>
      <c r="O1787">
        <f>VLOOKUP(B1787,Raw_Suppliers!$A$2:$G$101,7,FALSE)</f>
        <v>1</v>
      </c>
      <c r="P1787" t="str">
        <f t="shared" si="163"/>
        <v>Yes</v>
      </c>
      <c r="Q1787">
        <f t="shared" si="164"/>
        <v>0</v>
      </c>
      <c r="R1787" t="str">
        <f t="shared" si="165"/>
        <v>Late</v>
      </c>
      <c r="S1787">
        <f t="shared" si="166"/>
        <v>2022</v>
      </c>
      <c r="T1787">
        <f t="shared" si="167"/>
        <v>6</v>
      </c>
    </row>
    <row r="1788" spans="1:20" x14ac:dyDescent="0.25">
      <c r="A1788" t="s">
        <v>2095</v>
      </c>
      <c r="B1788" t="s">
        <v>250</v>
      </c>
      <c r="C1788" t="s">
        <v>274</v>
      </c>
      <c r="D1788" s="1">
        <v>44977</v>
      </c>
      <c r="E1788">
        <v>8</v>
      </c>
      <c r="F1788">
        <v>6.7931965533944103</v>
      </c>
      <c r="G1788" s="1">
        <v>44998</v>
      </c>
      <c r="H1788" s="1">
        <v>45001</v>
      </c>
      <c r="I1788">
        <v>54.345572427155297</v>
      </c>
      <c r="J1788">
        <f t="shared" si="162"/>
        <v>3</v>
      </c>
      <c r="K1788" t="str">
        <f>VLOOKUP(B1788,Raw_Suppliers!$A$2:$G$101,2,FALSE)</f>
        <v>Fusion Fusion Inc</v>
      </c>
      <c r="L1788" t="str">
        <f>VLOOKUP(B1788,Raw_Suppliers!$A$2:$G$101,3,FALSE)</f>
        <v>India</v>
      </c>
      <c r="M1788" t="str">
        <f>VLOOKUP(B1788,Raw_Suppliers!$A$2:$G$101,4,FALSE)</f>
        <v>South</v>
      </c>
      <c r="N1788" t="str">
        <f>VLOOKUP(B1788,Raw_Suppliers!$A$2:$G$101,6,FALSE)</f>
        <v>ISO 9001</v>
      </c>
      <c r="O1788">
        <f>VLOOKUP(B1788,Raw_Suppliers!$A$2:$G$101,7,FALSE)</f>
        <v>0</v>
      </c>
      <c r="P1788" t="str">
        <f t="shared" si="163"/>
        <v>No</v>
      </c>
      <c r="Q1788">
        <f t="shared" si="164"/>
        <v>0</v>
      </c>
      <c r="R1788" t="str">
        <f t="shared" si="165"/>
        <v>Late</v>
      </c>
      <c r="S1788">
        <f t="shared" si="166"/>
        <v>2023</v>
      </c>
      <c r="T1788">
        <f t="shared" si="167"/>
        <v>2</v>
      </c>
    </row>
    <row r="1789" spans="1:20" x14ac:dyDescent="0.25">
      <c r="A1789" t="s">
        <v>2096</v>
      </c>
      <c r="B1789" t="s">
        <v>301</v>
      </c>
      <c r="C1789" t="s">
        <v>312</v>
      </c>
      <c r="D1789" s="1">
        <v>44565</v>
      </c>
      <c r="E1789">
        <v>8</v>
      </c>
      <c r="F1789">
        <v>27.2066078682174</v>
      </c>
      <c r="G1789" s="1">
        <v>44589</v>
      </c>
      <c r="H1789" s="1">
        <v>44589</v>
      </c>
      <c r="I1789">
        <v>217.652862945739</v>
      </c>
      <c r="J1789">
        <f t="shared" si="162"/>
        <v>0</v>
      </c>
      <c r="K1789" t="str">
        <f>VLOOKUP(B1789,Raw_Suppliers!$A$2:$G$101,2,FALSE)</f>
        <v>Beta Eco Inc</v>
      </c>
      <c r="L1789" t="str">
        <f>VLOOKUP(B1789,Raw_Suppliers!$A$2:$G$101,3,FALSE)</f>
        <v>Denmark</v>
      </c>
      <c r="M1789" t="str">
        <f>VLOOKUP(B1789,Raw_Suppliers!$A$2:$G$101,4,FALSE)</f>
        <v>South</v>
      </c>
      <c r="N1789" t="str">
        <f>VLOOKUP(B1789,Raw_Suppliers!$A$2:$G$101,6,FALSE)</f>
        <v>ISO 14001</v>
      </c>
      <c r="O1789">
        <f>VLOOKUP(B1789,Raw_Suppliers!$A$2:$G$101,7,FALSE)</f>
        <v>1</v>
      </c>
      <c r="P1789" t="str">
        <f t="shared" si="163"/>
        <v>Yes</v>
      </c>
      <c r="Q1789">
        <f t="shared" si="164"/>
        <v>1</v>
      </c>
      <c r="R1789" t="str">
        <f t="shared" si="165"/>
        <v>On Time</v>
      </c>
      <c r="S1789">
        <f t="shared" si="166"/>
        <v>2022</v>
      </c>
      <c r="T1789">
        <f t="shared" si="167"/>
        <v>1</v>
      </c>
    </row>
    <row r="1790" spans="1:20" x14ac:dyDescent="0.25">
      <c r="A1790" t="s">
        <v>2097</v>
      </c>
      <c r="B1790" t="s">
        <v>247</v>
      </c>
      <c r="C1790" t="s">
        <v>1108</v>
      </c>
      <c r="D1790" s="1">
        <v>44883</v>
      </c>
      <c r="E1790">
        <v>18</v>
      </c>
      <c r="F1790">
        <v>7.6897013669822201</v>
      </c>
      <c r="G1790" s="1">
        <v>44902</v>
      </c>
      <c r="H1790" s="1">
        <v>44906</v>
      </c>
      <c r="I1790">
        <v>138.41462460567999</v>
      </c>
      <c r="J1790">
        <f t="shared" si="162"/>
        <v>4</v>
      </c>
      <c r="K1790" t="str">
        <f>VLOOKUP(B1790,Raw_Suppliers!$A$2:$G$101,2,FALSE)</f>
        <v>Ultra Apex LLC</v>
      </c>
      <c r="L1790" t="str">
        <f>VLOOKUP(B1790,Raw_Suppliers!$A$2:$G$101,3,FALSE)</f>
        <v>Germany</v>
      </c>
      <c r="M1790" t="str">
        <f>VLOOKUP(B1790,Raw_Suppliers!$A$2:$G$101,4,FALSE)</f>
        <v>West</v>
      </c>
      <c r="N1790" t="str">
        <f>VLOOKUP(B1790,Raw_Suppliers!$A$2:$G$101,6,FALSE)</f>
        <v>ISO 9001</v>
      </c>
      <c r="O1790">
        <f>VLOOKUP(B1790,Raw_Suppliers!$A$2:$G$101,7,FALSE)</f>
        <v>0</v>
      </c>
      <c r="P1790" t="str">
        <f t="shared" si="163"/>
        <v>No</v>
      </c>
      <c r="Q1790">
        <f t="shared" si="164"/>
        <v>0</v>
      </c>
      <c r="R1790" t="str">
        <f t="shared" si="165"/>
        <v>Late</v>
      </c>
      <c r="S1790">
        <f t="shared" si="166"/>
        <v>2022</v>
      </c>
      <c r="T1790">
        <f t="shared" si="167"/>
        <v>11</v>
      </c>
    </row>
    <row r="1791" spans="1:20" x14ac:dyDescent="0.25">
      <c r="A1791" t="s">
        <v>2098</v>
      </c>
      <c r="B1791" t="s">
        <v>135</v>
      </c>
      <c r="C1791" t="s">
        <v>661</v>
      </c>
      <c r="D1791" s="1">
        <v>44245</v>
      </c>
      <c r="E1791">
        <v>15</v>
      </c>
      <c r="F1791">
        <v>31.096638672279301</v>
      </c>
      <c r="G1791" s="1">
        <v>44267</v>
      </c>
      <c r="H1791" s="1">
        <v>44265</v>
      </c>
      <c r="I1791">
        <v>466.44958008419002</v>
      </c>
      <c r="J1791">
        <f t="shared" si="162"/>
        <v>-2</v>
      </c>
      <c r="K1791" t="str">
        <f>VLOOKUP(B1791,Raw_Suppliers!$A$2:$G$101,2,FALSE)</f>
        <v>Alpha Prime Ltd</v>
      </c>
      <c r="L1791" t="str">
        <f>VLOOKUP(B1791,Raw_Suppliers!$A$2:$G$101,3,FALSE)</f>
        <v>UK</v>
      </c>
      <c r="M1791" t="str">
        <f>VLOOKUP(B1791,Raw_Suppliers!$A$2:$G$101,4,FALSE)</f>
        <v>East</v>
      </c>
      <c r="N1791" t="str">
        <f>VLOOKUP(B1791,Raw_Suppliers!$A$2:$G$101,6,FALSE)</f>
        <v>None</v>
      </c>
      <c r="O1791">
        <f>VLOOKUP(B1791,Raw_Suppliers!$A$2:$G$101,7,FALSE)</f>
        <v>1</v>
      </c>
      <c r="P1791" t="str">
        <f t="shared" si="163"/>
        <v>Yes</v>
      </c>
      <c r="Q1791">
        <f t="shared" si="164"/>
        <v>1</v>
      </c>
      <c r="R1791" t="str">
        <f t="shared" si="165"/>
        <v>On Time</v>
      </c>
      <c r="S1791">
        <f t="shared" si="166"/>
        <v>2021</v>
      </c>
      <c r="T1791">
        <f t="shared" si="167"/>
        <v>2</v>
      </c>
    </row>
    <row r="1792" spans="1:20" x14ac:dyDescent="0.25">
      <c r="A1792" t="s">
        <v>2099</v>
      </c>
      <c r="B1792" t="s">
        <v>751</v>
      </c>
      <c r="C1792" t="s">
        <v>167</v>
      </c>
      <c r="D1792" s="1">
        <v>44626</v>
      </c>
      <c r="E1792">
        <v>12</v>
      </c>
      <c r="F1792">
        <v>3.9975046695050498</v>
      </c>
      <c r="G1792" s="1">
        <v>44639</v>
      </c>
      <c r="H1792" s="1">
        <v>44636</v>
      </c>
      <c r="I1792">
        <v>47.970056034060597</v>
      </c>
      <c r="J1792">
        <f t="shared" si="162"/>
        <v>-3</v>
      </c>
      <c r="K1792" t="str">
        <f>VLOOKUP(B1792,Raw_Suppliers!$A$2:$G$101,2,FALSE)</f>
        <v>Nano Vertex LLC</v>
      </c>
      <c r="L1792" t="str">
        <f>VLOOKUP(B1792,Raw_Suppliers!$A$2:$G$101,3,FALSE)</f>
        <v>China</v>
      </c>
      <c r="M1792" t="str">
        <f>VLOOKUP(B1792,Raw_Suppliers!$A$2:$G$101,4,FALSE)</f>
        <v>North</v>
      </c>
      <c r="N1792" t="str">
        <f>VLOOKUP(B1792,Raw_Suppliers!$A$2:$G$101,6,FALSE)</f>
        <v>ISO 9001</v>
      </c>
      <c r="O1792">
        <f>VLOOKUP(B1792,Raw_Suppliers!$A$2:$G$101,7,FALSE)</f>
        <v>1</v>
      </c>
      <c r="P1792" t="str">
        <f t="shared" si="163"/>
        <v>Yes</v>
      </c>
      <c r="Q1792">
        <f t="shared" si="164"/>
        <v>1</v>
      </c>
      <c r="R1792" t="str">
        <f t="shared" si="165"/>
        <v>On Time</v>
      </c>
      <c r="S1792">
        <f t="shared" si="166"/>
        <v>2022</v>
      </c>
      <c r="T1792">
        <f t="shared" si="167"/>
        <v>3</v>
      </c>
    </row>
    <row r="1793" spans="1:20" x14ac:dyDescent="0.25">
      <c r="A1793" t="s">
        <v>2100</v>
      </c>
      <c r="B1793" t="s">
        <v>267</v>
      </c>
      <c r="C1793" t="s">
        <v>182</v>
      </c>
      <c r="D1793" s="1">
        <v>44645</v>
      </c>
      <c r="E1793">
        <v>7</v>
      </c>
      <c r="F1793">
        <v>56.849165807362702</v>
      </c>
      <c r="G1793" s="1">
        <v>44659</v>
      </c>
      <c r="H1793" s="1">
        <v>44662</v>
      </c>
      <c r="I1793">
        <v>397.94416065153899</v>
      </c>
      <c r="J1793">
        <f t="shared" si="162"/>
        <v>3</v>
      </c>
      <c r="K1793" t="str">
        <f>VLOOKUP(B1793,Raw_Suppliers!$A$2:$G$101,2,FALSE)</f>
        <v>Omega Nova Corp</v>
      </c>
      <c r="L1793" t="str">
        <f>VLOOKUP(B1793,Raw_Suppliers!$A$2:$G$101,3,FALSE)</f>
        <v>India</v>
      </c>
      <c r="M1793" t="str">
        <f>VLOOKUP(B1793,Raw_Suppliers!$A$2:$G$101,4,FALSE)</f>
        <v>West</v>
      </c>
      <c r="N1793" t="str">
        <f>VLOOKUP(B1793,Raw_Suppliers!$A$2:$G$101,6,FALSE)</f>
        <v>ISO 45001</v>
      </c>
      <c r="O1793">
        <f>VLOOKUP(B1793,Raw_Suppliers!$A$2:$G$101,7,FALSE)</f>
        <v>0</v>
      </c>
      <c r="P1793" t="str">
        <f t="shared" si="163"/>
        <v>No</v>
      </c>
      <c r="Q1793">
        <f t="shared" si="164"/>
        <v>0</v>
      </c>
      <c r="R1793" t="str">
        <f t="shared" si="165"/>
        <v>Late</v>
      </c>
      <c r="S1793">
        <f t="shared" si="166"/>
        <v>2022</v>
      </c>
      <c r="T1793">
        <f t="shared" si="167"/>
        <v>3</v>
      </c>
    </row>
    <row r="1794" spans="1:20" x14ac:dyDescent="0.25">
      <c r="A1794" t="s">
        <v>2101</v>
      </c>
      <c r="B1794" t="s">
        <v>169</v>
      </c>
      <c r="C1794" t="s">
        <v>172</v>
      </c>
      <c r="D1794" s="1">
        <v>45084</v>
      </c>
      <c r="E1794">
        <v>7</v>
      </c>
      <c r="F1794">
        <v>19.4989483145763</v>
      </c>
      <c r="G1794" s="1">
        <v>45098</v>
      </c>
      <c r="H1794" s="1">
        <v>45097</v>
      </c>
      <c r="I1794">
        <v>136.49263820203399</v>
      </c>
      <c r="J1794">
        <f t="shared" si="162"/>
        <v>-1</v>
      </c>
      <c r="K1794" t="str">
        <f>VLOOKUP(B1794,Raw_Suppliers!$A$2:$G$101,2,FALSE)</f>
        <v>Vertex Beta LLC</v>
      </c>
      <c r="L1794" t="str">
        <f>VLOOKUP(B1794,Raw_Suppliers!$A$2:$G$101,3,FALSE)</f>
        <v>China</v>
      </c>
      <c r="M1794" t="str">
        <f>VLOOKUP(B1794,Raw_Suppliers!$A$2:$G$101,4,FALSE)</f>
        <v>South</v>
      </c>
      <c r="N1794" t="str">
        <f>VLOOKUP(B1794,Raw_Suppliers!$A$2:$G$101,6,FALSE)</f>
        <v>ISO 14001</v>
      </c>
      <c r="O1794">
        <f>VLOOKUP(B1794,Raw_Suppliers!$A$2:$G$101,7,FALSE)</f>
        <v>0</v>
      </c>
      <c r="P1794" t="str">
        <f t="shared" si="163"/>
        <v>No</v>
      </c>
      <c r="Q1794">
        <f t="shared" si="164"/>
        <v>1</v>
      </c>
      <c r="R1794" t="str">
        <f t="shared" si="165"/>
        <v>On Time</v>
      </c>
      <c r="S1794">
        <f t="shared" si="166"/>
        <v>2023</v>
      </c>
      <c r="T1794">
        <f t="shared" si="167"/>
        <v>6</v>
      </c>
    </row>
    <row r="1795" spans="1:20" x14ac:dyDescent="0.25">
      <c r="A1795" t="s">
        <v>2102</v>
      </c>
      <c r="B1795" t="s">
        <v>64</v>
      </c>
      <c r="C1795" t="s">
        <v>457</v>
      </c>
      <c r="D1795" s="1">
        <v>44959</v>
      </c>
      <c r="E1795">
        <v>15</v>
      </c>
      <c r="F1795">
        <v>56.6827579460683</v>
      </c>
      <c r="G1795" s="1">
        <v>44973</v>
      </c>
      <c r="H1795" s="1">
        <v>44972</v>
      </c>
      <c r="I1795">
        <v>850.24136919102398</v>
      </c>
      <c r="J1795">
        <f t="shared" ref="J1795:J1858" si="168">H1795-G1795</f>
        <v>-1</v>
      </c>
      <c r="K1795" t="str">
        <f>VLOOKUP(B1795,Raw_Suppliers!$A$2:$G$101,2,FALSE)</f>
        <v>Apex Quantum Inc</v>
      </c>
      <c r="L1795" t="str">
        <f>VLOOKUP(B1795,Raw_Suppliers!$A$2:$G$101,3,FALSE)</f>
        <v>India</v>
      </c>
      <c r="M1795" t="str">
        <f>VLOOKUP(B1795,Raw_Suppliers!$A$2:$G$101,4,FALSE)</f>
        <v>North</v>
      </c>
      <c r="N1795" t="str">
        <f>VLOOKUP(B1795,Raw_Suppliers!$A$2:$G$101,6,FALSE)</f>
        <v>ISO 45001</v>
      </c>
      <c r="O1795">
        <f>VLOOKUP(B1795,Raw_Suppliers!$A$2:$G$101,7,FALSE)</f>
        <v>1</v>
      </c>
      <c r="P1795" t="str">
        <f t="shared" ref="P1795:P1858" si="169">IF(O1795=1,"Yes","No")</f>
        <v>Yes</v>
      </c>
      <c r="Q1795">
        <f t="shared" ref="Q1795:Q1858" si="170">IF(J1795&lt;=0,1,0)</f>
        <v>1</v>
      </c>
      <c r="R1795" t="str">
        <f t="shared" ref="R1795:R1858" si="171">IF(Q1795=1,"On Time","Late")</f>
        <v>On Time</v>
      </c>
      <c r="S1795">
        <f t="shared" ref="S1795:S1858" si="172">YEAR(D1795)</f>
        <v>2023</v>
      </c>
      <c r="T1795">
        <f t="shared" ref="T1795:T1858" si="173">MONTH(D1795)</f>
        <v>2</v>
      </c>
    </row>
    <row r="1796" spans="1:20" x14ac:dyDescent="0.25">
      <c r="A1796" t="s">
        <v>2103</v>
      </c>
      <c r="B1796" t="s">
        <v>288</v>
      </c>
      <c r="C1796" t="s">
        <v>141</v>
      </c>
      <c r="D1796" s="1">
        <v>45345</v>
      </c>
      <c r="E1796">
        <v>7</v>
      </c>
      <c r="F1796">
        <v>78.709018444614898</v>
      </c>
      <c r="G1796" s="1">
        <v>45360</v>
      </c>
      <c r="H1796" s="1">
        <v>45357</v>
      </c>
      <c r="I1796">
        <v>550.96312911230405</v>
      </c>
      <c r="J1796">
        <f t="shared" si="168"/>
        <v>-3</v>
      </c>
      <c r="K1796" t="str">
        <f>VLOOKUP(B1796,Raw_Suppliers!$A$2:$G$101,2,FALSE)</f>
        <v>Alpha Beta LLC</v>
      </c>
      <c r="L1796" t="str">
        <f>VLOOKUP(B1796,Raw_Suppliers!$A$2:$G$101,3,FALSE)</f>
        <v>India</v>
      </c>
      <c r="M1796" t="str">
        <f>VLOOKUP(B1796,Raw_Suppliers!$A$2:$G$101,4,FALSE)</f>
        <v>West</v>
      </c>
      <c r="N1796" t="str">
        <f>VLOOKUP(B1796,Raw_Suppliers!$A$2:$G$101,6,FALSE)</f>
        <v>ISO 45001</v>
      </c>
      <c r="O1796">
        <f>VLOOKUP(B1796,Raw_Suppliers!$A$2:$G$101,7,FALSE)</f>
        <v>0</v>
      </c>
      <c r="P1796" t="str">
        <f t="shared" si="169"/>
        <v>No</v>
      </c>
      <c r="Q1796">
        <f t="shared" si="170"/>
        <v>1</v>
      </c>
      <c r="R1796" t="str">
        <f t="shared" si="171"/>
        <v>On Time</v>
      </c>
      <c r="S1796">
        <f t="shared" si="172"/>
        <v>2024</v>
      </c>
      <c r="T1796">
        <f t="shared" si="173"/>
        <v>2</v>
      </c>
    </row>
    <row r="1797" spans="1:20" x14ac:dyDescent="0.25">
      <c r="A1797" t="s">
        <v>2104</v>
      </c>
      <c r="B1797" t="s">
        <v>267</v>
      </c>
      <c r="C1797" t="s">
        <v>356</v>
      </c>
      <c r="D1797" s="1">
        <v>44534</v>
      </c>
      <c r="E1797">
        <v>10</v>
      </c>
      <c r="F1797">
        <v>42.798651903304602</v>
      </c>
      <c r="G1797" s="1">
        <v>44556</v>
      </c>
      <c r="H1797" s="1">
        <v>44558</v>
      </c>
      <c r="I1797">
        <v>427.98651903304602</v>
      </c>
      <c r="J1797">
        <f t="shared" si="168"/>
        <v>2</v>
      </c>
      <c r="K1797" t="str">
        <f>VLOOKUP(B1797,Raw_Suppliers!$A$2:$G$101,2,FALSE)</f>
        <v>Omega Nova Corp</v>
      </c>
      <c r="L1797" t="str">
        <f>VLOOKUP(B1797,Raw_Suppliers!$A$2:$G$101,3,FALSE)</f>
        <v>India</v>
      </c>
      <c r="M1797" t="str">
        <f>VLOOKUP(B1797,Raw_Suppliers!$A$2:$G$101,4,FALSE)</f>
        <v>West</v>
      </c>
      <c r="N1797" t="str">
        <f>VLOOKUP(B1797,Raw_Suppliers!$A$2:$G$101,6,FALSE)</f>
        <v>ISO 45001</v>
      </c>
      <c r="O1797">
        <f>VLOOKUP(B1797,Raw_Suppliers!$A$2:$G$101,7,FALSE)</f>
        <v>0</v>
      </c>
      <c r="P1797" t="str">
        <f t="shared" si="169"/>
        <v>No</v>
      </c>
      <c r="Q1797">
        <f t="shared" si="170"/>
        <v>0</v>
      </c>
      <c r="R1797" t="str">
        <f t="shared" si="171"/>
        <v>Late</v>
      </c>
      <c r="S1797">
        <f t="shared" si="172"/>
        <v>2021</v>
      </c>
      <c r="T1797">
        <f t="shared" si="173"/>
        <v>12</v>
      </c>
    </row>
    <row r="1798" spans="1:20" x14ac:dyDescent="0.25">
      <c r="A1798" t="s">
        <v>2105</v>
      </c>
      <c r="B1798" t="s">
        <v>227</v>
      </c>
      <c r="C1798" t="s">
        <v>722</v>
      </c>
      <c r="D1798" s="1">
        <v>44498</v>
      </c>
      <c r="E1798">
        <v>10</v>
      </c>
      <c r="F1798">
        <v>65.876608243191001</v>
      </c>
      <c r="G1798" s="1">
        <v>44510</v>
      </c>
      <c r="H1798" s="1">
        <v>44516</v>
      </c>
      <c r="I1798">
        <v>658.76608243191004</v>
      </c>
      <c r="J1798">
        <f t="shared" si="168"/>
        <v>6</v>
      </c>
      <c r="K1798" t="str">
        <f>VLOOKUP(B1798,Raw_Suppliers!$A$2:$G$101,2,FALSE)</f>
        <v>Delta Prime Inc</v>
      </c>
      <c r="L1798" t="str">
        <f>VLOOKUP(B1798,Raw_Suppliers!$A$2:$G$101,3,FALSE)</f>
        <v>Denmark</v>
      </c>
      <c r="M1798" t="str">
        <f>VLOOKUP(B1798,Raw_Suppliers!$A$2:$G$101,4,FALSE)</f>
        <v>South</v>
      </c>
      <c r="N1798" t="str">
        <f>VLOOKUP(B1798,Raw_Suppliers!$A$2:$G$101,6,FALSE)</f>
        <v>ISO 14001</v>
      </c>
      <c r="O1798">
        <f>VLOOKUP(B1798,Raw_Suppliers!$A$2:$G$101,7,FALSE)</f>
        <v>0</v>
      </c>
      <c r="P1798" t="str">
        <f t="shared" si="169"/>
        <v>No</v>
      </c>
      <c r="Q1798">
        <f t="shared" si="170"/>
        <v>0</v>
      </c>
      <c r="R1798" t="str">
        <f t="shared" si="171"/>
        <v>Late</v>
      </c>
      <c r="S1798">
        <f t="shared" si="172"/>
        <v>2021</v>
      </c>
      <c r="T1798">
        <f t="shared" si="173"/>
        <v>10</v>
      </c>
    </row>
    <row r="1799" spans="1:20" x14ac:dyDescent="0.25">
      <c r="A1799" t="s">
        <v>2106</v>
      </c>
      <c r="B1799" t="s">
        <v>427</v>
      </c>
      <c r="C1799" t="s">
        <v>214</v>
      </c>
      <c r="D1799" s="1">
        <v>44836</v>
      </c>
      <c r="E1799">
        <v>9</v>
      </c>
      <c r="F1799">
        <v>51.583279511103299</v>
      </c>
      <c r="G1799" s="1">
        <v>44858</v>
      </c>
      <c r="H1799" s="1">
        <v>44857</v>
      </c>
      <c r="I1799">
        <v>464.249515599929</v>
      </c>
      <c r="J1799">
        <f t="shared" si="168"/>
        <v>-1</v>
      </c>
      <c r="K1799" t="str">
        <f>VLOOKUP(B1799,Raw_Suppliers!$A$2:$G$101,2,FALSE)</f>
        <v>Nova Alpha Corp</v>
      </c>
      <c r="L1799" t="str">
        <f>VLOOKUP(B1799,Raw_Suppliers!$A$2:$G$101,3,FALSE)</f>
        <v>Denmark</v>
      </c>
      <c r="M1799" t="str">
        <f>VLOOKUP(B1799,Raw_Suppliers!$A$2:$G$101,4,FALSE)</f>
        <v>Central</v>
      </c>
      <c r="N1799" t="str">
        <f>VLOOKUP(B1799,Raw_Suppliers!$A$2:$G$101,6,FALSE)</f>
        <v>None</v>
      </c>
      <c r="O1799">
        <f>VLOOKUP(B1799,Raw_Suppliers!$A$2:$G$101,7,FALSE)</f>
        <v>0</v>
      </c>
      <c r="P1799" t="str">
        <f t="shared" si="169"/>
        <v>No</v>
      </c>
      <c r="Q1799">
        <f t="shared" si="170"/>
        <v>1</v>
      </c>
      <c r="R1799" t="str">
        <f t="shared" si="171"/>
        <v>On Time</v>
      </c>
      <c r="S1799">
        <f t="shared" si="172"/>
        <v>2022</v>
      </c>
      <c r="T1799">
        <f t="shared" si="173"/>
        <v>10</v>
      </c>
    </row>
    <row r="1800" spans="1:20" x14ac:dyDescent="0.25">
      <c r="A1800" t="s">
        <v>2107</v>
      </c>
      <c r="B1800" t="s">
        <v>237</v>
      </c>
      <c r="C1800" t="s">
        <v>363</v>
      </c>
      <c r="D1800" s="1">
        <v>45025</v>
      </c>
      <c r="E1800">
        <v>14</v>
      </c>
      <c r="F1800">
        <v>61.946261993151502</v>
      </c>
      <c r="G1800" s="1">
        <v>45037</v>
      </c>
      <c r="H1800" s="1">
        <v>45042</v>
      </c>
      <c r="I1800">
        <v>867.24766790412195</v>
      </c>
      <c r="J1800">
        <f t="shared" si="168"/>
        <v>5</v>
      </c>
      <c r="K1800" t="str">
        <f>VLOOKUP(B1800,Raw_Suppliers!$A$2:$G$101,2,FALSE)</f>
        <v>Eco Beta Inc</v>
      </c>
      <c r="L1800" t="str">
        <f>VLOOKUP(B1800,Raw_Suppliers!$A$2:$G$101,3,FALSE)</f>
        <v>Germany</v>
      </c>
      <c r="M1800" t="str">
        <f>VLOOKUP(B1800,Raw_Suppliers!$A$2:$G$101,4,FALSE)</f>
        <v>North</v>
      </c>
      <c r="N1800" t="str">
        <f>VLOOKUP(B1800,Raw_Suppliers!$A$2:$G$101,6,FALSE)</f>
        <v>ISO 14001</v>
      </c>
      <c r="O1800">
        <f>VLOOKUP(B1800,Raw_Suppliers!$A$2:$G$101,7,FALSE)</f>
        <v>0</v>
      </c>
      <c r="P1800" t="str">
        <f t="shared" si="169"/>
        <v>No</v>
      </c>
      <c r="Q1800">
        <f t="shared" si="170"/>
        <v>0</v>
      </c>
      <c r="R1800" t="str">
        <f t="shared" si="171"/>
        <v>Late</v>
      </c>
      <c r="S1800">
        <f t="shared" si="172"/>
        <v>2023</v>
      </c>
      <c r="T1800">
        <f t="shared" si="173"/>
        <v>4</v>
      </c>
    </row>
    <row r="1801" spans="1:20" x14ac:dyDescent="0.25">
      <c r="A1801" t="s">
        <v>2108</v>
      </c>
      <c r="B1801" t="s">
        <v>25</v>
      </c>
      <c r="C1801" t="s">
        <v>150</v>
      </c>
      <c r="D1801" s="1">
        <v>44805</v>
      </c>
      <c r="E1801">
        <v>11</v>
      </c>
      <c r="F1801">
        <v>38.239084407445297</v>
      </c>
      <c r="G1801" s="1">
        <v>44823</v>
      </c>
      <c r="H1801" s="1">
        <v>44823</v>
      </c>
      <c r="I1801">
        <v>420.62992848189901</v>
      </c>
      <c r="J1801">
        <f t="shared" si="168"/>
        <v>0</v>
      </c>
      <c r="K1801" t="str">
        <f>VLOOKUP(B1801,Raw_Suppliers!$A$2:$G$101,2,FALSE)</f>
        <v>Quantum Fusion Corp</v>
      </c>
      <c r="L1801" t="str">
        <f>VLOOKUP(B1801,Raw_Suppliers!$A$2:$G$101,3,FALSE)</f>
        <v>UK</v>
      </c>
      <c r="M1801" t="str">
        <f>VLOOKUP(B1801,Raw_Suppliers!$A$2:$G$101,4,FALSE)</f>
        <v>North</v>
      </c>
      <c r="N1801" t="str">
        <f>VLOOKUP(B1801,Raw_Suppliers!$A$2:$G$101,6,FALSE)</f>
        <v>ISO 9001</v>
      </c>
      <c r="O1801">
        <f>VLOOKUP(B1801,Raw_Suppliers!$A$2:$G$101,7,FALSE)</f>
        <v>0</v>
      </c>
      <c r="P1801" t="str">
        <f t="shared" si="169"/>
        <v>No</v>
      </c>
      <c r="Q1801">
        <f t="shared" si="170"/>
        <v>1</v>
      </c>
      <c r="R1801" t="str">
        <f t="shared" si="171"/>
        <v>On Time</v>
      </c>
      <c r="S1801">
        <f t="shared" si="172"/>
        <v>2022</v>
      </c>
      <c r="T1801">
        <f t="shared" si="173"/>
        <v>9</v>
      </c>
    </row>
    <row r="1802" spans="1:20" x14ac:dyDescent="0.25">
      <c r="A1802" t="s">
        <v>2109</v>
      </c>
      <c r="B1802" t="s">
        <v>399</v>
      </c>
      <c r="C1802" t="s">
        <v>117</v>
      </c>
      <c r="D1802" s="1">
        <v>45018</v>
      </c>
      <c r="E1802">
        <v>8</v>
      </c>
      <c r="F1802">
        <v>48.113651385545602</v>
      </c>
      <c r="G1802" s="1">
        <v>45038</v>
      </c>
      <c r="H1802" s="1">
        <v>45040</v>
      </c>
      <c r="I1802">
        <v>384.90921108436402</v>
      </c>
      <c r="J1802">
        <f t="shared" si="168"/>
        <v>2</v>
      </c>
      <c r="K1802" t="str">
        <f>VLOOKUP(B1802,Raw_Suppliers!$A$2:$G$101,2,FALSE)</f>
        <v>Omega Nano Corp</v>
      </c>
      <c r="L1802" t="str">
        <f>VLOOKUP(B1802,Raw_Suppliers!$A$2:$G$101,3,FALSE)</f>
        <v>Brazil</v>
      </c>
      <c r="M1802" t="str">
        <f>VLOOKUP(B1802,Raw_Suppliers!$A$2:$G$101,4,FALSE)</f>
        <v>Central</v>
      </c>
      <c r="N1802" t="str">
        <f>VLOOKUP(B1802,Raw_Suppliers!$A$2:$G$101,6,FALSE)</f>
        <v>ISO 14001</v>
      </c>
      <c r="O1802">
        <f>VLOOKUP(B1802,Raw_Suppliers!$A$2:$G$101,7,FALSE)</f>
        <v>0</v>
      </c>
      <c r="P1802" t="str">
        <f t="shared" si="169"/>
        <v>No</v>
      </c>
      <c r="Q1802">
        <f t="shared" si="170"/>
        <v>0</v>
      </c>
      <c r="R1802" t="str">
        <f t="shared" si="171"/>
        <v>Late</v>
      </c>
      <c r="S1802">
        <f t="shared" si="172"/>
        <v>2023</v>
      </c>
      <c r="T1802">
        <f t="shared" si="173"/>
        <v>4</v>
      </c>
    </row>
    <row r="1803" spans="1:20" x14ac:dyDescent="0.25">
      <c r="A1803" t="s">
        <v>2110</v>
      </c>
      <c r="B1803" t="s">
        <v>99</v>
      </c>
      <c r="C1803" t="s">
        <v>56</v>
      </c>
      <c r="D1803" s="1">
        <v>44612</v>
      </c>
      <c r="E1803">
        <v>15</v>
      </c>
      <c r="F1803">
        <v>39.038272516494601</v>
      </c>
      <c r="G1803" s="1">
        <v>44633</v>
      </c>
      <c r="H1803" s="1">
        <v>44638</v>
      </c>
      <c r="I1803">
        <v>585.57408774741896</v>
      </c>
      <c r="J1803">
        <f t="shared" si="168"/>
        <v>5</v>
      </c>
      <c r="K1803" t="str">
        <f>VLOOKUP(B1803,Raw_Suppliers!$A$2:$G$101,2,FALSE)</f>
        <v>Gamma Nova LLC</v>
      </c>
      <c r="L1803" t="str">
        <f>VLOOKUP(B1803,Raw_Suppliers!$A$2:$G$101,3,FALSE)</f>
        <v>USA</v>
      </c>
      <c r="M1803" t="str">
        <f>VLOOKUP(B1803,Raw_Suppliers!$A$2:$G$101,4,FALSE)</f>
        <v>North</v>
      </c>
      <c r="N1803" t="str">
        <f>VLOOKUP(B1803,Raw_Suppliers!$A$2:$G$101,6,FALSE)</f>
        <v>ISO 9001</v>
      </c>
      <c r="O1803">
        <f>VLOOKUP(B1803,Raw_Suppliers!$A$2:$G$101,7,FALSE)</f>
        <v>0</v>
      </c>
      <c r="P1803" t="str">
        <f t="shared" si="169"/>
        <v>No</v>
      </c>
      <c r="Q1803">
        <f t="shared" si="170"/>
        <v>0</v>
      </c>
      <c r="R1803" t="str">
        <f t="shared" si="171"/>
        <v>Late</v>
      </c>
      <c r="S1803">
        <f t="shared" si="172"/>
        <v>2022</v>
      </c>
      <c r="T1803">
        <f t="shared" si="173"/>
        <v>2</v>
      </c>
    </row>
    <row r="1804" spans="1:20" x14ac:dyDescent="0.25">
      <c r="A1804" t="s">
        <v>2111</v>
      </c>
      <c r="B1804" t="s">
        <v>82</v>
      </c>
      <c r="C1804" t="s">
        <v>562</v>
      </c>
      <c r="D1804" s="1">
        <v>44582</v>
      </c>
      <c r="E1804">
        <v>10</v>
      </c>
      <c r="F1804">
        <v>25.478636824121001</v>
      </c>
      <c r="G1804" s="1">
        <v>44593</v>
      </c>
      <c r="H1804" s="1">
        <v>44599</v>
      </c>
      <c r="I1804">
        <v>254.78636824121</v>
      </c>
      <c r="J1804">
        <f t="shared" si="168"/>
        <v>6</v>
      </c>
      <c r="K1804" t="str">
        <f>VLOOKUP(B1804,Raw_Suppliers!$A$2:$G$101,2,FALSE)</f>
        <v>Gamma Quantum LLC</v>
      </c>
      <c r="L1804" t="str">
        <f>VLOOKUP(B1804,Raw_Suppliers!$A$2:$G$101,3,FALSE)</f>
        <v>Canada</v>
      </c>
      <c r="M1804" t="str">
        <f>VLOOKUP(B1804,Raw_Suppliers!$A$2:$G$101,4,FALSE)</f>
        <v>Central</v>
      </c>
      <c r="N1804" t="str">
        <f>VLOOKUP(B1804,Raw_Suppliers!$A$2:$G$101,6,FALSE)</f>
        <v>None</v>
      </c>
      <c r="O1804">
        <f>VLOOKUP(B1804,Raw_Suppliers!$A$2:$G$101,7,FALSE)</f>
        <v>1</v>
      </c>
      <c r="P1804" t="str">
        <f t="shared" si="169"/>
        <v>Yes</v>
      </c>
      <c r="Q1804">
        <f t="shared" si="170"/>
        <v>0</v>
      </c>
      <c r="R1804" t="str">
        <f t="shared" si="171"/>
        <v>Late</v>
      </c>
      <c r="S1804">
        <f t="shared" si="172"/>
        <v>2022</v>
      </c>
      <c r="T1804">
        <f t="shared" si="173"/>
        <v>1</v>
      </c>
    </row>
    <row r="1805" spans="1:20" x14ac:dyDescent="0.25">
      <c r="A1805" t="s">
        <v>2112</v>
      </c>
      <c r="B1805" t="s">
        <v>19</v>
      </c>
      <c r="C1805" t="s">
        <v>77</v>
      </c>
      <c r="D1805" s="1">
        <v>44723</v>
      </c>
      <c r="E1805">
        <v>15</v>
      </c>
      <c r="F1805">
        <v>3.9806453072743202</v>
      </c>
      <c r="G1805" s="1">
        <v>44739</v>
      </c>
      <c r="H1805" s="1">
        <v>44736</v>
      </c>
      <c r="I1805">
        <v>59.7096796091149</v>
      </c>
      <c r="J1805">
        <f t="shared" si="168"/>
        <v>-3</v>
      </c>
      <c r="K1805" t="str">
        <f>VLOOKUP(B1805,Raw_Suppliers!$A$2:$G$101,2,FALSE)</f>
        <v>Nova Beta Corp</v>
      </c>
      <c r="L1805" t="str">
        <f>VLOOKUP(B1805,Raw_Suppliers!$A$2:$G$101,3,FALSE)</f>
        <v>Brazil</v>
      </c>
      <c r="M1805" t="str">
        <f>VLOOKUP(B1805,Raw_Suppliers!$A$2:$G$101,4,FALSE)</f>
        <v>South</v>
      </c>
      <c r="N1805" t="str">
        <f>VLOOKUP(B1805,Raw_Suppliers!$A$2:$G$101,6,FALSE)</f>
        <v>ISO 14001</v>
      </c>
      <c r="O1805">
        <f>VLOOKUP(B1805,Raw_Suppliers!$A$2:$G$101,7,FALSE)</f>
        <v>1</v>
      </c>
      <c r="P1805" t="str">
        <f t="shared" si="169"/>
        <v>Yes</v>
      </c>
      <c r="Q1805">
        <f t="shared" si="170"/>
        <v>1</v>
      </c>
      <c r="R1805" t="str">
        <f t="shared" si="171"/>
        <v>On Time</v>
      </c>
      <c r="S1805">
        <f t="shared" si="172"/>
        <v>2022</v>
      </c>
      <c r="T1805">
        <f t="shared" si="173"/>
        <v>6</v>
      </c>
    </row>
    <row r="1806" spans="1:20" x14ac:dyDescent="0.25">
      <c r="A1806" t="s">
        <v>2113</v>
      </c>
      <c r="B1806" t="s">
        <v>114</v>
      </c>
      <c r="C1806" t="s">
        <v>62</v>
      </c>
      <c r="D1806" s="1">
        <v>44591</v>
      </c>
      <c r="E1806">
        <v>8</v>
      </c>
      <c r="F1806">
        <v>45.322431925801098</v>
      </c>
      <c r="G1806" s="1">
        <v>44607</v>
      </c>
      <c r="H1806" s="1">
        <v>44609</v>
      </c>
      <c r="I1806">
        <v>362.57945540640901</v>
      </c>
      <c r="J1806">
        <f t="shared" si="168"/>
        <v>2</v>
      </c>
      <c r="K1806" t="str">
        <f>VLOOKUP(B1806,Raw_Suppliers!$A$2:$G$101,2,FALSE)</f>
        <v>Fusion Fusion LLC</v>
      </c>
      <c r="L1806" t="str">
        <f>VLOOKUP(B1806,Raw_Suppliers!$A$2:$G$101,3,FALSE)</f>
        <v>China</v>
      </c>
      <c r="M1806" t="str">
        <f>VLOOKUP(B1806,Raw_Suppliers!$A$2:$G$101,4,FALSE)</f>
        <v>North</v>
      </c>
      <c r="N1806" t="str">
        <f>VLOOKUP(B1806,Raw_Suppliers!$A$2:$G$101,6,FALSE)</f>
        <v>ISO 45001</v>
      </c>
      <c r="O1806">
        <f>VLOOKUP(B1806,Raw_Suppliers!$A$2:$G$101,7,FALSE)</f>
        <v>1</v>
      </c>
      <c r="P1806" t="str">
        <f t="shared" si="169"/>
        <v>Yes</v>
      </c>
      <c r="Q1806">
        <f t="shared" si="170"/>
        <v>0</v>
      </c>
      <c r="R1806" t="str">
        <f t="shared" si="171"/>
        <v>Late</v>
      </c>
      <c r="S1806">
        <f t="shared" si="172"/>
        <v>2022</v>
      </c>
      <c r="T1806">
        <f t="shared" si="173"/>
        <v>1</v>
      </c>
    </row>
    <row r="1807" spans="1:20" x14ac:dyDescent="0.25">
      <c r="A1807" t="s">
        <v>2114</v>
      </c>
      <c r="B1807" t="s">
        <v>82</v>
      </c>
      <c r="C1807" t="s">
        <v>251</v>
      </c>
      <c r="D1807" s="1">
        <v>44569</v>
      </c>
      <c r="E1807">
        <v>7</v>
      </c>
      <c r="F1807">
        <v>56.712243446164997</v>
      </c>
      <c r="G1807" s="1">
        <v>44582</v>
      </c>
      <c r="H1807" s="1">
        <v>44587</v>
      </c>
      <c r="I1807">
        <v>396.98570412315502</v>
      </c>
      <c r="J1807">
        <f t="shared" si="168"/>
        <v>5</v>
      </c>
      <c r="K1807" t="str">
        <f>VLOOKUP(B1807,Raw_Suppliers!$A$2:$G$101,2,FALSE)</f>
        <v>Gamma Quantum LLC</v>
      </c>
      <c r="L1807" t="str">
        <f>VLOOKUP(B1807,Raw_Suppliers!$A$2:$G$101,3,FALSE)</f>
        <v>Canada</v>
      </c>
      <c r="M1807" t="str">
        <f>VLOOKUP(B1807,Raw_Suppliers!$A$2:$G$101,4,FALSE)</f>
        <v>Central</v>
      </c>
      <c r="N1807" t="str">
        <f>VLOOKUP(B1807,Raw_Suppliers!$A$2:$G$101,6,FALSE)</f>
        <v>None</v>
      </c>
      <c r="O1807">
        <f>VLOOKUP(B1807,Raw_Suppliers!$A$2:$G$101,7,FALSE)</f>
        <v>1</v>
      </c>
      <c r="P1807" t="str">
        <f t="shared" si="169"/>
        <v>Yes</v>
      </c>
      <c r="Q1807">
        <f t="shared" si="170"/>
        <v>0</v>
      </c>
      <c r="R1807" t="str">
        <f t="shared" si="171"/>
        <v>Late</v>
      </c>
      <c r="S1807">
        <f t="shared" si="172"/>
        <v>2022</v>
      </c>
      <c r="T1807">
        <f t="shared" si="173"/>
        <v>1</v>
      </c>
    </row>
    <row r="1808" spans="1:20" x14ac:dyDescent="0.25">
      <c r="A1808" t="s">
        <v>2115</v>
      </c>
      <c r="B1808" t="s">
        <v>109</v>
      </c>
      <c r="C1808" t="s">
        <v>201</v>
      </c>
      <c r="D1808" s="1">
        <v>45083</v>
      </c>
      <c r="E1808">
        <v>17</v>
      </c>
      <c r="F1808">
        <v>44.585680742167398</v>
      </c>
      <c r="G1808" s="1">
        <v>45098</v>
      </c>
      <c r="H1808" s="1">
        <v>45104</v>
      </c>
      <c r="I1808">
        <v>757.95657261684596</v>
      </c>
      <c r="J1808">
        <f t="shared" si="168"/>
        <v>6</v>
      </c>
      <c r="K1808" t="str">
        <f>VLOOKUP(B1808,Raw_Suppliers!$A$2:$G$101,2,FALSE)</f>
        <v>Nano Fusion GmbH</v>
      </c>
      <c r="L1808" t="str">
        <f>VLOOKUP(B1808,Raw_Suppliers!$A$2:$G$101,3,FALSE)</f>
        <v>Denmark</v>
      </c>
      <c r="M1808" t="str">
        <f>VLOOKUP(B1808,Raw_Suppliers!$A$2:$G$101,4,FALSE)</f>
        <v>North</v>
      </c>
      <c r="N1808" t="str">
        <f>VLOOKUP(B1808,Raw_Suppliers!$A$2:$G$101,6,FALSE)</f>
        <v>ISO 9001</v>
      </c>
      <c r="O1808">
        <f>VLOOKUP(B1808,Raw_Suppliers!$A$2:$G$101,7,FALSE)</f>
        <v>0</v>
      </c>
      <c r="P1808" t="str">
        <f t="shared" si="169"/>
        <v>No</v>
      </c>
      <c r="Q1808">
        <f t="shared" si="170"/>
        <v>0</v>
      </c>
      <c r="R1808" t="str">
        <f t="shared" si="171"/>
        <v>Late</v>
      </c>
      <c r="S1808">
        <f t="shared" si="172"/>
        <v>2023</v>
      </c>
      <c r="T1808">
        <f t="shared" si="173"/>
        <v>6</v>
      </c>
    </row>
    <row r="1809" spans="1:20" x14ac:dyDescent="0.25">
      <c r="A1809" t="s">
        <v>2116</v>
      </c>
      <c r="B1809" t="s">
        <v>124</v>
      </c>
      <c r="C1809" t="s">
        <v>543</v>
      </c>
      <c r="D1809" s="1">
        <v>45353</v>
      </c>
      <c r="E1809">
        <v>14</v>
      </c>
      <c r="F1809">
        <v>56.144499657942802</v>
      </c>
      <c r="G1809" s="1">
        <v>45366</v>
      </c>
      <c r="H1809" s="1">
        <v>45366</v>
      </c>
      <c r="I1809">
        <v>786.02299521119903</v>
      </c>
      <c r="J1809">
        <f t="shared" si="168"/>
        <v>0</v>
      </c>
      <c r="K1809" t="str">
        <f>VLOOKUP(B1809,Raw_Suppliers!$A$2:$G$101,2,FALSE)</f>
        <v>Vertex Delta Inc</v>
      </c>
      <c r="L1809" t="str">
        <f>VLOOKUP(B1809,Raw_Suppliers!$A$2:$G$101,3,FALSE)</f>
        <v>Germany</v>
      </c>
      <c r="M1809" t="str">
        <f>VLOOKUP(B1809,Raw_Suppliers!$A$2:$G$101,4,FALSE)</f>
        <v>South</v>
      </c>
      <c r="N1809" t="str">
        <f>VLOOKUP(B1809,Raw_Suppliers!$A$2:$G$101,6,FALSE)</f>
        <v>ISO 9001</v>
      </c>
      <c r="O1809">
        <f>VLOOKUP(B1809,Raw_Suppliers!$A$2:$G$101,7,FALSE)</f>
        <v>0</v>
      </c>
      <c r="P1809" t="str">
        <f t="shared" si="169"/>
        <v>No</v>
      </c>
      <c r="Q1809">
        <f t="shared" si="170"/>
        <v>1</v>
      </c>
      <c r="R1809" t="str">
        <f t="shared" si="171"/>
        <v>On Time</v>
      </c>
      <c r="S1809">
        <f t="shared" si="172"/>
        <v>2024</v>
      </c>
      <c r="T1809">
        <f t="shared" si="173"/>
        <v>3</v>
      </c>
    </row>
    <row r="1810" spans="1:20" x14ac:dyDescent="0.25">
      <c r="A1810" t="s">
        <v>2117</v>
      </c>
      <c r="B1810" t="s">
        <v>79</v>
      </c>
      <c r="C1810" t="s">
        <v>361</v>
      </c>
      <c r="D1810" s="1">
        <v>44466</v>
      </c>
      <c r="E1810">
        <v>11</v>
      </c>
      <c r="F1810">
        <v>42.769469053709898</v>
      </c>
      <c r="G1810" s="1">
        <v>44480</v>
      </c>
      <c r="H1810" s="1">
        <v>44482</v>
      </c>
      <c r="I1810">
        <v>470.464159590809</v>
      </c>
      <c r="J1810">
        <f t="shared" si="168"/>
        <v>2</v>
      </c>
      <c r="K1810" t="str">
        <f>VLOOKUP(B1810,Raw_Suppliers!$A$2:$G$101,2,FALSE)</f>
        <v>Vertex Fusion Inc</v>
      </c>
      <c r="L1810" t="str">
        <f>VLOOKUP(B1810,Raw_Suppliers!$A$2:$G$101,3,FALSE)</f>
        <v>India</v>
      </c>
      <c r="M1810" t="str">
        <f>VLOOKUP(B1810,Raw_Suppliers!$A$2:$G$101,4,FALSE)</f>
        <v>Central</v>
      </c>
      <c r="N1810" t="str">
        <f>VLOOKUP(B1810,Raw_Suppliers!$A$2:$G$101,6,FALSE)</f>
        <v>ISO 9001</v>
      </c>
      <c r="O1810">
        <f>VLOOKUP(B1810,Raw_Suppliers!$A$2:$G$101,7,FALSE)</f>
        <v>0</v>
      </c>
      <c r="P1810" t="str">
        <f t="shared" si="169"/>
        <v>No</v>
      </c>
      <c r="Q1810">
        <f t="shared" si="170"/>
        <v>0</v>
      </c>
      <c r="R1810" t="str">
        <f t="shared" si="171"/>
        <v>Late</v>
      </c>
      <c r="S1810">
        <f t="shared" si="172"/>
        <v>2021</v>
      </c>
      <c r="T1810">
        <f t="shared" si="173"/>
        <v>9</v>
      </c>
    </row>
    <row r="1811" spans="1:20" x14ac:dyDescent="0.25">
      <c r="A1811" t="s">
        <v>2118</v>
      </c>
      <c r="B1811" t="s">
        <v>216</v>
      </c>
      <c r="C1811" t="s">
        <v>125</v>
      </c>
      <c r="D1811" s="1">
        <v>45204</v>
      </c>
      <c r="E1811">
        <v>5</v>
      </c>
      <c r="F1811">
        <v>56.154229052830203</v>
      </c>
      <c r="G1811" s="1">
        <v>45220</v>
      </c>
      <c r="H1811" s="1">
        <v>45219</v>
      </c>
      <c r="I1811">
        <v>280.77114526415102</v>
      </c>
      <c r="J1811">
        <f t="shared" si="168"/>
        <v>-1</v>
      </c>
      <c r="K1811" t="str">
        <f>VLOOKUP(B1811,Raw_Suppliers!$A$2:$G$101,2,FALSE)</f>
        <v>Fusion Delta LLC</v>
      </c>
      <c r="L1811" t="str">
        <f>VLOOKUP(B1811,Raw_Suppliers!$A$2:$G$101,3,FALSE)</f>
        <v>Brazil</v>
      </c>
      <c r="M1811" t="str">
        <f>VLOOKUP(B1811,Raw_Suppliers!$A$2:$G$101,4,FALSE)</f>
        <v>Central</v>
      </c>
      <c r="N1811" t="str">
        <f>VLOOKUP(B1811,Raw_Suppliers!$A$2:$G$101,6,FALSE)</f>
        <v>ISO 14001</v>
      </c>
      <c r="O1811">
        <f>VLOOKUP(B1811,Raw_Suppliers!$A$2:$G$101,7,FALSE)</f>
        <v>0</v>
      </c>
      <c r="P1811" t="str">
        <f t="shared" si="169"/>
        <v>No</v>
      </c>
      <c r="Q1811">
        <f t="shared" si="170"/>
        <v>1</v>
      </c>
      <c r="R1811" t="str">
        <f t="shared" si="171"/>
        <v>On Time</v>
      </c>
      <c r="S1811">
        <f t="shared" si="172"/>
        <v>2023</v>
      </c>
      <c r="T1811">
        <f t="shared" si="173"/>
        <v>10</v>
      </c>
    </row>
    <row r="1812" spans="1:20" x14ac:dyDescent="0.25">
      <c r="A1812" t="s">
        <v>2119</v>
      </c>
      <c r="B1812" t="s">
        <v>256</v>
      </c>
      <c r="C1812" t="s">
        <v>353</v>
      </c>
      <c r="D1812" s="1">
        <v>44722</v>
      </c>
      <c r="E1812">
        <v>10</v>
      </c>
      <c r="F1812">
        <v>43.238874745119503</v>
      </c>
      <c r="G1812" s="1">
        <v>44733</v>
      </c>
      <c r="H1812" s="1">
        <v>44736</v>
      </c>
      <c r="I1812">
        <v>432.388747451195</v>
      </c>
      <c r="J1812">
        <f t="shared" si="168"/>
        <v>3</v>
      </c>
      <c r="K1812" t="str">
        <f>VLOOKUP(B1812,Raw_Suppliers!$A$2:$G$101,2,FALSE)</f>
        <v>Apex Eco Ltd</v>
      </c>
      <c r="L1812" t="str">
        <f>VLOOKUP(B1812,Raw_Suppliers!$A$2:$G$101,3,FALSE)</f>
        <v>USA</v>
      </c>
      <c r="M1812" t="str">
        <f>VLOOKUP(B1812,Raw_Suppliers!$A$2:$G$101,4,FALSE)</f>
        <v>North</v>
      </c>
      <c r="N1812" t="str">
        <f>VLOOKUP(B1812,Raw_Suppliers!$A$2:$G$101,6,FALSE)</f>
        <v>ISO 45001</v>
      </c>
      <c r="O1812">
        <f>VLOOKUP(B1812,Raw_Suppliers!$A$2:$G$101,7,FALSE)</f>
        <v>0</v>
      </c>
      <c r="P1812" t="str">
        <f t="shared" si="169"/>
        <v>No</v>
      </c>
      <c r="Q1812">
        <f t="shared" si="170"/>
        <v>0</v>
      </c>
      <c r="R1812" t="str">
        <f t="shared" si="171"/>
        <v>Late</v>
      </c>
      <c r="S1812">
        <f t="shared" si="172"/>
        <v>2022</v>
      </c>
      <c r="T1812">
        <f t="shared" si="173"/>
        <v>6</v>
      </c>
    </row>
    <row r="1813" spans="1:20" x14ac:dyDescent="0.25">
      <c r="A1813" t="s">
        <v>2120</v>
      </c>
      <c r="B1813" t="s">
        <v>169</v>
      </c>
      <c r="C1813" t="s">
        <v>29</v>
      </c>
      <c r="D1813" s="1">
        <v>44497</v>
      </c>
      <c r="E1813">
        <v>12</v>
      </c>
      <c r="F1813">
        <v>31.7351848428669</v>
      </c>
      <c r="G1813" s="1">
        <v>44510</v>
      </c>
      <c r="H1813" s="1">
        <v>44512</v>
      </c>
      <c r="I1813">
        <v>380.82221811440297</v>
      </c>
      <c r="J1813">
        <f t="shared" si="168"/>
        <v>2</v>
      </c>
      <c r="K1813" t="str">
        <f>VLOOKUP(B1813,Raw_Suppliers!$A$2:$G$101,2,FALSE)</f>
        <v>Vertex Beta LLC</v>
      </c>
      <c r="L1813" t="str">
        <f>VLOOKUP(B1813,Raw_Suppliers!$A$2:$G$101,3,FALSE)</f>
        <v>China</v>
      </c>
      <c r="M1813" t="str">
        <f>VLOOKUP(B1813,Raw_Suppliers!$A$2:$G$101,4,FALSE)</f>
        <v>South</v>
      </c>
      <c r="N1813" t="str">
        <f>VLOOKUP(B1813,Raw_Suppliers!$A$2:$G$101,6,FALSE)</f>
        <v>ISO 14001</v>
      </c>
      <c r="O1813">
        <f>VLOOKUP(B1813,Raw_Suppliers!$A$2:$G$101,7,FALSE)</f>
        <v>0</v>
      </c>
      <c r="P1813" t="str">
        <f t="shared" si="169"/>
        <v>No</v>
      </c>
      <c r="Q1813">
        <f t="shared" si="170"/>
        <v>0</v>
      </c>
      <c r="R1813" t="str">
        <f t="shared" si="171"/>
        <v>Late</v>
      </c>
      <c r="S1813">
        <f t="shared" si="172"/>
        <v>2021</v>
      </c>
      <c r="T1813">
        <f t="shared" si="173"/>
        <v>10</v>
      </c>
    </row>
    <row r="1814" spans="1:20" x14ac:dyDescent="0.25">
      <c r="A1814" t="s">
        <v>2121</v>
      </c>
      <c r="B1814" t="s">
        <v>104</v>
      </c>
      <c r="C1814" t="s">
        <v>94</v>
      </c>
      <c r="D1814" s="1">
        <v>44522</v>
      </c>
      <c r="E1814">
        <v>19</v>
      </c>
      <c r="F1814">
        <v>9.1190935679567797</v>
      </c>
      <c r="G1814" s="1">
        <v>44535</v>
      </c>
      <c r="H1814" s="1">
        <v>44535</v>
      </c>
      <c r="I1814">
        <v>173.262777791178</v>
      </c>
      <c r="J1814">
        <f t="shared" si="168"/>
        <v>0</v>
      </c>
      <c r="K1814" t="str">
        <f>VLOOKUP(B1814,Raw_Suppliers!$A$2:$G$101,2,FALSE)</f>
        <v>Prime Omega Corp</v>
      </c>
      <c r="L1814" t="str">
        <f>VLOOKUP(B1814,Raw_Suppliers!$A$2:$G$101,3,FALSE)</f>
        <v>India</v>
      </c>
      <c r="M1814" t="str">
        <f>VLOOKUP(B1814,Raw_Suppliers!$A$2:$G$101,4,FALSE)</f>
        <v>Central</v>
      </c>
      <c r="N1814" t="str">
        <f>VLOOKUP(B1814,Raw_Suppliers!$A$2:$G$101,6,FALSE)</f>
        <v>ISO 14001</v>
      </c>
      <c r="O1814">
        <f>VLOOKUP(B1814,Raw_Suppliers!$A$2:$G$101,7,FALSE)</f>
        <v>0</v>
      </c>
      <c r="P1814" t="str">
        <f t="shared" si="169"/>
        <v>No</v>
      </c>
      <c r="Q1814">
        <f t="shared" si="170"/>
        <v>1</v>
      </c>
      <c r="R1814" t="str">
        <f t="shared" si="171"/>
        <v>On Time</v>
      </c>
      <c r="S1814">
        <f t="shared" si="172"/>
        <v>2021</v>
      </c>
      <c r="T1814">
        <f t="shared" si="173"/>
        <v>11</v>
      </c>
    </row>
    <row r="1815" spans="1:20" x14ac:dyDescent="0.25">
      <c r="A1815" t="s">
        <v>2122</v>
      </c>
      <c r="B1815" t="s">
        <v>216</v>
      </c>
      <c r="C1815" t="s">
        <v>428</v>
      </c>
      <c r="D1815" s="1">
        <v>44328</v>
      </c>
      <c r="E1815">
        <v>10</v>
      </c>
      <c r="F1815">
        <v>39.807179609959597</v>
      </c>
      <c r="G1815" s="1">
        <v>44341</v>
      </c>
      <c r="H1815" s="1">
        <v>44347</v>
      </c>
      <c r="I1815">
        <v>398.07179609959599</v>
      </c>
      <c r="J1815">
        <f t="shared" si="168"/>
        <v>6</v>
      </c>
      <c r="K1815" t="str">
        <f>VLOOKUP(B1815,Raw_Suppliers!$A$2:$G$101,2,FALSE)</f>
        <v>Fusion Delta LLC</v>
      </c>
      <c r="L1815" t="str">
        <f>VLOOKUP(B1815,Raw_Suppliers!$A$2:$G$101,3,FALSE)</f>
        <v>Brazil</v>
      </c>
      <c r="M1815" t="str">
        <f>VLOOKUP(B1815,Raw_Suppliers!$A$2:$G$101,4,FALSE)</f>
        <v>Central</v>
      </c>
      <c r="N1815" t="str">
        <f>VLOOKUP(B1815,Raw_Suppliers!$A$2:$G$101,6,FALSE)</f>
        <v>ISO 14001</v>
      </c>
      <c r="O1815">
        <f>VLOOKUP(B1815,Raw_Suppliers!$A$2:$G$101,7,FALSE)</f>
        <v>0</v>
      </c>
      <c r="P1815" t="str">
        <f t="shared" si="169"/>
        <v>No</v>
      </c>
      <c r="Q1815">
        <f t="shared" si="170"/>
        <v>0</v>
      </c>
      <c r="R1815" t="str">
        <f t="shared" si="171"/>
        <v>Late</v>
      </c>
      <c r="S1815">
        <f t="shared" si="172"/>
        <v>2021</v>
      </c>
      <c r="T1815">
        <f t="shared" si="173"/>
        <v>5</v>
      </c>
    </row>
    <row r="1816" spans="1:20" x14ac:dyDescent="0.25">
      <c r="A1816" t="s">
        <v>2123</v>
      </c>
      <c r="B1816" t="s">
        <v>288</v>
      </c>
      <c r="C1816" t="s">
        <v>167</v>
      </c>
      <c r="D1816" s="1">
        <v>44312</v>
      </c>
      <c r="E1816">
        <v>8</v>
      </c>
      <c r="F1816">
        <v>60.613674447047501</v>
      </c>
      <c r="G1816" s="1">
        <v>44322</v>
      </c>
      <c r="H1816" s="1">
        <v>44328</v>
      </c>
      <c r="I1816">
        <v>484.90939557638001</v>
      </c>
      <c r="J1816">
        <f t="shared" si="168"/>
        <v>6</v>
      </c>
      <c r="K1816" t="str">
        <f>VLOOKUP(B1816,Raw_Suppliers!$A$2:$G$101,2,FALSE)</f>
        <v>Alpha Beta LLC</v>
      </c>
      <c r="L1816" t="str">
        <f>VLOOKUP(B1816,Raw_Suppliers!$A$2:$G$101,3,FALSE)</f>
        <v>India</v>
      </c>
      <c r="M1816" t="str">
        <f>VLOOKUP(B1816,Raw_Suppliers!$A$2:$G$101,4,FALSE)</f>
        <v>West</v>
      </c>
      <c r="N1816" t="str">
        <f>VLOOKUP(B1816,Raw_Suppliers!$A$2:$G$101,6,FALSE)</f>
        <v>ISO 45001</v>
      </c>
      <c r="O1816">
        <f>VLOOKUP(B1816,Raw_Suppliers!$A$2:$G$101,7,FALSE)</f>
        <v>0</v>
      </c>
      <c r="P1816" t="str">
        <f t="shared" si="169"/>
        <v>No</v>
      </c>
      <c r="Q1816">
        <f t="shared" si="170"/>
        <v>0</v>
      </c>
      <c r="R1816" t="str">
        <f t="shared" si="171"/>
        <v>Late</v>
      </c>
      <c r="S1816">
        <f t="shared" si="172"/>
        <v>2021</v>
      </c>
      <c r="T1816">
        <f t="shared" si="173"/>
        <v>4</v>
      </c>
    </row>
    <row r="1817" spans="1:20" x14ac:dyDescent="0.25">
      <c r="A1817" t="s">
        <v>2124</v>
      </c>
      <c r="B1817" t="s">
        <v>203</v>
      </c>
      <c r="C1817" t="s">
        <v>214</v>
      </c>
      <c r="D1817" s="1">
        <v>44786</v>
      </c>
      <c r="E1817">
        <v>9</v>
      </c>
      <c r="F1817">
        <v>50.593527599369999</v>
      </c>
      <c r="G1817" s="1">
        <v>44810</v>
      </c>
      <c r="H1817" s="1">
        <v>44816</v>
      </c>
      <c r="I1817">
        <v>455.34174839433001</v>
      </c>
      <c r="J1817">
        <f t="shared" si="168"/>
        <v>6</v>
      </c>
      <c r="K1817" t="str">
        <f>VLOOKUP(B1817,Raw_Suppliers!$A$2:$G$101,2,FALSE)</f>
        <v>Nova Eco LLC</v>
      </c>
      <c r="L1817" t="str">
        <f>VLOOKUP(B1817,Raw_Suppliers!$A$2:$G$101,3,FALSE)</f>
        <v>Denmark</v>
      </c>
      <c r="M1817" t="str">
        <f>VLOOKUP(B1817,Raw_Suppliers!$A$2:$G$101,4,FALSE)</f>
        <v>South</v>
      </c>
      <c r="N1817" t="str">
        <f>VLOOKUP(B1817,Raw_Suppliers!$A$2:$G$101,6,FALSE)</f>
        <v>ISO 14001</v>
      </c>
      <c r="O1817">
        <f>VLOOKUP(B1817,Raw_Suppliers!$A$2:$G$101,7,FALSE)</f>
        <v>0</v>
      </c>
      <c r="P1817" t="str">
        <f t="shared" si="169"/>
        <v>No</v>
      </c>
      <c r="Q1817">
        <f t="shared" si="170"/>
        <v>0</v>
      </c>
      <c r="R1817" t="str">
        <f t="shared" si="171"/>
        <v>Late</v>
      </c>
      <c r="S1817">
        <f t="shared" si="172"/>
        <v>2022</v>
      </c>
      <c r="T1817">
        <f t="shared" si="173"/>
        <v>8</v>
      </c>
    </row>
    <row r="1818" spans="1:20" x14ac:dyDescent="0.25">
      <c r="A1818" t="s">
        <v>2125</v>
      </c>
      <c r="B1818" t="s">
        <v>242</v>
      </c>
      <c r="C1818" t="s">
        <v>128</v>
      </c>
      <c r="D1818" s="1">
        <v>45294</v>
      </c>
      <c r="E1818">
        <v>12</v>
      </c>
      <c r="F1818">
        <v>34.446700025943201</v>
      </c>
      <c r="G1818" s="1">
        <v>45313</v>
      </c>
      <c r="H1818" s="1">
        <v>45310</v>
      </c>
      <c r="I1818">
        <v>413.36040031131802</v>
      </c>
      <c r="J1818">
        <f t="shared" si="168"/>
        <v>-3</v>
      </c>
      <c r="K1818" t="str">
        <f>VLOOKUP(B1818,Raw_Suppliers!$A$2:$G$101,2,FALSE)</f>
        <v>Omega Nova GmbH</v>
      </c>
      <c r="L1818" t="str">
        <f>VLOOKUP(B1818,Raw_Suppliers!$A$2:$G$101,3,FALSE)</f>
        <v>Denmark</v>
      </c>
      <c r="M1818" t="str">
        <f>VLOOKUP(B1818,Raw_Suppliers!$A$2:$G$101,4,FALSE)</f>
        <v>East</v>
      </c>
      <c r="N1818" t="str">
        <f>VLOOKUP(B1818,Raw_Suppliers!$A$2:$G$101,6,FALSE)</f>
        <v>ISO 45001</v>
      </c>
      <c r="O1818">
        <f>VLOOKUP(B1818,Raw_Suppliers!$A$2:$G$101,7,FALSE)</f>
        <v>0</v>
      </c>
      <c r="P1818" t="str">
        <f t="shared" si="169"/>
        <v>No</v>
      </c>
      <c r="Q1818">
        <f t="shared" si="170"/>
        <v>1</v>
      </c>
      <c r="R1818" t="str">
        <f t="shared" si="171"/>
        <v>On Time</v>
      </c>
      <c r="S1818">
        <f t="shared" si="172"/>
        <v>2024</v>
      </c>
      <c r="T1818">
        <f t="shared" si="173"/>
        <v>1</v>
      </c>
    </row>
    <row r="1819" spans="1:20" x14ac:dyDescent="0.25">
      <c r="A1819" t="s">
        <v>2126</v>
      </c>
      <c r="B1819" t="s">
        <v>237</v>
      </c>
      <c r="C1819" t="s">
        <v>613</v>
      </c>
      <c r="D1819" s="1">
        <v>44421</v>
      </c>
      <c r="E1819">
        <v>11</v>
      </c>
      <c r="F1819">
        <v>24.9401044243399</v>
      </c>
      <c r="G1819" s="1">
        <v>44442</v>
      </c>
      <c r="H1819" s="1">
        <v>44444</v>
      </c>
      <c r="I1819">
        <v>274.34114866773899</v>
      </c>
      <c r="J1819">
        <f t="shared" si="168"/>
        <v>2</v>
      </c>
      <c r="K1819" t="str">
        <f>VLOOKUP(B1819,Raw_Suppliers!$A$2:$G$101,2,FALSE)</f>
        <v>Eco Beta Inc</v>
      </c>
      <c r="L1819" t="str">
        <f>VLOOKUP(B1819,Raw_Suppliers!$A$2:$G$101,3,FALSE)</f>
        <v>Germany</v>
      </c>
      <c r="M1819" t="str">
        <f>VLOOKUP(B1819,Raw_Suppliers!$A$2:$G$101,4,FALSE)</f>
        <v>North</v>
      </c>
      <c r="N1819" t="str">
        <f>VLOOKUP(B1819,Raw_Suppliers!$A$2:$G$101,6,FALSE)</f>
        <v>ISO 14001</v>
      </c>
      <c r="O1819">
        <f>VLOOKUP(B1819,Raw_Suppliers!$A$2:$G$101,7,FALSE)</f>
        <v>0</v>
      </c>
      <c r="P1819" t="str">
        <f t="shared" si="169"/>
        <v>No</v>
      </c>
      <c r="Q1819">
        <f t="shared" si="170"/>
        <v>0</v>
      </c>
      <c r="R1819" t="str">
        <f t="shared" si="171"/>
        <v>Late</v>
      </c>
      <c r="S1819">
        <f t="shared" si="172"/>
        <v>2021</v>
      </c>
      <c r="T1819">
        <f t="shared" si="173"/>
        <v>8</v>
      </c>
    </row>
    <row r="1820" spans="1:20" x14ac:dyDescent="0.25">
      <c r="A1820" t="s">
        <v>2127</v>
      </c>
      <c r="B1820" t="s">
        <v>564</v>
      </c>
      <c r="C1820" t="s">
        <v>600</v>
      </c>
      <c r="D1820" s="1">
        <v>44672</v>
      </c>
      <c r="E1820">
        <v>12</v>
      </c>
      <c r="F1820">
        <v>33.7474693662855</v>
      </c>
      <c r="G1820" s="1">
        <v>44691</v>
      </c>
      <c r="H1820" s="1">
        <v>44690</v>
      </c>
      <c r="I1820">
        <v>404.969632395426</v>
      </c>
      <c r="J1820">
        <f t="shared" si="168"/>
        <v>-1</v>
      </c>
      <c r="K1820" t="str">
        <f>VLOOKUP(B1820,Raw_Suppliers!$A$2:$G$101,2,FALSE)</f>
        <v>Ultra Ultra GmbH</v>
      </c>
      <c r="L1820" t="str">
        <f>VLOOKUP(B1820,Raw_Suppliers!$A$2:$G$101,3,FALSE)</f>
        <v>India</v>
      </c>
      <c r="M1820" t="str">
        <f>VLOOKUP(B1820,Raw_Suppliers!$A$2:$G$101,4,FALSE)</f>
        <v>Central</v>
      </c>
      <c r="N1820" t="str">
        <f>VLOOKUP(B1820,Raw_Suppliers!$A$2:$G$101,6,FALSE)</f>
        <v>ISO 14001</v>
      </c>
      <c r="O1820">
        <f>VLOOKUP(B1820,Raw_Suppliers!$A$2:$G$101,7,FALSE)</f>
        <v>1</v>
      </c>
      <c r="P1820" t="str">
        <f t="shared" si="169"/>
        <v>Yes</v>
      </c>
      <c r="Q1820">
        <f t="shared" si="170"/>
        <v>1</v>
      </c>
      <c r="R1820" t="str">
        <f t="shared" si="171"/>
        <v>On Time</v>
      </c>
      <c r="S1820">
        <f t="shared" si="172"/>
        <v>2022</v>
      </c>
      <c r="T1820">
        <f t="shared" si="173"/>
        <v>4</v>
      </c>
    </row>
    <row r="1821" spans="1:20" x14ac:dyDescent="0.25">
      <c r="A1821" t="s">
        <v>2128</v>
      </c>
      <c r="B1821" t="s">
        <v>219</v>
      </c>
      <c r="C1821" t="s">
        <v>131</v>
      </c>
      <c r="D1821" s="1">
        <v>45234</v>
      </c>
      <c r="E1821">
        <v>16</v>
      </c>
      <c r="F1821">
        <v>14.4042695179799</v>
      </c>
      <c r="G1821" s="1">
        <v>45247</v>
      </c>
      <c r="H1821" s="1">
        <v>45249</v>
      </c>
      <c r="I1821">
        <v>230.468312287679</v>
      </c>
      <c r="J1821">
        <f t="shared" si="168"/>
        <v>2</v>
      </c>
      <c r="K1821" t="str">
        <f>VLOOKUP(B1821,Raw_Suppliers!$A$2:$G$101,2,FALSE)</f>
        <v>Quantum Quantum Ltd</v>
      </c>
      <c r="L1821" t="str">
        <f>VLOOKUP(B1821,Raw_Suppliers!$A$2:$G$101,3,FALSE)</f>
        <v>USA</v>
      </c>
      <c r="M1821" t="str">
        <f>VLOOKUP(B1821,Raw_Suppliers!$A$2:$G$101,4,FALSE)</f>
        <v>South</v>
      </c>
      <c r="N1821" t="str">
        <f>VLOOKUP(B1821,Raw_Suppliers!$A$2:$G$101,6,FALSE)</f>
        <v>ISO 14001</v>
      </c>
      <c r="O1821">
        <f>VLOOKUP(B1821,Raw_Suppliers!$A$2:$G$101,7,FALSE)</f>
        <v>0</v>
      </c>
      <c r="P1821" t="str">
        <f t="shared" si="169"/>
        <v>No</v>
      </c>
      <c r="Q1821">
        <f t="shared" si="170"/>
        <v>0</v>
      </c>
      <c r="R1821" t="str">
        <f t="shared" si="171"/>
        <v>Late</v>
      </c>
      <c r="S1821">
        <f t="shared" si="172"/>
        <v>2023</v>
      </c>
      <c r="T1821">
        <f t="shared" si="173"/>
        <v>11</v>
      </c>
    </row>
    <row r="1822" spans="1:20" x14ac:dyDescent="0.25">
      <c r="A1822" t="s">
        <v>2129</v>
      </c>
      <c r="B1822" t="s">
        <v>64</v>
      </c>
      <c r="C1822" t="s">
        <v>26</v>
      </c>
      <c r="D1822" s="1">
        <v>45062</v>
      </c>
      <c r="E1822">
        <v>8</v>
      </c>
      <c r="F1822">
        <v>44.7689767260458</v>
      </c>
      <c r="G1822" s="1">
        <v>45085</v>
      </c>
      <c r="H1822" s="1">
        <v>45083</v>
      </c>
      <c r="I1822">
        <v>358.151813808366</v>
      </c>
      <c r="J1822">
        <f t="shared" si="168"/>
        <v>-2</v>
      </c>
      <c r="K1822" t="str">
        <f>VLOOKUP(B1822,Raw_Suppliers!$A$2:$G$101,2,FALSE)</f>
        <v>Apex Quantum Inc</v>
      </c>
      <c r="L1822" t="str">
        <f>VLOOKUP(B1822,Raw_Suppliers!$A$2:$G$101,3,FALSE)</f>
        <v>India</v>
      </c>
      <c r="M1822" t="str">
        <f>VLOOKUP(B1822,Raw_Suppliers!$A$2:$G$101,4,FALSE)</f>
        <v>North</v>
      </c>
      <c r="N1822" t="str">
        <f>VLOOKUP(B1822,Raw_Suppliers!$A$2:$G$101,6,FALSE)</f>
        <v>ISO 45001</v>
      </c>
      <c r="O1822">
        <f>VLOOKUP(B1822,Raw_Suppliers!$A$2:$G$101,7,FALSE)</f>
        <v>1</v>
      </c>
      <c r="P1822" t="str">
        <f t="shared" si="169"/>
        <v>Yes</v>
      </c>
      <c r="Q1822">
        <f t="shared" si="170"/>
        <v>1</v>
      </c>
      <c r="R1822" t="str">
        <f t="shared" si="171"/>
        <v>On Time</v>
      </c>
      <c r="S1822">
        <f t="shared" si="172"/>
        <v>2023</v>
      </c>
      <c r="T1822">
        <f t="shared" si="173"/>
        <v>5</v>
      </c>
    </row>
    <row r="1823" spans="1:20" x14ac:dyDescent="0.25">
      <c r="A1823" t="s">
        <v>2130</v>
      </c>
      <c r="B1823" t="s">
        <v>240</v>
      </c>
      <c r="C1823" t="s">
        <v>128</v>
      </c>
      <c r="D1823" s="1">
        <v>44828</v>
      </c>
      <c r="E1823">
        <v>9</v>
      </c>
      <c r="F1823">
        <v>57.460478648228602</v>
      </c>
      <c r="G1823" s="1">
        <v>44850</v>
      </c>
      <c r="H1823" s="1">
        <v>44853</v>
      </c>
      <c r="I1823">
        <v>517.14430783405703</v>
      </c>
      <c r="J1823">
        <f t="shared" si="168"/>
        <v>3</v>
      </c>
      <c r="K1823" t="str">
        <f>VLOOKUP(B1823,Raw_Suppliers!$A$2:$G$101,2,FALSE)</f>
        <v>Apex Omega LLC</v>
      </c>
      <c r="L1823" t="str">
        <f>VLOOKUP(B1823,Raw_Suppliers!$A$2:$G$101,3,FALSE)</f>
        <v>UK</v>
      </c>
      <c r="M1823" t="str">
        <f>VLOOKUP(B1823,Raw_Suppliers!$A$2:$G$101,4,FALSE)</f>
        <v>South</v>
      </c>
      <c r="N1823" t="str">
        <f>VLOOKUP(B1823,Raw_Suppliers!$A$2:$G$101,6,FALSE)</f>
        <v>ISO 9001</v>
      </c>
      <c r="O1823">
        <f>VLOOKUP(B1823,Raw_Suppliers!$A$2:$G$101,7,FALSE)</f>
        <v>0</v>
      </c>
      <c r="P1823" t="str">
        <f t="shared" si="169"/>
        <v>No</v>
      </c>
      <c r="Q1823">
        <f t="shared" si="170"/>
        <v>0</v>
      </c>
      <c r="R1823" t="str">
        <f t="shared" si="171"/>
        <v>Late</v>
      </c>
      <c r="S1823">
        <f t="shared" si="172"/>
        <v>2022</v>
      </c>
      <c r="T1823">
        <f t="shared" si="173"/>
        <v>9</v>
      </c>
    </row>
    <row r="1824" spans="1:20" x14ac:dyDescent="0.25">
      <c r="A1824" t="s">
        <v>2131</v>
      </c>
      <c r="B1824" t="s">
        <v>288</v>
      </c>
      <c r="C1824" t="s">
        <v>56</v>
      </c>
      <c r="D1824" s="1">
        <v>45067</v>
      </c>
      <c r="E1824">
        <v>19</v>
      </c>
      <c r="F1824">
        <v>8.7722135593084101</v>
      </c>
      <c r="G1824" s="1">
        <v>45091</v>
      </c>
      <c r="H1824" s="1">
        <v>45089</v>
      </c>
      <c r="I1824">
        <v>166.67205762685899</v>
      </c>
      <c r="J1824">
        <f t="shared" si="168"/>
        <v>-2</v>
      </c>
      <c r="K1824" t="str">
        <f>VLOOKUP(B1824,Raw_Suppliers!$A$2:$G$101,2,FALSE)</f>
        <v>Alpha Beta LLC</v>
      </c>
      <c r="L1824" t="str">
        <f>VLOOKUP(B1824,Raw_Suppliers!$A$2:$G$101,3,FALSE)</f>
        <v>India</v>
      </c>
      <c r="M1824" t="str">
        <f>VLOOKUP(B1824,Raw_Suppliers!$A$2:$G$101,4,FALSE)</f>
        <v>West</v>
      </c>
      <c r="N1824" t="str">
        <f>VLOOKUP(B1824,Raw_Suppliers!$A$2:$G$101,6,FALSE)</f>
        <v>ISO 45001</v>
      </c>
      <c r="O1824">
        <f>VLOOKUP(B1824,Raw_Suppliers!$A$2:$G$101,7,FALSE)</f>
        <v>0</v>
      </c>
      <c r="P1824" t="str">
        <f t="shared" si="169"/>
        <v>No</v>
      </c>
      <c r="Q1824">
        <f t="shared" si="170"/>
        <v>1</v>
      </c>
      <c r="R1824" t="str">
        <f t="shared" si="171"/>
        <v>On Time</v>
      </c>
      <c r="S1824">
        <f t="shared" si="172"/>
        <v>2023</v>
      </c>
      <c r="T1824">
        <f t="shared" si="173"/>
        <v>5</v>
      </c>
    </row>
    <row r="1825" spans="1:20" x14ac:dyDescent="0.25">
      <c r="A1825" t="s">
        <v>2132</v>
      </c>
      <c r="B1825" t="s">
        <v>58</v>
      </c>
      <c r="C1825" t="s">
        <v>94</v>
      </c>
      <c r="D1825" s="1">
        <v>44451</v>
      </c>
      <c r="E1825">
        <v>6</v>
      </c>
      <c r="F1825">
        <v>47.620295491162402</v>
      </c>
      <c r="G1825" s="1">
        <v>44463</v>
      </c>
      <c r="H1825" s="1">
        <v>44469</v>
      </c>
      <c r="I1825">
        <v>285.721772946974</v>
      </c>
      <c r="J1825">
        <f t="shared" si="168"/>
        <v>6</v>
      </c>
      <c r="K1825" t="str">
        <f>VLOOKUP(B1825,Raw_Suppliers!$A$2:$G$101,2,FALSE)</f>
        <v>Quantum Nano Inc</v>
      </c>
      <c r="L1825" t="str">
        <f>VLOOKUP(B1825,Raw_Suppliers!$A$2:$G$101,3,FALSE)</f>
        <v>Brazil</v>
      </c>
      <c r="M1825" t="str">
        <f>VLOOKUP(B1825,Raw_Suppliers!$A$2:$G$101,4,FALSE)</f>
        <v>East</v>
      </c>
      <c r="N1825" t="str">
        <f>VLOOKUP(B1825,Raw_Suppliers!$A$2:$G$101,6,FALSE)</f>
        <v>ISO 9001</v>
      </c>
      <c r="O1825">
        <f>VLOOKUP(B1825,Raw_Suppliers!$A$2:$G$101,7,FALSE)</f>
        <v>1</v>
      </c>
      <c r="P1825" t="str">
        <f t="shared" si="169"/>
        <v>Yes</v>
      </c>
      <c r="Q1825">
        <f t="shared" si="170"/>
        <v>0</v>
      </c>
      <c r="R1825" t="str">
        <f t="shared" si="171"/>
        <v>Late</v>
      </c>
      <c r="S1825">
        <f t="shared" si="172"/>
        <v>2021</v>
      </c>
      <c r="T1825">
        <f t="shared" si="173"/>
        <v>9</v>
      </c>
    </row>
    <row r="1826" spans="1:20" x14ac:dyDescent="0.25">
      <c r="A1826" t="s">
        <v>2133</v>
      </c>
      <c r="B1826" t="s">
        <v>104</v>
      </c>
      <c r="C1826" t="s">
        <v>272</v>
      </c>
      <c r="D1826" s="1">
        <v>45218</v>
      </c>
      <c r="E1826">
        <v>22</v>
      </c>
      <c r="F1826">
        <v>26.3530071330479</v>
      </c>
      <c r="G1826" s="1">
        <v>45238</v>
      </c>
      <c r="H1826" s="1">
        <v>45240</v>
      </c>
      <c r="I1826">
        <v>579.766156927054</v>
      </c>
      <c r="J1826">
        <f t="shared" si="168"/>
        <v>2</v>
      </c>
      <c r="K1826" t="str">
        <f>VLOOKUP(B1826,Raw_Suppliers!$A$2:$G$101,2,FALSE)</f>
        <v>Prime Omega Corp</v>
      </c>
      <c r="L1826" t="str">
        <f>VLOOKUP(B1826,Raw_Suppliers!$A$2:$G$101,3,FALSE)</f>
        <v>India</v>
      </c>
      <c r="M1826" t="str">
        <f>VLOOKUP(B1826,Raw_Suppliers!$A$2:$G$101,4,FALSE)</f>
        <v>Central</v>
      </c>
      <c r="N1826" t="str">
        <f>VLOOKUP(B1826,Raw_Suppliers!$A$2:$G$101,6,FALSE)</f>
        <v>ISO 14001</v>
      </c>
      <c r="O1826">
        <f>VLOOKUP(B1826,Raw_Suppliers!$A$2:$G$101,7,FALSE)</f>
        <v>0</v>
      </c>
      <c r="P1826" t="str">
        <f t="shared" si="169"/>
        <v>No</v>
      </c>
      <c r="Q1826">
        <f t="shared" si="170"/>
        <v>0</v>
      </c>
      <c r="R1826" t="str">
        <f t="shared" si="171"/>
        <v>Late</v>
      </c>
      <c r="S1826">
        <f t="shared" si="172"/>
        <v>2023</v>
      </c>
      <c r="T1826">
        <f t="shared" si="173"/>
        <v>10</v>
      </c>
    </row>
    <row r="1827" spans="1:20" x14ac:dyDescent="0.25">
      <c r="A1827" t="s">
        <v>2134</v>
      </c>
      <c r="B1827" t="s">
        <v>207</v>
      </c>
      <c r="C1827" t="s">
        <v>97</v>
      </c>
      <c r="D1827" s="1">
        <v>44648</v>
      </c>
      <c r="E1827">
        <v>11</v>
      </c>
      <c r="F1827">
        <v>75.825384533834395</v>
      </c>
      <c r="G1827" s="1">
        <v>44665</v>
      </c>
      <c r="H1827" s="1">
        <v>44668</v>
      </c>
      <c r="I1827">
        <v>834.07922987217898</v>
      </c>
      <c r="J1827">
        <f t="shared" si="168"/>
        <v>3</v>
      </c>
      <c r="K1827" t="str">
        <f>VLOOKUP(B1827,Raw_Suppliers!$A$2:$G$101,2,FALSE)</f>
        <v>Nova Alpha Ltd</v>
      </c>
      <c r="L1827" t="str">
        <f>VLOOKUP(B1827,Raw_Suppliers!$A$2:$G$101,3,FALSE)</f>
        <v>India</v>
      </c>
      <c r="M1827" t="str">
        <f>VLOOKUP(B1827,Raw_Suppliers!$A$2:$G$101,4,FALSE)</f>
        <v>East</v>
      </c>
      <c r="N1827" t="str">
        <f>VLOOKUP(B1827,Raw_Suppliers!$A$2:$G$101,6,FALSE)</f>
        <v>ISO 9001</v>
      </c>
      <c r="O1827">
        <f>VLOOKUP(B1827,Raw_Suppliers!$A$2:$G$101,7,FALSE)</f>
        <v>0</v>
      </c>
      <c r="P1827" t="str">
        <f t="shared" si="169"/>
        <v>No</v>
      </c>
      <c r="Q1827">
        <f t="shared" si="170"/>
        <v>0</v>
      </c>
      <c r="R1827" t="str">
        <f t="shared" si="171"/>
        <v>Late</v>
      </c>
      <c r="S1827">
        <f t="shared" si="172"/>
        <v>2022</v>
      </c>
      <c r="T1827">
        <f t="shared" si="173"/>
        <v>3</v>
      </c>
    </row>
    <row r="1828" spans="1:20" x14ac:dyDescent="0.25">
      <c r="A1828" t="s">
        <v>2135</v>
      </c>
      <c r="B1828" t="s">
        <v>617</v>
      </c>
      <c r="C1828" t="s">
        <v>107</v>
      </c>
      <c r="D1828" s="1">
        <v>44536</v>
      </c>
      <c r="E1828">
        <v>15</v>
      </c>
      <c r="F1828">
        <v>5.0961058740237499</v>
      </c>
      <c r="G1828" s="1">
        <v>44552</v>
      </c>
      <c r="H1828" s="1">
        <v>44553</v>
      </c>
      <c r="I1828">
        <v>76.441588110356307</v>
      </c>
      <c r="J1828">
        <f t="shared" si="168"/>
        <v>1</v>
      </c>
      <c r="K1828" t="str">
        <f>VLOOKUP(B1828,Raw_Suppliers!$A$2:$G$101,2,FALSE)</f>
        <v>Eco Vertex Ltd</v>
      </c>
      <c r="L1828" t="str">
        <f>VLOOKUP(B1828,Raw_Suppliers!$A$2:$G$101,3,FALSE)</f>
        <v>UK</v>
      </c>
      <c r="M1828" t="str">
        <f>VLOOKUP(B1828,Raw_Suppliers!$A$2:$G$101,4,FALSE)</f>
        <v>Central</v>
      </c>
      <c r="N1828" t="str">
        <f>VLOOKUP(B1828,Raw_Suppliers!$A$2:$G$101,6,FALSE)</f>
        <v>None</v>
      </c>
      <c r="O1828">
        <f>VLOOKUP(B1828,Raw_Suppliers!$A$2:$G$101,7,FALSE)</f>
        <v>0</v>
      </c>
      <c r="P1828" t="str">
        <f t="shared" si="169"/>
        <v>No</v>
      </c>
      <c r="Q1828">
        <f t="shared" si="170"/>
        <v>0</v>
      </c>
      <c r="R1828" t="str">
        <f t="shared" si="171"/>
        <v>Late</v>
      </c>
      <c r="S1828">
        <f t="shared" si="172"/>
        <v>2021</v>
      </c>
      <c r="T1828">
        <f t="shared" si="173"/>
        <v>12</v>
      </c>
    </row>
    <row r="1829" spans="1:20" x14ac:dyDescent="0.25">
      <c r="A1829" t="s">
        <v>2136</v>
      </c>
      <c r="B1829" t="s">
        <v>427</v>
      </c>
      <c r="C1829" t="s">
        <v>254</v>
      </c>
      <c r="D1829" s="1">
        <v>44766</v>
      </c>
      <c r="E1829">
        <v>6</v>
      </c>
      <c r="F1829">
        <v>47.357684350345103</v>
      </c>
      <c r="G1829" s="1">
        <v>44789</v>
      </c>
      <c r="H1829" s="1">
        <v>44795</v>
      </c>
      <c r="I1829">
        <v>284.14610610207097</v>
      </c>
      <c r="J1829">
        <f t="shared" si="168"/>
        <v>6</v>
      </c>
      <c r="K1829" t="str">
        <f>VLOOKUP(B1829,Raw_Suppliers!$A$2:$G$101,2,FALSE)</f>
        <v>Nova Alpha Corp</v>
      </c>
      <c r="L1829" t="str">
        <f>VLOOKUP(B1829,Raw_Suppliers!$A$2:$G$101,3,FALSE)</f>
        <v>Denmark</v>
      </c>
      <c r="M1829" t="str">
        <f>VLOOKUP(B1829,Raw_Suppliers!$A$2:$G$101,4,FALSE)</f>
        <v>Central</v>
      </c>
      <c r="N1829" t="str">
        <f>VLOOKUP(B1829,Raw_Suppliers!$A$2:$G$101,6,FALSE)</f>
        <v>None</v>
      </c>
      <c r="O1829">
        <f>VLOOKUP(B1829,Raw_Suppliers!$A$2:$G$101,7,FALSE)</f>
        <v>0</v>
      </c>
      <c r="P1829" t="str">
        <f t="shared" si="169"/>
        <v>No</v>
      </c>
      <c r="Q1829">
        <f t="shared" si="170"/>
        <v>0</v>
      </c>
      <c r="R1829" t="str">
        <f t="shared" si="171"/>
        <v>Late</v>
      </c>
      <c r="S1829">
        <f t="shared" si="172"/>
        <v>2022</v>
      </c>
      <c r="T1829">
        <f t="shared" si="173"/>
        <v>7</v>
      </c>
    </row>
    <row r="1830" spans="1:20" x14ac:dyDescent="0.25">
      <c r="A1830" t="s">
        <v>2137</v>
      </c>
      <c r="B1830" t="s">
        <v>55</v>
      </c>
      <c r="C1830" t="s">
        <v>1129</v>
      </c>
      <c r="D1830" s="1">
        <v>44648</v>
      </c>
      <c r="E1830">
        <v>8</v>
      </c>
      <c r="F1830">
        <v>55.408572833708199</v>
      </c>
      <c r="G1830" s="1">
        <v>44660</v>
      </c>
      <c r="H1830" s="1">
        <v>44662</v>
      </c>
      <c r="I1830">
        <v>443.26858266966599</v>
      </c>
      <c r="J1830">
        <f t="shared" si="168"/>
        <v>2</v>
      </c>
      <c r="K1830" t="str">
        <f>VLOOKUP(B1830,Raw_Suppliers!$A$2:$G$101,2,FALSE)</f>
        <v>Prime Vertex Inc</v>
      </c>
      <c r="L1830" t="str">
        <f>VLOOKUP(B1830,Raw_Suppliers!$A$2:$G$101,3,FALSE)</f>
        <v>Germany</v>
      </c>
      <c r="M1830" t="str">
        <f>VLOOKUP(B1830,Raw_Suppliers!$A$2:$G$101,4,FALSE)</f>
        <v>South</v>
      </c>
      <c r="N1830" t="str">
        <f>VLOOKUP(B1830,Raw_Suppliers!$A$2:$G$101,6,FALSE)</f>
        <v>ISO 14001</v>
      </c>
      <c r="O1830">
        <f>VLOOKUP(B1830,Raw_Suppliers!$A$2:$G$101,7,FALSE)</f>
        <v>0</v>
      </c>
      <c r="P1830" t="str">
        <f t="shared" si="169"/>
        <v>No</v>
      </c>
      <c r="Q1830">
        <f t="shared" si="170"/>
        <v>0</v>
      </c>
      <c r="R1830" t="str">
        <f t="shared" si="171"/>
        <v>Late</v>
      </c>
      <c r="S1830">
        <f t="shared" si="172"/>
        <v>2022</v>
      </c>
      <c r="T1830">
        <f t="shared" si="173"/>
        <v>3</v>
      </c>
    </row>
    <row r="1831" spans="1:20" x14ac:dyDescent="0.25">
      <c r="A1831" t="s">
        <v>2138</v>
      </c>
      <c r="B1831" t="s">
        <v>475</v>
      </c>
      <c r="C1831" t="s">
        <v>402</v>
      </c>
      <c r="D1831" s="1">
        <v>44907</v>
      </c>
      <c r="E1831">
        <v>14</v>
      </c>
      <c r="F1831">
        <v>55.5688864428489</v>
      </c>
      <c r="G1831" s="1">
        <v>44923</v>
      </c>
      <c r="H1831" s="1">
        <v>44922</v>
      </c>
      <c r="I1831">
        <v>777.96441019988401</v>
      </c>
      <c r="J1831">
        <f t="shared" si="168"/>
        <v>-1</v>
      </c>
      <c r="K1831" t="str">
        <f>VLOOKUP(B1831,Raw_Suppliers!$A$2:$G$101,2,FALSE)</f>
        <v>Ultra Delta LLC</v>
      </c>
      <c r="L1831" t="str">
        <f>VLOOKUP(B1831,Raw_Suppliers!$A$2:$G$101,3,FALSE)</f>
        <v>UK</v>
      </c>
      <c r="M1831" t="str">
        <f>VLOOKUP(B1831,Raw_Suppliers!$A$2:$G$101,4,FALSE)</f>
        <v>North</v>
      </c>
      <c r="N1831" t="str">
        <f>VLOOKUP(B1831,Raw_Suppliers!$A$2:$G$101,6,FALSE)</f>
        <v>None</v>
      </c>
      <c r="O1831">
        <f>VLOOKUP(B1831,Raw_Suppliers!$A$2:$G$101,7,FALSE)</f>
        <v>1</v>
      </c>
      <c r="P1831" t="str">
        <f t="shared" si="169"/>
        <v>Yes</v>
      </c>
      <c r="Q1831">
        <f t="shared" si="170"/>
        <v>1</v>
      </c>
      <c r="R1831" t="str">
        <f t="shared" si="171"/>
        <v>On Time</v>
      </c>
      <c r="S1831">
        <f t="shared" si="172"/>
        <v>2022</v>
      </c>
      <c r="T1831">
        <f t="shared" si="173"/>
        <v>12</v>
      </c>
    </row>
    <row r="1832" spans="1:20" x14ac:dyDescent="0.25">
      <c r="A1832" t="s">
        <v>2139</v>
      </c>
      <c r="B1832" t="s">
        <v>394</v>
      </c>
      <c r="C1832" t="s">
        <v>217</v>
      </c>
      <c r="D1832" s="1">
        <v>44639</v>
      </c>
      <c r="E1832">
        <v>12</v>
      </c>
      <c r="F1832">
        <v>66.068182799693702</v>
      </c>
      <c r="G1832" s="1">
        <v>44663</v>
      </c>
      <c r="H1832" s="1">
        <v>44665</v>
      </c>
      <c r="I1832">
        <v>792.81819359632402</v>
      </c>
      <c r="J1832">
        <f t="shared" si="168"/>
        <v>2</v>
      </c>
      <c r="K1832" t="str">
        <f>VLOOKUP(B1832,Raw_Suppliers!$A$2:$G$101,2,FALSE)</f>
        <v>Ultra Prime Inc</v>
      </c>
      <c r="L1832" t="str">
        <f>VLOOKUP(B1832,Raw_Suppliers!$A$2:$G$101,3,FALSE)</f>
        <v>Brazil</v>
      </c>
      <c r="M1832" t="str">
        <f>VLOOKUP(B1832,Raw_Suppliers!$A$2:$G$101,4,FALSE)</f>
        <v>West</v>
      </c>
      <c r="N1832" t="str">
        <f>VLOOKUP(B1832,Raw_Suppliers!$A$2:$G$101,6,FALSE)</f>
        <v>ISO 9001</v>
      </c>
      <c r="O1832">
        <f>VLOOKUP(B1832,Raw_Suppliers!$A$2:$G$101,7,FALSE)</f>
        <v>1</v>
      </c>
      <c r="P1832" t="str">
        <f t="shared" si="169"/>
        <v>Yes</v>
      </c>
      <c r="Q1832">
        <f t="shared" si="170"/>
        <v>0</v>
      </c>
      <c r="R1832" t="str">
        <f t="shared" si="171"/>
        <v>Late</v>
      </c>
      <c r="S1832">
        <f t="shared" si="172"/>
        <v>2022</v>
      </c>
      <c r="T1832">
        <f t="shared" si="173"/>
        <v>3</v>
      </c>
    </row>
    <row r="1833" spans="1:20" x14ac:dyDescent="0.25">
      <c r="A1833" t="s">
        <v>2140</v>
      </c>
      <c r="B1833" t="s">
        <v>140</v>
      </c>
      <c r="C1833" t="s">
        <v>498</v>
      </c>
      <c r="D1833" s="1">
        <v>45019</v>
      </c>
      <c r="E1833">
        <v>13</v>
      </c>
      <c r="F1833">
        <v>43.458860847675403</v>
      </c>
      <c r="G1833" s="1">
        <v>45035</v>
      </c>
      <c r="H1833" s="1">
        <v>45035</v>
      </c>
      <c r="I1833">
        <v>564.96519101978004</v>
      </c>
      <c r="J1833">
        <f t="shared" si="168"/>
        <v>0</v>
      </c>
      <c r="K1833" t="str">
        <f>VLOOKUP(B1833,Raw_Suppliers!$A$2:$G$101,2,FALSE)</f>
        <v>Gamma Quantum Inc</v>
      </c>
      <c r="L1833" t="str">
        <f>VLOOKUP(B1833,Raw_Suppliers!$A$2:$G$101,3,FALSE)</f>
        <v>Germany</v>
      </c>
      <c r="M1833" t="str">
        <f>VLOOKUP(B1833,Raw_Suppliers!$A$2:$G$101,4,FALSE)</f>
        <v>North</v>
      </c>
      <c r="N1833" t="str">
        <f>VLOOKUP(B1833,Raw_Suppliers!$A$2:$G$101,6,FALSE)</f>
        <v>None</v>
      </c>
      <c r="O1833">
        <f>VLOOKUP(B1833,Raw_Suppliers!$A$2:$G$101,7,FALSE)</f>
        <v>1</v>
      </c>
      <c r="P1833" t="str">
        <f t="shared" si="169"/>
        <v>Yes</v>
      </c>
      <c r="Q1833">
        <f t="shared" si="170"/>
        <v>1</v>
      </c>
      <c r="R1833" t="str">
        <f t="shared" si="171"/>
        <v>On Time</v>
      </c>
      <c r="S1833">
        <f t="shared" si="172"/>
        <v>2023</v>
      </c>
      <c r="T1833">
        <f t="shared" si="173"/>
        <v>4</v>
      </c>
    </row>
    <row r="1834" spans="1:20" x14ac:dyDescent="0.25">
      <c r="A1834" t="s">
        <v>2141</v>
      </c>
      <c r="B1834" t="s">
        <v>143</v>
      </c>
      <c r="C1834" t="s">
        <v>224</v>
      </c>
      <c r="D1834" s="1">
        <v>44421</v>
      </c>
      <c r="E1834">
        <v>18</v>
      </c>
      <c r="F1834">
        <v>26.803773415125999</v>
      </c>
      <c r="G1834" s="1">
        <v>44441</v>
      </c>
      <c r="H1834" s="1">
        <v>44438</v>
      </c>
      <c r="I1834">
        <v>482.46792147226802</v>
      </c>
      <c r="J1834">
        <f t="shared" si="168"/>
        <v>-3</v>
      </c>
      <c r="K1834" t="str">
        <f>VLOOKUP(B1834,Raw_Suppliers!$A$2:$G$101,2,FALSE)</f>
        <v>Prime Gamma Inc</v>
      </c>
      <c r="L1834" t="str">
        <f>VLOOKUP(B1834,Raw_Suppliers!$A$2:$G$101,3,FALSE)</f>
        <v>China</v>
      </c>
      <c r="M1834" t="str">
        <f>VLOOKUP(B1834,Raw_Suppliers!$A$2:$G$101,4,FALSE)</f>
        <v>East</v>
      </c>
      <c r="N1834" t="str">
        <f>VLOOKUP(B1834,Raw_Suppliers!$A$2:$G$101,6,FALSE)</f>
        <v>ISO 14001</v>
      </c>
      <c r="O1834">
        <f>VLOOKUP(B1834,Raw_Suppliers!$A$2:$G$101,7,FALSE)</f>
        <v>0</v>
      </c>
      <c r="P1834" t="str">
        <f t="shared" si="169"/>
        <v>No</v>
      </c>
      <c r="Q1834">
        <f t="shared" si="170"/>
        <v>1</v>
      </c>
      <c r="R1834" t="str">
        <f t="shared" si="171"/>
        <v>On Time</v>
      </c>
      <c r="S1834">
        <f t="shared" si="172"/>
        <v>2021</v>
      </c>
      <c r="T1834">
        <f t="shared" si="173"/>
        <v>8</v>
      </c>
    </row>
    <row r="1835" spans="1:20" x14ac:dyDescent="0.25">
      <c r="A1835" t="s">
        <v>2142</v>
      </c>
      <c r="B1835" t="s">
        <v>114</v>
      </c>
      <c r="C1835" t="s">
        <v>62</v>
      </c>
      <c r="D1835" s="1">
        <v>45041</v>
      </c>
      <c r="E1835">
        <v>17</v>
      </c>
      <c r="F1835">
        <v>72.448981705235198</v>
      </c>
      <c r="G1835" s="1">
        <v>45060</v>
      </c>
      <c r="H1835" s="1">
        <v>45064</v>
      </c>
      <c r="I1835">
        <v>1231.6326889889899</v>
      </c>
      <c r="J1835">
        <f t="shared" si="168"/>
        <v>4</v>
      </c>
      <c r="K1835" t="str">
        <f>VLOOKUP(B1835,Raw_Suppliers!$A$2:$G$101,2,FALSE)</f>
        <v>Fusion Fusion LLC</v>
      </c>
      <c r="L1835" t="str">
        <f>VLOOKUP(B1835,Raw_Suppliers!$A$2:$G$101,3,FALSE)</f>
        <v>China</v>
      </c>
      <c r="M1835" t="str">
        <f>VLOOKUP(B1835,Raw_Suppliers!$A$2:$G$101,4,FALSE)</f>
        <v>North</v>
      </c>
      <c r="N1835" t="str">
        <f>VLOOKUP(B1835,Raw_Suppliers!$A$2:$G$101,6,FALSE)</f>
        <v>ISO 45001</v>
      </c>
      <c r="O1835">
        <f>VLOOKUP(B1835,Raw_Suppliers!$A$2:$G$101,7,FALSE)</f>
        <v>1</v>
      </c>
      <c r="P1835" t="str">
        <f t="shared" si="169"/>
        <v>Yes</v>
      </c>
      <c r="Q1835">
        <f t="shared" si="170"/>
        <v>0</v>
      </c>
      <c r="R1835" t="str">
        <f t="shared" si="171"/>
        <v>Late</v>
      </c>
      <c r="S1835">
        <f t="shared" si="172"/>
        <v>2023</v>
      </c>
      <c r="T1835">
        <f t="shared" si="173"/>
        <v>4</v>
      </c>
    </row>
    <row r="1836" spans="1:20" x14ac:dyDescent="0.25">
      <c r="A1836" t="s">
        <v>2143</v>
      </c>
      <c r="B1836" t="s">
        <v>174</v>
      </c>
      <c r="C1836" t="s">
        <v>328</v>
      </c>
      <c r="D1836" s="1">
        <v>45351</v>
      </c>
      <c r="E1836">
        <v>6</v>
      </c>
      <c r="F1836">
        <v>21.969179688924498</v>
      </c>
      <c r="G1836" s="1">
        <v>45368</v>
      </c>
      <c r="H1836" s="1">
        <v>45369</v>
      </c>
      <c r="I1836">
        <v>131.81507813354699</v>
      </c>
      <c r="J1836">
        <f t="shared" si="168"/>
        <v>1</v>
      </c>
      <c r="K1836" t="str">
        <f>VLOOKUP(B1836,Raw_Suppliers!$A$2:$G$101,2,FALSE)</f>
        <v>Quantum Eco LLC</v>
      </c>
      <c r="L1836" t="str">
        <f>VLOOKUP(B1836,Raw_Suppliers!$A$2:$G$101,3,FALSE)</f>
        <v>Denmark</v>
      </c>
      <c r="M1836" t="str">
        <f>VLOOKUP(B1836,Raw_Suppliers!$A$2:$G$101,4,FALSE)</f>
        <v>East</v>
      </c>
      <c r="N1836" t="str">
        <f>VLOOKUP(B1836,Raw_Suppliers!$A$2:$G$101,6,FALSE)</f>
        <v>ISO 9001</v>
      </c>
      <c r="O1836">
        <f>VLOOKUP(B1836,Raw_Suppliers!$A$2:$G$101,7,FALSE)</f>
        <v>1</v>
      </c>
      <c r="P1836" t="str">
        <f t="shared" si="169"/>
        <v>Yes</v>
      </c>
      <c r="Q1836">
        <f t="shared" si="170"/>
        <v>0</v>
      </c>
      <c r="R1836" t="str">
        <f t="shared" si="171"/>
        <v>Late</v>
      </c>
      <c r="S1836">
        <f t="shared" si="172"/>
        <v>2024</v>
      </c>
      <c r="T1836">
        <f t="shared" si="173"/>
        <v>2</v>
      </c>
    </row>
    <row r="1837" spans="1:20" x14ac:dyDescent="0.25">
      <c r="A1837" t="s">
        <v>2144</v>
      </c>
      <c r="B1837" t="s">
        <v>31</v>
      </c>
      <c r="C1837" t="s">
        <v>562</v>
      </c>
      <c r="D1837" s="1">
        <v>44363</v>
      </c>
      <c r="E1837">
        <v>18</v>
      </c>
      <c r="F1837">
        <v>46.307757662595897</v>
      </c>
      <c r="G1837" s="1">
        <v>44383</v>
      </c>
      <c r="H1837" s="1">
        <v>44388</v>
      </c>
      <c r="I1837">
        <v>833.53963792672698</v>
      </c>
      <c r="J1837">
        <f t="shared" si="168"/>
        <v>5</v>
      </c>
      <c r="K1837" t="str">
        <f>VLOOKUP(B1837,Raw_Suppliers!$A$2:$G$101,2,FALSE)</f>
        <v>Nova Nano GmbH</v>
      </c>
      <c r="L1837" t="str">
        <f>VLOOKUP(B1837,Raw_Suppliers!$A$2:$G$101,3,FALSE)</f>
        <v>Denmark</v>
      </c>
      <c r="M1837" t="str">
        <f>VLOOKUP(B1837,Raw_Suppliers!$A$2:$G$101,4,FALSE)</f>
        <v>South</v>
      </c>
      <c r="N1837" t="str">
        <f>VLOOKUP(B1837,Raw_Suppliers!$A$2:$G$101,6,FALSE)</f>
        <v>ISO 14001</v>
      </c>
      <c r="O1837">
        <f>VLOOKUP(B1837,Raw_Suppliers!$A$2:$G$101,7,FALSE)</f>
        <v>1</v>
      </c>
      <c r="P1837" t="str">
        <f t="shared" si="169"/>
        <v>Yes</v>
      </c>
      <c r="Q1837">
        <f t="shared" si="170"/>
        <v>0</v>
      </c>
      <c r="R1837" t="str">
        <f t="shared" si="171"/>
        <v>Late</v>
      </c>
      <c r="S1837">
        <f t="shared" si="172"/>
        <v>2021</v>
      </c>
      <c r="T1837">
        <f t="shared" si="173"/>
        <v>6</v>
      </c>
    </row>
    <row r="1838" spans="1:20" x14ac:dyDescent="0.25">
      <c r="A1838" t="s">
        <v>2145</v>
      </c>
      <c r="B1838" t="s">
        <v>43</v>
      </c>
      <c r="C1838" t="s">
        <v>259</v>
      </c>
      <c r="D1838" s="1">
        <v>44384</v>
      </c>
      <c r="E1838">
        <v>9</v>
      </c>
      <c r="F1838">
        <v>79.624945948941999</v>
      </c>
      <c r="G1838" s="1">
        <v>44401</v>
      </c>
      <c r="H1838" s="1">
        <v>44404</v>
      </c>
      <c r="I1838">
        <v>716.62451354047801</v>
      </c>
      <c r="J1838">
        <f t="shared" si="168"/>
        <v>3</v>
      </c>
      <c r="K1838" t="str">
        <f>VLOOKUP(B1838,Raw_Suppliers!$A$2:$G$101,2,FALSE)</f>
        <v>Alpha Ultra Corp</v>
      </c>
      <c r="L1838" t="str">
        <f>VLOOKUP(B1838,Raw_Suppliers!$A$2:$G$101,3,FALSE)</f>
        <v>USA</v>
      </c>
      <c r="M1838" t="str">
        <f>VLOOKUP(B1838,Raw_Suppliers!$A$2:$G$101,4,FALSE)</f>
        <v>Central</v>
      </c>
      <c r="N1838" t="str">
        <f>VLOOKUP(B1838,Raw_Suppliers!$A$2:$G$101,6,FALSE)</f>
        <v>ISO 9001</v>
      </c>
      <c r="O1838">
        <f>VLOOKUP(B1838,Raw_Suppliers!$A$2:$G$101,7,FALSE)</f>
        <v>1</v>
      </c>
      <c r="P1838" t="str">
        <f t="shared" si="169"/>
        <v>Yes</v>
      </c>
      <c r="Q1838">
        <f t="shared" si="170"/>
        <v>0</v>
      </c>
      <c r="R1838" t="str">
        <f t="shared" si="171"/>
        <v>Late</v>
      </c>
      <c r="S1838">
        <f t="shared" si="172"/>
        <v>2021</v>
      </c>
      <c r="T1838">
        <f t="shared" si="173"/>
        <v>7</v>
      </c>
    </row>
    <row r="1839" spans="1:20" x14ac:dyDescent="0.25">
      <c r="A1839" t="s">
        <v>2146</v>
      </c>
      <c r="B1839" t="s">
        <v>49</v>
      </c>
      <c r="C1839" t="s">
        <v>190</v>
      </c>
      <c r="D1839" s="1">
        <v>44850</v>
      </c>
      <c r="E1839">
        <v>9</v>
      </c>
      <c r="F1839">
        <v>50.832045787634399</v>
      </c>
      <c r="G1839" s="1">
        <v>44863</v>
      </c>
      <c r="H1839" s="1">
        <v>44869</v>
      </c>
      <c r="I1839">
        <v>457.48841208870903</v>
      </c>
      <c r="J1839">
        <f t="shared" si="168"/>
        <v>6</v>
      </c>
      <c r="K1839" t="str">
        <f>VLOOKUP(B1839,Raw_Suppliers!$A$2:$G$101,2,FALSE)</f>
        <v>Prime Prime Corp</v>
      </c>
      <c r="L1839" t="str">
        <f>VLOOKUP(B1839,Raw_Suppliers!$A$2:$G$101,3,FALSE)</f>
        <v>China</v>
      </c>
      <c r="M1839" t="str">
        <f>VLOOKUP(B1839,Raw_Suppliers!$A$2:$G$101,4,FALSE)</f>
        <v>North</v>
      </c>
      <c r="N1839" t="str">
        <f>VLOOKUP(B1839,Raw_Suppliers!$A$2:$G$101,6,FALSE)</f>
        <v>ISO 45001</v>
      </c>
      <c r="O1839">
        <f>VLOOKUP(B1839,Raw_Suppliers!$A$2:$G$101,7,FALSE)</f>
        <v>0</v>
      </c>
      <c r="P1839" t="str">
        <f t="shared" si="169"/>
        <v>No</v>
      </c>
      <c r="Q1839">
        <f t="shared" si="170"/>
        <v>0</v>
      </c>
      <c r="R1839" t="str">
        <f t="shared" si="171"/>
        <v>Late</v>
      </c>
      <c r="S1839">
        <f t="shared" si="172"/>
        <v>2022</v>
      </c>
      <c r="T1839">
        <f t="shared" si="173"/>
        <v>10</v>
      </c>
    </row>
    <row r="1840" spans="1:20" x14ac:dyDescent="0.25">
      <c r="A1840" t="s">
        <v>2147</v>
      </c>
      <c r="B1840" t="s">
        <v>28</v>
      </c>
      <c r="C1840" t="s">
        <v>279</v>
      </c>
      <c r="D1840" s="1">
        <v>45339</v>
      </c>
      <c r="E1840">
        <v>17</v>
      </c>
      <c r="F1840">
        <v>14.0483116474065</v>
      </c>
      <c r="G1840" s="1">
        <v>45361</v>
      </c>
      <c r="H1840" s="1">
        <v>45365</v>
      </c>
      <c r="I1840">
        <v>238.82129800591099</v>
      </c>
      <c r="J1840">
        <f t="shared" si="168"/>
        <v>4</v>
      </c>
      <c r="K1840" t="str">
        <f>VLOOKUP(B1840,Raw_Suppliers!$A$2:$G$101,2,FALSE)</f>
        <v>Fusion Vertex Inc</v>
      </c>
      <c r="L1840" t="str">
        <f>VLOOKUP(B1840,Raw_Suppliers!$A$2:$G$101,3,FALSE)</f>
        <v>Denmark</v>
      </c>
      <c r="M1840" t="str">
        <f>VLOOKUP(B1840,Raw_Suppliers!$A$2:$G$101,4,FALSE)</f>
        <v>Central</v>
      </c>
      <c r="N1840" t="str">
        <f>VLOOKUP(B1840,Raw_Suppliers!$A$2:$G$101,6,FALSE)</f>
        <v>ISO 45001</v>
      </c>
      <c r="O1840">
        <f>VLOOKUP(B1840,Raw_Suppliers!$A$2:$G$101,7,FALSE)</f>
        <v>0</v>
      </c>
      <c r="P1840" t="str">
        <f t="shared" si="169"/>
        <v>No</v>
      </c>
      <c r="Q1840">
        <f t="shared" si="170"/>
        <v>0</v>
      </c>
      <c r="R1840" t="str">
        <f t="shared" si="171"/>
        <v>Late</v>
      </c>
      <c r="S1840">
        <f t="shared" si="172"/>
        <v>2024</v>
      </c>
      <c r="T1840">
        <f t="shared" si="173"/>
        <v>2</v>
      </c>
    </row>
    <row r="1841" spans="1:20" x14ac:dyDescent="0.25">
      <c r="A1841" t="s">
        <v>2148</v>
      </c>
      <c r="B1841" t="s">
        <v>203</v>
      </c>
      <c r="C1841" t="s">
        <v>341</v>
      </c>
      <c r="D1841" s="1">
        <v>44940</v>
      </c>
      <c r="E1841">
        <v>8</v>
      </c>
      <c r="F1841">
        <v>60.2536423635798</v>
      </c>
      <c r="G1841" s="1">
        <v>44950</v>
      </c>
      <c r="H1841" s="1">
        <v>44947</v>
      </c>
      <c r="I1841">
        <v>482.029138908638</v>
      </c>
      <c r="J1841">
        <f t="shared" si="168"/>
        <v>-3</v>
      </c>
      <c r="K1841" t="str">
        <f>VLOOKUP(B1841,Raw_Suppliers!$A$2:$G$101,2,FALSE)</f>
        <v>Nova Eco LLC</v>
      </c>
      <c r="L1841" t="str">
        <f>VLOOKUP(B1841,Raw_Suppliers!$A$2:$G$101,3,FALSE)</f>
        <v>Denmark</v>
      </c>
      <c r="M1841" t="str">
        <f>VLOOKUP(B1841,Raw_Suppliers!$A$2:$G$101,4,FALSE)</f>
        <v>South</v>
      </c>
      <c r="N1841" t="str">
        <f>VLOOKUP(B1841,Raw_Suppliers!$A$2:$G$101,6,FALSE)</f>
        <v>ISO 14001</v>
      </c>
      <c r="O1841">
        <f>VLOOKUP(B1841,Raw_Suppliers!$A$2:$G$101,7,FALSE)</f>
        <v>0</v>
      </c>
      <c r="P1841" t="str">
        <f t="shared" si="169"/>
        <v>No</v>
      </c>
      <c r="Q1841">
        <f t="shared" si="170"/>
        <v>1</v>
      </c>
      <c r="R1841" t="str">
        <f t="shared" si="171"/>
        <v>On Time</v>
      </c>
      <c r="S1841">
        <f t="shared" si="172"/>
        <v>2023</v>
      </c>
      <c r="T1841">
        <f t="shared" si="173"/>
        <v>1</v>
      </c>
    </row>
    <row r="1842" spans="1:20" x14ac:dyDescent="0.25">
      <c r="A1842" t="s">
        <v>2149</v>
      </c>
      <c r="B1842" t="s">
        <v>22</v>
      </c>
      <c r="C1842" t="s">
        <v>881</v>
      </c>
      <c r="D1842" s="1">
        <v>44840</v>
      </c>
      <c r="E1842">
        <v>11</v>
      </c>
      <c r="F1842">
        <v>32.989912723896197</v>
      </c>
      <c r="G1842" s="1">
        <v>44859</v>
      </c>
      <c r="H1842" s="1">
        <v>44860</v>
      </c>
      <c r="I1842">
        <v>362.88903996285802</v>
      </c>
      <c r="J1842">
        <f t="shared" si="168"/>
        <v>1</v>
      </c>
      <c r="K1842" t="str">
        <f>VLOOKUP(B1842,Raw_Suppliers!$A$2:$G$101,2,FALSE)</f>
        <v>Delta Gamma Corp</v>
      </c>
      <c r="L1842" t="str">
        <f>VLOOKUP(B1842,Raw_Suppliers!$A$2:$G$101,3,FALSE)</f>
        <v>Denmark</v>
      </c>
      <c r="M1842" t="str">
        <f>VLOOKUP(B1842,Raw_Suppliers!$A$2:$G$101,4,FALSE)</f>
        <v>West</v>
      </c>
      <c r="N1842" t="str">
        <f>VLOOKUP(B1842,Raw_Suppliers!$A$2:$G$101,6,FALSE)</f>
        <v>ISO 45001</v>
      </c>
      <c r="O1842">
        <f>VLOOKUP(B1842,Raw_Suppliers!$A$2:$G$101,7,FALSE)</f>
        <v>1</v>
      </c>
      <c r="P1842" t="str">
        <f t="shared" si="169"/>
        <v>Yes</v>
      </c>
      <c r="Q1842">
        <f t="shared" si="170"/>
        <v>0</v>
      </c>
      <c r="R1842" t="str">
        <f t="shared" si="171"/>
        <v>Late</v>
      </c>
      <c r="S1842">
        <f t="shared" si="172"/>
        <v>2022</v>
      </c>
      <c r="T1842">
        <f t="shared" si="173"/>
        <v>10</v>
      </c>
    </row>
    <row r="1843" spans="1:20" x14ac:dyDescent="0.25">
      <c r="A1843" t="s">
        <v>2150</v>
      </c>
      <c r="B1843" t="s">
        <v>25</v>
      </c>
      <c r="C1843" t="s">
        <v>759</v>
      </c>
      <c r="D1843" s="1">
        <v>44765</v>
      </c>
      <c r="E1843">
        <v>13</v>
      </c>
      <c r="F1843">
        <v>43.625179338970398</v>
      </c>
      <c r="G1843" s="1">
        <v>44784</v>
      </c>
      <c r="H1843" s="1">
        <v>44788</v>
      </c>
      <c r="I1843">
        <v>567.12733140661499</v>
      </c>
      <c r="J1843">
        <f t="shared" si="168"/>
        <v>4</v>
      </c>
      <c r="K1843" t="str">
        <f>VLOOKUP(B1843,Raw_Suppliers!$A$2:$G$101,2,FALSE)</f>
        <v>Quantum Fusion Corp</v>
      </c>
      <c r="L1843" t="str">
        <f>VLOOKUP(B1843,Raw_Suppliers!$A$2:$G$101,3,FALSE)</f>
        <v>UK</v>
      </c>
      <c r="M1843" t="str">
        <f>VLOOKUP(B1843,Raw_Suppliers!$A$2:$G$101,4,FALSE)</f>
        <v>North</v>
      </c>
      <c r="N1843" t="str">
        <f>VLOOKUP(B1843,Raw_Suppliers!$A$2:$G$101,6,FALSE)</f>
        <v>ISO 9001</v>
      </c>
      <c r="O1843">
        <f>VLOOKUP(B1843,Raw_Suppliers!$A$2:$G$101,7,FALSE)</f>
        <v>0</v>
      </c>
      <c r="P1843" t="str">
        <f t="shared" si="169"/>
        <v>No</v>
      </c>
      <c r="Q1843">
        <f t="shared" si="170"/>
        <v>0</v>
      </c>
      <c r="R1843" t="str">
        <f t="shared" si="171"/>
        <v>Late</v>
      </c>
      <c r="S1843">
        <f t="shared" si="172"/>
        <v>2022</v>
      </c>
      <c r="T1843">
        <f t="shared" si="173"/>
        <v>7</v>
      </c>
    </row>
    <row r="1844" spans="1:20" x14ac:dyDescent="0.25">
      <c r="A1844" t="s">
        <v>2151</v>
      </c>
      <c r="B1844" t="s">
        <v>475</v>
      </c>
      <c r="C1844" t="s">
        <v>50</v>
      </c>
      <c r="D1844" s="1">
        <v>45244</v>
      </c>
      <c r="E1844">
        <v>7</v>
      </c>
      <c r="F1844">
        <v>43.345836463885099</v>
      </c>
      <c r="G1844" s="1">
        <v>45266</v>
      </c>
      <c r="H1844" s="1">
        <v>45265</v>
      </c>
      <c r="I1844">
        <v>303.42085524719602</v>
      </c>
      <c r="J1844">
        <f t="shared" si="168"/>
        <v>-1</v>
      </c>
      <c r="K1844" t="str">
        <f>VLOOKUP(B1844,Raw_Suppliers!$A$2:$G$101,2,FALSE)</f>
        <v>Ultra Delta LLC</v>
      </c>
      <c r="L1844" t="str">
        <f>VLOOKUP(B1844,Raw_Suppliers!$A$2:$G$101,3,FALSE)</f>
        <v>UK</v>
      </c>
      <c r="M1844" t="str">
        <f>VLOOKUP(B1844,Raw_Suppliers!$A$2:$G$101,4,FALSE)</f>
        <v>North</v>
      </c>
      <c r="N1844" t="str">
        <f>VLOOKUP(B1844,Raw_Suppliers!$A$2:$G$101,6,FALSE)</f>
        <v>None</v>
      </c>
      <c r="O1844">
        <f>VLOOKUP(B1844,Raw_Suppliers!$A$2:$G$101,7,FALSE)</f>
        <v>1</v>
      </c>
      <c r="P1844" t="str">
        <f t="shared" si="169"/>
        <v>Yes</v>
      </c>
      <c r="Q1844">
        <f t="shared" si="170"/>
        <v>1</v>
      </c>
      <c r="R1844" t="str">
        <f t="shared" si="171"/>
        <v>On Time</v>
      </c>
      <c r="S1844">
        <f t="shared" si="172"/>
        <v>2023</v>
      </c>
      <c r="T1844">
        <f t="shared" si="173"/>
        <v>11</v>
      </c>
    </row>
    <row r="1845" spans="1:20" x14ac:dyDescent="0.25">
      <c r="A1845" t="s">
        <v>2152</v>
      </c>
      <c r="B1845" t="s">
        <v>198</v>
      </c>
      <c r="C1845" t="s">
        <v>47</v>
      </c>
      <c r="D1845" s="1">
        <v>44602</v>
      </c>
      <c r="E1845">
        <v>14</v>
      </c>
      <c r="F1845">
        <v>75.092437475609003</v>
      </c>
      <c r="G1845" s="1">
        <v>44618</v>
      </c>
      <c r="H1845" s="1">
        <v>44620</v>
      </c>
      <c r="I1845">
        <v>1051.2941246585201</v>
      </c>
      <c r="J1845">
        <f t="shared" si="168"/>
        <v>2</v>
      </c>
      <c r="K1845" t="str">
        <f>VLOOKUP(B1845,Raw_Suppliers!$A$2:$G$101,2,FALSE)</f>
        <v>Gamma Vertex Corp</v>
      </c>
      <c r="L1845" t="str">
        <f>VLOOKUP(B1845,Raw_Suppliers!$A$2:$G$101,3,FALSE)</f>
        <v>Denmark</v>
      </c>
      <c r="M1845" t="str">
        <f>VLOOKUP(B1845,Raw_Suppliers!$A$2:$G$101,4,FALSE)</f>
        <v>South</v>
      </c>
      <c r="N1845" t="str">
        <f>VLOOKUP(B1845,Raw_Suppliers!$A$2:$G$101,6,FALSE)</f>
        <v>None</v>
      </c>
      <c r="O1845">
        <f>VLOOKUP(B1845,Raw_Suppliers!$A$2:$G$101,7,FALSE)</f>
        <v>1</v>
      </c>
      <c r="P1845" t="str">
        <f t="shared" si="169"/>
        <v>Yes</v>
      </c>
      <c r="Q1845">
        <f t="shared" si="170"/>
        <v>0</v>
      </c>
      <c r="R1845" t="str">
        <f t="shared" si="171"/>
        <v>Late</v>
      </c>
      <c r="S1845">
        <f t="shared" si="172"/>
        <v>2022</v>
      </c>
      <c r="T1845">
        <f t="shared" si="173"/>
        <v>2</v>
      </c>
    </row>
    <row r="1846" spans="1:20" x14ac:dyDescent="0.25">
      <c r="A1846" t="s">
        <v>2153</v>
      </c>
      <c r="B1846" t="s">
        <v>22</v>
      </c>
      <c r="C1846" t="s">
        <v>559</v>
      </c>
      <c r="D1846" s="1">
        <v>44302</v>
      </c>
      <c r="E1846">
        <v>7</v>
      </c>
      <c r="F1846">
        <v>29.9186219980263</v>
      </c>
      <c r="G1846" s="1">
        <v>44312</v>
      </c>
      <c r="H1846" s="1">
        <v>44318</v>
      </c>
      <c r="I1846">
        <v>209.430353986184</v>
      </c>
      <c r="J1846">
        <f t="shared" si="168"/>
        <v>6</v>
      </c>
      <c r="K1846" t="str">
        <f>VLOOKUP(B1846,Raw_Suppliers!$A$2:$G$101,2,FALSE)</f>
        <v>Delta Gamma Corp</v>
      </c>
      <c r="L1846" t="str">
        <f>VLOOKUP(B1846,Raw_Suppliers!$A$2:$G$101,3,FALSE)</f>
        <v>Denmark</v>
      </c>
      <c r="M1846" t="str">
        <f>VLOOKUP(B1846,Raw_Suppliers!$A$2:$G$101,4,FALSE)</f>
        <v>West</v>
      </c>
      <c r="N1846" t="str">
        <f>VLOOKUP(B1846,Raw_Suppliers!$A$2:$G$101,6,FALSE)</f>
        <v>ISO 45001</v>
      </c>
      <c r="O1846">
        <f>VLOOKUP(B1846,Raw_Suppliers!$A$2:$G$101,7,FALSE)</f>
        <v>1</v>
      </c>
      <c r="P1846" t="str">
        <f t="shared" si="169"/>
        <v>Yes</v>
      </c>
      <c r="Q1846">
        <f t="shared" si="170"/>
        <v>0</v>
      </c>
      <c r="R1846" t="str">
        <f t="shared" si="171"/>
        <v>Late</v>
      </c>
      <c r="S1846">
        <f t="shared" si="172"/>
        <v>2021</v>
      </c>
      <c r="T1846">
        <f t="shared" si="173"/>
        <v>4</v>
      </c>
    </row>
    <row r="1847" spans="1:20" x14ac:dyDescent="0.25">
      <c r="A1847" t="s">
        <v>2154</v>
      </c>
      <c r="B1847" t="s">
        <v>10</v>
      </c>
      <c r="C1847" t="s">
        <v>80</v>
      </c>
      <c r="D1847" s="1">
        <v>44451</v>
      </c>
      <c r="E1847">
        <v>9</v>
      </c>
      <c r="F1847">
        <v>12.629908508578801</v>
      </c>
      <c r="G1847" s="1">
        <v>44467</v>
      </c>
      <c r="H1847" s="1">
        <v>44469</v>
      </c>
      <c r="I1847">
        <v>113.669176577209</v>
      </c>
      <c r="J1847">
        <f t="shared" si="168"/>
        <v>2</v>
      </c>
      <c r="K1847" t="str">
        <f>VLOOKUP(B1847,Raw_Suppliers!$A$2:$G$101,2,FALSE)</f>
        <v>Vertex Beta GmbH</v>
      </c>
      <c r="L1847" t="str">
        <f>VLOOKUP(B1847,Raw_Suppliers!$A$2:$G$101,3,FALSE)</f>
        <v>India</v>
      </c>
      <c r="M1847" t="str">
        <f>VLOOKUP(B1847,Raw_Suppliers!$A$2:$G$101,4,FALSE)</f>
        <v>North</v>
      </c>
      <c r="N1847" t="str">
        <f>VLOOKUP(B1847,Raw_Suppliers!$A$2:$G$101,6,FALSE)</f>
        <v>ISO 14001</v>
      </c>
      <c r="O1847">
        <f>VLOOKUP(B1847,Raw_Suppliers!$A$2:$G$101,7,FALSE)</f>
        <v>0</v>
      </c>
      <c r="P1847" t="str">
        <f t="shared" si="169"/>
        <v>No</v>
      </c>
      <c r="Q1847">
        <f t="shared" si="170"/>
        <v>0</v>
      </c>
      <c r="R1847" t="str">
        <f t="shared" si="171"/>
        <v>Late</v>
      </c>
      <c r="S1847">
        <f t="shared" si="172"/>
        <v>2021</v>
      </c>
      <c r="T1847">
        <f t="shared" si="173"/>
        <v>9</v>
      </c>
    </row>
    <row r="1848" spans="1:20" x14ac:dyDescent="0.25">
      <c r="A1848" t="s">
        <v>2155</v>
      </c>
      <c r="B1848" t="s">
        <v>70</v>
      </c>
      <c r="C1848" t="s">
        <v>722</v>
      </c>
      <c r="D1848" s="1">
        <v>44937</v>
      </c>
      <c r="E1848">
        <v>11</v>
      </c>
      <c r="F1848">
        <v>51.653600498223803</v>
      </c>
      <c r="G1848" s="1">
        <v>44959</v>
      </c>
      <c r="H1848" s="1">
        <v>44964</v>
      </c>
      <c r="I1848">
        <v>568.18960548046095</v>
      </c>
      <c r="J1848">
        <f t="shared" si="168"/>
        <v>5</v>
      </c>
      <c r="K1848" t="str">
        <f>VLOOKUP(B1848,Raw_Suppliers!$A$2:$G$101,2,FALSE)</f>
        <v>Prime Nano Ltd</v>
      </c>
      <c r="L1848" t="str">
        <f>VLOOKUP(B1848,Raw_Suppliers!$A$2:$G$101,3,FALSE)</f>
        <v>USA</v>
      </c>
      <c r="M1848" t="str">
        <f>VLOOKUP(B1848,Raw_Suppliers!$A$2:$G$101,4,FALSE)</f>
        <v>Central</v>
      </c>
      <c r="N1848" t="str">
        <f>VLOOKUP(B1848,Raw_Suppliers!$A$2:$G$101,6,FALSE)</f>
        <v>ISO 45001</v>
      </c>
      <c r="O1848">
        <f>VLOOKUP(B1848,Raw_Suppliers!$A$2:$G$101,7,FALSE)</f>
        <v>0</v>
      </c>
      <c r="P1848" t="str">
        <f t="shared" si="169"/>
        <v>No</v>
      </c>
      <c r="Q1848">
        <f t="shared" si="170"/>
        <v>0</v>
      </c>
      <c r="R1848" t="str">
        <f t="shared" si="171"/>
        <v>Late</v>
      </c>
      <c r="S1848">
        <f t="shared" si="172"/>
        <v>2023</v>
      </c>
      <c r="T1848">
        <f t="shared" si="173"/>
        <v>1</v>
      </c>
    </row>
    <row r="1849" spans="1:20" x14ac:dyDescent="0.25">
      <c r="A1849" t="s">
        <v>2156</v>
      </c>
      <c r="B1849" t="s">
        <v>52</v>
      </c>
      <c r="C1849" t="s">
        <v>457</v>
      </c>
      <c r="D1849" s="1">
        <v>45288</v>
      </c>
      <c r="E1849">
        <v>15</v>
      </c>
      <c r="F1849">
        <v>4.5826622865967197</v>
      </c>
      <c r="G1849" s="1">
        <v>45306</v>
      </c>
      <c r="H1849" s="1">
        <v>45309</v>
      </c>
      <c r="I1849">
        <v>68.739934298950899</v>
      </c>
      <c r="J1849">
        <f t="shared" si="168"/>
        <v>3</v>
      </c>
      <c r="K1849" t="str">
        <f>VLOOKUP(B1849,Raw_Suppliers!$A$2:$G$101,2,FALSE)</f>
        <v>Beta Nano Corp</v>
      </c>
      <c r="L1849" t="str">
        <f>VLOOKUP(B1849,Raw_Suppliers!$A$2:$G$101,3,FALSE)</f>
        <v>UK</v>
      </c>
      <c r="M1849" t="str">
        <f>VLOOKUP(B1849,Raw_Suppliers!$A$2:$G$101,4,FALSE)</f>
        <v>Central</v>
      </c>
      <c r="N1849" t="str">
        <f>VLOOKUP(B1849,Raw_Suppliers!$A$2:$G$101,6,FALSE)</f>
        <v>ISO 45001</v>
      </c>
      <c r="O1849">
        <f>VLOOKUP(B1849,Raw_Suppliers!$A$2:$G$101,7,FALSE)</f>
        <v>0</v>
      </c>
      <c r="P1849" t="str">
        <f t="shared" si="169"/>
        <v>No</v>
      </c>
      <c r="Q1849">
        <f t="shared" si="170"/>
        <v>0</v>
      </c>
      <c r="R1849" t="str">
        <f t="shared" si="171"/>
        <v>Late</v>
      </c>
      <c r="S1849">
        <f t="shared" si="172"/>
        <v>2023</v>
      </c>
      <c r="T1849">
        <f t="shared" si="173"/>
        <v>12</v>
      </c>
    </row>
    <row r="1850" spans="1:20" x14ac:dyDescent="0.25">
      <c r="A1850" t="s">
        <v>2157</v>
      </c>
      <c r="B1850" t="s">
        <v>205</v>
      </c>
      <c r="C1850" t="s">
        <v>881</v>
      </c>
      <c r="D1850" s="1">
        <v>44822</v>
      </c>
      <c r="E1850">
        <v>6</v>
      </c>
      <c r="F1850">
        <v>46.586140230848997</v>
      </c>
      <c r="G1850" s="1">
        <v>44834</v>
      </c>
      <c r="H1850" s="1">
        <v>44839</v>
      </c>
      <c r="I1850">
        <v>279.51684138509398</v>
      </c>
      <c r="J1850">
        <f t="shared" si="168"/>
        <v>5</v>
      </c>
      <c r="K1850" t="str">
        <f>VLOOKUP(B1850,Raw_Suppliers!$A$2:$G$101,2,FALSE)</f>
        <v>Ultra Eco LLC</v>
      </c>
      <c r="L1850" t="str">
        <f>VLOOKUP(B1850,Raw_Suppliers!$A$2:$G$101,3,FALSE)</f>
        <v>China</v>
      </c>
      <c r="M1850" t="str">
        <f>VLOOKUP(B1850,Raw_Suppliers!$A$2:$G$101,4,FALSE)</f>
        <v>South</v>
      </c>
      <c r="N1850" t="str">
        <f>VLOOKUP(B1850,Raw_Suppliers!$A$2:$G$101,6,FALSE)</f>
        <v>ISO 14001</v>
      </c>
      <c r="O1850">
        <f>VLOOKUP(B1850,Raw_Suppliers!$A$2:$G$101,7,FALSE)</f>
        <v>1</v>
      </c>
      <c r="P1850" t="str">
        <f t="shared" si="169"/>
        <v>Yes</v>
      </c>
      <c r="Q1850">
        <f t="shared" si="170"/>
        <v>0</v>
      </c>
      <c r="R1850" t="str">
        <f t="shared" si="171"/>
        <v>Late</v>
      </c>
      <c r="S1850">
        <f t="shared" si="172"/>
        <v>2022</v>
      </c>
      <c r="T1850">
        <f t="shared" si="173"/>
        <v>9</v>
      </c>
    </row>
    <row r="1851" spans="1:20" x14ac:dyDescent="0.25">
      <c r="A1851" t="s">
        <v>2158</v>
      </c>
      <c r="B1851" t="s">
        <v>314</v>
      </c>
      <c r="C1851" t="s">
        <v>212</v>
      </c>
      <c r="D1851" s="1">
        <v>44403</v>
      </c>
      <c r="E1851">
        <v>14</v>
      </c>
      <c r="F1851">
        <v>21.434197057558801</v>
      </c>
      <c r="G1851" s="1">
        <v>44415</v>
      </c>
      <c r="H1851" s="1">
        <v>44412</v>
      </c>
      <c r="I1851">
        <v>300.07875880582401</v>
      </c>
      <c r="J1851">
        <f t="shared" si="168"/>
        <v>-3</v>
      </c>
      <c r="K1851" t="str">
        <f>VLOOKUP(B1851,Raw_Suppliers!$A$2:$G$101,2,FALSE)</f>
        <v>Gamma Nova Ltd</v>
      </c>
      <c r="L1851" t="str">
        <f>VLOOKUP(B1851,Raw_Suppliers!$A$2:$G$101,3,FALSE)</f>
        <v>USA</v>
      </c>
      <c r="M1851" t="str">
        <f>VLOOKUP(B1851,Raw_Suppliers!$A$2:$G$101,4,FALSE)</f>
        <v>North</v>
      </c>
      <c r="N1851" t="str">
        <f>VLOOKUP(B1851,Raw_Suppliers!$A$2:$G$101,6,FALSE)</f>
        <v>ISO 45001</v>
      </c>
      <c r="O1851">
        <f>VLOOKUP(B1851,Raw_Suppliers!$A$2:$G$101,7,FALSE)</f>
        <v>0</v>
      </c>
      <c r="P1851" t="str">
        <f t="shared" si="169"/>
        <v>No</v>
      </c>
      <c r="Q1851">
        <f t="shared" si="170"/>
        <v>1</v>
      </c>
      <c r="R1851" t="str">
        <f t="shared" si="171"/>
        <v>On Time</v>
      </c>
      <c r="S1851">
        <f t="shared" si="172"/>
        <v>2021</v>
      </c>
      <c r="T1851">
        <f t="shared" si="173"/>
        <v>7</v>
      </c>
    </row>
    <row r="1852" spans="1:20" x14ac:dyDescent="0.25">
      <c r="A1852" t="s">
        <v>2159</v>
      </c>
      <c r="B1852" t="s">
        <v>326</v>
      </c>
      <c r="C1852" t="s">
        <v>77</v>
      </c>
      <c r="D1852" s="1">
        <v>44217</v>
      </c>
      <c r="E1852">
        <v>6</v>
      </c>
      <c r="F1852">
        <v>38.256886414782102</v>
      </c>
      <c r="G1852" s="1">
        <v>44237</v>
      </c>
      <c r="H1852" s="1">
        <v>44241</v>
      </c>
      <c r="I1852">
        <v>229.54131848869301</v>
      </c>
      <c r="J1852">
        <f t="shared" si="168"/>
        <v>4</v>
      </c>
      <c r="K1852" t="str">
        <f>VLOOKUP(B1852,Raw_Suppliers!$A$2:$G$101,2,FALSE)</f>
        <v>Ultra Fusion Corp</v>
      </c>
      <c r="L1852" t="str">
        <f>VLOOKUP(B1852,Raw_Suppliers!$A$2:$G$101,3,FALSE)</f>
        <v>Canada</v>
      </c>
      <c r="M1852" t="str">
        <f>VLOOKUP(B1852,Raw_Suppliers!$A$2:$G$101,4,FALSE)</f>
        <v>South</v>
      </c>
      <c r="N1852" t="str">
        <f>VLOOKUP(B1852,Raw_Suppliers!$A$2:$G$101,6,FALSE)</f>
        <v>None</v>
      </c>
      <c r="O1852">
        <f>VLOOKUP(B1852,Raw_Suppliers!$A$2:$G$101,7,FALSE)</f>
        <v>1</v>
      </c>
      <c r="P1852" t="str">
        <f t="shared" si="169"/>
        <v>Yes</v>
      </c>
      <c r="Q1852">
        <f t="shared" si="170"/>
        <v>0</v>
      </c>
      <c r="R1852" t="str">
        <f t="shared" si="171"/>
        <v>Late</v>
      </c>
      <c r="S1852">
        <f t="shared" si="172"/>
        <v>2021</v>
      </c>
      <c r="T1852">
        <f t="shared" si="173"/>
        <v>1</v>
      </c>
    </row>
    <row r="1853" spans="1:20" x14ac:dyDescent="0.25">
      <c r="A1853" t="s">
        <v>2160</v>
      </c>
      <c r="B1853" t="s">
        <v>174</v>
      </c>
      <c r="C1853" t="s">
        <v>504</v>
      </c>
      <c r="D1853" s="1">
        <v>45131</v>
      </c>
      <c r="E1853">
        <v>9</v>
      </c>
      <c r="F1853">
        <v>28.0360201737127</v>
      </c>
      <c r="G1853" s="1">
        <v>45148</v>
      </c>
      <c r="H1853" s="1">
        <v>45150</v>
      </c>
      <c r="I1853">
        <v>252.32418156341399</v>
      </c>
      <c r="J1853">
        <f t="shared" si="168"/>
        <v>2</v>
      </c>
      <c r="K1853" t="str">
        <f>VLOOKUP(B1853,Raw_Suppliers!$A$2:$G$101,2,FALSE)</f>
        <v>Quantum Eco LLC</v>
      </c>
      <c r="L1853" t="str">
        <f>VLOOKUP(B1853,Raw_Suppliers!$A$2:$G$101,3,FALSE)</f>
        <v>Denmark</v>
      </c>
      <c r="M1853" t="str">
        <f>VLOOKUP(B1853,Raw_Suppliers!$A$2:$G$101,4,FALSE)</f>
        <v>East</v>
      </c>
      <c r="N1853" t="str">
        <f>VLOOKUP(B1853,Raw_Suppliers!$A$2:$G$101,6,FALSE)</f>
        <v>ISO 9001</v>
      </c>
      <c r="O1853">
        <f>VLOOKUP(B1853,Raw_Suppliers!$A$2:$G$101,7,FALSE)</f>
        <v>1</v>
      </c>
      <c r="P1853" t="str">
        <f t="shared" si="169"/>
        <v>Yes</v>
      </c>
      <c r="Q1853">
        <f t="shared" si="170"/>
        <v>0</v>
      </c>
      <c r="R1853" t="str">
        <f t="shared" si="171"/>
        <v>Late</v>
      </c>
      <c r="S1853">
        <f t="shared" si="172"/>
        <v>2023</v>
      </c>
      <c r="T1853">
        <f t="shared" si="173"/>
        <v>7</v>
      </c>
    </row>
    <row r="1854" spans="1:20" x14ac:dyDescent="0.25">
      <c r="A1854" t="s">
        <v>2161</v>
      </c>
      <c r="B1854" t="s">
        <v>31</v>
      </c>
      <c r="C1854" t="s">
        <v>304</v>
      </c>
      <c r="D1854" s="1">
        <v>44750</v>
      </c>
      <c r="E1854">
        <v>8</v>
      </c>
      <c r="F1854">
        <v>45.7583113542075</v>
      </c>
      <c r="G1854" s="1">
        <v>44760</v>
      </c>
      <c r="H1854" s="1">
        <v>44764</v>
      </c>
      <c r="I1854">
        <v>366.06649083366</v>
      </c>
      <c r="J1854">
        <f t="shared" si="168"/>
        <v>4</v>
      </c>
      <c r="K1854" t="str">
        <f>VLOOKUP(B1854,Raw_Suppliers!$A$2:$G$101,2,FALSE)</f>
        <v>Nova Nano GmbH</v>
      </c>
      <c r="L1854" t="str">
        <f>VLOOKUP(B1854,Raw_Suppliers!$A$2:$G$101,3,FALSE)</f>
        <v>Denmark</v>
      </c>
      <c r="M1854" t="str">
        <f>VLOOKUP(B1854,Raw_Suppliers!$A$2:$G$101,4,FALSE)</f>
        <v>South</v>
      </c>
      <c r="N1854" t="str">
        <f>VLOOKUP(B1854,Raw_Suppliers!$A$2:$G$101,6,FALSE)</f>
        <v>ISO 14001</v>
      </c>
      <c r="O1854">
        <f>VLOOKUP(B1854,Raw_Suppliers!$A$2:$G$101,7,FALSE)</f>
        <v>1</v>
      </c>
      <c r="P1854" t="str">
        <f t="shared" si="169"/>
        <v>Yes</v>
      </c>
      <c r="Q1854">
        <f t="shared" si="170"/>
        <v>0</v>
      </c>
      <c r="R1854" t="str">
        <f t="shared" si="171"/>
        <v>Late</v>
      </c>
      <c r="S1854">
        <f t="shared" si="172"/>
        <v>2022</v>
      </c>
      <c r="T1854">
        <f t="shared" si="173"/>
        <v>7</v>
      </c>
    </row>
    <row r="1855" spans="1:20" x14ac:dyDescent="0.25">
      <c r="A1855" t="s">
        <v>2162</v>
      </c>
      <c r="B1855" t="s">
        <v>326</v>
      </c>
      <c r="C1855" t="s">
        <v>71</v>
      </c>
      <c r="D1855" s="1">
        <v>44806</v>
      </c>
      <c r="E1855">
        <v>10</v>
      </c>
      <c r="F1855">
        <v>22.532553230259701</v>
      </c>
      <c r="G1855" s="1">
        <v>44822</v>
      </c>
      <c r="H1855" s="1">
        <v>44827</v>
      </c>
      <c r="I1855">
        <v>225.325532302597</v>
      </c>
      <c r="J1855">
        <f t="shared" si="168"/>
        <v>5</v>
      </c>
      <c r="K1855" t="str">
        <f>VLOOKUP(B1855,Raw_Suppliers!$A$2:$G$101,2,FALSE)</f>
        <v>Ultra Fusion Corp</v>
      </c>
      <c r="L1855" t="str">
        <f>VLOOKUP(B1855,Raw_Suppliers!$A$2:$G$101,3,FALSE)</f>
        <v>Canada</v>
      </c>
      <c r="M1855" t="str">
        <f>VLOOKUP(B1855,Raw_Suppliers!$A$2:$G$101,4,FALSE)</f>
        <v>South</v>
      </c>
      <c r="N1855" t="str">
        <f>VLOOKUP(B1855,Raw_Suppliers!$A$2:$G$101,6,FALSE)</f>
        <v>None</v>
      </c>
      <c r="O1855">
        <f>VLOOKUP(B1855,Raw_Suppliers!$A$2:$G$101,7,FALSE)</f>
        <v>1</v>
      </c>
      <c r="P1855" t="str">
        <f t="shared" si="169"/>
        <v>Yes</v>
      </c>
      <c r="Q1855">
        <f t="shared" si="170"/>
        <v>0</v>
      </c>
      <c r="R1855" t="str">
        <f t="shared" si="171"/>
        <v>Late</v>
      </c>
      <c r="S1855">
        <f t="shared" si="172"/>
        <v>2022</v>
      </c>
      <c r="T1855">
        <f t="shared" si="173"/>
        <v>9</v>
      </c>
    </row>
    <row r="1856" spans="1:20" x14ac:dyDescent="0.25">
      <c r="A1856" t="s">
        <v>2163</v>
      </c>
      <c r="B1856" t="s">
        <v>207</v>
      </c>
      <c r="C1856" t="s">
        <v>795</v>
      </c>
      <c r="D1856" s="1">
        <v>44261</v>
      </c>
      <c r="E1856">
        <v>7</v>
      </c>
      <c r="F1856">
        <v>15.399207962772101</v>
      </c>
      <c r="G1856" s="1">
        <v>44283</v>
      </c>
      <c r="H1856" s="1">
        <v>44281</v>
      </c>
      <c r="I1856">
        <v>107.794455739405</v>
      </c>
      <c r="J1856">
        <f t="shared" si="168"/>
        <v>-2</v>
      </c>
      <c r="K1856" t="str">
        <f>VLOOKUP(B1856,Raw_Suppliers!$A$2:$G$101,2,FALSE)</f>
        <v>Nova Alpha Ltd</v>
      </c>
      <c r="L1856" t="str">
        <f>VLOOKUP(B1856,Raw_Suppliers!$A$2:$G$101,3,FALSE)</f>
        <v>India</v>
      </c>
      <c r="M1856" t="str">
        <f>VLOOKUP(B1856,Raw_Suppliers!$A$2:$G$101,4,FALSE)</f>
        <v>East</v>
      </c>
      <c r="N1856" t="str">
        <f>VLOOKUP(B1856,Raw_Suppliers!$A$2:$G$101,6,FALSE)</f>
        <v>ISO 9001</v>
      </c>
      <c r="O1856">
        <f>VLOOKUP(B1856,Raw_Suppliers!$A$2:$G$101,7,FALSE)</f>
        <v>0</v>
      </c>
      <c r="P1856" t="str">
        <f t="shared" si="169"/>
        <v>No</v>
      </c>
      <c r="Q1856">
        <f t="shared" si="170"/>
        <v>1</v>
      </c>
      <c r="R1856" t="str">
        <f t="shared" si="171"/>
        <v>On Time</v>
      </c>
      <c r="S1856">
        <f t="shared" si="172"/>
        <v>2021</v>
      </c>
      <c r="T1856">
        <f t="shared" si="173"/>
        <v>3</v>
      </c>
    </row>
    <row r="1857" spans="1:20" x14ac:dyDescent="0.25">
      <c r="A1857" t="s">
        <v>2164</v>
      </c>
      <c r="B1857" t="s">
        <v>267</v>
      </c>
      <c r="C1857" t="s">
        <v>693</v>
      </c>
      <c r="D1857" s="1">
        <v>44734</v>
      </c>
      <c r="E1857">
        <v>8</v>
      </c>
      <c r="F1857">
        <v>28.253542435304301</v>
      </c>
      <c r="G1857" s="1">
        <v>44747</v>
      </c>
      <c r="H1857" s="1">
        <v>44747</v>
      </c>
      <c r="I1857">
        <v>226.02833948243401</v>
      </c>
      <c r="J1857">
        <f t="shared" si="168"/>
        <v>0</v>
      </c>
      <c r="K1857" t="str">
        <f>VLOOKUP(B1857,Raw_Suppliers!$A$2:$G$101,2,FALSE)</f>
        <v>Omega Nova Corp</v>
      </c>
      <c r="L1857" t="str">
        <f>VLOOKUP(B1857,Raw_Suppliers!$A$2:$G$101,3,FALSE)</f>
        <v>India</v>
      </c>
      <c r="M1857" t="str">
        <f>VLOOKUP(B1857,Raw_Suppliers!$A$2:$G$101,4,FALSE)</f>
        <v>West</v>
      </c>
      <c r="N1857" t="str">
        <f>VLOOKUP(B1857,Raw_Suppliers!$A$2:$G$101,6,FALSE)</f>
        <v>ISO 45001</v>
      </c>
      <c r="O1857">
        <f>VLOOKUP(B1857,Raw_Suppliers!$A$2:$G$101,7,FALSE)</f>
        <v>0</v>
      </c>
      <c r="P1857" t="str">
        <f t="shared" si="169"/>
        <v>No</v>
      </c>
      <c r="Q1857">
        <f t="shared" si="170"/>
        <v>1</v>
      </c>
      <c r="R1857" t="str">
        <f t="shared" si="171"/>
        <v>On Time</v>
      </c>
      <c r="S1857">
        <f t="shared" si="172"/>
        <v>2022</v>
      </c>
      <c r="T1857">
        <f t="shared" si="173"/>
        <v>6</v>
      </c>
    </row>
    <row r="1858" spans="1:20" x14ac:dyDescent="0.25">
      <c r="A1858" t="s">
        <v>2165</v>
      </c>
      <c r="B1858" t="s">
        <v>369</v>
      </c>
      <c r="C1858" t="s">
        <v>581</v>
      </c>
      <c r="D1858" s="1">
        <v>44637</v>
      </c>
      <c r="E1858">
        <v>9</v>
      </c>
      <c r="F1858">
        <v>42.448423716224397</v>
      </c>
      <c r="G1858" s="1">
        <v>44658</v>
      </c>
      <c r="H1858" s="1">
        <v>44660</v>
      </c>
      <c r="I1858">
        <v>382.03581344601997</v>
      </c>
      <c r="J1858">
        <f t="shared" si="168"/>
        <v>2</v>
      </c>
      <c r="K1858" t="str">
        <f>VLOOKUP(B1858,Raw_Suppliers!$A$2:$G$101,2,FALSE)</f>
        <v>Beta Fusion GmbH</v>
      </c>
      <c r="L1858" t="str">
        <f>VLOOKUP(B1858,Raw_Suppliers!$A$2:$G$101,3,FALSE)</f>
        <v>China</v>
      </c>
      <c r="M1858" t="str">
        <f>VLOOKUP(B1858,Raw_Suppliers!$A$2:$G$101,4,FALSE)</f>
        <v>South</v>
      </c>
      <c r="N1858" t="str">
        <f>VLOOKUP(B1858,Raw_Suppliers!$A$2:$G$101,6,FALSE)</f>
        <v>ISO 9001</v>
      </c>
      <c r="O1858">
        <f>VLOOKUP(B1858,Raw_Suppliers!$A$2:$G$101,7,FALSE)</f>
        <v>0</v>
      </c>
      <c r="P1858" t="str">
        <f t="shared" si="169"/>
        <v>No</v>
      </c>
      <c r="Q1858">
        <f t="shared" si="170"/>
        <v>0</v>
      </c>
      <c r="R1858" t="str">
        <f t="shared" si="171"/>
        <v>Late</v>
      </c>
      <c r="S1858">
        <f t="shared" si="172"/>
        <v>2022</v>
      </c>
      <c r="T1858">
        <f t="shared" si="173"/>
        <v>3</v>
      </c>
    </row>
    <row r="1859" spans="1:20" x14ac:dyDescent="0.25">
      <c r="A1859" t="s">
        <v>2166</v>
      </c>
      <c r="B1859" t="s">
        <v>43</v>
      </c>
      <c r="C1859" t="s">
        <v>1362</v>
      </c>
      <c r="D1859" s="1">
        <v>44356</v>
      </c>
      <c r="E1859">
        <v>13</v>
      </c>
      <c r="F1859">
        <v>36.097081048826098</v>
      </c>
      <c r="G1859" s="1">
        <v>44370</v>
      </c>
      <c r="H1859" s="1">
        <v>44375</v>
      </c>
      <c r="I1859">
        <v>469.262053634739</v>
      </c>
      <c r="J1859">
        <f t="shared" ref="J1859:J1922" si="174">H1859-G1859</f>
        <v>5</v>
      </c>
      <c r="K1859" t="str">
        <f>VLOOKUP(B1859,Raw_Suppliers!$A$2:$G$101,2,FALSE)</f>
        <v>Alpha Ultra Corp</v>
      </c>
      <c r="L1859" t="str">
        <f>VLOOKUP(B1859,Raw_Suppliers!$A$2:$G$101,3,FALSE)</f>
        <v>USA</v>
      </c>
      <c r="M1859" t="str">
        <f>VLOOKUP(B1859,Raw_Suppliers!$A$2:$G$101,4,FALSE)</f>
        <v>Central</v>
      </c>
      <c r="N1859" t="str">
        <f>VLOOKUP(B1859,Raw_Suppliers!$A$2:$G$101,6,FALSE)</f>
        <v>ISO 9001</v>
      </c>
      <c r="O1859">
        <f>VLOOKUP(B1859,Raw_Suppliers!$A$2:$G$101,7,FALSE)</f>
        <v>1</v>
      </c>
      <c r="P1859" t="str">
        <f t="shared" ref="P1859:P1922" si="175">IF(O1859=1,"Yes","No")</f>
        <v>Yes</v>
      </c>
      <c r="Q1859">
        <f t="shared" ref="Q1859:Q1922" si="176">IF(J1859&lt;=0,1,0)</f>
        <v>0</v>
      </c>
      <c r="R1859" t="str">
        <f t="shared" ref="R1859:R1922" si="177">IF(Q1859=1,"On Time","Late")</f>
        <v>Late</v>
      </c>
      <c r="S1859">
        <f t="shared" ref="S1859:S1922" si="178">YEAR(D1859)</f>
        <v>2021</v>
      </c>
      <c r="T1859">
        <f t="shared" ref="T1859:T1922" si="179">MONTH(D1859)</f>
        <v>6</v>
      </c>
    </row>
    <row r="1860" spans="1:20" x14ac:dyDescent="0.25">
      <c r="A1860" t="s">
        <v>2167</v>
      </c>
      <c r="B1860" t="s">
        <v>240</v>
      </c>
      <c r="C1860" t="s">
        <v>613</v>
      </c>
      <c r="D1860" s="1">
        <v>44950</v>
      </c>
      <c r="E1860">
        <v>17</v>
      </c>
      <c r="F1860">
        <v>78.207360590007795</v>
      </c>
      <c r="G1860" s="1">
        <v>44967</v>
      </c>
      <c r="H1860" s="1">
        <v>44972</v>
      </c>
      <c r="I1860">
        <v>1329.52513003013</v>
      </c>
      <c r="J1860">
        <f t="shared" si="174"/>
        <v>5</v>
      </c>
      <c r="K1860" t="str">
        <f>VLOOKUP(B1860,Raw_Suppliers!$A$2:$G$101,2,FALSE)</f>
        <v>Apex Omega LLC</v>
      </c>
      <c r="L1860" t="str">
        <f>VLOOKUP(B1860,Raw_Suppliers!$A$2:$G$101,3,FALSE)</f>
        <v>UK</v>
      </c>
      <c r="M1860" t="str">
        <f>VLOOKUP(B1860,Raw_Suppliers!$A$2:$G$101,4,FALSE)</f>
        <v>South</v>
      </c>
      <c r="N1860" t="str">
        <f>VLOOKUP(B1860,Raw_Suppliers!$A$2:$G$101,6,FALSE)</f>
        <v>ISO 9001</v>
      </c>
      <c r="O1860">
        <f>VLOOKUP(B1860,Raw_Suppliers!$A$2:$G$101,7,FALSE)</f>
        <v>0</v>
      </c>
      <c r="P1860" t="str">
        <f t="shared" si="175"/>
        <v>No</v>
      </c>
      <c r="Q1860">
        <f t="shared" si="176"/>
        <v>0</v>
      </c>
      <c r="R1860" t="str">
        <f t="shared" si="177"/>
        <v>Late</v>
      </c>
      <c r="S1860">
        <f t="shared" si="178"/>
        <v>2023</v>
      </c>
      <c r="T1860">
        <f t="shared" si="179"/>
        <v>1</v>
      </c>
    </row>
    <row r="1861" spans="1:20" x14ac:dyDescent="0.25">
      <c r="A1861" t="s">
        <v>2168</v>
      </c>
      <c r="B1861" t="s">
        <v>485</v>
      </c>
      <c r="C1861" t="s">
        <v>112</v>
      </c>
      <c r="D1861" s="1">
        <v>45234</v>
      </c>
      <c r="E1861">
        <v>7</v>
      </c>
      <c r="F1861">
        <v>34.530484252113197</v>
      </c>
      <c r="G1861" s="1">
        <v>45255</v>
      </c>
      <c r="H1861" s="1">
        <v>45261</v>
      </c>
      <c r="I1861">
        <v>241.713389764792</v>
      </c>
      <c r="J1861">
        <f t="shared" si="174"/>
        <v>6</v>
      </c>
      <c r="K1861" t="str">
        <f>VLOOKUP(B1861,Raw_Suppliers!$A$2:$G$101,2,FALSE)</f>
        <v>Ultra Quantum Ltd</v>
      </c>
      <c r="L1861" t="str">
        <f>VLOOKUP(B1861,Raw_Suppliers!$A$2:$G$101,3,FALSE)</f>
        <v>Canada</v>
      </c>
      <c r="M1861" t="str">
        <f>VLOOKUP(B1861,Raw_Suppliers!$A$2:$G$101,4,FALSE)</f>
        <v>North</v>
      </c>
      <c r="N1861" t="str">
        <f>VLOOKUP(B1861,Raw_Suppliers!$A$2:$G$101,6,FALSE)</f>
        <v>ISO 14001</v>
      </c>
      <c r="O1861">
        <f>VLOOKUP(B1861,Raw_Suppliers!$A$2:$G$101,7,FALSE)</f>
        <v>0</v>
      </c>
      <c r="P1861" t="str">
        <f t="shared" si="175"/>
        <v>No</v>
      </c>
      <c r="Q1861">
        <f t="shared" si="176"/>
        <v>0</v>
      </c>
      <c r="R1861" t="str">
        <f t="shared" si="177"/>
        <v>Late</v>
      </c>
      <c r="S1861">
        <f t="shared" si="178"/>
        <v>2023</v>
      </c>
      <c r="T1861">
        <f t="shared" si="179"/>
        <v>11</v>
      </c>
    </row>
    <row r="1862" spans="1:20" x14ac:dyDescent="0.25">
      <c r="A1862" t="s">
        <v>2169</v>
      </c>
      <c r="B1862" t="s">
        <v>49</v>
      </c>
      <c r="C1862" t="s">
        <v>41</v>
      </c>
      <c r="D1862" s="1">
        <v>44618</v>
      </c>
      <c r="E1862">
        <v>10</v>
      </c>
      <c r="F1862">
        <v>77.384083323894899</v>
      </c>
      <c r="G1862" s="1">
        <v>44631</v>
      </c>
      <c r="H1862" s="1">
        <v>44636</v>
      </c>
      <c r="I1862">
        <v>773.84083323894902</v>
      </c>
      <c r="J1862">
        <f t="shared" si="174"/>
        <v>5</v>
      </c>
      <c r="K1862" t="str">
        <f>VLOOKUP(B1862,Raw_Suppliers!$A$2:$G$101,2,FALSE)</f>
        <v>Prime Prime Corp</v>
      </c>
      <c r="L1862" t="str">
        <f>VLOOKUP(B1862,Raw_Suppliers!$A$2:$G$101,3,FALSE)</f>
        <v>China</v>
      </c>
      <c r="M1862" t="str">
        <f>VLOOKUP(B1862,Raw_Suppliers!$A$2:$G$101,4,FALSE)</f>
        <v>North</v>
      </c>
      <c r="N1862" t="str">
        <f>VLOOKUP(B1862,Raw_Suppliers!$A$2:$G$101,6,FALSE)</f>
        <v>ISO 45001</v>
      </c>
      <c r="O1862">
        <f>VLOOKUP(B1862,Raw_Suppliers!$A$2:$G$101,7,FALSE)</f>
        <v>0</v>
      </c>
      <c r="P1862" t="str">
        <f t="shared" si="175"/>
        <v>No</v>
      </c>
      <c r="Q1862">
        <f t="shared" si="176"/>
        <v>0</v>
      </c>
      <c r="R1862" t="str">
        <f t="shared" si="177"/>
        <v>Late</v>
      </c>
      <c r="S1862">
        <f t="shared" si="178"/>
        <v>2022</v>
      </c>
      <c r="T1862">
        <f t="shared" si="179"/>
        <v>2</v>
      </c>
    </row>
    <row r="1863" spans="1:20" x14ac:dyDescent="0.25">
      <c r="A1863" t="s">
        <v>2170</v>
      </c>
      <c r="B1863" t="s">
        <v>49</v>
      </c>
      <c r="C1863" t="s">
        <v>383</v>
      </c>
      <c r="D1863" s="1">
        <v>44617</v>
      </c>
      <c r="E1863">
        <v>20</v>
      </c>
      <c r="F1863">
        <v>4.4486858210654399</v>
      </c>
      <c r="G1863" s="1">
        <v>44636</v>
      </c>
      <c r="H1863" s="1">
        <v>44635</v>
      </c>
      <c r="I1863">
        <v>88.973716421308794</v>
      </c>
      <c r="J1863">
        <f t="shared" si="174"/>
        <v>-1</v>
      </c>
      <c r="K1863" t="str">
        <f>VLOOKUP(B1863,Raw_Suppliers!$A$2:$G$101,2,FALSE)</f>
        <v>Prime Prime Corp</v>
      </c>
      <c r="L1863" t="str">
        <f>VLOOKUP(B1863,Raw_Suppliers!$A$2:$G$101,3,FALSE)</f>
        <v>China</v>
      </c>
      <c r="M1863" t="str">
        <f>VLOOKUP(B1863,Raw_Suppliers!$A$2:$G$101,4,FALSE)</f>
        <v>North</v>
      </c>
      <c r="N1863" t="str">
        <f>VLOOKUP(B1863,Raw_Suppliers!$A$2:$G$101,6,FALSE)</f>
        <v>ISO 45001</v>
      </c>
      <c r="O1863">
        <f>VLOOKUP(B1863,Raw_Suppliers!$A$2:$G$101,7,FALSE)</f>
        <v>0</v>
      </c>
      <c r="P1863" t="str">
        <f t="shared" si="175"/>
        <v>No</v>
      </c>
      <c r="Q1863">
        <f t="shared" si="176"/>
        <v>1</v>
      </c>
      <c r="R1863" t="str">
        <f t="shared" si="177"/>
        <v>On Time</v>
      </c>
      <c r="S1863">
        <f t="shared" si="178"/>
        <v>2022</v>
      </c>
      <c r="T1863">
        <f t="shared" si="179"/>
        <v>2</v>
      </c>
    </row>
    <row r="1864" spans="1:20" x14ac:dyDescent="0.25">
      <c r="A1864" t="s">
        <v>2171</v>
      </c>
      <c r="B1864" t="s">
        <v>140</v>
      </c>
      <c r="C1864" t="s">
        <v>703</v>
      </c>
      <c r="D1864" s="1">
        <v>44915</v>
      </c>
      <c r="E1864">
        <v>12</v>
      </c>
      <c r="F1864">
        <v>51.8437459015123</v>
      </c>
      <c r="G1864" s="1">
        <v>44931</v>
      </c>
      <c r="H1864" s="1">
        <v>44929</v>
      </c>
      <c r="I1864">
        <v>622.12495081814802</v>
      </c>
      <c r="J1864">
        <f t="shared" si="174"/>
        <v>-2</v>
      </c>
      <c r="K1864" t="str">
        <f>VLOOKUP(B1864,Raw_Suppliers!$A$2:$G$101,2,FALSE)</f>
        <v>Gamma Quantum Inc</v>
      </c>
      <c r="L1864" t="str">
        <f>VLOOKUP(B1864,Raw_Suppliers!$A$2:$G$101,3,FALSE)</f>
        <v>Germany</v>
      </c>
      <c r="M1864" t="str">
        <f>VLOOKUP(B1864,Raw_Suppliers!$A$2:$G$101,4,FALSE)</f>
        <v>North</v>
      </c>
      <c r="N1864" t="str">
        <f>VLOOKUP(B1864,Raw_Suppliers!$A$2:$G$101,6,FALSE)</f>
        <v>None</v>
      </c>
      <c r="O1864">
        <f>VLOOKUP(B1864,Raw_Suppliers!$A$2:$G$101,7,FALSE)</f>
        <v>1</v>
      </c>
      <c r="P1864" t="str">
        <f t="shared" si="175"/>
        <v>Yes</v>
      </c>
      <c r="Q1864">
        <f t="shared" si="176"/>
        <v>1</v>
      </c>
      <c r="R1864" t="str">
        <f t="shared" si="177"/>
        <v>On Time</v>
      </c>
      <c r="S1864">
        <f t="shared" si="178"/>
        <v>2022</v>
      </c>
      <c r="T1864">
        <f t="shared" si="179"/>
        <v>12</v>
      </c>
    </row>
    <row r="1865" spans="1:20" x14ac:dyDescent="0.25">
      <c r="A1865" t="s">
        <v>2172</v>
      </c>
      <c r="B1865" t="s">
        <v>67</v>
      </c>
      <c r="C1865" t="s">
        <v>402</v>
      </c>
      <c r="D1865" s="1">
        <v>44466</v>
      </c>
      <c r="E1865">
        <v>12</v>
      </c>
      <c r="F1865">
        <v>27.782634942245899</v>
      </c>
      <c r="G1865" s="1">
        <v>44487</v>
      </c>
      <c r="H1865" s="1">
        <v>44489</v>
      </c>
      <c r="I1865">
        <v>333.39161930695099</v>
      </c>
      <c r="J1865">
        <f t="shared" si="174"/>
        <v>2</v>
      </c>
      <c r="K1865" t="str">
        <f>VLOOKUP(B1865,Raw_Suppliers!$A$2:$G$101,2,FALSE)</f>
        <v>Nova Eco LLC</v>
      </c>
      <c r="L1865" t="str">
        <f>VLOOKUP(B1865,Raw_Suppliers!$A$2:$G$101,3,FALSE)</f>
        <v>Germany</v>
      </c>
      <c r="M1865" t="str">
        <f>VLOOKUP(B1865,Raw_Suppliers!$A$2:$G$101,4,FALSE)</f>
        <v>Central</v>
      </c>
      <c r="N1865" t="str">
        <f>VLOOKUP(B1865,Raw_Suppliers!$A$2:$G$101,6,FALSE)</f>
        <v>ISO 9001</v>
      </c>
      <c r="O1865">
        <f>VLOOKUP(B1865,Raw_Suppliers!$A$2:$G$101,7,FALSE)</f>
        <v>1</v>
      </c>
      <c r="P1865" t="str">
        <f t="shared" si="175"/>
        <v>Yes</v>
      </c>
      <c r="Q1865">
        <f t="shared" si="176"/>
        <v>0</v>
      </c>
      <c r="R1865" t="str">
        <f t="shared" si="177"/>
        <v>Late</v>
      </c>
      <c r="S1865">
        <f t="shared" si="178"/>
        <v>2021</v>
      </c>
      <c r="T1865">
        <f t="shared" si="179"/>
        <v>9</v>
      </c>
    </row>
    <row r="1866" spans="1:20" x14ac:dyDescent="0.25">
      <c r="A1866" t="s">
        <v>2173</v>
      </c>
      <c r="B1866" t="s">
        <v>411</v>
      </c>
      <c r="C1866" t="s">
        <v>881</v>
      </c>
      <c r="D1866" s="1">
        <v>44795</v>
      </c>
      <c r="E1866">
        <v>10</v>
      </c>
      <c r="F1866">
        <v>31.894580184908801</v>
      </c>
      <c r="G1866" s="1">
        <v>44819</v>
      </c>
      <c r="H1866" s="1">
        <v>44816</v>
      </c>
      <c r="I1866">
        <v>318.94580184908801</v>
      </c>
      <c r="J1866">
        <f t="shared" si="174"/>
        <v>-3</v>
      </c>
      <c r="K1866" t="str">
        <f>VLOOKUP(B1866,Raw_Suppliers!$A$2:$G$101,2,FALSE)</f>
        <v>Gamma Nova LLC</v>
      </c>
      <c r="L1866" t="str">
        <f>VLOOKUP(B1866,Raw_Suppliers!$A$2:$G$101,3,FALSE)</f>
        <v>Brazil</v>
      </c>
      <c r="M1866" t="str">
        <f>VLOOKUP(B1866,Raw_Suppliers!$A$2:$G$101,4,FALSE)</f>
        <v>North</v>
      </c>
      <c r="N1866" t="str">
        <f>VLOOKUP(B1866,Raw_Suppliers!$A$2:$G$101,6,FALSE)</f>
        <v>ISO 14001</v>
      </c>
      <c r="O1866">
        <f>VLOOKUP(B1866,Raw_Suppliers!$A$2:$G$101,7,FALSE)</f>
        <v>1</v>
      </c>
      <c r="P1866" t="str">
        <f t="shared" si="175"/>
        <v>Yes</v>
      </c>
      <c r="Q1866">
        <f t="shared" si="176"/>
        <v>1</v>
      </c>
      <c r="R1866" t="str">
        <f t="shared" si="177"/>
        <v>On Time</v>
      </c>
      <c r="S1866">
        <f t="shared" si="178"/>
        <v>2022</v>
      </c>
      <c r="T1866">
        <f t="shared" si="179"/>
        <v>8</v>
      </c>
    </row>
    <row r="1867" spans="1:20" x14ac:dyDescent="0.25">
      <c r="A1867" t="s">
        <v>2174</v>
      </c>
      <c r="B1867" t="s">
        <v>96</v>
      </c>
      <c r="C1867" t="s">
        <v>727</v>
      </c>
      <c r="D1867" s="1">
        <v>45236</v>
      </c>
      <c r="E1867">
        <v>7</v>
      </c>
      <c r="F1867">
        <v>33.642913915268799</v>
      </c>
      <c r="G1867" s="1">
        <v>45256</v>
      </c>
      <c r="H1867" s="1">
        <v>45262</v>
      </c>
      <c r="I1867">
        <v>235.50039740688101</v>
      </c>
      <c r="J1867">
        <f t="shared" si="174"/>
        <v>6</v>
      </c>
      <c r="K1867" t="str">
        <f>VLOOKUP(B1867,Raw_Suppliers!$A$2:$G$101,2,FALSE)</f>
        <v>Alpha Nova Ltd</v>
      </c>
      <c r="L1867" t="str">
        <f>VLOOKUP(B1867,Raw_Suppliers!$A$2:$G$101,3,FALSE)</f>
        <v>UK</v>
      </c>
      <c r="M1867" t="str">
        <f>VLOOKUP(B1867,Raw_Suppliers!$A$2:$G$101,4,FALSE)</f>
        <v>West</v>
      </c>
      <c r="N1867" t="str">
        <f>VLOOKUP(B1867,Raw_Suppliers!$A$2:$G$101,6,FALSE)</f>
        <v>ISO 14001</v>
      </c>
      <c r="O1867">
        <f>VLOOKUP(B1867,Raw_Suppliers!$A$2:$G$101,7,FALSE)</f>
        <v>0</v>
      </c>
      <c r="P1867" t="str">
        <f t="shared" si="175"/>
        <v>No</v>
      </c>
      <c r="Q1867">
        <f t="shared" si="176"/>
        <v>0</v>
      </c>
      <c r="R1867" t="str">
        <f t="shared" si="177"/>
        <v>Late</v>
      </c>
      <c r="S1867">
        <f t="shared" si="178"/>
        <v>2023</v>
      </c>
      <c r="T1867">
        <f t="shared" si="179"/>
        <v>11</v>
      </c>
    </row>
    <row r="1868" spans="1:20" x14ac:dyDescent="0.25">
      <c r="A1868" t="s">
        <v>2175</v>
      </c>
      <c r="B1868" t="s">
        <v>31</v>
      </c>
      <c r="C1868" t="s">
        <v>587</v>
      </c>
      <c r="D1868" s="1">
        <v>45154</v>
      </c>
      <c r="E1868">
        <v>9</v>
      </c>
      <c r="F1868">
        <v>41.693338840671302</v>
      </c>
      <c r="G1868" s="1">
        <v>45178</v>
      </c>
      <c r="H1868" s="1">
        <v>45182</v>
      </c>
      <c r="I1868">
        <v>375.24004956604199</v>
      </c>
      <c r="J1868">
        <f t="shared" si="174"/>
        <v>4</v>
      </c>
      <c r="K1868" t="str">
        <f>VLOOKUP(B1868,Raw_Suppliers!$A$2:$G$101,2,FALSE)</f>
        <v>Nova Nano GmbH</v>
      </c>
      <c r="L1868" t="str">
        <f>VLOOKUP(B1868,Raw_Suppliers!$A$2:$G$101,3,FALSE)</f>
        <v>Denmark</v>
      </c>
      <c r="M1868" t="str">
        <f>VLOOKUP(B1868,Raw_Suppliers!$A$2:$G$101,4,FALSE)</f>
        <v>South</v>
      </c>
      <c r="N1868" t="str">
        <f>VLOOKUP(B1868,Raw_Suppliers!$A$2:$G$101,6,FALSE)</f>
        <v>ISO 14001</v>
      </c>
      <c r="O1868">
        <f>VLOOKUP(B1868,Raw_Suppliers!$A$2:$G$101,7,FALSE)</f>
        <v>1</v>
      </c>
      <c r="P1868" t="str">
        <f t="shared" si="175"/>
        <v>Yes</v>
      </c>
      <c r="Q1868">
        <f t="shared" si="176"/>
        <v>0</v>
      </c>
      <c r="R1868" t="str">
        <f t="shared" si="177"/>
        <v>Late</v>
      </c>
      <c r="S1868">
        <f t="shared" si="178"/>
        <v>2023</v>
      </c>
      <c r="T1868">
        <f t="shared" si="179"/>
        <v>8</v>
      </c>
    </row>
    <row r="1869" spans="1:20" x14ac:dyDescent="0.25">
      <c r="A1869" t="s">
        <v>2176</v>
      </c>
      <c r="B1869" t="s">
        <v>91</v>
      </c>
      <c r="C1869" t="s">
        <v>581</v>
      </c>
      <c r="D1869" s="1">
        <v>45267</v>
      </c>
      <c r="E1869">
        <v>8</v>
      </c>
      <c r="F1869">
        <v>59.059426980403998</v>
      </c>
      <c r="G1869" s="1">
        <v>45291</v>
      </c>
      <c r="H1869" s="1">
        <v>45295</v>
      </c>
      <c r="I1869">
        <v>472.47541584323199</v>
      </c>
      <c r="J1869">
        <f t="shared" si="174"/>
        <v>4</v>
      </c>
      <c r="K1869" t="str">
        <f>VLOOKUP(B1869,Raw_Suppliers!$A$2:$G$101,2,FALSE)</f>
        <v>Apex Prime Ltd</v>
      </c>
      <c r="L1869" t="str">
        <f>VLOOKUP(B1869,Raw_Suppliers!$A$2:$G$101,3,FALSE)</f>
        <v>India</v>
      </c>
      <c r="M1869" t="str">
        <f>VLOOKUP(B1869,Raw_Suppliers!$A$2:$G$101,4,FALSE)</f>
        <v>South</v>
      </c>
      <c r="N1869" t="str">
        <f>VLOOKUP(B1869,Raw_Suppliers!$A$2:$G$101,6,FALSE)</f>
        <v>ISO 9001</v>
      </c>
      <c r="O1869">
        <f>VLOOKUP(B1869,Raw_Suppliers!$A$2:$G$101,7,FALSE)</f>
        <v>0</v>
      </c>
      <c r="P1869" t="str">
        <f t="shared" si="175"/>
        <v>No</v>
      </c>
      <c r="Q1869">
        <f t="shared" si="176"/>
        <v>0</v>
      </c>
      <c r="R1869" t="str">
        <f t="shared" si="177"/>
        <v>Late</v>
      </c>
      <c r="S1869">
        <f t="shared" si="178"/>
        <v>2023</v>
      </c>
      <c r="T1869">
        <f t="shared" si="179"/>
        <v>12</v>
      </c>
    </row>
    <row r="1870" spans="1:20" x14ac:dyDescent="0.25">
      <c r="A1870" t="s">
        <v>2177</v>
      </c>
      <c r="B1870" t="s">
        <v>76</v>
      </c>
      <c r="C1870" t="s">
        <v>165</v>
      </c>
      <c r="D1870" s="1">
        <v>44301</v>
      </c>
      <c r="E1870">
        <v>12</v>
      </c>
      <c r="F1870">
        <v>42.757640765940998</v>
      </c>
      <c r="G1870" s="1">
        <v>44323</v>
      </c>
      <c r="H1870" s="1">
        <v>44327</v>
      </c>
      <c r="I1870">
        <v>513.09168919129195</v>
      </c>
      <c r="J1870">
        <f t="shared" si="174"/>
        <v>4</v>
      </c>
      <c r="K1870" t="str">
        <f>VLOOKUP(B1870,Raw_Suppliers!$A$2:$G$101,2,FALSE)</f>
        <v>Alpha Beta Ltd</v>
      </c>
      <c r="L1870" t="str">
        <f>VLOOKUP(B1870,Raw_Suppliers!$A$2:$G$101,3,FALSE)</f>
        <v>UK</v>
      </c>
      <c r="M1870" t="str">
        <f>VLOOKUP(B1870,Raw_Suppliers!$A$2:$G$101,4,FALSE)</f>
        <v>South</v>
      </c>
      <c r="N1870" t="str">
        <f>VLOOKUP(B1870,Raw_Suppliers!$A$2:$G$101,6,FALSE)</f>
        <v>None</v>
      </c>
      <c r="O1870">
        <f>VLOOKUP(B1870,Raw_Suppliers!$A$2:$G$101,7,FALSE)</f>
        <v>1</v>
      </c>
      <c r="P1870" t="str">
        <f t="shared" si="175"/>
        <v>Yes</v>
      </c>
      <c r="Q1870">
        <f t="shared" si="176"/>
        <v>0</v>
      </c>
      <c r="R1870" t="str">
        <f t="shared" si="177"/>
        <v>Late</v>
      </c>
      <c r="S1870">
        <f t="shared" si="178"/>
        <v>2021</v>
      </c>
      <c r="T1870">
        <f t="shared" si="179"/>
        <v>4</v>
      </c>
    </row>
    <row r="1871" spans="1:20" x14ac:dyDescent="0.25">
      <c r="A1871" t="s">
        <v>2178</v>
      </c>
      <c r="B1871" t="s">
        <v>76</v>
      </c>
      <c r="C1871" t="s">
        <v>765</v>
      </c>
      <c r="D1871" s="1">
        <v>44245</v>
      </c>
      <c r="E1871">
        <v>11</v>
      </c>
      <c r="F1871">
        <v>16.106204694554201</v>
      </c>
      <c r="G1871" s="1">
        <v>44268</v>
      </c>
      <c r="H1871" s="1">
        <v>44271</v>
      </c>
      <c r="I1871">
        <v>177.168251640096</v>
      </c>
      <c r="J1871">
        <f t="shared" si="174"/>
        <v>3</v>
      </c>
      <c r="K1871" t="str">
        <f>VLOOKUP(B1871,Raw_Suppliers!$A$2:$G$101,2,FALSE)</f>
        <v>Alpha Beta Ltd</v>
      </c>
      <c r="L1871" t="str">
        <f>VLOOKUP(B1871,Raw_Suppliers!$A$2:$G$101,3,FALSE)</f>
        <v>UK</v>
      </c>
      <c r="M1871" t="str">
        <f>VLOOKUP(B1871,Raw_Suppliers!$A$2:$G$101,4,FALSE)</f>
        <v>South</v>
      </c>
      <c r="N1871" t="str">
        <f>VLOOKUP(B1871,Raw_Suppliers!$A$2:$G$101,6,FALSE)</f>
        <v>None</v>
      </c>
      <c r="O1871">
        <f>VLOOKUP(B1871,Raw_Suppliers!$A$2:$G$101,7,FALSE)</f>
        <v>1</v>
      </c>
      <c r="P1871" t="str">
        <f t="shared" si="175"/>
        <v>Yes</v>
      </c>
      <c r="Q1871">
        <f t="shared" si="176"/>
        <v>0</v>
      </c>
      <c r="R1871" t="str">
        <f t="shared" si="177"/>
        <v>Late</v>
      </c>
      <c r="S1871">
        <f t="shared" si="178"/>
        <v>2021</v>
      </c>
      <c r="T1871">
        <f t="shared" si="179"/>
        <v>2</v>
      </c>
    </row>
    <row r="1872" spans="1:20" x14ac:dyDescent="0.25">
      <c r="A1872" t="s">
        <v>2179</v>
      </c>
      <c r="B1872" t="s">
        <v>242</v>
      </c>
      <c r="C1872" t="s">
        <v>990</v>
      </c>
      <c r="D1872" s="1">
        <v>45091</v>
      </c>
      <c r="E1872">
        <v>9</v>
      </c>
      <c r="F1872">
        <v>55.652453007738302</v>
      </c>
      <c r="G1872" s="1">
        <v>45111</v>
      </c>
      <c r="H1872" s="1">
        <v>45109</v>
      </c>
      <c r="I1872">
        <v>500.87207706964398</v>
      </c>
      <c r="J1872">
        <f t="shared" si="174"/>
        <v>-2</v>
      </c>
      <c r="K1872" t="str">
        <f>VLOOKUP(B1872,Raw_Suppliers!$A$2:$G$101,2,FALSE)</f>
        <v>Omega Nova GmbH</v>
      </c>
      <c r="L1872" t="str">
        <f>VLOOKUP(B1872,Raw_Suppliers!$A$2:$G$101,3,FALSE)</f>
        <v>Denmark</v>
      </c>
      <c r="M1872" t="str">
        <f>VLOOKUP(B1872,Raw_Suppliers!$A$2:$G$101,4,FALSE)</f>
        <v>East</v>
      </c>
      <c r="N1872" t="str">
        <f>VLOOKUP(B1872,Raw_Suppliers!$A$2:$G$101,6,FALSE)</f>
        <v>ISO 45001</v>
      </c>
      <c r="O1872">
        <f>VLOOKUP(B1872,Raw_Suppliers!$A$2:$G$101,7,FALSE)</f>
        <v>0</v>
      </c>
      <c r="P1872" t="str">
        <f t="shared" si="175"/>
        <v>No</v>
      </c>
      <c r="Q1872">
        <f t="shared" si="176"/>
        <v>1</v>
      </c>
      <c r="R1872" t="str">
        <f t="shared" si="177"/>
        <v>On Time</v>
      </c>
      <c r="S1872">
        <f t="shared" si="178"/>
        <v>2023</v>
      </c>
      <c r="T1872">
        <f t="shared" si="179"/>
        <v>6</v>
      </c>
    </row>
    <row r="1873" spans="1:20" x14ac:dyDescent="0.25">
      <c r="A1873" t="s">
        <v>2180</v>
      </c>
      <c r="B1873" t="s">
        <v>13</v>
      </c>
      <c r="C1873" t="s">
        <v>346</v>
      </c>
      <c r="D1873" s="1">
        <v>44993</v>
      </c>
      <c r="E1873">
        <v>9</v>
      </c>
      <c r="F1873">
        <v>34.579809504097597</v>
      </c>
      <c r="G1873" s="1">
        <v>45017</v>
      </c>
      <c r="H1873" s="1">
        <v>45023</v>
      </c>
      <c r="I1873">
        <v>311.218285536878</v>
      </c>
      <c r="J1873">
        <f t="shared" si="174"/>
        <v>6</v>
      </c>
      <c r="K1873" t="str">
        <f>VLOOKUP(B1873,Raw_Suppliers!$A$2:$G$101,2,FALSE)</f>
        <v>Beta Delta LLC</v>
      </c>
      <c r="L1873" t="str">
        <f>VLOOKUP(B1873,Raw_Suppliers!$A$2:$G$101,3,FALSE)</f>
        <v>Germany</v>
      </c>
      <c r="M1873" t="str">
        <f>VLOOKUP(B1873,Raw_Suppliers!$A$2:$G$101,4,FALSE)</f>
        <v>Central</v>
      </c>
      <c r="N1873" t="str">
        <f>VLOOKUP(B1873,Raw_Suppliers!$A$2:$G$101,6,FALSE)</f>
        <v>ISO 9001</v>
      </c>
      <c r="O1873">
        <f>VLOOKUP(B1873,Raw_Suppliers!$A$2:$G$101,7,FALSE)</f>
        <v>1</v>
      </c>
      <c r="P1873" t="str">
        <f t="shared" si="175"/>
        <v>Yes</v>
      </c>
      <c r="Q1873">
        <f t="shared" si="176"/>
        <v>0</v>
      </c>
      <c r="R1873" t="str">
        <f t="shared" si="177"/>
        <v>Late</v>
      </c>
      <c r="S1873">
        <f t="shared" si="178"/>
        <v>2023</v>
      </c>
      <c r="T1873">
        <f t="shared" si="179"/>
        <v>3</v>
      </c>
    </row>
    <row r="1874" spans="1:20" x14ac:dyDescent="0.25">
      <c r="A1874" t="s">
        <v>2181</v>
      </c>
      <c r="B1874" t="s">
        <v>219</v>
      </c>
      <c r="C1874" t="s">
        <v>180</v>
      </c>
      <c r="D1874" s="1">
        <v>45006</v>
      </c>
      <c r="E1874">
        <v>7</v>
      </c>
      <c r="F1874">
        <v>31.7370581887943</v>
      </c>
      <c r="G1874" s="1">
        <v>45016</v>
      </c>
      <c r="H1874" s="1">
        <v>45015</v>
      </c>
      <c r="I1874">
        <v>222.15940732156</v>
      </c>
      <c r="J1874">
        <f t="shared" si="174"/>
        <v>-1</v>
      </c>
      <c r="K1874" t="str">
        <f>VLOOKUP(B1874,Raw_Suppliers!$A$2:$G$101,2,FALSE)</f>
        <v>Quantum Quantum Ltd</v>
      </c>
      <c r="L1874" t="str">
        <f>VLOOKUP(B1874,Raw_Suppliers!$A$2:$G$101,3,FALSE)</f>
        <v>USA</v>
      </c>
      <c r="M1874" t="str">
        <f>VLOOKUP(B1874,Raw_Suppliers!$A$2:$G$101,4,FALSE)</f>
        <v>South</v>
      </c>
      <c r="N1874" t="str">
        <f>VLOOKUP(B1874,Raw_Suppliers!$A$2:$G$101,6,FALSE)</f>
        <v>ISO 14001</v>
      </c>
      <c r="O1874">
        <f>VLOOKUP(B1874,Raw_Suppliers!$A$2:$G$101,7,FALSE)</f>
        <v>0</v>
      </c>
      <c r="P1874" t="str">
        <f t="shared" si="175"/>
        <v>No</v>
      </c>
      <c r="Q1874">
        <f t="shared" si="176"/>
        <v>1</v>
      </c>
      <c r="R1874" t="str">
        <f t="shared" si="177"/>
        <v>On Time</v>
      </c>
      <c r="S1874">
        <f t="shared" si="178"/>
        <v>2023</v>
      </c>
      <c r="T1874">
        <f t="shared" si="179"/>
        <v>3</v>
      </c>
    </row>
    <row r="1875" spans="1:20" x14ac:dyDescent="0.25">
      <c r="A1875" t="s">
        <v>2182</v>
      </c>
      <c r="B1875" t="s">
        <v>58</v>
      </c>
      <c r="C1875" t="s">
        <v>1176</v>
      </c>
      <c r="D1875" s="1">
        <v>45081</v>
      </c>
      <c r="E1875">
        <v>15</v>
      </c>
      <c r="F1875">
        <v>5.8239655818174398</v>
      </c>
      <c r="G1875" s="1">
        <v>45091</v>
      </c>
      <c r="H1875" s="1">
        <v>45097</v>
      </c>
      <c r="I1875">
        <v>87.359483727261605</v>
      </c>
      <c r="J1875">
        <f t="shared" si="174"/>
        <v>6</v>
      </c>
      <c r="K1875" t="str">
        <f>VLOOKUP(B1875,Raw_Suppliers!$A$2:$G$101,2,FALSE)</f>
        <v>Quantum Nano Inc</v>
      </c>
      <c r="L1875" t="str">
        <f>VLOOKUP(B1875,Raw_Suppliers!$A$2:$G$101,3,FALSE)</f>
        <v>Brazil</v>
      </c>
      <c r="M1875" t="str">
        <f>VLOOKUP(B1875,Raw_Suppliers!$A$2:$G$101,4,FALSE)</f>
        <v>East</v>
      </c>
      <c r="N1875" t="str">
        <f>VLOOKUP(B1875,Raw_Suppliers!$A$2:$G$101,6,FALSE)</f>
        <v>ISO 9001</v>
      </c>
      <c r="O1875">
        <f>VLOOKUP(B1875,Raw_Suppliers!$A$2:$G$101,7,FALSE)</f>
        <v>1</v>
      </c>
      <c r="P1875" t="str">
        <f t="shared" si="175"/>
        <v>Yes</v>
      </c>
      <c r="Q1875">
        <f t="shared" si="176"/>
        <v>0</v>
      </c>
      <c r="R1875" t="str">
        <f t="shared" si="177"/>
        <v>Late</v>
      </c>
      <c r="S1875">
        <f t="shared" si="178"/>
        <v>2023</v>
      </c>
      <c r="T1875">
        <f t="shared" si="179"/>
        <v>6</v>
      </c>
    </row>
    <row r="1876" spans="1:20" x14ac:dyDescent="0.25">
      <c r="A1876" t="s">
        <v>2183</v>
      </c>
      <c r="B1876" t="s">
        <v>617</v>
      </c>
      <c r="C1876" t="s">
        <v>290</v>
      </c>
      <c r="D1876" s="1">
        <v>44585</v>
      </c>
      <c r="E1876">
        <v>12</v>
      </c>
      <c r="F1876">
        <v>10.2330193330877</v>
      </c>
      <c r="G1876" s="1">
        <v>44606</v>
      </c>
      <c r="H1876" s="1">
        <v>44603</v>
      </c>
      <c r="I1876">
        <v>122.796231997053</v>
      </c>
      <c r="J1876">
        <f t="shared" si="174"/>
        <v>-3</v>
      </c>
      <c r="K1876" t="str">
        <f>VLOOKUP(B1876,Raw_Suppliers!$A$2:$G$101,2,FALSE)</f>
        <v>Eco Vertex Ltd</v>
      </c>
      <c r="L1876" t="str">
        <f>VLOOKUP(B1876,Raw_Suppliers!$A$2:$G$101,3,FALSE)</f>
        <v>UK</v>
      </c>
      <c r="M1876" t="str">
        <f>VLOOKUP(B1876,Raw_Suppliers!$A$2:$G$101,4,FALSE)</f>
        <v>Central</v>
      </c>
      <c r="N1876" t="str">
        <f>VLOOKUP(B1876,Raw_Suppliers!$A$2:$G$101,6,FALSE)</f>
        <v>None</v>
      </c>
      <c r="O1876">
        <f>VLOOKUP(B1876,Raw_Suppliers!$A$2:$G$101,7,FALSE)</f>
        <v>0</v>
      </c>
      <c r="P1876" t="str">
        <f t="shared" si="175"/>
        <v>No</v>
      </c>
      <c r="Q1876">
        <f t="shared" si="176"/>
        <v>1</v>
      </c>
      <c r="R1876" t="str">
        <f t="shared" si="177"/>
        <v>On Time</v>
      </c>
      <c r="S1876">
        <f t="shared" si="178"/>
        <v>2022</v>
      </c>
      <c r="T1876">
        <f t="shared" si="179"/>
        <v>1</v>
      </c>
    </row>
    <row r="1877" spans="1:20" x14ac:dyDescent="0.25">
      <c r="A1877" t="s">
        <v>2184</v>
      </c>
      <c r="B1877" t="s">
        <v>40</v>
      </c>
      <c r="C1877" t="s">
        <v>972</v>
      </c>
      <c r="D1877" s="1">
        <v>44640</v>
      </c>
      <c r="E1877">
        <v>12</v>
      </c>
      <c r="F1877">
        <v>25.260433328314502</v>
      </c>
      <c r="G1877" s="1">
        <v>44661</v>
      </c>
      <c r="H1877" s="1">
        <v>44666</v>
      </c>
      <c r="I1877">
        <v>303.12519993977401</v>
      </c>
      <c r="J1877">
        <f t="shared" si="174"/>
        <v>5</v>
      </c>
      <c r="K1877" t="str">
        <f>VLOOKUP(B1877,Raw_Suppliers!$A$2:$G$101,2,FALSE)</f>
        <v>Ultra Apex Inc</v>
      </c>
      <c r="L1877" t="str">
        <f>VLOOKUP(B1877,Raw_Suppliers!$A$2:$G$101,3,FALSE)</f>
        <v>India</v>
      </c>
      <c r="M1877" t="str">
        <f>VLOOKUP(B1877,Raw_Suppliers!$A$2:$G$101,4,FALSE)</f>
        <v>West</v>
      </c>
      <c r="N1877" t="str">
        <f>VLOOKUP(B1877,Raw_Suppliers!$A$2:$G$101,6,FALSE)</f>
        <v>ISO 9001</v>
      </c>
      <c r="O1877">
        <f>VLOOKUP(B1877,Raw_Suppliers!$A$2:$G$101,7,FALSE)</f>
        <v>0</v>
      </c>
      <c r="P1877" t="str">
        <f t="shared" si="175"/>
        <v>No</v>
      </c>
      <c r="Q1877">
        <f t="shared" si="176"/>
        <v>0</v>
      </c>
      <c r="R1877" t="str">
        <f t="shared" si="177"/>
        <v>Late</v>
      </c>
      <c r="S1877">
        <f t="shared" si="178"/>
        <v>2022</v>
      </c>
      <c r="T1877">
        <f t="shared" si="179"/>
        <v>3</v>
      </c>
    </row>
    <row r="1878" spans="1:20" x14ac:dyDescent="0.25">
      <c r="A1878" t="s">
        <v>2185</v>
      </c>
      <c r="B1878" t="s">
        <v>261</v>
      </c>
      <c r="C1878" t="s">
        <v>1176</v>
      </c>
      <c r="D1878" s="1">
        <v>44286</v>
      </c>
      <c r="E1878">
        <v>8</v>
      </c>
      <c r="F1878">
        <v>22.799821609149902</v>
      </c>
      <c r="G1878" s="1">
        <v>44302</v>
      </c>
      <c r="H1878" s="1">
        <v>44299</v>
      </c>
      <c r="I1878">
        <v>182.39857287319899</v>
      </c>
      <c r="J1878">
        <f t="shared" si="174"/>
        <v>-3</v>
      </c>
      <c r="K1878" t="str">
        <f>VLOOKUP(B1878,Raw_Suppliers!$A$2:$G$101,2,FALSE)</f>
        <v>Delta Fusion Corp</v>
      </c>
      <c r="L1878" t="str">
        <f>VLOOKUP(B1878,Raw_Suppliers!$A$2:$G$101,3,FALSE)</f>
        <v>Denmark</v>
      </c>
      <c r="M1878" t="str">
        <f>VLOOKUP(B1878,Raw_Suppliers!$A$2:$G$101,4,FALSE)</f>
        <v>West</v>
      </c>
      <c r="N1878" t="str">
        <f>VLOOKUP(B1878,Raw_Suppliers!$A$2:$G$101,6,FALSE)</f>
        <v>ISO 45001</v>
      </c>
      <c r="O1878">
        <f>VLOOKUP(B1878,Raw_Suppliers!$A$2:$G$101,7,FALSE)</f>
        <v>0</v>
      </c>
      <c r="P1878" t="str">
        <f t="shared" si="175"/>
        <v>No</v>
      </c>
      <c r="Q1878">
        <f t="shared" si="176"/>
        <v>1</v>
      </c>
      <c r="R1878" t="str">
        <f t="shared" si="177"/>
        <v>On Time</v>
      </c>
      <c r="S1878">
        <f t="shared" si="178"/>
        <v>2021</v>
      </c>
      <c r="T1878">
        <f t="shared" si="179"/>
        <v>3</v>
      </c>
    </row>
    <row r="1879" spans="1:20" x14ac:dyDescent="0.25">
      <c r="A1879" t="s">
        <v>2186</v>
      </c>
      <c r="B1879" t="s">
        <v>127</v>
      </c>
      <c r="C1879" t="s">
        <v>47</v>
      </c>
      <c r="D1879" s="1">
        <v>44967</v>
      </c>
      <c r="E1879">
        <v>12</v>
      </c>
      <c r="F1879">
        <v>15.8873799205565</v>
      </c>
      <c r="G1879" s="1">
        <v>44988</v>
      </c>
      <c r="H1879" s="1">
        <v>44988</v>
      </c>
      <c r="I1879">
        <v>190.648559046679</v>
      </c>
      <c r="J1879">
        <f t="shared" si="174"/>
        <v>0</v>
      </c>
      <c r="K1879" t="str">
        <f>VLOOKUP(B1879,Raw_Suppliers!$A$2:$G$101,2,FALSE)</f>
        <v>Eco Gamma LLC</v>
      </c>
      <c r="L1879" t="str">
        <f>VLOOKUP(B1879,Raw_Suppliers!$A$2:$G$101,3,FALSE)</f>
        <v>Canada</v>
      </c>
      <c r="M1879" t="str">
        <f>VLOOKUP(B1879,Raw_Suppliers!$A$2:$G$101,4,FALSE)</f>
        <v>West</v>
      </c>
      <c r="N1879" t="str">
        <f>VLOOKUP(B1879,Raw_Suppliers!$A$2:$G$101,6,FALSE)</f>
        <v>ISO 9001</v>
      </c>
      <c r="O1879">
        <f>VLOOKUP(B1879,Raw_Suppliers!$A$2:$G$101,7,FALSE)</f>
        <v>1</v>
      </c>
      <c r="P1879" t="str">
        <f t="shared" si="175"/>
        <v>Yes</v>
      </c>
      <c r="Q1879">
        <f t="shared" si="176"/>
        <v>1</v>
      </c>
      <c r="R1879" t="str">
        <f t="shared" si="177"/>
        <v>On Time</v>
      </c>
      <c r="S1879">
        <f t="shared" si="178"/>
        <v>2023</v>
      </c>
      <c r="T1879">
        <f t="shared" si="179"/>
        <v>2</v>
      </c>
    </row>
    <row r="1880" spans="1:20" x14ac:dyDescent="0.25">
      <c r="A1880" t="s">
        <v>2187</v>
      </c>
      <c r="B1880" t="s">
        <v>472</v>
      </c>
      <c r="C1880" t="s">
        <v>138</v>
      </c>
      <c r="D1880" s="1">
        <v>44446</v>
      </c>
      <c r="E1880">
        <v>13</v>
      </c>
      <c r="F1880">
        <v>70.161797899245499</v>
      </c>
      <c r="G1880" s="1">
        <v>44457</v>
      </c>
      <c r="H1880" s="1">
        <v>44463</v>
      </c>
      <c r="I1880">
        <v>912.10337269019203</v>
      </c>
      <c r="J1880">
        <f t="shared" si="174"/>
        <v>6</v>
      </c>
      <c r="K1880" t="str">
        <f>VLOOKUP(B1880,Raw_Suppliers!$A$2:$G$101,2,FALSE)</f>
        <v>Pioneer Alpha Corp</v>
      </c>
      <c r="L1880" t="str">
        <f>VLOOKUP(B1880,Raw_Suppliers!$A$2:$G$101,3,FALSE)</f>
        <v>Canada</v>
      </c>
      <c r="M1880" t="str">
        <f>VLOOKUP(B1880,Raw_Suppliers!$A$2:$G$101,4,FALSE)</f>
        <v>North</v>
      </c>
      <c r="N1880" t="str">
        <f>VLOOKUP(B1880,Raw_Suppliers!$A$2:$G$101,6,FALSE)</f>
        <v>None</v>
      </c>
      <c r="O1880">
        <f>VLOOKUP(B1880,Raw_Suppliers!$A$2:$G$101,7,FALSE)</f>
        <v>1</v>
      </c>
      <c r="P1880" t="str">
        <f t="shared" si="175"/>
        <v>Yes</v>
      </c>
      <c r="Q1880">
        <f t="shared" si="176"/>
        <v>0</v>
      </c>
      <c r="R1880" t="str">
        <f t="shared" si="177"/>
        <v>Late</v>
      </c>
      <c r="S1880">
        <f t="shared" si="178"/>
        <v>2021</v>
      </c>
      <c r="T1880">
        <f t="shared" si="179"/>
        <v>9</v>
      </c>
    </row>
    <row r="1881" spans="1:20" x14ac:dyDescent="0.25">
      <c r="A1881" t="s">
        <v>2188</v>
      </c>
      <c r="B1881" t="s">
        <v>124</v>
      </c>
      <c r="C1881" t="s">
        <v>446</v>
      </c>
      <c r="D1881" s="1">
        <v>45185</v>
      </c>
      <c r="E1881">
        <v>10</v>
      </c>
      <c r="F1881">
        <v>7.7355297421105798</v>
      </c>
      <c r="G1881" s="1">
        <v>45200</v>
      </c>
      <c r="H1881" s="1">
        <v>45197</v>
      </c>
      <c r="I1881">
        <v>77.355297421105803</v>
      </c>
      <c r="J1881">
        <f t="shared" si="174"/>
        <v>-3</v>
      </c>
      <c r="K1881" t="str">
        <f>VLOOKUP(B1881,Raw_Suppliers!$A$2:$G$101,2,FALSE)</f>
        <v>Vertex Delta Inc</v>
      </c>
      <c r="L1881" t="str">
        <f>VLOOKUP(B1881,Raw_Suppliers!$A$2:$G$101,3,FALSE)</f>
        <v>Germany</v>
      </c>
      <c r="M1881" t="str">
        <f>VLOOKUP(B1881,Raw_Suppliers!$A$2:$G$101,4,FALSE)</f>
        <v>South</v>
      </c>
      <c r="N1881" t="str">
        <f>VLOOKUP(B1881,Raw_Suppliers!$A$2:$G$101,6,FALSE)</f>
        <v>ISO 9001</v>
      </c>
      <c r="O1881">
        <f>VLOOKUP(B1881,Raw_Suppliers!$A$2:$G$101,7,FALSE)</f>
        <v>0</v>
      </c>
      <c r="P1881" t="str">
        <f t="shared" si="175"/>
        <v>No</v>
      </c>
      <c r="Q1881">
        <f t="shared" si="176"/>
        <v>1</v>
      </c>
      <c r="R1881" t="str">
        <f t="shared" si="177"/>
        <v>On Time</v>
      </c>
      <c r="S1881">
        <f t="shared" si="178"/>
        <v>2023</v>
      </c>
      <c r="T1881">
        <f t="shared" si="179"/>
        <v>9</v>
      </c>
    </row>
    <row r="1882" spans="1:20" x14ac:dyDescent="0.25">
      <c r="A1882" t="s">
        <v>2189</v>
      </c>
      <c r="B1882" t="s">
        <v>379</v>
      </c>
      <c r="C1882" t="s">
        <v>748</v>
      </c>
      <c r="D1882" s="1">
        <v>45063</v>
      </c>
      <c r="E1882">
        <v>10</v>
      </c>
      <c r="F1882">
        <v>76.273278533812004</v>
      </c>
      <c r="G1882" s="1">
        <v>45087</v>
      </c>
      <c r="H1882" s="1">
        <v>45091</v>
      </c>
      <c r="I1882">
        <v>762.73278533812095</v>
      </c>
      <c r="J1882">
        <f t="shared" si="174"/>
        <v>4</v>
      </c>
      <c r="K1882" t="str">
        <f>VLOOKUP(B1882,Raw_Suppliers!$A$2:$G$101,2,FALSE)</f>
        <v>Apex Fusion Ltd</v>
      </c>
      <c r="L1882" t="str">
        <f>VLOOKUP(B1882,Raw_Suppliers!$A$2:$G$101,3,FALSE)</f>
        <v>USA</v>
      </c>
      <c r="M1882" t="str">
        <f>VLOOKUP(B1882,Raw_Suppliers!$A$2:$G$101,4,FALSE)</f>
        <v>East</v>
      </c>
      <c r="N1882" t="str">
        <f>VLOOKUP(B1882,Raw_Suppliers!$A$2:$G$101,6,FALSE)</f>
        <v>ISO 14001</v>
      </c>
      <c r="O1882">
        <f>VLOOKUP(B1882,Raw_Suppliers!$A$2:$G$101,7,FALSE)</f>
        <v>1</v>
      </c>
      <c r="P1882" t="str">
        <f t="shared" si="175"/>
        <v>Yes</v>
      </c>
      <c r="Q1882">
        <f t="shared" si="176"/>
        <v>0</v>
      </c>
      <c r="R1882" t="str">
        <f t="shared" si="177"/>
        <v>Late</v>
      </c>
      <c r="S1882">
        <f t="shared" si="178"/>
        <v>2023</v>
      </c>
      <c r="T1882">
        <f t="shared" si="179"/>
        <v>5</v>
      </c>
    </row>
    <row r="1883" spans="1:20" x14ac:dyDescent="0.25">
      <c r="A1883" t="s">
        <v>2190</v>
      </c>
      <c r="B1883" t="s">
        <v>28</v>
      </c>
      <c r="C1883" t="s">
        <v>44</v>
      </c>
      <c r="D1883" s="1">
        <v>44338</v>
      </c>
      <c r="E1883">
        <v>10</v>
      </c>
      <c r="F1883">
        <v>50.543093249102498</v>
      </c>
      <c r="G1883" s="1">
        <v>44360</v>
      </c>
      <c r="H1883" s="1">
        <v>44362</v>
      </c>
      <c r="I1883">
        <v>505.43093249102498</v>
      </c>
      <c r="J1883">
        <f t="shared" si="174"/>
        <v>2</v>
      </c>
      <c r="K1883" t="str">
        <f>VLOOKUP(B1883,Raw_Suppliers!$A$2:$G$101,2,FALSE)</f>
        <v>Fusion Vertex Inc</v>
      </c>
      <c r="L1883" t="str">
        <f>VLOOKUP(B1883,Raw_Suppliers!$A$2:$G$101,3,FALSE)</f>
        <v>Denmark</v>
      </c>
      <c r="M1883" t="str">
        <f>VLOOKUP(B1883,Raw_Suppliers!$A$2:$G$101,4,FALSE)</f>
        <v>Central</v>
      </c>
      <c r="N1883" t="str">
        <f>VLOOKUP(B1883,Raw_Suppliers!$A$2:$G$101,6,FALSE)</f>
        <v>ISO 45001</v>
      </c>
      <c r="O1883">
        <f>VLOOKUP(B1883,Raw_Suppliers!$A$2:$G$101,7,FALSE)</f>
        <v>0</v>
      </c>
      <c r="P1883" t="str">
        <f t="shared" si="175"/>
        <v>No</v>
      </c>
      <c r="Q1883">
        <f t="shared" si="176"/>
        <v>0</v>
      </c>
      <c r="R1883" t="str">
        <f t="shared" si="177"/>
        <v>Late</v>
      </c>
      <c r="S1883">
        <f t="shared" si="178"/>
        <v>2021</v>
      </c>
      <c r="T1883">
        <f t="shared" si="179"/>
        <v>5</v>
      </c>
    </row>
    <row r="1884" spans="1:20" x14ac:dyDescent="0.25">
      <c r="A1884" t="s">
        <v>2191</v>
      </c>
      <c r="B1884" t="s">
        <v>205</v>
      </c>
      <c r="C1884" t="s">
        <v>71</v>
      </c>
      <c r="D1884" s="1">
        <v>44683</v>
      </c>
      <c r="E1884">
        <v>11</v>
      </c>
      <c r="F1884">
        <v>26.4629706553511</v>
      </c>
      <c r="G1884" s="1">
        <v>44705</v>
      </c>
      <c r="H1884" s="1">
        <v>44707</v>
      </c>
      <c r="I1884">
        <v>291.09267720886203</v>
      </c>
      <c r="J1884">
        <f t="shared" si="174"/>
        <v>2</v>
      </c>
      <c r="K1884" t="str">
        <f>VLOOKUP(B1884,Raw_Suppliers!$A$2:$G$101,2,FALSE)</f>
        <v>Ultra Eco LLC</v>
      </c>
      <c r="L1884" t="str">
        <f>VLOOKUP(B1884,Raw_Suppliers!$A$2:$G$101,3,FALSE)</f>
        <v>China</v>
      </c>
      <c r="M1884" t="str">
        <f>VLOOKUP(B1884,Raw_Suppliers!$A$2:$G$101,4,FALSE)</f>
        <v>South</v>
      </c>
      <c r="N1884" t="str">
        <f>VLOOKUP(B1884,Raw_Suppliers!$A$2:$G$101,6,FALSE)</f>
        <v>ISO 14001</v>
      </c>
      <c r="O1884">
        <f>VLOOKUP(B1884,Raw_Suppliers!$A$2:$G$101,7,FALSE)</f>
        <v>1</v>
      </c>
      <c r="P1884" t="str">
        <f t="shared" si="175"/>
        <v>Yes</v>
      </c>
      <c r="Q1884">
        <f t="shared" si="176"/>
        <v>0</v>
      </c>
      <c r="R1884" t="str">
        <f t="shared" si="177"/>
        <v>Late</v>
      </c>
      <c r="S1884">
        <f t="shared" si="178"/>
        <v>2022</v>
      </c>
      <c r="T1884">
        <f t="shared" si="179"/>
        <v>5</v>
      </c>
    </row>
    <row r="1885" spans="1:20" x14ac:dyDescent="0.25">
      <c r="A1885" t="s">
        <v>2192</v>
      </c>
      <c r="B1885" t="s">
        <v>43</v>
      </c>
      <c r="C1885" t="s">
        <v>83</v>
      </c>
      <c r="D1885" s="1">
        <v>45007</v>
      </c>
      <c r="E1885">
        <v>12</v>
      </c>
      <c r="F1885">
        <v>46.030019232378002</v>
      </c>
      <c r="G1885" s="1">
        <v>45026</v>
      </c>
      <c r="H1885" s="1">
        <v>45031</v>
      </c>
      <c r="I1885">
        <v>552.360230788536</v>
      </c>
      <c r="J1885">
        <f t="shared" si="174"/>
        <v>5</v>
      </c>
      <c r="K1885" t="str">
        <f>VLOOKUP(B1885,Raw_Suppliers!$A$2:$G$101,2,FALSE)</f>
        <v>Alpha Ultra Corp</v>
      </c>
      <c r="L1885" t="str">
        <f>VLOOKUP(B1885,Raw_Suppliers!$A$2:$G$101,3,FALSE)</f>
        <v>USA</v>
      </c>
      <c r="M1885" t="str">
        <f>VLOOKUP(B1885,Raw_Suppliers!$A$2:$G$101,4,FALSE)</f>
        <v>Central</v>
      </c>
      <c r="N1885" t="str">
        <f>VLOOKUP(B1885,Raw_Suppliers!$A$2:$G$101,6,FALSE)</f>
        <v>ISO 9001</v>
      </c>
      <c r="O1885">
        <f>VLOOKUP(B1885,Raw_Suppliers!$A$2:$G$101,7,FALSE)</f>
        <v>1</v>
      </c>
      <c r="P1885" t="str">
        <f t="shared" si="175"/>
        <v>Yes</v>
      </c>
      <c r="Q1885">
        <f t="shared" si="176"/>
        <v>0</v>
      </c>
      <c r="R1885" t="str">
        <f t="shared" si="177"/>
        <v>Late</v>
      </c>
      <c r="S1885">
        <f t="shared" si="178"/>
        <v>2023</v>
      </c>
      <c r="T1885">
        <f t="shared" si="179"/>
        <v>3</v>
      </c>
    </row>
    <row r="1886" spans="1:20" x14ac:dyDescent="0.25">
      <c r="A1886" t="s">
        <v>2193</v>
      </c>
      <c r="B1886" t="s">
        <v>179</v>
      </c>
      <c r="C1886" t="s">
        <v>473</v>
      </c>
      <c r="D1886" s="1">
        <v>45002</v>
      </c>
      <c r="E1886">
        <v>9</v>
      </c>
      <c r="F1886">
        <v>61.970429224281503</v>
      </c>
      <c r="G1886" s="1">
        <v>45020</v>
      </c>
      <c r="H1886" s="1">
        <v>45024</v>
      </c>
      <c r="I1886">
        <v>557.73386301853304</v>
      </c>
      <c r="J1886">
        <f t="shared" si="174"/>
        <v>4</v>
      </c>
      <c r="K1886" t="str">
        <f>VLOOKUP(B1886,Raw_Suppliers!$A$2:$G$101,2,FALSE)</f>
        <v>Nova Gamma Ltd</v>
      </c>
      <c r="L1886" t="str">
        <f>VLOOKUP(B1886,Raw_Suppliers!$A$2:$G$101,3,FALSE)</f>
        <v>Denmark</v>
      </c>
      <c r="M1886" t="str">
        <f>VLOOKUP(B1886,Raw_Suppliers!$A$2:$G$101,4,FALSE)</f>
        <v>East</v>
      </c>
      <c r="N1886" t="str">
        <f>VLOOKUP(B1886,Raw_Suppliers!$A$2:$G$101,6,FALSE)</f>
        <v>ISO 9001</v>
      </c>
      <c r="O1886">
        <f>VLOOKUP(B1886,Raw_Suppliers!$A$2:$G$101,7,FALSE)</f>
        <v>0</v>
      </c>
      <c r="P1886" t="str">
        <f t="shared" si="175"/>
        <v>No</v>
      </c>
      <c r="Q1886">
        <f t="shared" si="176"/>
        <v>0</v>
      </c>
      <c r="R1886" t="str">
        <f t="shared" si="177"/>
        <v>Late</v>
      </c>
      <c r="S1886">
        <f t="shared" si="178"/>
        <v>2023</v>
      </c>
      <c r="T1886">
        <f t="shared" si="179"/>
        <v>3</v>
      </c>
    </row>
    <row r="1887" spans="1:20" x14ac:dyDescent="0.25">
      <c r="A1887" t="s">
        <v>2194</v>
      </c>
      <c r="B1887" t="s">
        <v>427</v>
      </c>
      <c r="C1887" t="s">
        <v>391</v>
      </c>
      <c r="D1887" s="1">
        <v>44302</v>
      </c>
      <c r="E1887">
        <v>15</v>
      </c>
      <c r="F1887">
        <v>18.554917330005502</v>
      </c>
      <c r="G1887" s="1">
        <v>44312</v>
      </c>
      <c r="H1887" s="1">
        <v>44310</v>
      </c>
      <c r="I1887">
        <v>278.323759950083</v>
      </c>
      <c r="J1887">
        <f t="shared" si="174"/>
        <v>-2</v>
      </c>
      <c r="K1887" t="str">
        <f>VLOOKUP(B1887,Raw_Suppliers!$A$2:$G$101,2,FALSE)</f>
        <v>Nova Alpha Corp</v>
      </c>
      <c r="L1887" t="str">
        <f>VLOOKUP(B1887,Raw_Suppliers!$A$2:$G$101,3,FALSE)</f>
        <v>Denmark</v>
      </c>
      <c r="M1887" t="str">
        <f>VLOOKUP(B1887,Raw_Suppliers!$A$2:$G$101,4,FALSE)</f>
        <v>Central</v>
      </c>
      <c r="N1887" t="str">
        <f>VLOOKUP(B1887,Raw_Suppliers!$A$2:$G$101,6,FALSE)</f>
        <v>None</v>
      </c>
      <c r="O1887">
        <f>VLOOKUP(B1887,Raw_Suppliers!$A$2:$G$101,7,FALSE)</f>
        <v>0</v>
      </c>
      <c r="P1887" t="str">
        <f t="shared" si="175"/>
        <v>No</v>
      </c>
      <c r="Q1887">
        <f t="shared" si="176"/>
        <v>1</v>
      </c>
      <c r="R1887" t="str">
        <f t="shared" si="177"/>
        <v>On Time</v>
      </c>
      <c r="S1887">
        <f t="shared" si="178"/>
        <v>2021</v>
      </c>
      <c r="T1887">
        <f t="shared" si="179"/>
        <v>4</v>
      </c>
    </row>
    <row r="1888" spans="1:20" x14ac:dyDescent="0.25">
      <c r="A1888" t="s">
        <v>2195</v>
      </c>
      <c r="B1888" t="s">
        <v>49</v>
      </c>
      <c r="C1888" t="s">
        <v>356</v>
      </c>
      <c r="D1888" s="1">
        <v>45289</v>
      </c>
      <c r="E1888">
        <v>14</v>
      </c>
      <c r="F1888">
        <v>49.322004195072303</v>
      </c>
      <c r="G1888" s="1">
        <v>45300</v>
      </c>
      <c r="H1888" s="1">
        <v>45298</v>
      </c>
      <c r="I1888">
        <v>690.50805873101297</v>
      </c>
      <c r="J1888">
        <f t="shared" si="174"/>
        <v>-2</v>
      </c>
      <c r="K1888" t="str">
        <f>VLOOKUP(B1888,Raw_Suppliers!$A$2:$G$101,2,FALSE)</f>
        <v>Prime Prime Corp</v>
      </c>
      <c r="L1888" t="str">
        <f>VLOOKUP(B1888,Raw_Suppliers!$A$2:$G$101,3,FALSE)</f>
        <v>China</v>
      </c>
      <c r="M1888" t="str">
        <f>VLOOKUP(B1888,Raw_Suppliers!$A$2:$G$101,4,FALSE)</f>
        <v>North</v>
      </c>
      <c r="N1888" t="str">
        <f>VLOOKUP(B1888,Raw_Suppliers!$A$2:$G$101,6,FALSE)</f>
        <v>ISO 45001</v>
      </c>
      <c r="O1888">
        <f>VLOOKUP(B1888,Raw_Suppliers!$A$2:$G$101,7,FALSE)</f>
        <v>0</v>
      </c>
      <c r="P1888" t="str">
        <f t="shared" si="175"/>
        <v>No</v>
      </c>
      <c r="Q1888">
        <f t="shared" si="176"/>
        <v>1</v>
      </c>
      <c r="R1888" t="str">
        <f t="shared" si="177"/>
        <v>On Time</v>
      </c>
      <c r="S1888">
        <f t="shared" si="178"/>
        <v>2023</v>
      </c>
      <c r="T1888">
        <f t="shared" si="179"/>
        <v>12</v>
      </c>
    </row>
    <row r="1889" spans="1:20" x14ac:dyDescent="0.25">
      <c r="A1889" t="s">
        <v>2196</v>
      </c>
      <c r="B1889" t="s">
        <v>578</v>
      </c>
      <c r="C1889" t="s">
        <v>1051</v>
      </c>
      <c r="D1889" s="1">
        <v>45253</v>
      </c>
      <c r="E1889">
        <v>11</v>
      </c>
      <c r="F1889">
        <v>72.830334595622205</v>
      </c>
      <c r="G1889" s="1">
        <v>45265</v>
      </c>
      <c r="H1889" s="1">
        <v>45265</v>
      </c>
      <c r="I1889">
        <v>801.13368055184401</v>
      </c>
      <c r="J1889">
        <f t="shared" si="174"/>
        <v>0</v>
      </c>
      <c r="K1889" t="str">
        <f>VLOOKUP(B1889,Raw_Suppliers!$A$2:$G$101,2,FALSE)</f>
        <v>Beta Eco Ltd</v>
      </c>
      <c r="L1889" t="str">
        <f>VLOOKUP(B1889,Raw_Suppliers!$A$2:$G$101,3,FALSE)</f>
        <v>Canada</v>
      </c>
      <c r="M1889" t="str">
        <f>VLOOKUP(B1889,Raw_Suppliers!$A$2:$G$101,4,FALSE)</f>
        <v>East</v>
      </c>
      <c r="N1889" t="str">
        <f>VLOOKUP(B1889,Raw_Suppliers!$A$2:$G$101,6,FALSE)</f>
        <v>None</v>
      </c>
      <c r="O1889">
        <f>VLOOKUP(B1889,Raw_Suppliers!$A$2:$G$101,7,FALSE)</f>
        <v>0</v>
      </c>
      <c r="P1889" t="str">
        <f t="shared" si="175"/>
        <v>No</v>
      </c>
      <c r="Q1889">
        <f t="shared" si="176"/>
        <v>1</v>
      </c>
      <c r="R1889" t="str">
        <f t="shared" si="177"/>
        <v>On Time</v>
      </c>
      <c r="S1889">
        <f t="shared" si="178"/>
        <v>2023</v>
      </c>
      <c r="T1889">
        <f t="shared" si="179"/>
        <v>11</v>
      </c>
    </row>
    <row r="1890" spans="1:20" x14ac:dyDescent="0.25">
      <c r="A1890" t="s">
        <v>2197</v>
      </c>
      <c r="B1890" t="s">
        <v>485</v>
      </c>
      <c r="C1890" t="s">
        <v>689</v>
      </c>
      <c r="D1890" s="1">
        <v>44930</v>
      </c>
      <c r="E1890">
        <v>6</v>
      </c>
      <c r="F1890">
        <v>18.9240599233088</v>
      </c>
      <c r="G1890" s="1">
        <v>44949</v>
      </c>
      <c r="H1890" s="1">
        <v>44955</v>
      </c>
      <c r="I1890">
        <v>113.54435953985301</v>
      </c>
      <c r="J1890">
        <f t="shared" si="174"/>
        <v>6</v>
      </c>
      <c r="K1890" t="str">
        <f>VLOOKUP(B1890,Raw_Suppliers!$A$2:$G$101,2,FALSE)</f>
        <v>Ultra Quantum Ltd</v>
      </c>
      <c r="L1890" t="str">
        <f>VLOOKUP(B1890,Raw_Suppliers!$A$2:$G$101,3,FALSE)</f>
        <v>Canada</v>
      </c>
      <c r="M1890" t="str">
        <f>VLOOKUP(B1890,Raw_Suppliers!$A$2:$G$101,4,FALSE)</f>
        <v>North</v>
      </c>
      <c r="N1890" t="str">
        <f>VLOOKUP(B1890,Raw_Suppliers!$A$2:$G$101,6,FALSE)</f>
        <v>ISO 14001</v>
      </c>
      <c r="O1890">
        <f>VLOOKUP(B1890,Raw_Suppliers!$A$2:$G$101,7,FALSE)</f>
        <v>0</v>
      </c>
      <c r="P1890" t="str">
        <f t="shared" si="175"/>
        <v>No</v>
      </c>
      <c r="Q1890">
        <f t="shared" si="176"/>
        <v>0</v>
      </c>
      <c r="R1890" t="str">
        <f t="shared" si="177"/>
        <v>Late</v>
      </c>
      <c r="S1890">
        <f t="shared" si="178"/>
        <v>2023</v>
      </c>
      <c r="T1890">
        <f t="shared" si="179"/>
        <v>1</v>
      </c>
    </row>
    <row r="1891" spans="1:20" x14ac:dyDescent="0.25">
      <c r="A1891" t="s">
        <v>2198</v>
      </c>
      <c r="B1891" t="s">
        <v>143</v>
      </c>
      <c r="C1891" t="s">
        <v>170</v>
      </c>
      <c r="D1891" s="1">
        <v>44202</v>
      </c>
      <c r="E1891">
        <v>9</v>
      </c>
      <c r="F1891">
        <v>32.050166620899802</v>
      </c>
      <c r="G1891" s="1">
        <v>44226</v>
      </c>
      <c r="H1891" s="1">
        <v>44225</v>
      </c>
      <c r="I1891">
        <v>288.45149958809799</v>
      </c>
      <c r="J1891">
        <f t="shared" si="174"/>
        <v>-1</v>
      </c>
      <c r="K1891" t="str">
        <f>VLOOKUP(B1891,Raw_Suppliers!$A$2:$G$101,2,FALSE)</f>
        <v>Prime Gamma Inc</v>
      </c>
      <c r="L1891" t="str">
        <f>VLOOKUP(B1891,Raw_Suppliers!$A$2:$G$101,3,FALSE)</f>
        <v>China</v>
      </c>
      <c r="M1891" t="str">
        <f>VLOOKUP(B1891,Raw_Suppliers!$A$2:$G$101,4,FALSE)</f>
        <v>East</v>
      </c>
      <c r="N1891" t="str">
        <f>VLOOKUP(B1891,Raw_Suppliers!$A$2:$G$101,6,FALSE)</f>
        <v>ISO 14001</v>
      </c>
      <c r="O1891">
        <f>VLOOKUP(B1891,Raw_Suppliers!$A$2:$G$101,7,FALSE)</f>
        <v>0</v>
      </c>
      <c r="P1891" t="str">
        <f t="shared" si="175"/>
        <v>No</v>
      </c>
      <c r="Q1891">
        <f t="shared" si="176"/>
        <v>1</v>
      </c>
      <c r="R1891" t="str">
        <f t="shared" si="177"/>
        <v>On Time</v>
      </c>
      <c r="S1891">
        <f t="shared" si="178"/>
        <v>2021</v>
      </c>
      <c r="T1891">
        <f t="shared" si="179"/>
        <v>1</v>
      </c>
    </row>
    <row r="1892" spans="1:20" x14ac:dyDescent="0.25">
      <c r="A1892" t="s">
        <v>2199</v>
      </c>
      <c r="B1892" t="s">
        <v>157</v>
      </c>
      <c r="C1892" t="s">
        <v>408</v>
      </c>
      <c r="D1892" s="1">
        <v>44661</v>
      </c>
      <c r="E1892">
        <v>7</v>
      </c>
      <c r="F1892">
        <v>67.025267705972496</v>
      </c>
      <c r="G1892" s="1">
        <v>44684</v>
      </c>
      <c r="H1892" s="1">
        <v>44688</v>
      </c>
      <c r="I1892">
        <v>469.176873941807</v>
      </c>
      <c r="J1892">
        <f t="shared" si="174"/>
        <v>4</v>
      </c>
      <c r="K1892" t="str">
        <f>VLOOKUP(B1892,Raw_Suppliers!$A$2:$G$101,2,FALSE)</f>
        <v>Pioneer Omega Ltd</v>
      </c>
      <c r="L1892" t="str">
        <f>VLOOKUP(B1892,Raw_Suppliers!$A$2:$G$101,3,FALSE)</f>
        <v>Brazil</v>
      </c>
      <c r="M1892" t="str">
        <f>VLOOKUP(B1892,Raw_Suppliers!$A$2:$G$101,4,FALSE)</f>
        <v>East</v>
      </c>
      <c r="N1892" t="str">
        <f>VLOOKUP(B1892,Raw_Suppliers!$A$2:$G$101,6,FALSE)</f>
        <v>None</v>
      </c>
      <c r="O1892">
        <f>VLOOKUP(B1892,Raw_Suppliers!$A$2:$G$101,7,FALSE)</f>
        <v>0</v>
      </c>
      <c r="P1892" t="str">
        <f t="shared" si="175"/>
        <v>No</v>
      </c>
      <c r="Q1892">
        <f t="shared" si="176"/>
        <v>0</v>
      </c>
      <c r="R1892" t="str">
        <f t="shared" si="177"/>
        <v>Late</v>
      </c>
      <c r="S1892">
        <f t="shared" si="178"/>
        <v>2022</v>
      </c>
      <c r="T1892">
        <f t="shared" si="179"/>
        <v>4</v>
      </c>
    </row>
    <row r="1893" spans="1:20" x14ac:dyDescent="0.25">
      <c r="A1893" t="s">
        <v>2200</v>
      </c>
      <c r="B1893" t="s">
        <v>79</v>
      </c>
      <c r="C1893" t="s">
        <v>727</v>
      </c>
      <c r="D1893" s="1">
        <v>45061</v>
      </c>
      <c r="E1893">
        <v>15</v>
      </c>
      <c r="F1893">
        <v>5.6696231676083597</v>
      </c>
      <c r="G1893" s="1">
        <v>45082</v>
      </c>
      <c r="H1893" s="1">
        <v>45079</v>
      </c>
      <c r="I1893">
        <v>85.044347514125405</v>
      </c>
      <c r="J1893">
        <f t="shared" si="174"/>
        <v>-3</v>
      </c>
      <c r="K1893" t="str">
        <f>VLOOKUP(B1893,Raw_Suppliers!$A$2:$G$101,2,FALSE)</f>
        <v>Vertex Fusion Inc</v>
      </c>
      <c r="L1893" t="str">
        <f>VLOOKUP(B1893,Raw_Suppliers!$A$2:$G$101,3,FALSE)</f>
        <v>India</v>
      </c>
      <c r="M1893" t="str">
        <f>VLOOKUP(B1893,Raw_Suppliers!$A$2:$G$101,4,FALSE)</f>
        <v>Central</v>
      </c>
      <c r="N1893" t="str">
        <f>VLOOKUP(B1893,Raw_Suppliers!$A$2:$G$101,6,FALSE)</f>
        <v>ISO 9001</v>
      </c>
      <c r="O1893">
        <f>VLOOKUP(B1893,Raw_Suppliers!$A$2:$G$101,7,FALSE)</f>
        <v>0</v>
      </c>
      <c r="P1893" t="str">
        <f t="shared" si="175"/>
        <v>No</v>
      </c>
      <c r="Q1893">
        <f t="shared" si="176"/>
        <v>1</v>
      </c>
      <c r="R1893" t="str">
        <f t="shared" si="177"/>
        <v>On Time</v>
      </c>
      <c r="S1893">
        <f t="shared" si="178"/>
        <v>2023</v>
      </c>
      <c r="T1893">
        <f t="shared" si="179"/>
        <v>5</v>
      </c>
    </row>
    <row r="1894" spans="1:20" x14ac:dyDescent="0.25">
      <c r="A1894" t="s">
        <v>2201</v>
      </c>
      <c r="B1894" t="s">
        <v>295</v>
      </c>
      <c r="C1894" t="s">
        <v>152</v>
      </c>
      <c r="D1894" s="1">
        <v>44794</v>
      </c>
      <c r="E1894">
        <v>14</v>
      </c>
      <c r="F1894">
        <v>3.36731576206973</v>
      </c>
      <c r="G1894" s="1">
        <v>44810</v>
      </c>
      <c r="H1894" s="1">
        <v>44811</v>
      </c>
      <c r="I1894">
        <v>47.1424206689762</v>
      </c>
      <c r="J1894">
        <f t="shared" si="174"/>
        <v>1</v>
      </c>
      <c r="K1894" t="str">
        <f>VLOOKUP(B1894,Raw_Suppliers!$A$2:$G$101,2,FALSE)</f>
        <v>Delta Quantum GmbH</v>
      </c>
      <c r="L1894" t="str">
        <f>VLOOKUP(B1894,Raw_Suppliers!$A$2:$G$101,3,FALSE)</f>
        <v>Brazil</v>
      </c>
      <c r="M1894" t="str">
        <f>VLOOKUP(B1894,Raw_Suppliers!$A$2:$G$101,4,FALSE)</f>
        <v>North</v>
      </c>
      <c r="N1894" t="str">
        <f>VLOOKUP(B1894,Raw_Suppliers!$A$2:$G$101,6,FALSE)</f>
        <v>ISO 9001</v>
      </c>
      <c r="O1894">
        <f>VLOOKUP(B1894,Raw_Suppliers!$A$2:$G$101,7,FALSE)</f>
        <v>1</v>
      </c>
      <c r="P1894" t="str">
        <f t="shared" si="175"/>
        <v>Yes</v>
      </c>
      <c r="Q1894">
        <f t="shared" si="176"/>
        <v>0</v>
      </c>
      <c r="R1894" t="str">
        <f t="shared" si="177"/>
        <v>Late</v>
      </c>
      <c r="S1894">
        <f t="shared" si="178"/>
        <v>2022</v>
      </c>
      <c r="T1894">
        <f t="shared" si="179"/>
        <v>8</v>
      </c>
    </row>
    <row r="1895" spans="1:20" x14ac:dyDescent="0.25">
      <c r="A1895" t="s">
        <v>2202</v>
      </c>
      <c r="B1895" t="s">
        <v>247</v>
      </c>
      <c r="C1895" t="s">
        <v>68</v>
      </c>
      <c r="D1895" s="1">
        <v>44591</v>
      </c>
      <c r="E1895">
        <v>11</v>
      </c>
      <c r="F1895">
        <v>65.689204167994404</v>
      </c>
      <c r="G1895" s="1">
        <v>44609</v>
      </c>
      <c r="H1895" s="1">
        <v>44608</v>
      </c>
      <c r="I1895">
        <v>722.58124584793904</v>
      </c>
      <c r="J1895">
        <f t="shared" si="174"/>
        <v>-1</v>
      </c>
      <c r="K1895" t="str">
        <f>VLOOKUP(B1895,Raw_Suppliers!$A$2:$G$101,2,FALSE)</f>
        <v>Ultra Apex LLC</v>
      </c>
      <c r="L1895" t="str">
        <f>VLOOKUP(B1895,Raw_Suppliers!$A$2:$G$101,3,FALSE)</f>
        <v>Germany</v>
      </c>
      <c r="M1895" t="str">
        <f>VLOOKUP(B1895,Raw_Suppliers!$A$2:$G$101,4,FALSE)</f>
        <v>West</v>
      </c>
      <c r="N1895" t="str">
        <f>VLOOKUP(B1895,Raw_Suppliers!$A$2:$G$101,6,FALSE)</f>
        <v>ISO 9001</v>
      </c>
      <c r="O1895">
        <f>VLOOKUP(B1895,Raw_Suppliers!$A$2:$G$101,7,FALSE)</f>
        <v>0</v>
      </c>
      <c r="P1895" t="str">
        <f t="shared" si="175"/>
        <v>No</v>
      </c>
      <c r="Q1895">
        <f t="shared" si="176"/>
        <v>1</v>
      </c>
      <c r="R1895" t="str">
        <f t="shared" si="177"/>
        <v>On Time</v>
      </c>
      <c r="S1895">
        <f t="shared" si="178"/>
        <v>2022</v>
      </c>
      <c r="T1895">
        <f t="shared" si="179"/>
        <v>1</v>
      </c>
    </row>
    <row r="1896" spans="1:20" x14ac:dyDescent="0.25">
      <c r="A1896" t="s">
        <v>2203</v>
      </c>
      <c r="B1896" t="s">
        <v>321</v>
      </c>
      <c r="C1896" t="s">
        <v>274</v>
      </c>
      <c r="D1896" s="1">
        <v>45082</v>
      </c>
      <c r="E1896">
        <v>10</v>
      </c>
      <c r="F1896">
        <v>35.926141966183202</v>
      </c>
      <c r="G1896" s="1">
        <v>45106</v>
      </c>
      <c r="H1896" s="1">
        <v>45109</v>
      </c>
      <c r="I1896">
        <v>359.26141966183201</v>
      </c>
      <c r="J1896">
        <f t="shared" si="174"/>
        <v>3</v>
      </c>
      <c r="K1896" t="str">
        <f>VLOOKUP(B1896,Raw_Suppliers!$A$2:$G$101,2,FALSE)</f>
        <v>Vertex Delta LLC</v>
      </c>
      <c r="L1896" t="str">
        <f>VLOOKUP(B1896,Raw_Suppliers!$A$2:$G$101,3,FALSE)</f>
        <v>India</v>
      </c>
      <c r="M1896" t="str">
        <f>VLOOKUP(B1896,Raw_Suppliers!$A$2:$G$101,4,FALSE)</f>
        <v>South</v>
      </c>
      <c r="N1896" t="str">
        <f>VLOOKUP(B1896,Raw_Suppliers!$A$2:$G$101,6,FALSE)</f>
        <v>ISO 45001</v>
      </c>
      <c r="O1896">
        <f>VLOOKUP(B1896,Raw_Suppliers!$A$2:$G$101,7,FALSE)</f>
        <v>0</v>
      </c>
      <c r="P1896" t="str">
        <f t="shared" si="175"/>
        <v>No</v>
      </c>
      <c r="Q1896">
        <f t="shared" si="176"/>
        <v>0</v>
      </c>
      <c r="R1896" t="str">
        <f t="shared" si="177"/>
        <v>Late</v>
      </c>
      <c r="S1896">
        <f t="shared" si="178"/>
        <v>2023</v>
      </c>
      <c r="T1896">
        <f t="shared" si="179"/>
        <v>6</v>
      </c>
    </row>
    <row r="1897" spans="1:20" x14ac:dyDescent="0.25">
      <c r="A1897" t="s">
        <v>2204</v>
      </c>
      <c r="B1897" t="s">
        <v>52</v>
      </c>
      <c r="C1897" t="s">
        <v>220</v>
      </c>
      <c r="D1897" s="1">
        <v>45020</v>
      </c>
      <c r="E1897">
        <v>13</v>
      </c>
      <c r="F1897">
        <v>71.715145833177502</v>
      </c>
      <c r="G1897" s="1">
        <v>45043</v>
      </c>
      <c r="H1897" s="1">
        <v>45044</v>
      </c>
      <c r="I1897">
        <v>932.29689583130698</v>
      </c>
      <c r="J1897">
        <f t="shared" si="174"/>
        <v>1</v>
      </c>
      <c r="K1897" t="str">
        <f>VLOOKUP(B1897,Raw_Suppliers!$A$2:$G$101,2,FALSE)</f>
        <v>Beta Nano Corp</v>
      </c>
      <c r="L1897" t="str">
        <f>VLOOKUP(B1897,Raw_Suppliers!$A$2:$G$101,3,FALSE)</f>
        <v>UK</v>
      </c>
      <c r="M1897" t="str">
        <f>VLOOKUP(B1897,Raw_Suppliers!$A$2:$G$101,4,FALSE)</f>
        <v>Central</v>
      </c>
      <c r="N1897" t="str">
        <f>VLOOKUP(B1897,Raw_Suppliers!$A$2:$G$101,6,FALSE)</f>
        <v>ISO 45001</v>
      </c>
      <c r="O1897">
        <f>VLOOKUP(B1897,Raw_Suppliers!$A$2:$G$101,7,FALSE)</f>
        <v>0</v>
      </c>
      <c r="P1897" t="str">
        <f t="shared" si="175"/>
        <v>No</v>
      </c>
      <c r="Q1897">
        <f t="shared" si="176"/>
        <v>0</v>
      </c>
      <c r="R1897" t="str">
        <f t="shared" si="177"/>
        <v>Late</v>
      </c>
      <c r="S1897">
        <f t="shared" si="178"/>
        <v>2023</v>
      </c>
      <c r="T1897">
        <f t="shared" si="179"/>
        <v>4</v>
      </c>
    </row>
    <row r="1898" spans="1:20" x14ac:dyDescent="0.25">
      <c r="A1898" t="s">
        <v>2205</v>
      </c>
      <c r="B1898" t="s">
        <v>46</v>
      </c>
      <c r="C1898" t="s">
        <v>59</v>
      </c>
      <c r="D1898" s="1">
        <v>44679</v>
      </c>
      <c r="E1898">
        <v>17</v>
      </c>
      <c r="F1898">
        <v>59.697308272258702</v>
      </c>
      <c r="G1898" s="1">
        <v>44691</v>
      </c>
      <c r="H1898" s="1">
        <v>44689</v>
      </c>
      <c r="I1898">
        <v>1014.85424062839</v>
      </c>
      <c r="J1898">
        <f t="shared" si="174"/>
        <v>-2</v>
      </c>
      <c r="K1898" t="str">
        <f>VLOOKUP(B1898,Raw_Suppliers!$A$2:$G$101,2,FALSE)</f>
        <v>Prime Prime Inc</v>
      </c>
      <c r="L1898" t="str">
        <f>VLOOKUP(B1898,Raw_Suppliers!$A$2:$G$101,3,FALSE)</f>
        <v>UK</v>
      </c>
      <c r="M1898" t="str">
        <f>VLOOKUP(B1898,Raw_Suppliers!$A$2:$G$101,4,FALSE)</f>
        <v>South</v>
      </c>
      <c r="N1898" t="str">
        <f>VLOOKUP(B1898,Raw_Suppliers!$A$2:$G$101,6,FALSE)</f>
        <v>None</v>
      </c>
      <c r="O1898">
        <f>VLOOKUP(B1898,Raw_Suppliers!$A$2:$G$101,7,FALSE)</f>
        <v>1</v>
      </c>
      <c r="P1898" t="str">
        <f t="shared" si="175"/>
        <v>Yes</v>
      </c>
      <c r="Q1898">
        <f t="shared" si="176"/>
        <v>1</v>
      </c>
      <c r="R1898" t="str">
        <f t="shared" si="177"/>
        <v>On Time</v>
      </c>
      <c r="S1898">
        <f t="shared" si="178"/>
        <v>2022</v>
      </c>
      <c r="T1898">
        <f t="shared" si="179"/>
        <v>4</v>
      </c>
    </row>
    <row r="1899" spans="1:20" x14ac:dyDescent="0.25">
      <c r="A1899" t="s">
        <v>2206</v>
      </c>
      <c r="B1899" t="s">
        <v>326</v>
      </c>
      <c r="C1899" t="s">
        <v>80</v>
      </c>
      <c r="D1899" s="1">
        <v>44793</v>
      </c>
      <c r="E1899">
        <v>10</v>
      </c>
      <c r="F1899">
        <v>8.7603748913863804</v>
      </c>
      <c r="G1899" s="1">
        <v>44803</v>
      </c>
      <c r="H1899" s="1">
        <v>44803</v>
      </c>
      <c r="I1899">
        <v>87.603748913863797</v>
      </c>
      <c r="J1899">
        <f t="shared" si="174"/>
        <v>0</v>
      </c>
      <c r="K1899" t="str">
        <f>VLOOKUP(B1899,Raw_Suppliers!$A$2:$G$101,2,FALSE)</f>
        <v>Ultra Fusion Corp</v>
      </c>
      <c r="L1899" t="str">
        <f>VLOOKUP(B1899,Raw_Suppliers!$A$2:$G$101,3,FALSE)</f>
        <v>Canada</v>
      </c>
      <c r="M1899" t="str">
        <f>VLOOKUP(B1899,Raw_Suppliers!$A$2:$G$101,4,FALSE)</f>
        <v>South</v>
      </c>
      <c r="N1899" t="str">
        <f>VLOOKUP(B1899,Raw_Suppliers!$A$2:$G$101,6,FALSE)</f>
        <v>None</v>
      </c>
      <c r="O1899">
        <f>VLOOKUP(B1899,Raw_Suppliers!$A$2:$G$101,7,FALSE)</f>
        <v>1</v>
      </c>
      <c r="P1899" t="str">
        <f t="shared" si="175"/>
        <v>Yes</v>
      </c>
      <c r="Q1899">
        <f t="shared" si="176"/>
        <v>1</v>
      </c>
      <c r="R1899" t="str">
        <f t="shared" si="177"/>
        <v>On Time</v>
      </c>
      <c r="S1899">
        <f t="shared" si="178"/>
        <v>2022</v>
      </c>
      <c r="T1899">
        <f t="shared" si="179"/>
        <v>8</v>
      </c>
    </row>
    <row r="1900" spans="1:20" x14ac:dyDescent="0.25">
      <c r="A1900" t="s">
        <v>2207</v>
      </c>
      <c r="B1900" t="s">
        <v>70</v>
      </c>
      <c r="C1900" t="s">
        <v>818</v>
      </c>
      <c r="D1900" s="1">
        <v>45388</v>
      </c>
      <c r="E1900">
        <v>12</v>
      </c>
      <c r="F1900">
        <v>62.561035387675503</v>
      </c>
      <c r="G1900" s="1">
        <v>45408</v>
      </c>
      <c r="H1900" s="1">
        <v>45414</v>
      </c>
      <c r="I1900">
        <v>750.73242465210603</v>
      </c>
      <c r="J1900">
        <f t="shared" si="174"/>
        <v>6</v>
      </c>
      <c r="K1900" t="str">
        <f>VLOOKUP(B1900,Raw_Suppliers!$A$2:$G$101,2,FALSE)</f>
        <v>Prime Nano Ltd</v>
      </c>
      <c r="L1900" t="str">
        <f>VLOOKUP(B1900,Raw_Suppliers!$A$2:$G$101,3,FALSE)</f>
        <v>USA</v>
      </c>
      <c r="M1900" t="str">
        <f>VLOOKUP(B1900,Raw_Suppliers!$A$2:$G$101,4,FALSE)</f>
        <v>Central</v>
      </c>
      <c r="N1900" t="str">
        <f>VLOOKUP(B1900,Raw_Suppliers!$A$2:$G$101,6,FALSE)</f>
        <v>ISO 45001</v>
      </c>
      <c r="O1900">
        <f>VLOOKUP(B1900,Raw_Suppliers!$A$2:$G$101,7,FALSE)</f>
        <v>0</v>
      </c>
      <c r="P1900" t="str">
        <f t="shared" si="175"/>
        <v>No</v>
      </c>
      <c r="Q1900">
        <f t="shared" si="176"/>
        <v>0</v>
      </c>
      <c r="R1900" t="str">
        <f t="shared" si="177"/>
        <v>Late</v>
      </c>
      <c r="S1900">
        <f t="shared" si="178"/>
        <v>2024</v>
      </c>
      <c r="T1900">
        <f t="shared" si="179"/>
        <v>4</v>
      </c>
    </row>
    <row r="1901" spans="1:20" x14ac:dyDescent="0.25">
      <c r="A1901" t="s">
        <v>2208</v>
      </c>
      <c r="B1901" t="s">
        <v>242</v>
      </c>
      <c r="C1901" t="s">
        <v>235</v>
      </c>
      <c r="D1901" s="1">
        <v>44248</v>
      </c>
      <c r="E1901">
        <v>14</v>
      </c>
      <c r="F1901">
        <v>12.4367826840351</v>
      </c>
      <c r="G1901" s="1">
        <v>44270</v>
      </c>
      <c r="H1901" s="1">
        <v>44273</v>
      </c>
      <c r="I1901">
        <v>174.11495757649101</v>
      </c>
      <c r="J1901">
        <f t="shared" si="174"/>
        <v>3</v>
      </c>
      <c r="K1901" t="str">
        <f>VLOOKUP(B1901,Raw_Suppliers!$A$2:$G$101,2,FALSE)</f>
        <v>Omega Nova GmbH</v>
      </c>
      <c r="L1901" t="str">
        <f>VLOOKUP(B1901,Raw_Suppliers!$A$2:$G$101,3,FALSE)</f>
        <v>Denmark</v>
      </c>
      <c r="M1901" t="str">
        <f>VLOOKUP(B1901,Raw_Suppliers!$A$2:$G$101,4,FALSE)</f>
        <v>East</v>
      </c>
      <c r="N1901" t="str">
        <f>VLOOKUP(B1901,Raw_Suppliers!$A$2:$G$101,6,FALSE)</f>
        <v>ISO 45001</v>
      </c>
      <c r="O1901">
        <f>VLOOKUP(B1901,Raw_Suppliers!$A$2:$G$101,7,FALSE)</f>
        <v>0</v>
      </c>
      <c r="P1901" t="str">
        <f t="shared" si="175"/>
        <v>No</v>
      </c>
      <c r="Q1901">
        <f t="shared" si="176"/>
        <v>0</v>
      </c>
      <c r="R1901" t="str">
        <f t="shared" si="177"/>
        <v>Late</v>
      </c>
      <c r="S1901">
        <f t="shared" si="178"/>
        <v>2021</v>
      </c>
      <c r="T1901">
        <f t="shared" si="179"/>
        <v>2</v>
      </c>
    </row>
    <row r="1902" spans="1:20" x14ac:dyDescent="0.25">
      <c r="A1902" t="s">
        <v>2209</v>
      </c>
      <c r="B1902" t="s">
        <v>261</v>
      </c>
      <c r="C1902" t="s">
        <v>165</v>
      </c>
      <c r="D1902" s="1">
        <v>44293</v>
      </c>
      <c r="E1902">
        <v>12</v>
      </c>
      <c r="F1902">
        <v>3.3418731147776701</v>
      </c>
      <c r="G1902" s="1">
        <v>44316</v>
      </c>
      <c r="H1902" s="1">
        <v>44322</v>
      </c>
      <c r="I1902">
        <v>40.1024773773321</v>
      </c>
      <c r="J1902">
        <f t="shared" si="174"/>
        <v>6</v>
      </c>
      <c r="K1902" t="str">
        <f>VLOOKUP(B1902,Raw_Suppliers!$A$2:$G$101,2,FALSE)</f>
        <v>Delta Fusion Corp</v>
      </c>
      <c r="L1902" t="str">
        <f>VLOOKUP(B1902,Raw_Suppliers!$A$2:$G$101,3,FALSE)</f>
        <v>Denmark</v>
      </c>
      <c r="M1902" t="str">
        <f>VLOOKUP(B1902,Raw_Suppliers!$A$2:$G$101,4,FALSE)</f>
        <v>West</v>
      </c>
      <c r="N1902" t="str">
        <f>VLOOKUP(B1902,Raw_Suppliers!$A$2:$G$101,6,FALSE)</f>
        <v>ISO 45001</v>
      </c>
      <c r="O1902">
        <f>VLOOKUP(B1902,Raw_Suppliers!$A$2:$G$101,7,FALSE)</f>
        <v>0</v>
      </c>
      <c r="P1902" t="str">
        <f t="shared" si="175"/>
        <v>No</v>
      </c>
      <c r="Q1902">
        <f t="shared" si="176"/>
        <v>0</v>
      </c>
      <c r="R1902" t="str">
        <f t="shared" si="177"/>
        <v>Late</v>
      </c>
      <c r="S1902">
        <f t="shared" si="178"/>
        <v>2021</v>
      </c>
      <c r="T1902">
        <f t="shared" si="179"/>
        <v>4</v>
      </c>
    </row>
    <row r="1903" spans="1:20" x14ac:dyDescent="0.25">
      <c r="A1903" t="s">
        <v>2210</v>
      </c>
      <c r="B1903" t="s">
        <v>379</v>
      </c>
      <c r="C1903" t="s">
        <v>97</v>
      </c>
      <c r="D1903" s="1">
        <v>44874</v>
      </c>
      <c r="E1903">
        <v>8</v>
      </c>
      <c r="F1903">
        <v>34.516590582662097</v>
      </c>
      <c r="G1903" s="1">
        <v>44898</v>
      </c>
      <c r="H1903" s="1">
        <v>44895</v>
      </c>
      <c r="I1903">
        <v>276.132724661297</v>
      </c>
      <c r="J1903">
        <f t="shared" si="174"/>
        <v>-3</v>
      </c>
      <c r="K1903" t="str">
        <f>VLOOKUP(B1903,Raw_Suppliers!$A$2:$G$101,2,FALSE)</f>
        <v>Apex Fusion Ltd</v>
      </c>
      <c r="L1903" t="str">
        <f>VLOOKUP(B1903,Raw_Suppliers!$A$2:$G$101,3,FALSE)</f>
        <v>USA</v>
      </c>
      <c r="M1903" t="str">
        <f>VLOOKUP(B1903,Raw_Suppliers!$A$2:$G$101,4,FALSE)</f>
        <v>East</v>
      </c>
      <c r="N1903" t="str">
        <f>VLOOKUP(B1903,Raw_Suppliers!$A$2:$G$101,6,FALSE)</f>
        <v>ISO 14001</v>
      </c>
      <c r="O1903">
        <f>VLOOKUP(B1903,Raw_Suppliers!$A$2:$G$101,7,FALSE)</f>
        <v>1</v>
      </c>
      <c r="P1903" t="str">
        <f t="shared" si="175"/>
        <v>Yes</v>
      </c>
      <c r="Q1903">
        <f t="shared" si="176"/>
        <v>1</v>
      </c>
      <c r="R1903" t="str">
        <f t="shared" si="177"/>
        <v>On Time</v>
      </c>
      <c r="S1903">
        <f t="shared" si="178"/>
        <v>2022</v>
      </c>
      <c r="T1903">
        <f t="shared" si="179"/>
        <v>11</v>
      </c>
    </row>
    <row r="1904" spans="1:20" x14ac:dyDescent="0.25">
      <c r="A1904" t="s">
        <v>2211</v>
      </c>
      <c r="B1904" t="s">
        <v>79</v>
      </c>
      <c r="C1904" t="s">
        <v>283</v>
      </c>
      <c r="D1904" s="1">
        <v>44662</v>
      </c>
      <c r="E1904">
        <v>7</v>
      </c>
      <c r="F1904">
        <v>53.523892403160403</v>
      </c>
      <c r="G1904" s="1">
        <v>44677</v>
      </c>
      <c r="H1904" s="1">
        <v>44676</v>
      </c>
      <c r="I1904">
        <v>374.66724682212299</v>
      </c>
      <c r="J1904">
        <f t="shared" si="174"/>
        <v>-1</v>
      </c>
      <c r="K1904" t="str">
        <f>VLOOKUP(B1904,Raw_Suppliers!$A$2:$G$101,2,FALSE)</f>
        <v>Vertex Fusion Inc</v>
      </c>
      <c r="L1904" t="str">
        <f>VLOOKUP(B1904,Raw_Suppliers!$A$2:$G$101,3,FALSE)</f>
        <v>India</v>
      </c>
      <c r="M1904" t="str">
        <f>VLOOKUP(B1904,Raw_Suppliers!$A$2:$G$101,4,FALSE)</f>
        <v>Central</v>
      </c>
      <c r="N1904" t="str">
        <f>VLOOKUP(B1904,Raw_Suppliers!$A$2:$G$101,6,FALSE)</f>
        <v>ISO 9001</v>
      </c>
      <c r="O1904">
        <f>VLOOKUP(B1904,Raw_Suppliers!$A$2:$G$101,7,FALSE)</f>
        <v>0</v>
      </c>
      <c r="P1904" t="str">
        <f t="shared" si="175"/>
        <v>No</v>
      </c>
      <c r="Q1904">
        <f t="shared" si="176"/>
        <v>1</v>
      </c>
      <c r="R1904" t="str">
        <f t="shared" si="177"/>
        <v>On Time</v>
      </c>
      <c r="S1904">
        <f t="shared" si="178"/>
        <v>2022</v>
      </c>
      <c r="T1904">
        <f t="shared" si="179"/>
        <v>4</v>
      </c>
    </row>
    <row r="1905" spans="1:20" x14ac:dyDescent="0.25">
      <c r="A1905" t="s">
        <v>2212</v>
      </c>
      <c r="B1905" t="s">
        <v>157</v>
      </c>
      <c r="C1905" t="s">
        <v>396</v>
      </c>
      <c r="D1905" s="1">
        <v>45365</v>
      </c>
      <c r="E1905">
        <v>11</v>
      </c>
      <c r="F1905">
        <v>74.947069436736896</v>
      </c>
      <c r="G1905" s="1">
        <v>45382</v>
      </c>
      <c r="H1905" s="1">
        <v>45387</v>
      </c>
      <c r="I1905">
        <v>824.41776380410602</v>
      </c>
      <c r="J1905">
        <f t="shared" si="174"/>
        <v>5</v>
      </c>
      <c r="K1905" t="str">
        <f>VLOOKUP(B1905,Raw_Suppliers!$A$2:$G$101,2,FALSE)</f>
        <v>Pioneer Omega Ltd</v>
      </c>
      <c r="L1905" t="str">
        <f>VLOOKUP(B1905,Raw_Suppliers!$A$2:$G$101,3,FALSE)</f>
        <v>Brazil</v>
      </c>
      <c r="M1905" t="str">
        <f>VLOOKUP(B1905,Raw_Suppliers!$A$2:$G$101,4,FALSE)</f>
        <v>East</v>
      </c>
      <c r="N1905" t="str">
        <f>VLOOKUP(B1905,Raw_Suppliers!$A$2:$G$101,6,FALSE)</f>
        <v>None</v>
      </c>
      <c r="O1905">
        <f>VLOOKUP(B1905,Raw_Suppliers!$A$2:$G$101,7,FALSE)</f>
        <v>0</v>
      </c>
      <c r="P1905" t="str">
        <f t="shared" si="175"/>
        <v>No</v>
      </c>
      <c r="Q1905">
        <f t="shared" si="176"/>
        <v>0</v>
      </c>
      <c r="R1905" t="str">
        <f t="shared" si="177"/>
        <v>Late</v>
      </c>
      <c r="S1905">
        <f t="shared" si="178"/>
        <v>2024</v>
      </c>
      <c r="T1905">
        <f t="shared" si="179"/>
        <v>3</v>
      </c>
    </row>
    <row r="1906" spans="1:20" x14ac:dyDescent="0.25">
      <c r="A1906" t="s">
        <v>2213</v>
      </c>
      <c r="B1906" t="s">
        <v>493</v>
      </c>
      <c r="C1906" t="s">
        <v>402</v>
      </c>
      <c r="D1906" s="1">
        <v>44294</v>
      </c>
      <c r="E1906">
        <v>11</v>
      </c>
      <c r="F1906">
        <v>63.6537194701122</v>
      </c>
      <c r="G1906" s="1">
        <v>44310</v>
      </c>
      <c r="H1906" s="1">
        <v>44314</v>
      </c>
      <c r="I1906">
        <v>700.19091417123502</v>
      </c>
      <c r="J1906">
        <f t="shared" si="174"/>
        <v>4</v>
      </c>
      <c r="K1906" t="str">
        <f>VLOOKUP(B1906,Raw_Suppliers!$A$2:$G$101,2,FALSE)</f>
        <v>Delta Vertex LLC</v>
      </c>
      <c r="L1906" t="str">
        <f>VLOOKUP(B1906,Raw_Suppliers!$A$2:$G$101,3,FALSE)</f>
        <v>China</v>
      </c>
      <c r="M1906" t="str">
        <f>VLOOKUP(B1906,Raw_Suppliers!$A$2:$G$101,4,FALSE)</f>
        <v>East</v>
      </c>
      <c r="N1906" t="str">
        <f>VLOOKUP(B1906,Raw_Suppliers!$A$2:$G$101,6,FALSE)</f>
        <v>None</v>
      </c>
      <c r="O1906">
        <f>VLOOKUP(B1906,Raw_Suppliers!$A$2:$G$101,7,FALSE)</f>
        <v>0</v>
      </c>
      <c r="P1906" t="str">
        <f t="shared" si="175"/>
        <v>No</v>
      </c>
      <c r="Q1906">
        <f t="shared" si="176"/>
        <v>0</v>
      </c>
      <c r="R1906" t="str">
        <f t="shared" si="177"/>
        <v>Late</v>
      </c>
      <c r="S1906">
        <f t="shared" si="178"/>
        <v>2021</v>
      </c>
      <c r="T1906">
        <f t="shared" si="179"/>
        <v>4</v>
      </c>
    </row>
    <row r="1907" spans="1:20" x14ac:dyDescent="0.25">
      <c r="A1907" t="s">
        <v>2214</v>
      </c>
      <c r="B1907" t="s">
        <v>121</v>
      </c>
      <c r="C1907" t="s">
        <v>274</v>
      </c>
      <c r="D1907" s="1">
        <v>44312</v>
      </c>
      <c r="E1907">
        <v>10</v>
      </c>
      <c r="F1907">
        <v>19.414335104364302</v>
      </c>
      <c r="G1907" s="1">
        <v>44323</v>
      </c>
      <c r="H1907" s="1">
        <v>44326</v>
      </c>
      <c r="I1907">
        <v>194.14335104364301</v>
      </c>
      <c r="J1907">
        <f t="shared" si="174"/>
        <v>3</v>
      </c>
      <c r="K1907" t="str">
        <f>VLOOKUP(B1907,Raw_Suppliers!$A$2:$G$101,2,FALSE)</f>
        <v>Vertex Vertex Inc</v>
      </c>
      <c r="L1907" t="str">
        <f>VLOOKUP(B1907,Raw_Suppliers!$A$2:$G$101,3,FALSE)</f>
        <v>USA</v>
      </c>
      <c r="M1907" t="str">
        <f>VLOOKUP(B1907,Raw_Suppliers!$A$2:$G$101,4,FALSE)</f>
        <v>West</v>
      </c>
      <c r="N1907" t="str">
        <f>VLOOKUP(B1907,Raw_Suppliers!$A$2:$G$101,6,FALSE)</f>
        <v>None</v>
      </c>
      <c r="O1907">
        <f>VLOOKUP(B1907,Raw_Suppliers!$A$2:$G$101,7,FALSE)</f>
        <v>0</v>
      </c>
      <c r="P1907" t="str">
        <f t="shared" si="175"/>
        <v>No</v>
      </c>
      <c r="Q1907">
        <f t="shared" si="176"/>
        <v>0</v>
      </c>
      <c r="R1907" t="str">
        <f t="shared" si="177"/>
        <v>Late</v>
      </c>
      <c r="S1907">
        <f t="shared" si="178"/>
        <v>2021</v>
      </c>
      <c r="T1907">
        <f t="shared" si="179"/>
        <v>4</v>
      </c>
    </row>
    <row r="1908" spans="1:20" x14ac:dyDescent="0.25">
      <c r="A1908" t="s">
        <v>2215</v>
      </c>
      <c r="B1908" t="s">
        <v>451</v>
      </c>
      <c r="C1908" t="s">
        <v>466</v>
      </c>
      <c r="D1908" s="1">
        <v>44579</v>
      </c>
      <c r="E1908">
        <v>6</v>
      </c>
      <c r="F1908">
        <v>57.171518258443101</v>
      </c>
      <c r="G1908" s="1">
        <v>44594</v>
      </c>
      <c r="H1908" s="1">
        <v>44599</v>
      </c>
      <c r="I1908">
        <v>343.02910955065897</v>
      </c>
      <c r="J1908">
        <f t="shared" si="174"/>
        <v>5</v>
      </c>
      <c r="K1908" t="str">
        <f>VLOOKUP(B1908,Raw_Suppliers!$A$2:$G$101,2,FALSE)</f>
        <v>Beta Apex Corp</v>
      </c>
      <c r="L1908" t="str">
        <f>VLOOKUP(B1908,Raw_Suppliers!$A$2:$G$101,3,FALSE)</f>
        <v>India</v>
      </c>
      <c r="M1908" t="str">
        <f>VLOOKUP(B1908,Raw_Suppliers!$A$2:$G$101,4,FALSE)</f>
        <v>Central</v>
      </c>
      <c r="N1908" t="str">
        <f>VLOOKUP(B1908,Raw_Suppliers!$A$2:$G$101,6,FALSE)</f>
        <v>ISO 9001</v>
      </c>
      <c r="O1908">
        <f>VLOOKUP(B1908,Raw_Suppliers!$A$2:$G$101,7,FALSE)</f>
        <v>0</v>
      </c>
      <c r="P1908" t="str">
        <f t="shared" si="175"/>
        <v>No</v>
      </c>
      <c r="Q1908">
        <f t="shared" si="176"/>
        <v>0</v>
      </c>
      <c r="R1908" t="str">
        <f t="shared" si="177"/>
        <v>Late</v>
      </c>
      <c r="S1908">
        <f t="shared" si="178"/>
        <v>2022</v>
      </c>
      <c r="T1908">
        <f t="shared" si="179"/>
        <v>1</v>
      </c>
    </row>
    <row r="1909" spans="1:20" x14ac:dyDescent="0.25">
      <c r="A1909" t="s">
        <v>2216</v>
      </c>
      <c r="B1909" t="s">
        <v>46</v>
      </c>
      <c r="C1909" t="s">
        <v>302</v>
      </c>
      <c r="D1909" s="1">
        <v>44348</v>
      </c>
      <c r="E1909">
        <v>12</v>
      </c>
      <c r="F1909">
        <v>64.138399920717703</v>
      </c>
      <c r="G1909" s="1">
        <v>44369</v>
      </c>
      <c r="H1909" s="1">
        <v>44371</v>
      </c>
      <c r="I1909">
        <v>769.66079904861294</v>
      </c>
      <c r="J1909">
        <f t="shared" si="174"/>
        <v>2</v>
      </c>
      <c r="K1909" t="str">
        <f>VLOOKUP(B1909,Raw_Suppliers!$A$2:$G$101,2,FALSE)</f>
        <v>Prime Prime Inc</v>
      </c>
      <c r="L1909" t="str">
        <f>VLOOKUP(B1909,Raw_Suppliers!$A$2:$G$101,3,FALSE)</f>
        <v>UK</v>
      </c>
      <c r="M1909" t="str">
        <f>VLOOKUP(B1909,Raw_Suppliers!$A$2:$G$101,4,FALSE)</f>
        <v>South</v>
      </c>
      <c r="N1909" t="str">
        <f>VLOOKUP(B1909,Raw_Suppliers!$A$2:$G$101,6,FALSE)</f>
        <v>None</v>
      </c>
      <c r="O1909">
        <f>VLOOKUP(B1909,Raw_Suppliers!$A$2:$G$101,7,FALSE)</f>
        <v>1</v>
      </c>
      <c r="P1909" t="str">
        <f t="shared" si="175"/>
        <v>Yes</v>
      </c>
      <c r="Q1909">
        <f t="shared" si="176"/>
        <v>0</v>
      </c>
      <c r="R1909" t="str">
        <f t="shared" si="177"/>
        <v>Late</v>
      </c>
      <c r="S1909">
        <f t="shared" si="178"/>
        <v>2021</v>
      </c>
      <c r="T1909">
        <f t="shared" si="179"/>
        <v>6</v>
      </c>
    </row>
    <row r="1910" spans="1:20" x14ac:dyDescent="0.25">
      <c r="A1910" t="s">
        <v>2217</v>
      </c>
      <c r="B1910" t="s">
        <v>160</v>
      </c>
      <c r="C1910" t="s">
        <v>94</v>
      </c>
      <c r="D1910" s="1">
        <v>44900</v>
      </c>
      <c r="E1910">
        <v>12</v>
      </c>
      <c r="F1910">
        <v>61.266247903113701</v>
      </c>
      <c r="G1910" s="1">
        <v>44917</v>
      </c>
      <c r="H1910" s="1">
        <v>44916</v>
      </c>
      <c r="I1910">
        <v>735.19497483736404</v>
      </c>
      <c r="J1910">
        <f t="shared" si="174"/>
        <v>-1</v>
      </c>
      <c r="K1910" t="str">
        <f>VLOOKUP(B1910,Raw_Suppliers!$A$2:$G$101,2,FALSE)</f>
        <v>Omega Beta Corp</v>
      </c>
      <c r="L1910" t="str">
        <f>VLOOKUP(B1910,Raw_Suppliers!$A$2:$G$101,3,FALSE)</f>
        <v>China</v>
      </c>
      <c r="M1910" t="str">
        <f>VLOOKUP(B1910,Raw_Suppliers!$A$2:$G$101,4,FALSE)</f>
        <v>East</v>
      </c>
      <c r="N1910" t="str">
        <f>VLOOKUP(B1910,Raw_Suppliers!$A$2:$G$101,6,FALSE)</f>
        <v>ISO 45001</v>
      </c>
      <c r="O1910">
        <f>VLOOKUP(B1910,Raw_Suppliers!$A$2:$G$101,7,FALSE)</f>
        <v>1</v>
      </c>
      <c r="P1910" t="str">
        <f t="shared" si="175"/>
        <v>Yes</v>
      </c>
      <c r="Q1910">
        <f t="shared" si="176"/>
        <v>1</v>
      </c>
      <c r="R1910" t="str">
        <f t="shared" si="177"/>
        <v>On Time</v>
      </c>
      <c r="S1910">
        <f t="shared" si="178"/>
        <v>2022</v>
      </c>
      <c r="T1910">
        <f t="shared" si="179"/>
        <v>12</v>
      </c>
    </row>
    <row r="1911" spans="1:20" x14ac:dyDescent="0.25">
      <c r="A1911" t="s">
        <v>2218</v>
      </c>
      <c r="B1911" t="s">
        <v>359</v>
      </c>
      <c r="C1911" t="s">
        <v>415</v>
      </c>
      <c r="D1911" s="1">
        <v>44427</v>
      </c>
      <c r="E1911">
        <v>7</v>
      </c>
      <c r="F1911">
        <v>4.58997460344278</v>
      </c>
      <c r="G1911" s="1">
        <v>44444</v>
      </c>
      <c r="H1911" s="1">
        <v>44445</v>
      </c>
      <c r="I1911">
        <v>32.129822224099499</v>
      </c>
      <c r="J1911">
        <f t="shared" si="174"/>
        <v>1</v>
      </c>
      <c r="K1911" t="str">
        <f>VLOOKUP(B1911,Raw_Suppliers!$A$2:$G$101,2,FALSE)</f>
        <v>Alpha Alpha Corp</v>
      </c>
      <c r="L1911" t="str">
        <f>VLOOKUP(B1911,Raw_Suppliers!$A$2:$G$101,3,FALSE)</f>
        <v>India</v>
      </c>
      <c r="M1911" t="str">
        <f>VLOOKUP(B1911,Raw_Suppliers!$A$2:$G$101,4,FALSE)</f>
        <v>North</v>
      </c>
      <c r="N1911" t="str">
        <f>VLOOKUP(B1911,Raw_Suppliers!$A$2:$G$101,6,FALSE)</f>
        <v>ISO 9001</v>
      </c>
      <c r="O1911">
        <f>VLOOKUP(B1911,Raw_Suppliers!$A$2:$G$101,7,FALSE)</f>
        <v>1</v>
      </c>
      <c r="P1911" t="str">
        <f t="shared" si="175"/>
        <v>Yes</v>
      </c>
      <c r="Q1911">
        <f t="shared" si="176"/>
        <v>0</v>
      </c>
      <c r="R1911" t="str">
        <f t="shared" si="177"/>
        <v>Late</v>
      </c>
      <c r="S1911">
        <f t="shared" si="178"/>
        <v>2021</v>
      </c>
      <c r="T1911">
        <f t="shared" si="179"/>
        <v>8</v>
      </c>
    </row>
    <row r="1912" spans="1:20" x14ac:dyDescent="0.25">
      <c r="A1912" t="s">
        <v>2219</v>
      </c>
      <c r="B1912" t="s">
        <v>88</v>
      </c>
      <c r="C1912" t="s">
        <v>792</v>
      </c>
      <c r="D1912" s="1">
        <v>44802</v>
      </c>
      <c r="E1912">
        <v>8</v>
      </c>
      <c r="F1912">
        <v>28.989410095178101</v>
      </c>
      <c r="G1912" s="1">
        <v>44815</v>
      </c>
      <c r="H1912" s="1">
        <v>44821</v>
      </c>
      <c r="I1912">
        <v>231.91528076142501</v>
      </c>
      <c r="J1912">
        <f t="shared" si="174"/>
        <v>6</v>
      </c>
      <c r="K1912" t="str">
        <f>VLOOKUP(B1912,Raw_Suppliers!$A$2:$G$101,2,FALSE)</f>
        <v>Eco Nano GmbH</v>
      </c>
      <c r="L1912" t="str">
        <f>VLOOKUP(B1912,Raw_Suppliers!$A$2:$G$101,3,FALSE)</f>
        <v>Denmark</v>
      </c>
      <c r="M1912" t="str">
        <f>VLOOKUP(B1912,Raw_Suppliers!$A$2:$G$101,4,FALSE)</f>
        <v>Central</v>
      </c>
      <c r="N1912" t="str">
        <f>VLOOKUP(B1912,Raw_Suppliers!$A$2:$G$101,6,FALSE)</f>
        <v>ISO 9001</v>
      </c>
      <c r="O1912">
        <f>VLOOKUP(B1912,Raw_Suppliers!$A$2:$G$101,7,FALSE)</f>
        <v>1</v>
      </c>
      <c r="P1912" t="str">
        <f t="shared" si="175"/>
        <v>Yes</v>
      </c>
      <c r="Q1912">
        <f t="shared" si="176"/>
        <v>0</v>
      </c>
      <c r="R1912" t="str">
        <f t="shared" si="177"/>
        <v>Late</v>
      </c>
      <c r="S1912">
        <f t="shared" si="178"/>
        <v>2022</v>
      </c>
      <c r="T1912">
        <f t="shared" si="179"/>
        <v>8</v>
      </c>
    </row>
    <row r="1913" spans="1:20" x14ac:dyDescent="0.25">
      <c r="A1913" t="s">
        <v>2220</v>
      </c>
      <c r="B1913" t="s">
        <v>203</v>
      </c>
      <c r="C1913" t="s">
        <v>972</v>
      </c>
      <c r="D1913" s="1">
        <v>44291</v>
      </c>
      <c r="E1913">
        <v>16</v>
      </c>
      <c r="F1913">
        <v>30.462495538796201</v>
      </c>
      <c r="G1913" s="1">
        <v>44314</v>
      </c>
      <c r="H1913" s="1">
        <v>44320</v>
      </c>
      <c r="I1913">
        <v>487.39992862073899</v>
      </c>
      <c r="J1913">
        <f t="shared" si="174"/>
        <v>6</v>
      </c>
      <c r="K1913" t="str">
        <f>VLOOKUP(B1913,Raw_Suppliers!$A$2:$G$101,2,FALSE)</f>
        <v>Nova Eco LLC</v>
      </c>
      <c r="L1913" t="str">
        <f>VLOOKUP(B1913,Raw_Suppliers!$A$2:$G$101,3,FALSE)</f>
        <v>Denmark</v>
      </c>
      <c r="M1913" t="str">
        <f>VLOOKUP(B1913,Raw_Suppliers!$A$2:$G$101,4,FALSE)</f>
        <v>South</v>
      </c>
      <c r="N1913" t="str">
        <f>VLOOKUP(B1913,Raw_Suppliers!$A$2:$G$101,6,FALSE)</f>
        <v>ISO 14001</v>
      </c>
      <c r="O1913">
        <f>VLOOKUP(B1913,Raw_Suppliers!$A$2:$G$101,7,FALSE)</f>
        <v>0</v>
      </c>
      <c r="P1913" t="str">
        <f t="shared" si="175"/>
        <v>No</v>
      </c>
      <c r="Q1913">
        <f t="shared" si="176"/>
        <v>0</v>
      </c>
      <c r="R1913" t="str">
        <f t="shared" si="177"/>
        <v>Late</v>
      </c>
      <c r="S1913">
        <f t="shared" si="178"/>
        <v>2021</v>
      </c>
      <c r="T1913">
        <f t="shared" si="179"/>
        <v>4</v>
      </c>
    </row>
    <row r="1914" spans="1:20" x14ac:dyDescent="0.25">
      <c r="A1914" t="s">
        <v>2221</v>
      </c>
      <c r="B1914" t="s">
        <v>203</v>
      </c>
      <c r="C1914" t="s">
        <v>122</v>
      </c>
      <c r="D1914" s="1">
        <v>45095</v>
      </c>
      <c r="E1914">
        <v>10</v>
      </c>
      <c r="F1914">
        <v>52.984373067057099</v>
      </c>
      <c r="G1914" s="1">
        <v>45114</v>
      </c>
      <c r="H1914" s="1">
        <v>45117</v>
      </c>
      <c r="I1914">
        <v>529.84373067057095</v>
      </c>
      <c r="J1914">
        <f t="shared" si="174"/>
        <v>3</v>
      </c>
      <c r="K1914" t="str">
        <f>VLOOKUP(B1914,Raw_Suppliers!$A$2:$G$101,2,FALSE)</f>
        <v>Nova Eco LLC</v>
      </c>
      <c r="L1914" t="str">
        <f>VLOOKUP(B1914,Raw_Suppliers!$A$2:$G$101,3,FALSE)</f>
        <v>Denmark</v>
      </c>
      <c r="M1914" t="str">
        <f>VLOOKUP(B1914,Raw_Suppliers!$A$2:$G$101,4,FALSE)</f>
        <v>South</v>
      </c>
      <c r="N1914" t="str">
        <f>VLOOKUP(B1914,Raw_Suppliers!$A$2:$G$101,6,FALSE)</f>
        <v>ISO 14001</v>
      </c>
      <c r="O1914">
        <f>VLOOKUP(B1914,Raw_Suppliers!$A$2:$G$101,7,FALSE)</f>
        <v>0</v>
      </c>
      <c r="P1914" t="str">
        <f t="shared" si="175"/>
        <v>No</v>
      </c>
      <c r="Q1914">
        <f t="shared" si="176"/>
        <v>0</v>
      </c>
      <c r="R1914" t="str">
        <f t="shared" si="177"/>
        <v>Late</v>
      </c>
      <c r="S1914">
        <f t="shared" si="178"/>
        <v>2023</v>
      </c>
      <c r="T1914">
        <f t="shared" si="179"/>
        <v>6</v>
      </c>
    </row>
    <row r="1915" spans="1:20" x14ac:dyDescent="0.25">
      <c r="A1915" t="s">
        <v>2222</v>
      </c>
      <c r="B1915" t="s">
        <v>91</v>
      </c>
      <c r="C1915" t="s">
        <v>689</v>
      </c>
      <c r="D1915" s="1">
        <v>45062</v>
      </c>
      <c r="E1915">
        <v>10</v>
      </c>
      <c r="F1915">
        <v>31.499265453104599</v>
      </c>
      <c r="G1915" s="1">
        <v>45074</v>
      </c>
      <c r="H1915" s="1">
        <v>45074</v>
      </c>
      <c r="I1915">
        <v>314.99265453104601</v>
      </c>
      <c r="J1915">
        <f t="shared" si="174"/>
        <v>0</v>
      </c>
      <c r="K1915" t="str">
        <f>VLOOKUP(B1915,Raw_Suppliers!$A$2:$G$101,2,FALSE)</f>
        <v>Apex Prime Ltd</v>
      </c>
      <c r="L1915" t="str">
        <f>VLOOKUP(B1915,Raw_Suppliers!$A$2:$G$101,3,FALSE)</f>
        <v>India</v>
      </c>
      <c r="M1915" t="str">
        <f>VLOOKUP(B1915,Raw_Suppliers!$A$2:$G$101,4,FALSE)</f>
        <v>South</v>
      </c>
      <c r="N1915" t="str">
        <f>VLOOKUP(B1915,Raw_Suppliers!$A$2:$G$101,6,FALSE)</f>
        <v>ISO 9001</v>
      </c>
      <c r="O1915">
        <f>VLOOKUP(B1915,Raw_Suppliers!$A$2:$G$101,7,FALSE)</f>
        <v>0</v>
      </c>
      <c r="P1915" t="str">
        <f t="shared" si="175"/>
        <v>No</v>
      </c>
      <c r="Q1915">
        <f t="shared" si="176"/>
        <v>1</v>
      </c>
      <c r="R1915" t="str">
        <f t="shared" si="177"/>
        <v>On Time</v>
      </c>
      <c r="S1915">
        <f t="shared" si="178"/>
        <v>2023</v>
      </c>
      <c r="T1915">
        <f t="shared" si="179"/>
        <v>5</v>
      </c>
    </row>
    <row r="1916" spans="1:20" x14ac:dyDescent="0.25">
      <c r="A1916" t="s">
        <v>2223</v>
      </c>
      <c r="B1916" t="s">
        <v>67</v>
      </c>
      <c r="C1916" t="s">
        <v>107</v>
      </c>
      <c r="D1916" s="1">
        <v>45044</v>
      </c>
      <c r="E1916">
        <v>21</v>
      </c>
      <c r="F1916">
        <v>28.9326206512719</v>
      </c>
      <c r="G1916" s="1">
        <v>45059</v>
      </c>
      <c r="H1916" s="1">
        <v>45061</v>
      </c>
      <c r="I1916">
        <v>607.58503367671096</v>
      </c>
      <c r="J1916">
        <f t="shared" si="174"/>
        <v>2</v>
      </c>
      <c r="K1916" t="str">
        <f>VLOOKUP(B1916,Raw_Suppliers!$A$2:$G$101,2,FALSE)</f>
        <v>Nova Eco LLC</v>
      </c>
      <c r="L1916" t="str">
        <f>VLOOKUP(B1916,Raw_Suppliers!$A$2:$G$101,3,FALSE)</f>
        <v>Germany</v>
      </c>
      <c r="M1916" t="str">
        <f>VLOOKUP(B1916,Raw_Suppliers!$A$2:$G$101,4,FALSE)</f>
        <v>Central</v>
      </c>
      <c r="N1916" t="str">
        <f>VLOOKUP(B1916,Raw_Suppliers!$A$2:$G$101,6,FALSE)</f>
        <v>ISO 9001</v>
      </c>
      <c r="O1916">
        <f>VLOOKUP(B1916,Raw_Suppliers!$A$2:$G$101,7,FALSE)</f>
        <v>1</v>
      </c>
      <c r="P1916" t="str">
        <f t="shared" si="175"/>
        <v>Yes</v>
      </c>
      <c r="Q1916">
        <f t="shared" si="176"/>
        <v>0</v>
      </c>
      <c r="R1916" t="str">
        <f t="shared" si="177"/>
        <v>Late</v>
      </c>
      <c r="S1916">
        <f t="shared" si="178"/>
        <v>2023</v>
      </c>
      <c r="T1916">
        <f t="shared" si="179"/>
        <v>4</v>
      </c>
    </row>
    <row r="1917" spans="1:20" x14ac:dyDescent="0.25">
      <c r="A1917" t="s">
        <v>2224</v>
      </c>
      <c r="B1917" t="s">
        <v>67</v>
      </c>
      <c r="C1917" t="s">
        <v>720</v>
      </c>
      <c r="D1917" s="1">
        <v>44665</v>
      </c>
      <c r="E1917">
        <v>14</v>
      </c>
      <c r="F1917">
        <v>66.972743470716495</v>
      </c>
      <c r="G1917" s="1">
        <v>44682</v>
      </c>
      <c r="H1917" s="1">
        <v>44688</v>
      </c>
      <c r="I1917">
        <v>937.61840859003098</v>
      </c>
      <c r="J1917">
        <f t="shared" si="174"/>
        <v>6</v>
      </c>
      <c r="K1917" t="str">
        <f>VLOOKUP(B1917,Raw_Suppliers!$A$2:$G$101,2,FALSE)</f>
        <v>Nova Eco LLC</v>
      </c>
      <c r="L1917" t="str">
        <f>VLOOKUP(B1917,Raw_Suppliers!$A$2:$G$101,3,FALSE)</f>
        <v>Germany</v>
      </c>
      <c r="M1917" t="str">
        <f>VLOOKUP(B1917,Raw_Suppliers!$A$2:$G$101,4,FALSE)</f>
        <v>Central</v>
      </c>
      <c r="N1917" t="str">
        <f>VLOOKUP(B1917,Raw_Suppliers!$A$2:$G$101,6,FALSE)</f>
        <v>ISO 9001</v>
      </c>
      <c r="O1917">
        <f>VLOOKUP(B1917,Raw_Suppliers!$A$2:$G$101,7,FALSE)</f>
        <v>1</v>
      </c>
      <c r="P1917" t="str">
        <f t="shared" si="175"/>
        <v>Yes</v>
      </c>
      <c r="Q1917">
        <f t="shared" si="176"/>
        <v>0</v>
      </c>
      <c r="R1917" t="str">
        <f t="shared" si="177"/>
        <v>Late</v>
      </c>
      <c r="S1917">
        <f t="shared" si="178"/>
        <v>2022</v>
      </c>
      <c r="T1917">
        <f t="shared" si="179"/>
        <v>4</v>
      </c>
    </row>
    <row r="1918" spans="1:20" x14ac:dyDescent="0.25">
      <c r="A1918" t="s">
        <v>2225</v>
      </c>
      <c r="B1918" t="s">
        <v>194</v>
      </c>
      <c r="C1918" t="s">
        <v>251</v>
      </c>
      <c r="D1918" s="1">
        <v>44421</v>
      </c>
      <c r="E1918">
        <v>15</v>
      </c>
      <c r="F1918">
        <v>49.747615096422599</v>
      </c>
      <c r="G1918" s="1">
        <v>44442</v>
      </c>
      <c r="H1918" s="1">
        <v>44441</v>
      </c>
      <c r="I1918">
        <v>746.21422644634004</v>
      </c>
      <c r="J1918">
        <f t="shared" si="174"/>
        <v>-1</v>
      </c>
      <c r="K1918" t="str">
        <f>VLOOKUP(B1918,Raw_Suppliers!$A$2:$G$101,2,FALSE)</f>
        <v>Eco Pioneer Corp</v>
      </c>
      <c r="L1918" t="str">
        <f>VLOOKUP(B1918,Raw_Suppliers!$A$2:$G$101,3,FALSE)</f>
        <v>China</v>
      </c>
      <c r="M1918" t="str">
        <f>VLOOKUP(B1918,Raw_Suppliers!$A$2:$G$101,4,FALSE)</f>
        <v>East</v>
      </c>
      <c r="N1918" t="str">
        <f>VLOOKUP(B1918,Raw_Suppliers!$A$2:$G$101,6,FALSE)</f>
        <v>ISO 14001</v>
      </c>
      <c r="O1918">
        <f>VLOOKUP(B1918,Raw_Suppliers!$A$2:$G$101,7,FALSE)</f>
        <v>1</v>
      </c>
      <c r="P1918" t="str">
        <f t="shared" si="175"/>
        <v>Yes</v>
      </c>
      <c r="Q1918">
        <f t="shared" si="176"/>
        <v>1</v>
      </c>
      <c r="R1918" t="str">
        <f t="shared" si="177"/>
        <v>On Time</v>
      </c>
      <c r="S1918">
        <f t="shared" si="178"/>
        <v>2021</v>
      </c>
      <c r="T1918">
        <f t="shared" si="179"/>
        <v>8</v>
      </c>
    </row>
    <row r="1919" spans="1:20" x14ac:dyDescent="0.25">
      <c r="A1919" t="s">
        <v>2226</v>
      </c>
      <c r="B1919" t="s">
        <v>493</v>
      </c>
      <c r="C1919" t="s">
        <v>317</v>
      </c>
      <c r="D1919" s="1">
        <v>45116</v>
      </c>
      <c r="E1919">
        <v>11</v>
      </c>
      <c r="F1919">
        <v>19.274238213256201</v>
      </c>
      <c r="G1919" s="1">
        <v>45138</v>
      </c>
      <c r="H1919" s="1">
        <v>45144</v>
      </c>
      <c r="I1919">
        <v>212.01662034581801</v>
      </c>
      <c r="J1919">
        <f t="shared" si="174"/>
        <v>6</v>
      </c>
      <c r="K1919" t="str">
        <f>VLOOKUP(B1919,Raw_Suppliers!$A$2:$G$101,2,FALSE)</f>
        <v>Delta Vertex LLC</v>
      </c>
      <c r="L1919" t="str">
        <f>VLOOKUP(B1919,Raw_Suppliers!$A$2:$G$101,3,FALSE)</f>
        <v>China</v>
      </c>
      <c r="M1919" t="str">
        <f>VLOOKUP(B1919,Raw_Suppliers!$A$2:$G$101,4,FALSE)</f>
        <v>East</v>
      </c>
      <c r="N1919" t="str">
        <f>VLOOKUP(B1919,Raw_Suppliers!$A$2:$G$101,6,FALSE)</f>
        <v>None</v>
      </c>
      <c r="O1919">
        <f>VLOOKUP(B1919,Raw_Suppliers!$A$2:$G$101,7,FALSE)</f>
        <v>0</v>
      </c>
      <c r="P1919" t="str">
        <f t="shared" si="175"/>
        <v>No</v>
      </c>
      <c r="Q1919">
        <f t="shared" si="176"/>
        <v>0</v>
      </c>
      <c r="R1919" t="str">
        <f t="shared" si="177"/>
        <v>Late</v>
      </c>
      <c r="S1919">
        <f t="shared" si="178"/>
        <v>2023</v>
      </c>
      <c r="T1919">
        <f t="shared" si="179"/>
        <v>7</v>
      </c>
    </row>
    <row r="1920" spans="1:20" x14ac:dyDescent="0.25">
      <c r="A1920" t="s">
        <v>2227</v>
      </c>
      <c r="B1920" t="s">
        <v>299</v>
      </c>
      <c r="C1920" t="s">
        <v>338</v>
      </c>
      <c r="D1920" s="1">
        <v>44993</v>
      </c>
      <c r="E1920">
        <v>18</v>
      </c>
      <c r="F1920">
        <v>13.9668181287624</v>
      </c>
      <c r="G1920" s="1">
        <v>45014</v>
      </c>
      <c r="H1920" s="1">
        <v>45011</v>
      </c>
      <c r="I1920">
        <v>251.40272631772399</v>
      </c>
      <c r="J1920">
        <f t="shared" si="174"/>
        <v>-3</v>
      </c>
      <c r="K1920" t="str">
        <f>VLOOKUP(B1920,Raw_Suppliers!$A$2:$G$101,2,FALSE)</f>
        <v>Nova Alpha Inc</v>
      </c>
      <c r="L1920" t="str">
        <f>VLOOKUP(B1920,Raw_Suppliers!$A$2:$G$101,3,FALSE)</f>
        <v>UK</v>
      </c>
      <c r="M1920" t="str">
        <f>VLOOKUP(B1920,Raw_Suppliers!$A$2:$G$101,4,FALSE)</f>
        <v>South</v>
      </c>
      <c r="N1920" t="str">
        <f>VLOOKUP(B1920,Raw_Suppliers!$A$2:$G$101,6,FALSE)</f>
        <v>None</v>
      </c>
      <c r="O1920">
        <f>VLOOKUP(B1920,Raw_Suppliers!$A$2:$G$101,7,FALSE)</f>
        <v>1</v>
      </c>
      <c r="P1920" t="str">
        <f t="shared" si="175"/>
        <v>Yes</v>
      </c>
      <c r="Q1920">
        <f t="shared" si="176"/>
        <v>1</v>
      </c>
      <c r="R1920" t="str">
        <f t="shared" si="177"/>
        <v>On Time</v>
      </c>
      <c r="S1920">
        <f t="shared" si="178"/>
        <v>2023</v>
      </c>
      <c r="T1920">
        <f t="shared" si="179"/>
        <v>3</v>
      </c>
    </row>
    <row r="1921" spans="1:20" x14ac:dyDescent="0.25">
      <c r="A1921" t="s">
        <v>2228</v>
      </c>
      <c r="B1921" t="s">
        <v>109</v>
      </c>
      <c r="C1921" t="s">
        <v>428</v>
      </c>
      <c r="D1921" s="1">
        <v>44897</v>
      </c>
      <c r="E1921">
        <v>18</v>
      </c>
      <c r="F1921">
        <v>13.6947896243925</v>
      </c>
      <c r="G1921" s="1">
        <v>44920</v>
      </c>
      <c r="H1921" s="1">
        <v>44923</v>
      </c>
      <c r="I1921">
        <v>246.506213239066</v>
      </c>
      <c r="J1921">
        <f t="shared" si="174"/>
        <v>3</v>
      </c>
      <c r="K1921" t="str">
        <f>VLOOKUP(B1921,Raw_Suppliers!$A$2:$G$101,2,FALSE)</f>
        <v>Nano Fusion GmbH</v>
      </c>
      <c r="L1921" t="str">
        <f>VLOOKUP(B1921,Raw_Suppliers!$A$2:$G$101,3,FALSE)</f>
        <v>Denmark</v>
      </c>
      <c r="M1921" t="str">
        <f>VLOOKUP(B1921,Raw_Suppliers!$A$2:$G$101,4,FALSE)</f>
        <v>North</v>
      </c>
      <c r="N1921" t="str">
        <f>VLOOKUP(B1921,Raw_Suppliers!$A$2:$G$101,6,FALSE)</f>
        <v>ISO 9001</v>
      </c>
      <c r="O1921">
        <f>VLOOKUP(B1921,Raw_Suppliers!$A$2:$G$101,7,FALSE)</f>
        <v>0</v>
      </c>
      <c r="P1921" t="str">
        <f t="shared" si="175"/>
        <v>No</v>
      </c>
      <c r="Q1921">
        <f t="shared" si="176"/>
        <v>0</v>
      </c>
      <c r="R1921" t="str">
        <f t="shared" si="177"/>
        <v>Late</v>
      </c>
      <c r="S1921">
        <f t="shared" si="178"/>
        <v>2022</v>
      </c>
      <c r="T1921">
        <f t="shared" si="179"/>
        <v>12</v>
      </c>
    </row>
    <row r="1922" spans="1:20" x14ac:dyDescent="0.25">
      <c r="A1922" t="s">
        <v>2229</v>
      </c>
      <c r="B1922" t="s">
        <v>475</v>
      </c>
      <c r="C1922" t="s">
        <v>136</v>
      </c>
      <c r="D1922" s="1">
        <v>44214</v>
      </c>
      <c r="E1922">
        <v>9</v>
      </c>
      <c r="F1922">
        <v>7.0034556222690201</v>
      </c>
      <c r="G1922" s="1">
        <v>44236</v>
      </c>
      <c r="H1922" s="1">
        <v>44242</v>
      </c>
      <c r="I1922">
        <v>63.031100600421098</v>
      </c>
      <c r="J1922">
        <f t="shared" si="174"/>
        <v>6</v>
      </c>
      <c r="K1922" t="str">
        <f>VLOOKUP(B1922,Raw_Suppliers!$A$2:$G$101,2,FALSE)</f>
        <v>Ultra Delta LLC</v>
      </c>
      <c r="L1922" t="str">
        <f>VLOOKUP(B1922,Raw_Suppliers!$A$2:$G$101,3,FALSE)</f>
        <v>UK</v>
      </c>
      <c r="M1922" t="str">
        <f>VLOOKUP(B1922,Raw_Suppliers!$A$2:$G$101,4,FALSE)</f>
        <v>North</v>
      </c>
      <c r="N1922" t="str">
        <f>VLOOKUP(B1922,Raw_Suppliers!$A$2:$G$101,6,FALSE)</f>
        <v>None</v>
      </c>
      <c r="O1922">
        <f>VLOOKUP(B1922,Raw_Suppliers!$A$2:$G$101,7,FALSE)</f>
        <v>1</v>
      </c>
      <c r="P1922" t="str">
        <f t="shared" si="175"/>
        <v>Yes</v>
      </c>
      <c r="Q1922">
        <f t="shared" si="176"/>
        <v>0</v>
      </c>
      <c r="R1922" t="str">
        <f t="shared" si="177"/>
        <v>Late</v>
      </c>
      <c r="S1922">
        <f t="shared" si="178"/>
        <v>2021</v>
      </c>
      <c r="T1922">
        <f t="shared" si="179"/>
        <v>1</v>
      </c>
    </row>
    <row r="1923" spans="1:20" x14ac:dyDescent="0.25">
      <c r="A1923" t="s">
        <v>2230</v>
      </c>
      <c r="B1923" t="s">
        <v>399</v>
      </c>
      <c r="C1923" t="s">
        <v>268</v>
      </c>
      <c r="D1923" s="1">
        <v>44358</v>
      </c>
      <c r="E1923">
        <v>11</v>
      </c>
      <c r="F1923">
        <v>58.685398936432897</v>
      </c>
      <c r="G1923" s="1">
        <v>44377</v>
      </c>
      <c r="H1923" s="1">
        <v>44377</v>
      </c>
      <c r="I1923">
        <v>645.53938830076197</v>
      </c>
      <c r="J1923">
        <f t="shared" ref="J1923:J1986" si="180">H1923-G1923</f>
        <v>0</v>
      </c>
      <c r="K1923" t="str">
        <f>VLOOKUP(B1923,Raw_Suppliers!$A$2:$G$101,2,FALSE)</f>
        <v>Omega Nano Corp</v>
      </c>
      <c r="L1923" t="str">
        <f>VLOOKUP(B1923,Raw_Suppliers!$A$2:$G$101,3,FALSE)</f>
        <v>Brazil</v>
      </c>
      <c r="M1923" t="str">
        <f>VLOOKUP(B1923,Raw_Suppliers!$A$2:$G$101,4,FALSE)</f>
        <v>Central</v>
      </c>
      <c r="N1923" t="str">
        <f>VLOOKUP(B1923,Raw_Suppliers!$A$2:$G$101,6,FALSE)</f>
        <v>ISO 14001</v>
      </c>
      <c r="O1923">
        <f>VLOOKUP(B1923,Raw_Suppliers!$A$2:$G$101,7,FALSE)</f>
        <v>0</v>
      </c>
      <c r="P1923" t="str">
        <f t="shared" ref="P1923:P1986" si="181">IF(O1923=1,"Yes","No")</f>
        <v>No</v>
      </c>
      <c r="Q1923">
        <f t="shared" ref="Q1923:Q1986" si="182">IF(J1923&lt;=0,1,0)</f>
        <v>1</v>
      </c>
      <c r="R1923" t="str">
        <f t="shared" ref="R1923:R1986" si="183">IF(Q1923=1,"On Time","Late")</f>
        <v>On Time</v>
      </c>
      <c r="S1923">
        <f t="shared" ref="S1923:S1986" si="184">YEAR(D1923)</f>
        <v>2021</v>
      </c>
      <c r="T1923">
        <f t="shared" ref="T1923:T1986" si="185">MONTH(D1923)</f>
        <v>6</v>
      </c>
    </row>
    <row r="1924" spans="1:20" x14ac:dyDescent="0.25">
      <c r="A1924" t="s">
        <v>2231</v>
      </c>
      <c r="B1924" t="s">
        <v>104</v>
      </c>
      <c r="C1924" t="s">
        <v>122</v>
      </c>
      <c r="D1924" s="1">
        <v>44395</v>
      </c>
      <c r="E1924">
        <v>8</v>
      </c>
      <c r="F1924">
        <v>14.235764629426001</v>
      </c>
      <c r="G1924" s="1">
        <v>44417</v>
      </c>
      <c r="H1924" s="1">
        <v>44418</v>
      </c>
      <c r="I1924">
        <v>113.88611703540801</v>
      </c>
      <c r="J1924">
        <f t="shared" si="180"/>
        <v>1</v>
      </c>
      <c r="K1924" t="str">
        <f>VLOOKUP(B1924,Raw_Suppliers!$A$2:$G$101,2,FALSE)</f>
        <v>Prime Omega Corp</v>
      </c>
      <c r="L1924" t="str">
        <f>VLOOKUP(B1924,Raw_Suppliers!$A$2:$G$101,3,FALSE)</f>
        <v>India</v>
      </c>
      <c r="M1924" t="str">
        <f>VLOOKUP(B1924,Raw_Suppliers!$A$2:$G$101,4,FALSE)</f>
        <v>Central</v>
      </c>
      <c r="N1924" t="str">
        <f>VLOOKUP(B1924,Raw_Suppliers!$A$2:$G$101,6,FALSE)</f>
        <v>ISO 14001</v>
      </c>
      <c r="O1924">
        <f>VLOOKUP(B1924,Raw_Suppliers!$A$2:$G$101,7,FALSE)</f>
        <v>0</v>
      </c>
      <c r="P1924" t="str">
        <f t="shared" si="181"/>
        <v>No</v>
      </c>
      <c r="Q1924">
        <f t="shared" si="182"/>
        <v>0</v>
      </c>
      <c r="R1924" t="str">
        <f t="shared" si="183"/>
        <v>Late</v>
      </c>
      <c r="S1924">
        <f t="shared" si="184"/>
        <v>2021</v>
      </c>
      <c r="T1924">
        <f t="shared" si="185"/>
        <v>7</v>
      </c>
    </row>
    <row r="1925" spans="1:20" x14ac:dyDescent="0.25">
      <c r="A1925" t="s">
        <v>2232</v>
      </c>
      <c r="B1925" t="s">
        <v>326</v>
      </c>
      <c r="C1925" t="s">
        <v>527</v>
      </c>
      <c r="D1925" s="1">
        <v>44713</v>
      </c>
      <c r="E1925">
        <v>10</v>
      </c>
      <c r="F1925">
        <v>75.993201422971197</v>
      </c>
      <c r="G1925" s="1">
        <v>44726</v>
      </c>
      <c r="H1925" s="1">
        <v>44729</v>
      </c>
      <c r="I1925">
        <v>759.93201422971197</v>
      </c>
      <c r="J1925">
        <f t="shared" si="180"/>
        <v>3</v>
      </c>
      <c r="K1925" t="str">
        <f>VLOOKUP(B1925,Raw_Suppliers!$A$2:$G$101,2,FALSE)</f>
        <v>Ultra Fusion Corp</v>
      </c>
      <c r="L1925" t="str">
        <f>VLOOKUP(B1925,Raw_Suppliers!$A$2:$G$101,3,FALSE)</f>
        <v>Canada</v>
      </c>
      <c r="M1925" t="str">
        <f>VLOOKUP(B1925,Raw_Suppliers!$A$2:$G$101,4,FALSE)</f>
        <v>South</v>
      </c>
      <c r="N1925" t="str">
        <f>VLOOKUP(B1925,Raw_Suppliers!$A$2:$G$101,6,FALSE)</f>
        <v>None</v>
      </c>
      <c r="O1925">
        <f>VLOOKUP(B1925,Raw_Suppliers!$A$2:$G$101,7,FALSE)</f>
        <v>1</v>
      </c>
      <c r="P1925" t="str">
        <f t="shared" si="181"/>
        <v>Yes</v>
      </c>
      <c r="Q1925">
        <f t="shared" si="182"/>
        <v>0</v>
      </c>
      <c r="R1925" t="str">
        <f t="shared" si="183"/>
        <v>Late</v>
      </c>
      <c r="S1925">
        <f t="shared" si="184"/>
        <v>2022</v>
      </c>
      <c r="T1925">
        <f t="shared" si="185"/>
        <v>6</v>
      </c>
    </row>
    <row r="1926" spans="1:20" x14ac:dyDescent="0.25">
      <c r="A1926" t="s">
        <v>2233</v>
      </c>
      <c r="B1926" t="s">
        <v>55</v>
      </c>
      <c r="C1926" t="s">
        <v>540</v>
      </c>
      <c r="D1926" s="1">
        <v>44637</v>
      </c>
      <c r="E1926">
        <v>10</v>
      </c>
      <c r="F1926">
        <v>79.9337941027445</v>
      </c>
      <c r="G1926" s="1">
        <v>44660</v>
      </c>
      <c r="H1926" s="1">
        <v>44658</v>
      </c>
      <c r="I1926">
        <v>799.33794102744503</v>
      </c>
      <c r="J1926">
        <f t="shared" si="180"/>
        <v>-2</v>
      </c>
      <c r="K1926" t="str">
        <f>VLOOKUP(B1926,Raw_Suppliers!$A$2:$G$101,2,FALSE)</f>
        <v>Prime Vertex Inc</v>
      </c>
      <c r="L1926" t="str">
        <f>VLOOKUP(B1926,Raw_Suppliers!$A$2:$G$101,3,FALSE)</f>
        <v>Germany</v>
      </c>
      <c r="M1926" t="str">
        <f>VLOOKUP(B1926,Raw_Suppliers!$A$2:$G$101,4,FALSE)</f>
        <v>South</v>
      </c>
      <c r="N1926" t="str">
        <f>VLOOKUP(B1926,Raw_Suppliers!$A$2:$G$101,6,FALSE)</f>
        <v>ISO 14001</v>
      </c>
      <c r="O1926">
        <f>VLOOKUP(B1926,Raw_Suppliers!$A$2:$G$101,7,FALSE)</f>
        <v>0</v>
      </c>
      <c r="P1926" t="str">
        <f t="shared" si="181"/>
        <v>No</v>
      </c>
      <c r="Q1926">
        <f t="shared" si="182"/>
        <v>1</v>
      </c>
      <c r="R1926" t="str">
        <f t="shared" si="183"/>
        <v>On Time</v>
      </c>
      <c r="S1926">
        <f t="shared" si="184"/>
        <v>2022</v>
      </c>
      <c r="T1926">
        <f t="shared" si="185"/>
        <v>3</v>
      </c>
    </row>
    <row r="1927" spans="1:20" x14ac:dyDescent="0.25">
      <c r="A1927" t="s">
        <v>2234</v>
      </c>
      <c r="B1927" t="s">
        <v>67</v>
      </c>
      <c r="C1927" t="s">
        <v>312</v>
      </c>
      <c r="D1927" s="1">
        <v>44644</v>
      </c>
      <c r="E1927">
        <v>12</v>
      </c>
      <c r="F1927">
        <v>60.482758443593802</v>
      </c>
      <c r="G1927" s="1">
        <v>44668</v>
      </c>
      <c r="H1927" s="1">
        <v>44673</v>
      </c>
      <c r="I1927">
        <v>725.79310132312605</v>
      </c>
      <c r="J1927">
        <f t="shared" si="180"/>
        <v>5</v>
      </c>
      <c r="K1927" t="str">
        <f>VLOOKUP(B1927,Raw_Suppliers!$A$2:$G$101,2,FALSE)</f>
        <v>Nova Eco LLC</v>
      </c>
      <c r="L1927" t="str">
        <f>VLOOKUP(B1927,Raw_Suppliers!$A$2:$G$101,3,FALSE)</f>
        <v>Germany</v>
      </c>
      <c r="M1927" t="str">
        <f>VLOOKUP(B1927,Raw_Suppliers!$A$2:$G$101,4,FALSE)</f>
        <v>Central</v>
      </c>
      <c r="N1927" t="str">
        <f>VLOOKUP(B1927,Raw_Suppliers!$A$2:$G$101,6,FALSE)</f>
        <v>ISO 9001</v>
      </c>
      <c r="O1927">
        <f>VLOOKUP(B1927,Raw_Suppliers!$A$2:$G$101,7,FALSE)</f>
        <v>1</v>
      </c>
      <c r="P1927" t="str">
        <f t="shared" si="181"/>
        <v>Yes</v>
      </c>
      <c r="Q1927">
        <f t="shared" si="182"/>
        <v>0</v>
      </c>
      <c r="R1927" t="str">
        <f t="shared" si="183"/>
        <v>Late</v>
      </c>
      <c r="S1927">
        <f t="shared" si="184"/>
        <v>2022</v>
      </c>
      <c r="T1927">
        <f t="shared" si="185"/>
        <v>3</v>
      </c>
    </row>
    <row r="1928" spans="1:20" x14ac:dyDescent="0.25">
      <c r="A1928" t="s">
        <v>2235</v>
      </c>
      <c r="B1928" t="s">
        <v>475</v>
      </c>
      <c r="C1928" t="s">
        <v>795</v>
      </c>
      <c r="D1928" s="1">
        <v>44343</v>
      </c>
      <c r="E1928">
        <v>9</v>
      </c>
      <c r="F1928">
        <v>16.407034820724501</v>
      </c>
      <c r="G1928" s="1">
        <v>44360</v>
      </c>
      <c r="H1928" s="1">
        <v>44358</v>
      </c>
      <c r="I1928">
        <v>147.66331338652</v>
      </c>
      <c r="J1928">
        <f t="shared" si="180"/>
        <v>-2</v>
      </c>
      <c r="K1928" t="str">
        <f>VLOOKUP(B1928,Raw_Suppliers!$A$2:$G$101,2,FALSE)</f>
        <v>Ultra Delta LLC</v>
      </c>
      <c r="L1928" t="str">
        <f>VLOOKUP(B1928,Raw_Suppliers!$A$2:$G$101,3,FALSE)</f>
        <v>UK</v>
      </c>
      <c r="M1928" t="str">
        <f>VLOOKUP(B1928,Raw_Suppliers!$A$2:$G$101,4,FALSE)</f>
        <v>North</v>
      </c>
      <c r="N1928" t="str">
        <f>VLOOKUP(B1928,Raw_Suppliers!$A$2:$G$101,6,FALSE)</f>
        <v>None</v>
      </c>
      <c r="O1928">
        <f>VLOOKUP(B1928,Raw_Suppliers!$A$2:$G$101,7,FALSE)</f>
        <v>1</v>
      </c>
      <c r="P1928" t="str">
        <f t="shared" si="181"/>
        <v>Yes</v>
      </c>
      <c r="Q1928">
        <f t="shared" si="182"/>
        <v>1</v>
      </c>
      <c r="R1928" t="str">
        <f t="shared" si="183"/>
        <v>On Time</v>
      </c>
      <c r="S1928">
        <f t="shared" si="184"/>
        <v>2021</v>
      </c>
      <c r="T1928">
        <f t="shared" si="185"/>
        <v>5</v>
      </c>
    </row>
    <row r="1929" spans="1:20" x14ac:dyDescent="0.25">
      <c r="A1929" t="s">
        <v>2236</v>
      </c>
      <c r="B1929" t="s">
        <v>295</v>
      </c>
      <c r="C1929" t="s">
        <v>489</v>
      </c>
      <c r="D1929" s="1">
        <v>45014</v>
      </c>
      <c r="E1929">
        <v>7</v>
      </c>
      <c r="F1929">
        <v>72.972958700207101</v>
      </c>
      <c r="G1929" s="1">
        <v>45034</v>
      </c>
      <c r="H1929" s="1">
        <v>45038</v>
      </c>
      <c r="I1929">
        <v>510.810710901449</v>
      </c>
      <c r="J1929">
        <f t="shared" si="180"/>
        <v>4</v>
      </c>
      <c r="K1929" t="str">
        <f>VLOOKUP(B1929,Raw_Suppliers!$A$2:$G$101,2,FALSE)</f>
        <v>Delta Quantum GmbH</v>
      </c>
      <c r="L1929" t="str">
        <f>VLOOKUP(B1929,Raw_Suppliers!$A$2:$G$101,3,FALSE)</f>
        <v>Brazil</v>
      </c>
      <c r="M1929" t="str">
        <f>VLOOKUP(B1929,Raw_Suppliers!$A$2:$G$101,4,FALSE)</f>
        <v>North</v>
      </c>
      <c r="N1929" t="str">
        <f>VLOOKUP(B1929,Raw_Suppliers!$A$2:$G$101,6,FALSE)</f>
        <v>ISO 9001</v>
      </c>
      <c r="O1929">
        <f>VLOOKUP(B1929,Raw_Suppliers!$A$2:$G$101,7,FALSE)</f>
        <v>1</v>
      </c>
      <c r="P1929" t="str">
        <f t="shared" si="181"/>
        <v>Yes</v>
      </c>
      <c r="Q1929">
        <f t="shared" si="182"/>
        <v>0</v>
      </c>
      <c r="R1929" t="str">
        <f t="shared" si="183"/>
        <v>Late</v>
      </c>
      <c r="S1929">
        <f t="shared" si="184"/>
        <v>2023</v>
      </c>
      <c r="T1929">
        <f t="shared" si="185"/>
        <v>3</v>
      </c>
    </row>
    <row r="1930" spans="1:20" x14ac:dyDescent="0.25">
      <c r="A1930" t="s">
        <v>2237</v>
      </c>
      <c r="B1930" t="s">
        <v>442</v>
      </c>
      <c r="C1930" t="s">
        <v>254</v>
      </c>
      <c r="D1930" s="1">
        <v>44413</v>
      </c>
      <c r="E1930">
        <v>10</v>
      </c>
      <c r="F1930">
        <v>77.022068724485493</v>
      </c>
      <c r="G1930" s="1">
        <v>44434</v>
      </c>
      <c r="H1930" s="1">
        <v>44436</v>
      </c>
      <c r="I1930">
        <v>770.22068724485496</v>
      </c>
      <c r="J1930">
        <f t="shared" si="180"/>
        <v>2</v>
      </c>
      <c r="K1930" t="str">
        <f>VLOOKUP(B1930,Raw_Suppliers!$A$2:$G$101,2,FALSE)</f>
        <v>Vertex Delta LLC</v>
      </c>
      <c r="L1930" t="str">
        <f>VLOOKUP(B1930,Raw_Suppliers!$A$2:$G$101,3,FALSE)</f>
        <v>Canada</v>
      </c>
      <c r="M1930" t="str">
        <f>VLOOKUP(B1930,Raw_Suppliers!$A$2:$G$101,4,FALSE)</f>
        <v>East</v>
      </c>
      <c r="N1930" t="str">
        <f>VLOOKUP(B1930,Raw_Suppliers!$A$2:$G$101,6,FALSE)</f>
        <v>ISO 14001</v>
      </c>
      <c r="O1930">
        <f>VLOOKUP(B1930,Raw_Suppliers!$A$2:$G$101,7,FALSE)</f>
        <v>1</v>
      </c>
      <c r="P1930" t="str">
        <f t="shared" si="181"/>
        <v>Yes</v>
      </c>
      <c r="Q1930">
        <f t="shared" si="182"/>
        <v>0</v>
      </c>
      <c r="R1930" t="str">
        <f t="shared" si="183"/>
        <v>Late</v>
      </c>
      <c r="S1930">
        <f t="shared" si="184"/>
        <v>2021</v>
      </c>
      <c r="T1930">
        <f t="shared" si="185"/>
        <v>8</v>
      </c>
    </row>
    <row r="1931" spans="1:20" x14ac:dyDescent="0.25">
      <c r="A1931" t="s">
        <v>2238</v>
      </c>
      <c r="B1931" t="s">
        <v>288</v>
      </c>
      <c r="C1931" t="s">
        <v>17</v>
      </c>
      <c r="D1931" s="1">
        <v>45170</v>
      </c>
      <c r="E1931">
        <v>9</v>
      </c>
      <c r="F1931">
        <v>21.922428090694599</v>
      </c>
      <c r="G1931" s="1">
        <v>45194</v>
      </c>
      <c r="H1931" s="1">
        <v>45191</v>
      </c>
      <c r="I1931">
        <v>197.301852816251</v>
      </c>
      <c r="J1931">
        <f t="shared" si="180"/>
        <v>-3</v>
      </c>
      <c r="K1931" t="str">
        <f>VLOOKUP(B1931,Raw_Suppliers!$A$2:$G$101,2,FALSE)</f>
        <v>Alpha Beta LLC</v>
      </c>
      <c r="L1931" t="str">
        <f>VLOOKUP(B1931,Raw_Suppliers!$A$2:$G$101,3,FALSE)</f>
        <v>India</v>
      </c>
      <c r="M1931" t="str">
        <f>VLOOKUP(B1931,Raw_Suppliers!$A$2:$G$101,4,FALSE)</f>
        <v>West</v>
      </c>
      <c r="N1931" t="str">
        <f>VLOOKUP(B1931,Raw_Suppliers!$A$2:$G$101,6,FALSE)</f>
        <v>ISO 45001</v>
      </c>
      <c r="O1931">
        <f>VLOOKUP(B1931,Raw_Suppliers!$A$2:$G$101,7,FALSE)</f>
        <v>0</v>
      </c>
      <c r="P1931" t="str">
        <f t="shared" si="181"/>
        <v>No</v>
      </c>
      <c r="Q1931">
        <f t="shared" si="182"/>
        <v>1</v>
      </c>
      <c r="R1931" t="str">
        <f t="shared" si="183"/>
        <v>On Time</v>
      </c>
      <c r="S1931">
        <f t="shared" si="184"/>
        <v>2023</v>
      </c>
      <c r="T1931">
        <f t="shared" si="185"/>
        <v>9</v>
      </c>
    </row>
    <row r="1932" spans="1:20" x14ac:dyDescent="0.25">
      <c r="A1932" t="s">
        <v>2239</v>
      </c>
      <c r="B1932" t="s">
        <v>242</v>
      </c>
      <c r="C1932" t="s">
        <v>361</v>
      </c>
      <c r="D1932" s="1">
        <v>44384</v>
      </c>
      <c r="E1932">
        <v>16</v>
      </c>
      <c r="F1932">
        <v>60.732811758860699</v>
      </c>
      <c r="G1932" s="1">
        <v>44402</v>
      </c>
      <c r="H1932" s="1">
        <v>44403</v>
      </c>
      <c r="I1932">
        <v>971.72498814177197</v>
      </c>
      <c r="J1932">
        <f t="shared" si="180"/>
        <v>1</v>
      </c>
      <c r="K1932" t="str">
        <f>VLOOKUP(B1932,Raw_Suppliers!$A$2:$G$101,2,FALSE)</f>
        <v>Omega Nova GmbH</v>
      </c>
      <c r="L1932" t="str">
        <f>VLOOKUP(B1932,Raw_Suppliers!$A$2:$G$101,3,FALSE)</f>
        <v>Denmark</v>
      </c>
      <c r="M1932" t="str">
        <f>VLOOKUP(B1932,Raw_Suppliers!$A$2:$G$101,4,FALSE)</f>
        <v>East</v>
      </c>
      <c r="N1932" t="str">
        <f>VLOOKUP(B1932,Raw_Suppliers!$A$2:$G$101,6,FALSE)</f>
        <v>ISO 45001</v>
      </c>
      <c r="O1932">
        <f>VLOOKUP(B1932,Raw_Suppliers!$A$2:$G$101,7,FALSE)</f>
        <v>0</v>
      </c>
      <c r="P1932" t="str">
        <f t="shared" si="181"/>
        <v>No</v>
      </c>
      <c r="Q1932">
        <f t="shared" si="182"/>
        <v>0</v>
      </c>
      <c r="R1932" t="str">
        <f t="shared" si="183"/>
        <v>Late</v>
      </c>
      <c r="S1932">
        <f t="shared" si="184"/>
        <v>2021</v>
      </c>
      <c r="T1932">
        <f t="shared" si="185"/>
        <v>7</v>
      </c>
    </row>
    <row r="1933" spans="1:20" x14ac:dyDescent="0.25">
      <c r="A1933" t="s">
        <v>2240</v>
      </c>
      <c r="B1933" t="s">
        <v>61</v>
      </c>
      <c r="C1933" t="s">
        <v>161</v>
      </c>
      <c r="D1933" s="1">
        <v>44358</v>
      </c>
      <c r="E1933">
        <v>10</v>
      </c>
      <c r="F1933">
        <v>75.997525133280504</v>
      </c>
      <c r="G1933" s="1">
        <v>44378</v>
      </c>
      <c r="H1933" s="1">
        <v>44378</v>
      </c>
      <c r="I1933">
        <v>759.97525133280499</v>
      </c>
      <c r="J1933">
        <f t="shared" si="180"/>
        <v>0</v>
      </c>
      <c r="K1933" t="str">
        <f>VLOOKUP(B1933,Raw_Suppliers!$A$2:$G$101,2,FALSE)</f>
        <v>Ultra Gamma LLC</v>
      </c>
      <c r="L1933" t="str">
        <f>VLOOKUP(B1933,Raw_Suppliers!$A$2:$G$101,3,FALSE)</f>
        <v>Canada</v>
      </c>
      <c r="M1933" t="str">
        <f>VLOOKUP(B1933,Raw_Suppliers!$A$2:$G$101,4,FALSE)</f>
        <v>North</v>
      </c>
      <c r="N1933" t="str">
        <f>VLOOKUP(B1933,Raw_Suppliers!$A$2:$G$101,6,FALSE)</f>
        <v>ISO 9001</v>
      </c>
      <c r="O1933">
        <f>VLOOKUP(B1933,Raw_Suppliers!$A$2:$G$101,7,FALSE)</f>
        <v>1</v>
      </c>
      <c r="P1933" t="str">
        <f t="shared" si="181"/>
        <v>Yes</v>
      </c>
      <c r="Q1933">
        <f t="shared" si="182"/>
        <v>1</v>
      </c>
      <c r="R1933" t="str">
        <f t="shared" si="183"/>
        <v>On Time</v>
      </c>
      <c r="S1933">
        <f t="shared" si="184"/>
        <v>2021</v>
      </c>
      <c r="T1933">
        <f t="shared" si="185"/>
        <v>6</v>
      </c>
    </row>
    <row r="1934" spans="1:20" x14ac:dyDescent="0.25">
      <c r="A1934" t="s">
        <v>2241</v>
      </c>
      <c r="B1934" t="s">
        <v>10</v>
      </c>
      <c r="C1934" t="s">
        <v>128</v>
      </c>
      <c r="D1934" s="1">
        <v>44880</v>
      </c>
      <c r="E1934">
        <v>9</v>
      </c>
      <c r="F1934">
        <v>36.810590120527003</v>
      </c>
      <c r="G1934" s="1">
        <v>44890</v>
      </c>
      <c r="H1934" s="1">
        <v>44888</v>
      </c>
      <c r="I1934">
        <v>331.29531108474299</v>
      </c>
      <c r="J1934">
        <f t="shared" si="180"/>
        <v>-2</v>
      </c>
      <c r="K1934" t="str">
        <f>VLOOKUP(B1934,Raw_Suppliers!$A$2:$G$101,2,FALSE)</f>
        <v>Vertex Beta GmbH</v>
      </c>
      <c r="L1934" t="str">
        <f>VLOOKUP(B1934,Raw_Suppliers!$A$2:$G$101,3,FALSE)</f>
        <v>India</v>
      </c>
      <c r="M1934" t="str">
        <f>VLOOKUP(B1934,Raw_Suppliers!$A$2:$G$101,4,FALSE)</f>
        <v>North</v>
      </c>
      <c r="N1934" t="str">
        <f>VLOOKUP(B1934,Raw_Suppliers!$A$2:$G$101,6,FALSE)</f>
        <v>ISO 14001</v>
      </c>
      <c r="O1934">
        <f>VLOOKUP(B1934,Raw_Suppliers!$A$2:$G$101,7,FALSE)</f>
        <v>0</v>
      </c>
      <c r="P1934" t="str">
        <f t="shared" si="181"/>
        <v>No</v>
      </c>
      <c r="Q1934">
        <f t="shared" si="182"/>
        <v>1</v>
      </c>
      <c r="R1934" t="str">
        <f t="shared" si="183"/>
        <v>On Time</v>
      </c>
      <c r="S1934">
        <f t="shared" si="184"/>
        <v>2022</v>
      </c>
      <c r="T1934">
        <f t="shared" si="185"/>
        <v>11</v>
      </c>
    </row>
    <row r="1935" spans="1:20" x14ac:dyDescent="0.25">
      <c r="A1935" t="s">
        <v>2242</v>
      </c>
      <c r="B1935" t="s">
        <v>73</v>
      </c>
      <c r="C1935" t="s">
        <v>180</v>
      </c>
      <c r="D1935" s="1">
        <v>45216</v>
      </c>
      <c r="E1935">
        <v>10</v>
      </c>
      <c r="F1935">
        <v>37.187974157187497</v>
      </c>
      <c r="G1935" s="1">
        <v>45239</v>
      </c>
      <c r="H1935" s="1">
        <v>45237</v>
      </c>
      <c r="I1935">
        <v>371.879741571875</v>
      </c>
      <c r="J1935">
        <f t="shared" si="180"/>
        <v>-2</v>
      </c>
      <c r="K1935" t="str">
        <f>VLOOKUP(B1935,Raw_Suppliers!$A$2:$G$101,2,FALSE)</f>
        <v>Gamma Quantum LLC</v>
      </c>
      <c r="L1935" t="str">
        <f>VLOOKUP(B1935,Raw_Suppliers!$A$2:$G$101,3,FALSE)</f>
        <v>Germany</v>
      </c>
      <c r="M1935" t="str">
        <f>VLOOKUP(B1935,Raw_Suppliers!$A$2:$G$101,4,FALSE)</f>
        <v>Central</v>
      </c>
      <c r="N1935" t="str">
        <f>VLOOKUP(B1935,Raw_Suppliers!$A$2:$G$101,6,FALSE)</f>
        <v>ISO 9001</v>
      </c>
      <c r="O1935">
        <f>VLOOKUP(B1935,Raw_Suppliers!$A$2:$G$101,7,FALSE)</f>
        <v>1</v>
      </c>
      <c r="P1935" t="str">
        <f t="shared" si="181"/>
        <v>Yes</v>
      </c>
      <c r="Q1935">
        <f t="shared" si="182"/>
        <v>1</v>
      </c>
      <c r="R1935" t="str">
        <f t="shared" si="183"/>
        <v>On Time</v>
      </c>
      <c r="S1935">
        <f t="shared" si="184"/>
        <v>2023</v>
      </c>
      <c r="T1935">
        <f t="shared" si="185"/>
        <v>10</v>
      </c>
    </row>
    <row r="1936" spans="1:20" x14ac:dyDescent="0.25">
      <c r="A1936" t="s">
        <v>2243</v>
      </c>
      <c r="B1936" t="s">
        <v>751</v>
      </c>
      <c r="C1936" t="s">
        <v>20</v>
      </c>
      <c r="D1936" s="1">
        <v>45174</v>
      </c>
      <c r="E1936">
        <v>12</v>
      </c>
      <c r="F1936">
        <v>18.343800056915502</v>
      </c>
      <c r="G1936" s="1">
        <v>45198</v>
      </c>
      <c r="H1936" s="1">
        <v>45198</v>
      </c>
      <c r="I1936">
        <v>220.125600682986</v>
      </c>
      <c r="J1936">
        <f t="shared" si="180"/>
        <v>0</v>
      </c>
      <c r="K1936" t="str">
        <f>VLOOKUP(B1936,Raw_Suppliers!$A$2:$G$101,2,FALSE)</f>
        <v>Nano Vertex LLC</v>
      </c>
      <c r="L1936" t="str">
        <f>VLOOKUP(B1936,Raw_Suppliers!$A$2:$G$101,3,FALSE)</f>
        <v>China</v>
      </c>
      <c r="M1936" t="str">
        <f>VLOOKUP(B1936,Raw_Suppliers!$A$2:$G$101,4,FALSE)</f>
        <v>North</v>
      </c>
      <c r="N1936" t="str">
        <f>VLOOKUP(B1936,Raw_Suppliers!$A$2:$G$101,6,FALSE)</f>
        <v>ISO 9001</v>
      </c>
      <c r="O1936">
        <f>VLOOKUP(B1936,Raw_Suppliers!$A$2:$G$101,7,FALSE)</f>
        <v>1</v>
      </c>
      <c r="P1936" t="str">
        <f t="shared" si="181"/>
        <v>Yes</v>
      </c>
      <c r="Q1936">
        <f t="shared" si="182"/>
        <v>1</v>
      </c>
      <c r="R1936" t="str">
        <f t="shared" si="183"/>
        <v>On Time</v>
      </c>
      <c r="S1936">
        <f t="shared" si="184"/>
        <v>2023</v>
      </c>
      <c r="T1936">
        <f t="shared" si="185"/>
        <v>9</v>
      </c>
    </row>
    <row r="1937" spans="1:20" x14ac:dyDescent="0.25">
      <c r="A1937" t="s">
        <v>2244</v>
      </c>
      <c r="B1937" t="s">
        <v>124</v>
      </c>
      <c r="C1937" t="s">
        <v>759</v>
      </c>
      <c r="D1937" s="1">
        <v>44641</v>
      </c>
      <c r="E1937">
        <v>10</v>
      </c>
      <c r="F1937">
        <v>75.339717152572703</v>
      </c>
      <c r="G1937" s="1">
        <v>44652</v>
      </c>
      <c r="H1937" s="1">
        <v>44653</v>
      </c>
      <c r="I1937">
        <v>753.397171525727</v>
      </c>
      <c r="J1937">
        <f t="shared" si="180"/>
        <v>1</v>
      </c>
      <c r="K1937" t="str">
        <f>VLOOKUP(B1937,Raw_Suppliers!$A$2:$G$101,2,FALSE)</f>
        <v>Vertex Delta Inc</v>
      </c>
      <c r="L1937" t="str">
        <f>VLOOKUP(B1937,Raw_Suppliers!$A$2:$G$101,3,FALSE)</f>
        <v>Germany</v>
      </c>
      <c r="M1937" t="str">
        <f>VLOOKUP(B1937,Raw_Suppliers!$A$2:$G$101,4,FALSE)</f>
        <v>South</v>
      </c>
      <c r="N1937" t="str">
        <f>VLOOKUP(B1937,Raw_Suppliers!$A$2:$G$101,6,FALSE)</f>
        <v>ISO 9001</v>
      </c>
      <c r="O1937">
        <f>VLOOKUP(B1937,Raw_Suppliers!$A$2:$G$101,7,FALSE)</f>
        <v>0</v>
      </c>
      <c r="P1937" t="str">
        <f t="shared" si="181"/>
        <v>No</v>
      </c>
      <c r="Q1937">
        <f t="shared" si="182"/>
        <v>0</v>
      </c>
      <c r="R1937" t="str">
        <f t="shared" si="183"/>
        <v>Late</v>
      </c>
      <c r="S1937">
        <f t="shared" si="184"/>
        <v>2022</v>
      </c>
      <c r="T1937">
        <f t="shared" si="185"/>
        <v>3</v>
      </c>
    </row>
    <row r="1938" spans="1:20" x14ac:dyDescent="0.25">
      <c r="A1938" t="s">
        <v>2245</v>
      </c>
      <c r="B1938" t="s">
        <v>70</v>
      </c>
      <c r="C1938" t="s">
        <v>281</v>
      </c>
      <c r="D1938" s="1">
        <v>44311</v>
      </c>
      <c r="E1938">
        <v>11</v>
      </c>
      <c r="F1938">
        <v>7.5752329371789298</v>
      </c>
      <c r="G1938" s="1">
        <v>44335</v>
      </c>
      <c r="H1938" s="1">
        <v>44332</v>
      </c>
      <c r="I1938">
        <v>83.327562308968297</v>
      </c>
      <c r="J1938">
        <f t="shared" si="180"/>
        <v>-3</v>
      </c>
      <c r="K1938" t="str">
        <f>VLOOKUP(B1938,Raw_Suppliers!$A$2:$G$101,2,FALSE)</f>
        <v>Prime Nano Ltd</v>
      </c>
      <c r="L1938" t="str">
        <f>VLOOKUP(B1938,Raw_Suppliers!$A$2:$G$101,3,FALSE)</f>
        <v>USA</v>
      </c>
      <c r="M1938" t="str">
        <f>VLOOKUP(B1938,Raw_Suppliers!$A$2:$G$101,4,FALSE)</f>
        <v>Central</v>
      </c>
      <c r="N1938" t="str">
        <f>VLOOKUP(B1938,Raw_Suppliers!$A$2:$G$101,6,FALSE)</f>
        <v>ISO 45001</v>
      </c>
      <c r="O1938">
        <f>VLOOKUP(B1938,Raw_Suppliers!$A$2:$G$101,7,FALSE)</f>
        <v>0</v>
      </c>
      <c r="P1938" t="str">
        <f t="shared" si="181"/>
        <v>No</v>
      </c>
      <c r="Q1938">
        <f t="shared" si="182"/>
        <v>1</v>
      </c>
      <c r="R1938" t="str">
        <f t="shared" si="183"/>
        <v>On Time</v>
      </c>
      <c r="S1938">
        <f t="shared" si="184"/>
        <v>2021</v>
      </c>
      <c r="T1938">
        <f t="shared" si="185"/>
        <v>4</v>
      </c>
    </row>
    <row r="1939" spans="1:20" x14ac:dyDescent="0.25">
      <c r="A1939" t="s">
        <v>2246</v>
      </c>
      <c r="B1939" t="s">
        <v>73</v>
      </c>
      <c r="C1939" t="s">
        <v>408</v>
      </c>
      <c r="D1939" s="1">
        <v>44766</v>
      </c>
      <c r="E1939">
        <v>9</v>
      </c>
      <c r="F1939">
        <v>55.696421552012403</v>
      </c>
      <c r="G1939" s="1">
        <v>44777</v>
      </c>
      <c r="H1939" s="1">
        <v>44780</v>
      </c>
      <c r="I1939">
        <v>501.26779396811202</v>
      </c>
      <c r="J1939">
        <f t="shared" si="180"/>
        <v>3</v>
      </c>
      <c r="K1939" t="str">
        <f>VLOOKUP(B1939,Raw_Suppliers!$A$2:$G$101,2,FALSE)</f>
        <v>Gamma Quantum LLC</v>
      </c>
      <c r="L1939" t="str">
        <f>VLOOKUP(B1939,Raw_Suppliers!$A$2:$G$101,3,FALSE)</f>
        <v>Germany</v>
      </c>
      <c r="M1939" t="str">
        <f>VLOOKUP(B1939,Raw_Suppliers!$A$2:$G$101,4,FALSE)</f>
        <v>Central</v>
      </c>
      <c r="N1939" t="str">
        <f>VLOOKUP(B1939,Raw_Suppliers!$A$2:$G$101,6,FALSE)</f>
        <v>ISO 9001</v>
      </c>
      <c r="O1939">
        <f>VLOOKUP(B1939,Raw_Suppliers!$A$2:$G$101,7,FALSE)</f>
        <v>1</v>
      </c>
      <c r="P1939" t="str">
        <f t="shared" si="181"/>
        <v>Yes</v>
      </c>
      <c r="Q1939">
        <f t="shared" si="182"/>
        <v>0</v>
      </c>
      <c r="R1939" t="str">
        <f t="shared" si="183"/>
        <v>Late</v>
      </c>
      <c r="S1939">
        <f t="shared" si="184"/>
        <v>2022</v>
      </c>
      <c r="T1939">
        <f t="shared" si="185"/>
        <v>7</v>
      </c>
    </row>
    <row r="1940" spans="1:20" x14ac:dyDescent="0.25">
      <c r="A1940" t="s">
        <v>2247</v>
      </c>
      <c r="B1940" t="s">
        <v>157</v>
      </c>
      <c r="C1940" t="s">
        <v>466</v>
      </c>
      <c r="D1940" s="1">
        <v>44388</v>
      </c>
      <c r="E1940">
        <v>9</v>
      </c>
      <c r="F1940">
        <v>66.310883689413899</v>
      </c>
      <c r="G1940" s="1">
        <v>44407</v>
      </c>
      <c r="H1940" s="1">
        <v>44412</v>
      </c>
      <c r="I1940">
        <v>596.79795320472499</v>
      </c>
      <c r="J1940">
        <f t="shared" si="180"/>
        <v>5</v>
      </c>
      <c r="K1940" t="str">
        <f>VLOOKUP(B1940,Raw_Suppliers!$A$2:$G$101,2,FALSE)</f>
        <v>Pioneer Omega Ltd</v>
      </c>
      <c r="L1940" t="str">
        <f>VLOOKUP(B1940,Raw_Suppliers!$A$2:$G$101,3,FALSE)</f>
        <v>Brazil</v>
      </c>
      <c r="M1940" t="str">
        <f>VLOOKUP(B1940,Raw_Suppliers!$A$2:$G$101,4,FALSE)</f>
        <v>East</v>
      </c>
      <c r="N1940" t="str">
        <f>VLOOKUP(B1940,Raw_Suppliers!$A$2:$G$101,6,FALSE)</f>
        <v>None</v>
      </c>
      <c r="O1940">
        <f>VLOOKUP(B1940,Raw_Suppliers!$A$2:$G$101,7,FALSE)</f>
        <v>0</v>
      </c>
      <c r="P1940" t="str">
        <f t="shared" si="181"/>
        <v>No</v>
      </c>
      <c r="Q1940">
        <f t="shared" si="182"/>
        <v>0</v>
      </c>
      <c r="R1940" t="str">
        <f t="shared" si="183"/>
        <v>Late</v>
      </c>
      <c r="S1940">
        <f t="shared" si="184"/>
        <v>2021</v>
      </c>
      <c r="T1940">
        <f t="shared" si="185"/>
        <v>7</v>
      </c>
    </row>
    <row r="1941" spans="1:20" x14ac:dyDescent="0.25">
      <c r="A1941" t="s">
        <v>2248</v>
      </c>
      <c r="B1941" t="s">
        <v>114</v>
      </c>
      <c r="C1941" t="s">
        <v>26</v>
      </c>
      <c r="D1941" s="1">
        <v>44694</v>
      </c>
      <c r="E1941">
        <v>10</v>
      </c>
      <c r="F1941">
        <v>58.040705964916</v>
      </c>
      <c r="G1941" s="1">
        <v>44713</v>
      </c>
      <c r="H1941" s="1">
        <v>44715</v>
      </c>
      <c r="I1941">
        <v>580.40705964916003</v>
      </c>
      <c r="J1941">
        <f t="shared" si="180"/>
        <v>2</v>
      </c>
      <c r="K1941" t="str">
        <f>VLOOKUP(B1941,Raw_Suppliers!$A$2:$G$101,2,FALSE)</f>
        <v>Fusion Fusion LLC</v>
      </c>
      <c r="L1941" t="str">
        <f>VLOOKUP(B1941,Raw_Suppliers!$A$2:$G$101,3,FALSE)</f>
        <v>China</v>
      </c>
      <c r="M1941" t="str">
        <f>VLOOKUP(B1941,Raw_Suppliers!$A$2:$G$101,4,FALSE)</f>
        <v>North</v>
      </c>
      <c r="N1941" t="str">
        <f>VLOOKUP(B1941,Raw_Suppliers!$A$2:$G$101,6,FALSE)</f>
        <v>ISO 45001</v>
      </c>
      <c r="O1941">
        <f>VLOOKUP(B1941,Raw_Suppliers!$A$2:$G$101,7,FALSE)</f>
        <v>1</v>
      </c>
      <c r="P1941" t="str">
        <f t="shared" si="181"/>
        <v>Yes</v>
      </c>
      <c r="Q1941">
        <f t="shared" si="182"/>
        <v>0</v>
      </c>
      <c r="R1941" t="str">
        <f t="shared" si="183"/>
        <v>Late</v>
      </c>
      <c r="S1941">
        <f t="shared" si="184"/>
        <v>2022</v>
      </c>
      <c r="T1941">
        <f t="shared" si="185"/>
        <v>5</v>
      </c>
    </row>
    <row r="1942" spans="1:20" x14ac:dyDescent="0.25">
      <c r="A1942" t="s">
        <v>2249</v>
      </c>
      <c r="B1942" t="s">
        <v>40</v>
      </c>
      <c r="C1942" t="s">
        <v>222</v>
      </c>
      <c r="D1942" s="1">
        <v>44224</v>
      </c>
      <c r="E1942">
        <v>14</v>
      </c>
      <c r="F1942">
        <v>13.6723129724651</v>
      </c>
      <c r="G1942" s="1">
        <v>44237</v>
      </c>
      <c r="H1942" s="1">
        <v>44242</v>
      </c>
      <c r="I1942">
        <v>191.41238161451099</v>
      </c>
      <c r="J1942">
        <f t="shared" si="180"/>
        <v>5</v>
      </c>
      <c r="K1942" t="str">
        <f>VLOOKUP(B1942,Raw_Suppliers!$A$2:$G$101,2,FALSE)</f>
        <v>Ultra Apex Inc</v>
      </c>
      <c r="L1942" t="str">
        <f>VLOOKUP(B1942,Raw_Suppliers!$A$2:$G$101,3,FALSE)</f>
        <v>India</v>
      </c>
      <c r="M1942" t="str">
        <f>VLOOKUP(B1942,Raw_Suppliers!$A$2:$G$101,4,FALSE)</f>
        <v>West</v>
      </c>
      <c r="N1942" t="str">
        <f>VLOOKUP(B1942,Raw_Suppliers!$A$2:$G$101,6,FALSE)</f>
        <v>ISO 9001</v>
      </c>
      <c r="O1942">
        <f>VLOOKUP(B1942,Raw_Suppliers!$A$2:$G$101,7,FALSE)</f>
        <v>0</v>
      </c>
      <c r="P1942" t="str">
        <f t="shared" si="181"/>
        <v>No</v>
      </c>
      <c r="Q1942">
        <f t="shared" si="182"/>
        <v>0</v>
      </c>
      <c r="R1942" t="str">
        <f t="shared" si="183"/>
        <v>Late</v>
      </c>
      <c r="S1942">
        <f t="shared" si="184"/>
        <v>2021</v>
      </c>
      <c r="T1942">
        <f t="shared" si="185"/>
        <v>1</v>
      </c>
    </row>
    <row r="1943" spans="1:20" x14ac:dyDescent="0.25">
      <c r="A1943" t="s">
        <v>2250</v>
      </c>
      <c r="B1943" t="s">
        <v>482</v>
      </c>
      <c r="C1943" t="s">
        <v>391</v>
      </c>
      <c r="D1943" s="1">
        <v>45297</v>
      </c>
      <c r="E1943">
        <v>10</v>
      </c>
      <c r="F1943">
        <v>29.7662602907772</v>
      </c>
      <c r="G1943" s="1">
        <v>45318</v>
      </c>
      <c r="H1943" s="1">
        <v>45318</v>
      </c>
      <c r="I1943">
        <v>297.662602907772</v>
      </c>
      <c r="J1943">
        <f t="shared" si="180"/>
        <v>0</v>
      </c>
      <c r="K1943" t="str">
        <f>VLOOKUP(B1943,Raw_Suppliers!$A$2:$G$101,2,FALSE)</f>
        <v>Eco Prime Corp</v>
      </c>
      <c r="L1943" t="str">
        <f>VLOOKUP(B1943,Raw_Suppliers!$A$2:$G$101,3,FALSE)</f>
        <v>China</v>
      </c>
      <c r="M1943" t="str">
        <f>VLOOKUP(B1943,Raw_Suppliers!$A$2:$G$101,4,FALSE)</f>
        <v>East</v>
      </c>
      <c r="N1943" t="str">
        <f>VLOOKUP(B1943,Raw_Suppliers!$A$2:$G$101,6,FALSE)</f>
        <v>ISO 45001</v>
      </c>
      <c r="O1943">
        <f>VLOOKUP(B1943,Raw_Suppliers!$A$2:$G$101,7,FALSE)</f>
        <v>1</v>
      </c>
      <c r="P1943" t="str">
        <f t="shared" si="181"/>
        <v>Yes</v>
      </c>
      <c r="Q1943">
        <f t="shared" si="182"/>
        <v>1</v>
      </c>
      <c r="R1943" t="str">
        <f t="shared" si="183"/>
        <v>On Time</v>
      </c>
      <c r="S1943">
        <f t="shared" si="184"/>
        <v>2024</v>
      </c>
      <c r="T1943">
        <f t="shared" si="185"/>
        <v>1</v>
      </c>
    </row>
    <row r="1944" spans="1:20" x14ac:dyDescent="0.25">
      <c r="A1944" t="s">
        <v>2251</v>
      </c>
      <c r="B1944" t="s">
        <v>203</v>
      </c>
      <c r="C1944" t="s">
        <v>396</v>
      </c>
      <c r="D1944" s="1">
        <v>44640</v>
      </c>
      <c r="E1944">
        <v>12</v>
      </c>
      <c r="F1944">
        <v>33.488113779643598</v>
      </c>
      <c r="G1944" s="1">
        <v>44652</v>
      </c>
      <c r="H1944" s="1">
        <v>44652</v>
      </c>
      <c r="I1944">
        <v>401.857365355723</v>
      </c>
      <c r="J1944">
        <f t="shared" si="180"/>
        <v>0</v>
      </c>
      <c r="K1944" t="str">
        <f>VLOOKUP(B1944,Raw_Suppliers!$A$2:$G$101,2,FALSE)</f>
        <v>Nova Eco LLC</v>
      </c>
      <c r="L1944" t="str">
        <f>VLOOKUP(B1944,Raw_Suppliers!$A$2:$G$101,3,FALSE)</f>
        <v>Denmark</v>
      </c>
      <c r="M1944" t="str">
        <f>VLOOKUP(B1944,Raw_Suppliers!$A$2:$G$101,4,FALSE)</f>
        <v>South</v>
      </c>
      <c r="N1944" t="str">
        <f>VLOOKUP(B1944,Raw_Suppliers!$A$2:$G$101,6,FALSE)</f>
        <v>ISO 14001</v>
      </c>
      <c r="O1944">
        <f>VLOOKUP(B1944,Raw_Suppliers!$A$2:$G$101,7,FALSE)</f>
        <v>0</v>
      </c>
      <c r="P1944" t="str">
        <f t="shared" si="181"/>
        <v>No</v>
      </c>
      <c r="Q1944">
        <f t="shared" si="182"/>
        <v>1</v>
      </c>
      <c r="R1944" t="str">
        <f t="shared" si="183"/>
        <v>On Time</v>
      </c>
      <c r="S1944">
        <f t="shared" si="184"/>
        <v>2022</v>
      </c>
      <c r="T1944">
        <f t="shared" si="185"/>
        <v>3</v>
      </c>
    </row>
    <row r="1945" spans="1:20" x14ac:dyDescent="0.25">
      <c r="A1945" t="s">
        <v>2252</v>
      </c>
      <c r="B1945" t="s">
        <v>43</v>
      </c>
      <c r="C1945" t="s">
        <v>297</v>
      </c>
      <c r="D1945" s="1">
        <v>45227</v>
      </c>
      <c r="E1945">
        <v>12</v>
      </c>
      <c r="F1945">
        <v>43.680697946894099</v>
      </c>
      <c r="G1945" s="1">
        <v>45245</v>
      </c>
      <c r="H1945" s="1">
        <v>45246</v>
      </c>
      <c r="I1945">
        <v>524.16837536272897</v>
      </c>
      <c r="J1945">
        <f t="shared" si="180"/>
        <v>1</v>
      </c>
      <c r="K1945" t="str">
        <f>VLOOKUP(B1945,Raw_Suppliers!$A$2:$G$101,2,FALSE)</f>
        <v>Alpha Ultra Corp</v>
      </c>
      <c r="L1945" t="str">
        <f>VLOOKUP(B1945,Raw_Suppliers!$A$2:$G$101,3,FALSE)</f>
        <v>USA</v>
      </c>
      <c r="M1945" t="str">
        <f>VLOOKUP(B1945,Raw_Suppliers!$A$2:$G$101,4,FALSE)</f>
        <v>Central</v>
      </c>
      <c r="N1945" t="str">
        <f>VLOOKUP(B1945,Raw_Suppliers!$A$2:$G$101,6,FALSE)</f>
        <v>ISO 9001</v>
      </c>
      <c r="O1945">
        <f>VLOOKUP(B1945,Raw_Suppliers!$A$2:$G$101,7,FALSE)</f>
        <v>1</v>
      </c>
      <c r="P1945" t="str">
        <f t="shared" si="181"/>
        <v>Yes</v>
      </c>
      <c r="Q1945">
        <f t="shared" si="182"/>
        <v>0</v>
      </c>
      <c r="R1945" t="str">
        <f t="shared" si="183"/>
        <v>Late</v>
      </c>
      <c r="S1945">
        <f t="shared" si="184"/>
        <v>2023</v>
      </c>
      <c r="T1945">
        <f t="shared" si="185"/>
        <v>10</v>
      </c>
    </row>
    <row r="1946" spans="1:20" x14ac:dyDescent="0.25">
      <c r="A1946" t="s">
        <v>2253</v>
      </c>
      <c r="B1946" t="s">
        <v>240</v>
      </c>
      <c r="C1946" t="s">
        <v>693</v>
      </c>
      <c r="D1946" s="1">
        <v>45056</v>
      </c>
      <c r="E1946">
        <v>7</v>
      </c>
      <c r="F1946">
        <v>48.232686245217202</v>
      </c>
      <c r="G1946" s="1">
        <v>45067</v>
      </c>
      <c r="H1946" s="1">
        <v>45070</v>
      </c>
      <c r="I1946">
        <v>337.62880371652</v>
      </c>
      <c r="J1946">
        <f t="shared" si="180"/>
        <v>3</v>
      </c>
      <c r="K1946" t="str">
        <f>VLOOKUP(B1946,Raw_Suppliers!$A$2:$G$101,2,FALSE)</f>
        <v>Apex Omega LLC</v>
      </c>
      <c r="L1946" t="str">
        <f>VLOOKUP(B1946,Raw_Suppliers!$A$2:$G$101,3,FALSE)</f>
        <v>UK</v>
      </c>
      <c r="M1946" t="str">
        <f>VLOOKUP(B1946,Raw_Suppliers!$A$2:$G$101,4,FALSE)</f>
        <v>South</v>
      </c>
      <c r="N1946" t="str">
        <f>VLOOKUP(B1946,Raw_Suppliers!$A$2:$G$101,6,FALSE)</f>
        <v>ISO 9001</v>
      </c>
      <c r="O1946">
        <f>VLOOKUP(B1946,Raw_Suppliers!$A$2:$G$101,7,FALSE)</f>
        <v>0</v>
      </c>
      <c r="P1946" t="str">
        <f t="shared" si="181"/>
        <v>No</v>
      </c>
      <c r="Q1946">
        <f t="shared" si="182"/>
        <v>0</v>
      </c>
      <c r="R1946" t="str">
        <f t="shared" si="183"/>
        <v>Late</v>
      </c>
      <c r="S1946">
        <f t="shared" si="184"/>
        <v>2023</v>
      </c>
      <c r="T1946">
        <f t="shared" si="185"/>
        <v>5</v>
      </c>
    </row>
    <row r="1947" spans="1:20" x14ac:dyDescent="0.25">
      <c r="A1947" t="s">
        <v>2254</v>
      </c>
      <c r="B1947" t="s">
        <v>253</v>
      </c>
      <c r="C1947" t="s">
        <v>184</v>
      </c>
      <c r="D1947" s="1">
        <v>44973</v>
      </c>
      <c r="E1947">
        <v>6</v>
      </c>
      <c r="F1947">
        <v>42.6512206710375</v>
      </c>
      <c r="G1947" s="1">
        <v>44993</v>
      </c>
      <c r="H1947" s="1">
        <v>44997</v>
      </c>
      <c r="I1947">
        <v>255.90732402622501</v>
      </c>
      <c r="J1947">
        <f t="shared" si="180"/>
        <v>4</v>
      </c>
      <c r="K1947" t="str">
        <f>VLOOKUP(B1947,Raw_Suppliers!$A$2:$G$101,2,FALSE)</f>
        <v>Vertex Apex Ltd</v>
      </c>
      <c r="L1947" t="str">
        <f>VLOOKUP(B1947,Raw_Suppliers!$A$2:$G$101,3,FALSE)</f>
        <v>Brazil</v>
      </c>
      <c r="M1947" t="str">
        <f>VLOOKUP(B1947,Raw_Suppliers!$A$2:$G$101,4,FALSE)</f>
        <v>South</v>
      </c>
      <c r="N1947" t="str">
        <f>VLOOKUP(B1947,Raw_Suppliers!$A$2:$G$101,6,FALSE)</f>
        <v>None</v>
      </c>
      <c r="O1947">
        <f>VLOOKUP(B1947,Raw_Suppliers!$A$2:$G$101,7,FALSE)</f>
        <v>1</v>
      </c>
      <c r="P1947" t="str">
        <f t="shared" si="181"/>
        <v>Yes</v>
      </c>
      <c r="Q1947">
        <f t="shared" si="182"/>
        <v>0</v>
      </c>
      <c r="R1947" t="str">
        <f t="shared" si="183"/>
        <v>Late</v>
      </c>
      <c r="S1947">
        <f t="shared" si="184"/>
        <v>2023</v>
      </c>
      <c r="T1947">
        <f t="shared" si="185"/>
        <v>2</v>
      </c>
    </row>
    <row r="1948" spans="1:20" x14ac:dyDescent="0.25">
      <c r="A1948" t="s">
        <v>2255</v>
      </c>
      <c r="B1948" t="s">
        <v>578</v>
      </c>
      <c r="C1948" t="s">
        <v>899</v>
      </c>
      <c r="D1948" s="1">
        <v>44979</v>
      </c>
      <c r="E1948">
        <v>7</v>
      </c>
      <c r="F1948">
        <v>32.981092979312002</v>
      </c>
      <c r="G1948" s="1">
        <v>44992</v>
      </c>
      <c r="H1948" s="1">
        <v>44994</v>
      </c>
      <c r="I1948">
        <v>230.867650855184</v>
      </c>
      <c r="J1948">
        <f t="shared" si="180"/>
        <v>2</v>
      </c>
      <c r="K1948" t="str">
        <f>VLOOKUP(B1948,Raw_Suppliers!$A$2:$G$101,2,FALSE)</f>
        <v>Beta Eco Ltd</v>
      </c>
      <c r="L1948" t="str">
        <f>VLOOKUP(B1948,Raw_Suppliers!$A$2:$G$101,3,FALSE)</f>
        <v>Canada</v>
      </c>
      <c r="M1948" t="str">
        <f>VLOOKUP(B1948,Raw_Suppliers!$A$2:$G$101,4,FALSE)</f>
        <v>East</v>
      </c>
      <c r="N1948" t="str">
        <f>VLOOKUP(B1948,Raw_Suppliers!$A$2:$G$101,6,FALSE)</f>
        <v>None</v>
      </c>
      <c r="O1948">
        <f>VLOOKUP(B1948,Raw_Suppliers!$A$2:$G$101,7,FALSE)</f>
        <v>0</v>
      </c>
      <c r="P1948" t="str">
        <f t="shared" si="181"/>
        <v>No</v>
      </c>
      <c r="Q1948">
        <f t="shared" si="182"/>
        <v>0</v>
      </c>
      <c r="R1948" t="str">
        <f t="shared" si="183"/>
        <v>Late</v>
      </c>
      <c r="S1948">
        <f t="shared" si="184"/>
        <v>2023</v>
      </c>
      <c r="T1948">
        <f t="shared" si="185"/>
        <v>2</v>
      </c>
    </row>
    <row r="1949" spans="1:20" x14ac:dyDescent="0.25">
      <c r="A1949" t="s">
        <v>2256</v>
      </c>
      <c r="B1949" t="s">
        <v>411</v>
      </c>
      <c r="C1949" t="s">
        <v>59</v>
      </c>
      <c r="D1949" s="1">
        <v>45137</v>
      </c>
      <c r="E1949">
        <v>8</v>
      </c>
      <c r="F1949">
        <v>4.71158006413199</v>
      </c>
      <c r="G1949" s="1">
        <v>45160</v>
      </c>
      <c r="H1949" s="1">
        <v>45162</v>
      </c>
      <c r="I1949">
        <v>37.692640513055899</v>
      </c>
      <c r="J1949">
        <f t="shared" si="180"/>
        <v>2</v>
      </c>
      <c r="K1949" t="str">
        <f>VLOOKUP(B1949,Raw_Suppliers!$A$2:$G$101,2,FALSE)</f>
        <v>Gamma Nova LLC</v>
      </c>
      <c r="L1949" t="str">
        <f>VLOOKUP(B1949,Raw_Suppliers!$A$2:$G$101,3,FALSE)</f>
        <v>Brazil</v>
      </c>
      <c r="M1949" t="str">
        <f>VLOOKUP(B1949,Raw_Suppliers!$A$2:$G$101,4,FALSE)</f>
        <v>North</v>
      </c>
      <c r="N1949" t="str">
        <f>VLOOKUP(B1949,Raw_Suppliers!$A$2:$G$101,6,FALSE)</f>
        <v>ISO 14001</v>
      </c>
      <c r="O1949">
        <f>VLOOKUP(B1949,Raw_Suppliers!$A$2:$G$101,7,FALSE)</f>
        <v>1</v>
      </c>
      <c r="P1949" t="str">
        <f t="shared" si="181"/>
        <v>Yes</v>
      </c>
      <c r="Q1949">
        <f t="shared" si="182"/>
        <v>0</v>
      </c>
      <c r="R1949" t="str">
        <f t="shared" si="183"/>
        <v>Late</v>
      </c>
      <c r="S1949">
        <f t="shared" si="184"/>
        <v>2023</v>
      </c>
      <c r="T1949">
        <f t="shared" si="185"/>
        <v>7</v>
      </c>
    </row>
    <row r="1950" spans="1:20" x14ac:dyDescent="0.25">
      <c r="A1950" t="s">
        <v>2257</v>
      </c>
      <c r="B1950" t="s">
        <v>314</v>
      </c>
      <c r="C1950" t="s">
        <v>795</v>
      </c>
      <c r="D1950" s="1">
        <v>45341</v>
      </c>
      <c r="E1950">
        <v>15</v>
      </c>
      <c r="F1950">
        <v>44.622205832214597</v>
      </c>
      <c r="G1950" s="1">
        <v>45362</v>
      </c>
      <c r="H1950" s="1">
        <v>45361</v>
      </c>
      <c r="I1950">
        <v>669.33308748321997</v>
      </c>
      <c r="J1950">
        <f t="shared" si="180"/>
        <v>-1</v>
      </c>
      <c r="K1950" t="str">
        <f>VLOOKUP(B1950,Raw_Suppliers!$A$2:$G$101,2,FALSE)</f>
        <v>Gamma Nova Ltd</v>
      </c>
      <c r="L1950" t="str">
        <f>VLOOKUP(B1950,Raw_Suppliers!$A$2:$G$101,3,FALSE)</f>
        <v>USA</v>
      </c>
      <c r="M1950" t="str">
        <f>VLOOKUP(B1950,Raw_Suppliers!$A$2:$G$101,4,FALSE)</f>
        <v>North</v>
      </c>
      <c r="N1950" t="str">
        <f>VLOOKUP(B1950,Raw_Suppliers!$A$2:$G$101,6,FALSE)</f>
        <v>ISO 45001</v>
      </c>
      <c r="O1950">
        <f>VLOOKUP(B1950,Raw_Suppliers!$A$2:$G$101,7,FALSE)</f>
        <v>0</v>
      </c>
      <c r="P1950" t="str">
        <f t="shared" si="181"/>
        <v>No</v>
      </c>
      <c r="Q1950">
        <f t="shared" si="182"/>
        <v>1</v>
      </c>
      <c r="R1950" t="str">
        <f t="shared" si="183"/>
        <v>On Time</v>
      </c>
      <c r="S1950">
        <f t="shared" si="184"/>
        <v>2024</v>
      </c>
      <c r="T1950">
        <f t="shared" si="185"/>
        <v>2</v>
      </c>
    </row>
    <row r="1951" spans="1:20" x14ac:dyDescent="0.25">
      <c r="A1951" t="s">
        <v>2258</v>
      </c>
      <c r="B1951" t="s">
        <v>25</v>
      </c>
      <c r="C1951" t="s">
        <v>163</v>
      </c>
      <c r="D1951" s="1">
        <v>44778</v>
      </c>
      <c r="E1951">
        <v>8</v>
      </c>
      <c r="F1951">
        <v>7.0840635205386002</v>
      </c>
      <c r="G1951" s="1">
        <v>44799</v>
      </c>
      <c r="H1951" s="1">
        <v>44804</v>
      </c>
      <c r="I1951">
        <v>56.672508164308802</v>
      </c>
      <c r="J1951">
        <f t="shared" si="180"/>
        <v>5</v>
      </c>
      <c r="K1951" t="str">
        <f>VLOOKUP(B1951,Raw_Suppliers!$A$2:$G$101,2,FALSE)</f>
        <v>Quantum Fusion Corp</v>
      </c>
      <c r="L1951" t="str">
        <f>VLOOKUP(B1951,Raw_Suppliers!$A$2:$G$101,3,FALSE)</f>
        <v>UK</v>
      </c>
      <c r="M1951" t="str">
        <f>VLOOKUP(B1951,Raw_Suppliers!$A$2:$G$101,4,FALSE)</f>
        <v>North</v>
      </c>
      <c r="N1951" t="str">
        <f>VLOOKUP(B1951,Raw_Suppliers!$A$2:$G$101,6,FALSE)</f>
        <v>ISO 9001</v>
      </c>
      <c r="O1951">
        <f>VLOOKUP(B1951,Raw_Suppliers!$A$2:$G$101,7,FALSE)</f>
        <v>0</v>
      </c>
      <c r="P1951" t="str">
        <f t="shared" si="181"/>
        <v>No</v>
      </c>
      <c r="Q1951">
        <f t="shared" si="182"/>
        <v>0</v>
      </c>
      <c r="R1951" t="str">
        <f t="shared" si="183"/>
        <v>Late</v>
      </c>
      <c r="S1951">
        <f t="shared" si="184"/>
        <v>2022</v>
      </c>
      <c r="T1951">
        <f t="shared" si="185"/>
        <v>8</v>
      </c>
    </row>
    <row r="1952" spans="1:20" x14ac:dyDescent="0.25">
      <c r="A1952" t="s">
        <v>2259</v>
      </c>
      <c r="B1952" t="s">
        <v>359</v>
      </c>
      <c r="C1952" t="s">
        <v>158</v>
      </c>
      <c r="D1952" s="1">
        <v>45336</v>
      </c>
      <c r="E1952">
        <v>7</v>
      </c>
      <c r="F1952">
        <v>30.1164695765919</v>
      </c>
      <c r="G1952" s="1">
        <v>45359</v>
      </c>
      <c r="H1952" s="1">
        <v>45361</v>
      </c>
      <c r="I1952">
        <v>210.81528703614299</v>
      </c>
      <c r="J1952">
        <f t="shared" si="180"/>
        <v>2</v>
      </c>
      <c r="K1952" t="str">
        <f>VLOOKUP(B1952,Raw_Suppliers!$A$2:$G$101,2,FALSE)</f>
        <v>Alpha Alpha Corp</v>
      </c>
      <c r="L1952" t="str">
        <f>VLOOKUP(B1952,Raw_Suppliers!$A$2:$G$101,3,FALSE)</f>
        <v>India</v>
      </c>
      <c r="M1952" t="str">
        <f>VLOOKUP(B1952,Raw_Suppliers!$A$2:$G$101,4,FALSE)</f>
        <v>North</v>
      </c>
      <c r="N1952" t="str">
        <f>VLOOKUP(B1952,Raw_Suppliers!$A$2:$G$101,6,FALSE)</f>
        <v>ISO 9001</v>
      </c>
      <c r="O1952">
        <f>VLOOKUP(B1952,Raw_Suppliers!$A$2:$G$101,7,FALSE)</f>
        <v>1</v>
      </c>
      <c r="P1952" t="str">
        <f t="shared" si="181"/>
        <v>Yes</v>
      </c>
      <c r="Q1952">
        <f t="shared" si="182"/>
        <v>0</v>
      </c>
      <c r="R1952" t="str">
        <f t="shared" si="183"/>
        <v>Late</v>
      </c>
      <c r="S1952">
        <f t="shared" si="184"/>
        <v>2024</v>
      </c>
      <c r="T1952">
        <f t="shared" si="185"/>
        <v>2</v>
      </c>
    </row>
    <row r="1953" spans="1:20" x14ac:dyDescent="0.25">
      <c r="A1953" t="s">
        <v>2260</v>
      </c>
      <c r="B1953" t="s">
        <v>399</v>
      </c>
      <c r="C1953" t="s">
        <v>391</v>
      </c>
      <c r="D1953" s="1">
        <v>45256</v>
      </c>
      <c r="E1953">
        <v>5</v>
      </c>
      <c r="F1953">
        <v>56.642778705780799</v>
      </c>
      <c r="G1953" s="1">
        <v>45279</v>
      </c>
      <c r="H1953" s="1">
        <v>45280</v>
      </c>
      <c r="I1953">
        <v>283.21389352890401</v>
      </c>
      <c r="J1953">
        <f t="shared" si="180"/>
        <v>1</v>
      </c>
      <c r="K1953" t="str">
        <f>VLOOKUP(B1953,Raw_Suppliers!$A$2:$G$101,2,FALSE)</f>
        <v>Omega Nano Corp</v>
      </c>
      <c r="L1953" t="str">
        <f>VLOOKUP(B1953,Raw_Suppliers!$A$2:$G$101,3,FALSE)</f>
        <v>Brazil</v>
      </c>
      <c r="M1953" t="str">
        <f>VLOOKUP(B1953,Raw_Suppliers!$A$2:$G$101,4,FALSE)</f>
        <v>Central</v>
      </c>
      <c r="N1953" t="str">
        <f>VLOOKUP(B1953,Raw_Suppliers!$A$2:$G$101,6,FALSE)</f>
        <v>ISO 14001</v>
      </c>
      <c r="O1953">
        <f>VLOOKUP(B1953,Raw_Suppliers!$A$2:$G$101,7,FALSE)</f>
        <v>0</v>
      </c>
      <c r="P1953" t="str">
        <f t="shared" si="181"/>
        <v>No</v>
      </c>
      <c r="Q1953">
        <f t="shared" si="182"/>
        <v>0</v>
      </c>
      <c r="R1953" t="str">
        <f t="shared" si="183"/>
        <v>Late</v>
      </c>
      <c r="S1953">
        <f t="shared" si="184"/>
        <v>2023</v>
      </c>
      <c r="T1953">
        <f t="shared" si="185"/>
        <v>11</v>
      </c>
    </row>
    <row r="1954" spans="1:20" x14ac:dyDescent="0.25">
      <c r="A1954" t="s">
        <v>2261</v>
      </c>
      <c r="B1954" t="s">
        <v>379</v>
      </c>
      <c r="C1954" t="s">
        <v>238</v>
      </c>
      <c r="D1954" s="1">
        <v>44202</v>
      </c>
      <c r="E1954">
        <v>10</v>
      </c>
      <c r="F1954">
        <v>16.395707261128099</v>
      </c>
      <c r="G1954" s="1">
        <v>44212</v>
      </c>
      <c r="H1954" s="1">
        <v>44218</v>
      </c>
      <c r="I1954">
        <v>163.95707261128101</v>
      </c>
      <c r="J1954">
        <f t="shared" si="180"/>
        <v>6</v>
      </c>
      <c r="K1954" t="str">
        <f>VLOOKUP(B1954,Raw_Suppliers!$A$2:$G$101,2,FALSE)</f>
        <v>Apex Fusion Ltd</v>
      </c>
      <c r="L1954" t="str">
        <f>VLOOKUP(B1954,Raw_Suppliers!$A$2:$G$101,3,FALSE)</f>
        <v>USA</v>
      </c>
      <c r="M1954" t="str">
        <f>VLOOKUP(B1954,Raw_Suppliers!$A$2:$G$101,4,FALSE)</f>
        <v>East</v>
      </c>
      <c r="N1954" t="str">
        <f>VLOOKUP(B1954,Raw_Suppliers!$A$2:$G$101,6,FALSE)</f>
        <v>ISO 14001</v>
      </c>
      <c r="O1954">
        <f>VLOOKUP(B1954,Raw_Suppliers!$A$2:$G$101,7,FALSE)</f>
        <v>1</v>
      </c>
      <c r="P1954" t="str">
        <f t="shared" si="181"/>
        <v>Yes</v>
      </c>
      <c r="Q1954">
        <f t="shared" si="182"/>
        <v>0</v>
      </c>
      <c r="R1954" t="str">
        <f t="shared" si="183"/>
        <v>Late</v>
      </c>
      <c r="S1954">
        <f t="shared" si="184"/>
        <v>2021</v>
      </c>
      <c r="T1954">
        <f t="shared" si="185"/>
        <v>1</v>
      </c>
    </row>
    <row r="1955" spans="1:20" x14ac:dyDescent="0.25">
      <c r="A1955" t="s">
        <v>2262</v>
      </c>
      <c r="B1955" t="s">
        <v>58</v>
      </c>
      <c r="C1955" t="s">
        <v>444</v>
      </c>
      <c r="D1955" s="1">
        <v>44853</v>
      </c>
      <c r="E1955">
        <v>13</v>
      </c>
      <c r="F1955">
        <v>32.788294416819902</v>
      </c>
      <c r="G1955" s="1">
        <v>44877</v>
      </c>
      <c r="H1955" s="1">
        <v>44883</v>
      </c>
      <c r="I1955">
        <v>426.24782741865903</v>
      </c>
      <c r="J1955">
        <f t="shared" si="180"/>
        <v>6</v>
      </c>
      <c r="K1955" t="str">
        <f>VLOOKUP(B1955,Raw_Suppliers!$A$2:$G$101,2,FALSE)</f>
        <v>Quantum Nano Inc</v>
      </c>
      <c r="L1955" t="str">
        <f>VLOOKUP(B1955,Raw_Suppliers!$A$2:$G$101,3,FALSE)</f>
        <v>Brazil</v>
      </c>
      <c r="M1955" t="str">
        <f>VLOOKUP(B1955,Raw_Suppliers!$A$2:$G$101,4,FALSE)</f>
        <v>East</v>
      </c>
      <c r="N1955" t="str">
        <f>VLOOKUP(B1955,Raw_Suppliers!$A$2:$G$101,6,FALSE)</f>
        <v>ISO 9001</v>
      </c>
      <c r="O1955">
        <f>VLOOKUP(B1955,Raw_Suppliers!$A$2:$G$101,7,FALSE)</f>
        <v>1</v>
      </c>
      <c r="P1955" t="str">
        <f t="shared" si="181"/>
        <v>Yes</v>
      </c>
      <c r="Q1955">
        <f t="shared" si="182"/>
        <v>0</v>
      </c>
      <c r="R1955" t="str">
        <f t="shared" si="183"/>
        <v>Late</v>
      </c>
      <c r="S1955">
        <f t="shared" si="184"/>
        <v>2022</v>
      </c>
      <c r="T1955">
        <f t="shared" si="185"/>
        <v>10</v>
      </c>
    </row>
    <row r="1956" spans="1:20" x14ac:dyDescent="0.25">
      <c r="A1956" t="s">
        <v>2263</v>
      </c>
      <c r="B1956" t="s">
        <v>37</v>
      </c>
      <c r="C1956" t="s">
        <v>92</v>
      </c>
      <c r="D1956" s="1">
        <v>44761</v>
      </c>
      <c r="E1956">
        <v>12</v>
      </c>
      <c r="F1956">
        <v>12.0204539328968</v>
      </c>
      <c r="G1956" s="1">
        <v>44784</v>
      </c>
      <c r="H1956" s="1">
        <v>44783</v>
      </c>
      <c r="I1956">
        <v>144.245447194761</v>
      </c>
      <c r="J1956">
        <f t="shared" si="180"/>
        <v>-1</v>
      </c>
      <c r="K1956" t="str">
        <f>VLOOKUP(B1956,Raw_Suppliers!$A$2:$G$101,2,FALSE)</f>
        <v>Apex Apex Ltd</v>
      </c>
      <c r="L1956" t="str">
        <f>VLOOKUP(B1956,Raw_Suppliers!$A$2:$G$101,3,FALSE)</f>
        <v>Canada</v>
      </c>
      <c r="M1956" t="str">
        <f>VLOOKUP(B1956,Raw_Suppliers!$A$2:$G$101,4,FALSE)</f>
        <v>East</v>
      </c>
      <c r="N1956" t="str">
        <f>VLOOKUP(B1956,Raw_Suppliers!$A$2:$G$101,6,FALSE)</f>
        <v>ISO 9001</v>
      </c>
      <c r="O1956">
        <f>VLOOKUP(B1956,Raw_Suppliers!$A$2:$G$101,7,FALSE)</f>
        <v>1</v>
      </c>
      <c r="P1956" t="str">
        <f t="shared" si="181"/>
        <v>Yes</v>
      </c>
      <c r="Q1956">
        <f t="shared" si="182"/>
        <v>1</v>
      </c>
      <c r="R1956" t="str">
        <f t="shared" si="183"/>
        <v>On Time</v>
      </c>
      <c r="S1956">
        <f t="shared" si="184"/>
        <v>2022</v>
      </c>
      <c r="T1956">
        <f t="shared" si="185"/>
        <v>7</v>
      </c>
    </row>
    <row r="1957" spans="1:20" x14ac:dyDescent="0.25">
      <c r="A1957" t="s">
        <v>2264</v>
      </c>
      <c r="B1957" t="s">
        <v>96</v>
      </c>
      <c r="C1957" t="s">
        <v>1176</v>
      </c>
      <c r="D1957" s="1">
        <v>44522</v>
      </c>
      <c r="E1957">
        <v>9</v>
      </c>
      <c r="F1957">
        <v>63.727853735531497</v>
      </c>
      <c r="G1957" s="1">
        <v>44539</v>
      </c>
      <c r="H1957" s="1">
        <v>44543</v>
      </c>
      <c r="I1957">
        <v>573.55068361978294</v>
      </c>
      <c r="J1957">
        <f t="shared" si="180"/>
        <v>4</v>
      </c>
      <c r="K1957" t="str">
        <f>VLOOKUP(B1957,Raw_Suppliers!$A$2:$G$101,2,FALSE)</f>
        <v>Alpha Nova Ltd</v>
      </c>
      <c r="L1957" t="str">
        <f>VLOOKUP(B1957,Raw_Suppliers!$A$2:$G$101,3,FALSE)</f>
        <v>UK</v>
      </c>
      <c r="M1957" t="str">
        <f>VLOOKUP(B1957,Raw_Suppliers!$A$2:$G$101,4,FALSE)</f>
        <v>West</v>
      </c>
      <c r="N1957" t="str">
        <f>VLOOKUP(B1957,Raw_Suppliers!$A$2:$G$101,6,FALSE)</f>
        <v>ISO 14001</v>
      </c>
      <c r="O1957">
        <f>VLOOKUP(B1957,Raw_Suppliers!$A$2:$G$101,7,FALSE)</f>
        <v>0</v>
      </c>
      <c r="P1957" t="str">
        <f t="shared" si="181"/>
        <v>No</v>
      </c>
      <c r="Q1957">
        <f t="shared" si="182"/>
        <v>0</v>
      </c>
      <c r="R1957" t="str">
        <f t="shared" si="183"/>
        <v>Late</v>
      </c>
      <c r="S1957">
        <f t="shared" si="184"/>
        <v>2021</v>
      </c>
      <c r="T1957">
        <f t="shared" si="185"/>
        <v>11</v>
      </c>
    </row>
    <row r="1958" spans="1:20" x14ac:dyDescent="0.25">
      <c r="A1958" t="s">
        <v>2265</v>
      </c>
      <c r="B1958" t="s">
        <v>104</v>
      </c>
      <c r="C1958" t="s">
        <v>543</v>
      </c>
      <c r="D1958" s="1">
        <v>44974</v>
      </c>
      <c r="E1958">
        <v>11</v>
      </c>
      <c r="F1958">
        <v>29.669039025058101</v>
      </c>
      <c r="G1958" s="1">
        <v>44995</v>
      </c>
      <c r="H1958" s="1">
        <v>45000</v>
      </c>
      <c r="I1958">
        <v>326.359429275639</v>
      </c>
      <c r="J1958">
        <f t="shared" si="180"/>
        <v>5</v>
      </c>
      <c r="K1958" t="str">
        <f>VLOOKUP(B1958,Raw_Suppliers!$A$2:$G$101,2,FALSE)</f>
        <v>Prime Omega Corp</v>
      </c>
      <c r="L1958" t="str">
        <f>VLOOKUP(B1958,Raw_Suppliers!$A$2:$G$101,3,FALSE)</f>
        <v>India</v>
      </c>
      <c r="M1958" t="str">
        <f>VLOOKUP(B1958,Raw_Suppliers!$A$2:$G$101,4,FALSE)</f>
        <v>Central</v>
      </c>
      <c r="N1958" t="str">
        <f>VLOOKUP(B1958,Raw_Suppliers!$A$2:$G$101,6,FALSE)</f>
        <v>ISO 14001</v>
      </c>
      <c r="O1958">
        <f>VLOOKUP(B1958,Raw_Suppliers!$A$2:$G$101,7,FALSE)</f>
        <v>0</v>
      </c>
      <c r="P1958" t="str">
        <f t="shared" si="181"/>
        <v>No</v>
      </c>
      <c r="Q1958">
        <f t="shared" si="182"/>
        <v>0</v>
      </c>
      <c r="R1958" t="str">
        <f t="shared" si="183"/>
        <v>Late</v>
      </c>
      <c r="S1958">
        <f t="shared" si="184"/>
        <v>2023</v>
      </c>
      <c r="T1958">
        <f t="shared" si="185"/>
        <v>2</v>
      </c>
    </row>
    <row r="1959" spans="1:20" x14ac:dyDescent="0.25">
      <c r="A1959" t="s">
        <v>2266</v>
      </c>
      <c r="B1959" t="s">
        <v>10</v>
      </c>
      <c r="C1959" t="s">
        <v>899</v>
      </c>
      <c r="D1959" s="1">
        <v>45005</v>
      </c>
      <c r="E1959">
        <v>9</v>
      </c>
      <c r="F1959">
        <v>12.889945532642299</v>
      </c>
      <c r="G1959" s="1">
        <v>45020</v>
      </c>
      <c r="H1959" s="1">
        <v>45018</v>
      </c>
      <c r="I1959">
        <v>116.00950979378101</v>
      </c>
      <c r="J1959">
        <f t="shared" si="180"/>
        <v>-2</v>
      </c>
      <c r="K1959" t="str">
        <f>VLOOKUP(B1959,Raw_Suppliers!$A$2:$G$101,2,FALSE)</f>
        <v>Vertex Beta GmbH</v>
      </c>
      <c r="L1959" t="str">
        <f>VLOOKUP(B1959,Raw_Suppliers!$A$2:$G$101,3,FALSE)</f>
        <v>India</v>
      </c>
      <c r="M1959" t="str">
        <f>VLOOKUP(B1959,Raw_Suppliers!$A$2:$G$101,4,FALSE)</f>
        <v>North</v>
      </c>
      <c r="N1959" t="str">
        <f>VLOOKUP(B1959,Raw_Suppliers!$A$2:$G$101,6,FALSE)</f>
        <v>ISO 14001</v>
      </c>
      <c r="O1959">
        <f>VLOOKUP(B1959,Raw_Suppliers!$A$2:$G$101,7,FALSE)</f>
        <v>0</v>
      </c>
      <c r="P1959" t="str">
        <f t="shared" si="181"/>
        <v>No</v>
      </c>
      <c r="Q1959">
        <f t="shared" si="182"/>
        <v>1</v>
      </c>
      <c r="R1959" t="str">
        <f t="shared" si="183"/>
        <v>On Time</v>
      </c>
      <c r="S1959">
        <f t="shared" si="184"/>
        <v>2023</v>
      </c>
      <c r="T1959">
        <f t="shared" si="185"/>
        <v>3</v>
      </c>
    </row>
    <row r="1960" spans="1:20" x14ac:dyDescent="0.25">
      <c r="A1960" t="s">
        <v>2267</v>
      </c>
      <c r="B1960" t="s">
        <v>58</v>
      </c>
      <c r="C1960" t="s">
        <v>302</v>
      </c>
      <c r="D1960" s="1">
        <v>44749</v>
      </c>
      <c r="E1960">
        <v>7</v>
      </c>
      <c r="F1960">
        <v>76.3675526026488</v>
      </c>
      <c r="G1960" s="1">
        <v>44766</v>
      </c>
      <c r="H1960" s="1">
        <v>44770</v>
      </c>
      <c r="I1960">
        <v>534.57286821854098</v>
      </c>
      <c r="J1960">
        <f t="shared" si="180"/>
        <v>4</v>
      </c>
      <c r="K1960" t="str">
        <f>VLOOKUP(B1960,Raw_Suppliers!$A$2:$G$101,2,FALSE)</f>
        <v>Quantum Nano Inc</v>
      </c>
      <c r="L1960" t="str">
        <f>VLOOKUP(B1960,Raw_Suppliers!$A$2:$G$101,3,FALSE)</f>
        <v>Brazil</v>
      </c>
      <c r="M1960" t="str">
        <f>VLOOKUP(B1960,Raw_Suppliers!$A$2:$G$101,4,FALSE)</f>
        <v>East</v>
      </c>
      <c r="N1960" t="str">
        <f>VLOOKUP(B1960,Raw_Suppliers!$A$2:$G$101,6,FALSE)</f>
        <v>ISO 9001</v>
      </c>
      <c r="O1960">
        <f>VLOOKUP(B1960,Raw_Suppliers!$A$2:$G$101,7,FALSE)</f>
        <v>1</v>
      </c>
      <c r="P1960" t="str">
        <f t="shared" si="181"/>
        <v>Yes</v>
      </c>
      <c r="Q1960">
        <f t="shared" si="182"/>
        <v>0</v>
      </c>
      <c r="R1960" t="str">
        <f t="shared" si="183"/>
        <v>Late</v>
      </c>
      <c r="S1960">
        <f t="shared" si="184"/>
        <v>2022</v>
      </c>
      <c r="T1960">
        <f t="shared" si="185"/>
        <v>7</v>
      </c>
    </row>
    <row r="1961" spans="1:20" x14ac:dyDescent="0.25">
      <c r="A1961" t="s">
        <v>2268</v>
      </c>
      <c r="B1961" t="s">
        <v>179</v>
      </c>
      <c r="C1961" t="s">
        <v>581</v>
      </c>
      <c r="D1961" s="1">
        <v>44262</v>
      </c>
      <c r="E1961">
        <v>16</v>
      </c>
      <c r="F1961">
        <v>13.040209829414501</v>
      </c>
      <c r="G1961" s="1">
        <v>44285</v>
      </c>
      <c r="H1961" s="1">
        <v>44286</v>
      </c>
      <c r="I1961">
        <v>208.643357270633</v>
      </c>
      <c r="J1961">
        <f t="shared" si="180"/>
        <v>1</v>
      </c>
      <c r="K1961" t="str">
        <f>VLOOKUP(B1961,Raw_Suppliers!$A$2:$G$101,2,FALSE)</f>
        <v>Nova Gamma Ltd</v>
      </c>
      <c r="L1961" t="str">
        <f>VLOOKUP(B1961,Raw_Suppliers!$A$2:$G$101,3,FALSE)</f>
        <v>Denmark</v>
      </c>
      <c r="M1961" t="str">
        <f>VLOOKUP(B1961,Raw_Suppliers!$A$2:$G$101,4,FALSE)</f>
        <v>East</v>
      </c>
      <c r="N1961" t="str">
        <f>VLOOKUP(B1961,Raw_Suppliers!$A$2:$G$101,6,FALSE)</f>
        <v>ISO 9001</v>
      </c>
      <c r="O1961">
        <f>VLOOKUP(B1961,Raw_Suppliers!$A$2:$G$101,7,FALSE)</f>
        <v>0</v>
      </c>
      <c r="P1961" t="str">
        <f t="shared" si="181"/>
        <v>No</v>
      </c>
      <c r="Q1961">
        <f t="shared" si="182"/>
        <v>0</v>
      </c>
      <c r="R1961" t="str">
        <f t="shared" si="183"/>
        <v>Late</v>
      </c>
      <c r="S1961">
        <f t="shared" si="184"/>
        <v>2021</v>
      </c>
      <c r="T1961">
        <f t="shared" si="185"/>
        <v>3</v>
      </c>
    </row>
    <row r="1962" spans="1:20" x14ac:dyDescent="0.25">
      <c r="A1962" t="s">
        <v>2269</v>
      </c>
      <c r="B1962" t="s">
        <v>256</v>
      </c>
      <c r="C1962" t="s">
        <v>257</v>
      </c>
      <c r="D1962" s="1">
        <v>44567</v>
      </c>
      <c r="E1962">
        <v>8</v>
      </c>
      <c r="F1962">
        <v>61.957829500161097</v>
      </c>
      <c r="G1962" s="1">
        <v>44580</v>
      </c>
      <c r="H1962" s="1">
        <v>44582</v>
      </c>
      <c r="I1962">
        <v>495.662636001289</v>
      </c>
      <c r="J1962">
        <f t="shared" si="180"/>
        <v>2</v>
      </c>
      <c r="K1962" t="str">
        <f>VLOOKUP(B1962,Raw_Suppliers!$A$2:$G$101,2,FALSE)</f>
        <v>Apex Eco Ltd</v>
      </c>
      <c r="L1962" t="str">
        <f>VLOOKUP(B1962,Raw_Suppliers!$A$2:$G$101,3,FALSE)</f>
        <v>USA</v>
      </c>
      <c r="M1962" t="str">
        <f>VLOOKUP(B1962,Raw_Suppliers!$A$2:$G$101,4,FALSE)</f>
        <v>North</v>
      </c>
      <c r="N1962" t="str">
        <f>VLOOKUP(B1962,Raw_Suppliers!$A$2:$G$101,6,FALSE)</f>
        <v>ISO 45001</v>
      </c>
      <c r="O1962">
        <f>VLOOKUP(B1962,Raw_Suppliers!$A$2:$G$101,7,FALSE)</f>
        <v>0</v>
      </c>
      <c r="P1962" t="str">
        <f t="shared" si="181"/>
        <v>No</v>
      </c>
      <c r="Q1962">
        <f t="shared" si="182"/>
        <v>0</v>
      </c>
      <c r="R1962" t="str">
        <f t="shared" si="183"/>
        <v>Late</v>
      </c>
      <c r="S1962">
        <f t="shared" si="184"/>
        <v>2022</v>
      </c>
      <c r="T1962">
        <f t="shared" si="185"/>
        <v>1</v>
      </c>
    </row>
    <row r="1963" spans="1:20" x14ac:dyDescent="0.25">
      <c r="A1963" t="s">
        <v>2270</v>
      </c>
      <c r="B1963" t="s">
        <v>79</v>
      </c>
      <c r="C1963" t="s">
        <v>370</v>
      </c>
      <c r="D1963" s="1">
        <v>45131</v>
      </c>
      <c r="E1963">
        <v>6</v>
      </c>
      <c r="F1963">
        <v>26.350445287861</v>
      </c>
      <c r="G1963" s="1">
        <v>45151</v>
      </c>
      <c r="H1963" s="1">
        <v>45156</v>
      </c>
      <c r="I1963">
        <v>158.10267172716601</v>
      </c>
      <c r="J1963">
        <f t="shared" si="180"/>
        <v>5</v>
      </c>
      <c r="K1963" t="str">
        <f>VLOOKUP(B1963,Raw_Suppliers!$A$2:$G$101,2,FALSE)</f>
        <v>Vertex Fusion Inc</v>
      </c>
      <c r="L1963" t="str">
        <f>VLOOKUP(B1963,Raw_Suppliers!$A$2:$G$101,3,FALSE)</f>
        <v>India</v>
      </c>
      <c r="M1963" t="str">
        <f>VLOOKUP(B1963,Raw_Suppliers!$A$2:$G$101,4,FALSE)</f>
        <v>Central</v>
      </c>
      <c r="N1963" t="str">
        <f>VLOOKUP(B1963,Raw_Suppliers!$A$2:$G$101,6,FALSE)</f>
        <v>ISO 9001</v>
      </c>
      <c r="O1963">
        <f>VLOOKUP(B1963,Raw_Suppliers!$A$2:$G$101,7,FALSE)</f>
        <v>0</v>
      </c>
      <c r="P1963" t="str">
        <f t="shared" si="181"/>
        <v>No</v>
      </c>
      <c r="Q1963">
        <f t="shared" si="182"/>
        <v>0</v>
      </c>
      <c r="R1963" t="str">
        <f t="shared" si="183"/>
        <v>Late</v>
      </c>
      <c r="S1963">
        <f t="shared" si="184"/>
        <v>2023</v>
      </c>
      <c r="T1963">
        <f t="shared" si="185"/>
        <v>7</v>
      </c>
    </row>
    <row r="1964" spans="1:20" x14ac:dyDescent="0.25">
      <c r="A1964" t="s">
        <v>2271</v>
      </c>
      <c r="B1964" t="s">
        <v>493</v>
      </c>
      <c r="C1964" t="s">
        <v>818</v>
      </c>
      <c r="D1964" s="1">
        <v>45041</v>
      </c>
      <c r="E1964">
        <v>13</v>
      </c>
      <c r="F1964">
        <v>58.252143754165601</v>
      </c>
      <c r="G1964" s="1">
        <v>45059</v>
      </c>
      <c r="H1964" s="1">
        <v>45062</v>
      </c>
      <c r="I1964">
        <v>757.27786880415294</v>
      </c>
      <c r="J1964">
        <f t="shared" si="180"/>
        <v>3</v>
      </c>
      <c r="K1964" t="str">
        <f>VLOOKUP(B1964,Raw_Suppliers!$A$2:$G$101,2,FALSE)</f>
        <v>Delta Vertex LLC</v>
      </c>
      <c r="L1964" t="str">
        <f>VLOOKUP(B1964,Raw_Suppliers!$A$2:$G$101,3,FALSE)</f>
        <v>China</v>
      </c>
      <c r="M1964" t="str">
        <f>VLOOKUP(B1964,Raw_Suppliers!$A$2:$G$101,4,FALSE)</f>
        <v>East</v>
      </c>
      <c r="N1964" t="str">
        <f>VLOOKUP(B1964,Raw_Suppliers!$A$2:$G$101,6,FALSE)</f>
        <v>None</v>
      </c>
      <c r="O1964">
        <f>VLOOKUP(B1964,Raw_Suppliers!$A$2:$G$101,7,FALSE)</f>
        <v>0</v>
      </c>
      <c r="P1964" t="str">
        <f t="shared" si="181"/>
        <v>No</v>
      </c>
      <c r="Q1964">
        <f t="shared" si="182"/>
        <v>0</v>
      </c>
      <c r="R1964" t="str">
        <f t="shared" si="183"/>
        <v>Late</v>
      </c>
      <c r="S1964">
        <f t="shared" si="184"/>
        <v>2023</v>
      </c>
      <c r="T1964">
        <f t="shared" si="185"/>
        <v>4</v>
      </c>
    </row>
    <row r="1965" spans="1:20" x14ac:dyDescent="0.25">
      <c r="A1965" t="s">
        <v>2272</v>
      </c>
      <c r="B1965" t="s">
        <v>411</v>
      </c>
      <c r="C1965" t="s">
        <v>230</v>
      </c>
      <c r="D1965" s="1">
        <v>45359</v>
      </c>
      <c r="E1965">
        <v>8</v>
      </c>
      <c r="F1965">
        <v>15.6567752584247</v>
      </c>
      <c r="G1965" s="1">
        <v>45369</v>
      </c>
      <c r="H1965" s="1">
        <v>45375</v>
      </c>
      <c r="I1965">
        <v>125.254202067398</v>
      </c>
      <c r="J1965">
        <f t="shared" si="180"/>
        <v>6</v>
      </c>
      <c r="K1965" t="str">
        <f>VLOOKUP(B1965,Raw_Suppliers!$A$2:$G$101,2,FALSE)</f>
        <v>Gamma Nova LLC</v>
      </c>
      <c r="L1965" t="str">
        <f>VLOOKUP(B1965,Raw_Suppliers!$A$2:$G$101,3,FALSE)</f>
        <v>Brazil</v>
      </c>
      <c r="M1965" t="str">
        <f>VLOOKUP(B1965,Raw_Suppliers!$A$2:$G$101,4,FALSE)</f>
        <v>North</v>
      </c>
      <c r="N1965" t="str">
        <f>VLOOKUP(B1965,Raw_Suppliers!$A$2:$G$101,6,FALSE)</f>
        <v>ISO 14001</v>
      </c>
      <c r="O1965">
        <f>VLOOKUP(B1965,Raw_Suppliers!$A$2:$G$101,7,FALSE)</f>
        <v>1</v>
      </c>
      <c r="P1965" t="str">
        <f t="shared" si="181"/>
        <v>Yes</v>
      </c>
      <c r="Q1965">
        <f t="shared" si="182"/>
        <v>0</v>
      </c>
      <c r="R1965" t="str">
        <f t="shared" si="183"/>
        <v>Late</v>
      </c>
      <c r="S1965">
        <f t="shared" si="184"/>
        <v>2024</v>
      </c>
      <c r="T1965">
        <f t="shared" si="185"/>
        <v>3</v>
      </c>
    </row>
    <row r="1966" spans="1:20" x14ac:dyDescent="0.25">
      <c r="A1966" t="s">
        <v>2273</v>
      </c>
      <c r="B1966" t="s">
        <v>686</v>
      </c>
      <c r="C1966" t="s">
        <v>477</v>
      </c>
      <c r="D1966" s="1">
        <v>44999</v>
      </c>
      <c r="E1966">
        <v>12</v>
      </c>
      <c r="F1966">
        <v>56.586382338056502</v>
      </c>
      <c r="G1966" s="1">
        <v>45020</v>
      </c>
      <c r="H1966" s="1">
        <v>45026</v>
      </c>
      <c r="I1966">
        <v>679.03658805667897</v>
      </c>
      <c r="J1966">
        <f t="shared" si="180"/>
        <v>6</v>
      </c>
      <c r="K1966" t="str">
        <f>VLOOKUP(B1966,Raw_Suppliers!$A$2:$G$101,2,FALSE)</f>
        <v>Eco Gamma GmbH</v>
      </c>
      <c r="L1966" t="str">
        <f>VLOOKUP(B1966,Raw_Suppliers!$A$2:$G$101,3,FALSE)</f>
        <v>China</v>
      </c>
      <c r="M1966" t="str">
        <f>VLOOKUP(B1966,Raw_Suppliers!$A$2:$G$101,4,FALSE)</f>
        <v>South</v>
      </c>
      <c r="N1966" t="str">
        <f>VLOOKUP(B1966,Raw_Suppliers!$A$2:$G$101,6,FALSE)</f>
        <v>ISO 9001</v>
      </c>
      <c r="O1966">
        <f>VLOOKUP(B1966,Raw_Suppliers!$A$2:$G$101,7,FALSE)</f>
        <v>0</v>
      </c>
      <c r="P1966" t="str">
        <f t="shared" si="181"/>
        <v>No</v>
      </c>
      <c r="Q1966">
        <f t="shared" si="182"/>
        <v>0</v>
      </c>
      <c r="R1966" t="str">
        <f t="shared" si="183"/>
        <v>Late</v>
      </c>
      <c r="S1966">
        <f t="shared" si="184"/>
        <v>2023</v>
      </c>
      <c r="T1966">
        <f t="shared" si="185"/>
        <v>3</v>
      </c>
    </row>
    <row r="1967" spans="1:20" x14ac:dyDescent="0.25">
      <c r="A1967" t="s">
        <v>2274</v>
      </c>
      <c r="B1967" t="s">
        <v>288</v>
      </c>
      <c r="C1967" t="s">
        <v>693</v>
      </c>
      <c r="D1967" s="1">
        <v>45171</v>
      </c>
      <c r="E1967">
        <v>11</v>
      </c>
      <c r="F1967">
        <v>34.721837820912299</v>
      </c>
      <c r="G1967" s="1">
        <v>45188</v>
      </c>
      <c r="H1967" s="1">
        <v>45188</v>
      </c>
      <c r="I1967">
        <v>381.940216030035</v>
      </c>
      <c r="J1967">
        <f t="shared" si="180"/>
        <v>0</v>
      </c>
      <c r="K1967" t="str">
        <f>VLOOKUP(B1967,Raw_Suppliers!$A$2:$G$101,2,FALSE)</f>
        <v>Alpha Beta LLC</v>
      </c>
      <c r="L1967" t="str">
        <f>VLOOKUP(B1967,Raw_Suppliers!$A$2:$G$101,3,FALSE)</f>
        <v>India</v>
      </c>
      <c r="M1967" t="str">
        <f>VLOOKUP(B1967,Raw_Suppliers!$A$2:$G$101,4,FALSE)</f>
        <v>West</v>
      </c>
      <c r="N1967" t="str">
        <f>VLOOKUP(B1967,Raw_Suppliers!$A$2:$G$101,6,FALSE)</f>
        <v>ISO 45001</v>
      </c>
      <c r="O1967">
        <f>VLOOKUP(B1967,Raw_Suppliers!$A$2:$G$101,7,FALSE)</f>
        <v>0</v>
      </c>
      <c r="P1967" t="str">
        <f t="shared" si="181"/>
        <v>No</v>
      </c>
      <c r="Q1967">
        <f t="shared" si="182"/>
        <v>1</v>
      </c>
      <c r="R1967" t="str">
        <f t="shared" si="183"/>
        <v>On Time</v>
      </c>
      <c r="S1967">
        <f t="shared" si="184"/>
        <v>2023</v>
      </c>
      <c r="T1967">
        <f t="shared" si="185"/>
        <v>9</v>
      </c>
    </row>
    <row r="1968" spans="1:20" x14ac:dyDescent="0.25">
      <c r="A1968" t="s">
        <v>2275</v>
      </c>
      <c r="B1968" t="s">
        <v>31</v>
      </c>
      <c r="C1968" t="s">
        <v>594</v>
      </c>
      <c r="D1968" s="1">
        <v>44265</v>
      </c>
      <c r="E1968">
        <v>8</v>
      </c>
      <c r="F1968">
        <v>48.191350895150499</v>
      </c>
      <c r="G1968" s="1">
        <v>44288</v>
      </c>
      <c r="H1968" s="1">
        <v>44288</v>
      </c>
      <c r="I1968">
        <v>385.530807161204</v>
      </c>
      <c r="J1968">
        <f t="shared" si="180"/>
        <v>0</v>
      </c>
      <c r="K1968" t="str">
        <f>VLOOKUP(B1968,Raw_Suppliers!$A$2:$G$101,2,FALSE)</f>
        <v>Nova Nano GmbH</v>
      </c>
      <c r="L1968" t="str">
        <f>VLOOKUP(B1968,Raw_Suppliers!$A$2:$G$101,3,FALSE)</f>
        <v>Denmark</v>
      </c>
      <c r="M1968" t="str">
        <f>VLOOKUP(B1968,Raw_Suppliers!$A$2:$G$101,4,FALSE)</f>
        <v>South</v>
      </c>
      <c r="N1968" t="str">
        <f>VLOOKUP(B1968,Raw_Suppliers!$A$2:$G$101,6,FALSE)</f>
        <v>ISO 14001</v>
      </c>
      <c r="O1968">
        <f>VLOOKUP(B1968,Raw_Suppliers!$A$2:$G$101,7,FALSE)</f>
        <v>1</v>
      </c>
      <c r="P1968" t="str">
        <f t="shared" si="181"/>
        <v>Yes</v>
      </c>
      <c r="Q1968">
        <f t="shared" si="182"/>
        <v>1</v>
      </c>
      <c r="R1968" t="str">
        <f t="shared" si="183"/>
        <v>On Time</v>
      </c>
      <c r="S1968">
        <f t="shared" si="184"/>
        <v>2021</v>
      </c>
      <c r="T1968">
        <f t="shared" si="185"/>
        <v>3</v>
      </c>
    </row>
    <row r="1969" spans="1:20" x14ac:dyDescent="0.25">
      <c r="A1969" t="s">
        <v>2276</v>
      </c>
      <c r="B1969" t="s">
        <v>216</v>
      </c>
      <c r="C1969" t="s">
        <v>432</v>
      </c>
      <c r="D1969" s="1">
        <v>44707</v>
      </c>
      <c r="E1969">
        <v>16</v>
      </c>
      <c r="F1969">
        <v>76.713229049903802</v>
      </c>
      <c r="G1969" s="1">
        <v>44730</v>
      </c>
      <c r="H1969" s="1">
        <v>44735</v>
      </c>
      <c r="I1969">
        <v>1227.4116647984599</v>
      </c>
      <c r="J1969">
        <f t="shared" si="180"/>
        <v>5</v>
      </c>
      <c r="K1969" t="str">
        <f>VLOOKUP(B1969,Raw_Suppliers!$A$2:$G$101,2,FALSE)</f>
        <v>Fusion Delta LLC</v>
      </c>
      <c r="L1969" t="str">
        <f>VLOOKUP(B1969,Raw_Suppliers!$A$2:$G$101,3,FALSE)</f>
        <v>Brazil</v>
      </c>
      <c r="M1969" t="str">
        <f>VLOOKUP(B1969,Raw_Suppliers!$A$2:$G$101,4,FALSE)</f>
        <v>Central</v>
      </c>
      <c r="N1969" t="str">
        <f>VLOOKUP(B1969,Raw_Suppliers!$A$2:$G$101,6,FALSE)</f>
        <v>ISO 14001</v>
      </c>
      <c r="O1969">
        <f>VLOOKUP(B1969,Raw_Suppliers!$A$2:$G$101,7,FALSE)</f>
        <v>0</v>
      </c>
      <c r="P1969" t="str">
        <f t="shared" si="181"/>
        <v>No</v>
      </c>
      <c r="Q1969">
        <f t="shared" si="182"/>
        <v>0</v>
      </c>
      <c r="R1969" t="str">
        <f t="shared" si="183"/>
        <v>Late</v>
      </c>
      <c r="S1969">
        <f t="shared" si="184"/>
        <v>2022</v>
      </c>
      <c r="T1969">
        <f t="shared" si="185"/>
        <v>5</v>
      </c>
    </row>
    <row r="1970" spans="1:20" x14ac:dyDescent="0.25">
      <c r="A1970" t="s">
        <v>2277</v>
      </c>
      <c r="B1970" t="s">
        <v>482</v>
      </c>
      <c r="C1970" t="s">
        <v>125</v>
      </c>
      <c r="D1970" s="1">
        <v>45064</v>
      </c>
      <c r="E1970">
        <v>14</v>
      </c>
      <c r="F1970">
        <v>11.4767689906715</v>
      </c>
      <c r="G1970" s="1">
        <v>45088</v>
      </c>
      <c r="H1970" s="1">
        <v>45087</v>
      </c>
      <c r="I1970">
        <v>160.67476586940199</v>
      </c>
      <c r="J1970">
        <f t="shared" si="180"/>
        <v>-1</v>
      </c>
      <c r="K1970" t="str">
        <f>VLOOKUP(B1970,Raw_Suppliers!$A$2:$G$101,2,FALSE)</f>
        <v>Eco Prime Corp</v>
      </c>
      <c r="L1970" t="str">
        <f>VLOOKUP(B1970,Raw_Suppliers!$A$2:$G$101,3,FALSE)</f>
        <v>China</v>
      </c>
      <c r="M1970" t="str">
        <f>VLOOKUP(B1970,Raw_Suppliers!$A$2:$G$101,4,FALSE)</f>
        <v>East</v>
      </c>
      <c r="N1970" t="str">
        <f>VLOOKUP(B1970,Raw_Suppliers!$A$2:$G$101,6,FALSE)</f>
        <v>ISO 45001</v>
      </c>
      <c r="O1970">
        <f>VLOOKUP(B1970,Raw_Suppliers!$A$2:$G$101,7,FALSE)</f>
        <v>1</v>
      </c>
      <c r="P1970" t="str">
        <f t="shared" si="181"/>
        <v>Yes</v>
      </c>
      <c r="Q1970">
        <f t="shared" si="182"/>
        <v>1</v>
      </c>
      <c r="R1970" t="str">
        <f t="shared" si="183"/>
        <v>On Time</v>
      </c>
      <c r="S1970">
        <f t="shared" si="184"/>
        <v>2023</v>
      </c>
      <c r="T1970">
        <f t="shared" si="185"/>
        <v>5</v>
      </c>
    </row>
    <row r="1971" spans="1:20" x14ac:dyDescent="0.25">
      <c r="A1971" t="s">
        <v>2278</v>
      </c>
      <c r="B1971" t="s">
        <v>10</v>
      </c>
      <c r="C1971" t="s">
        <v>222</v>
      </c>
      <c r="D1971" s="1">
        <v>44747</v>
      </c>
      <c r="E1971">
        <v>11</v>
      </c>
      <c r="F1971">
        <v>35.529180339211301</v>
      </c>
      <c r="G1971" s="1">
        <v>44771</v>
      </c>
      <c r="H1971" s="1">
        <v>44774</v>
      </c>
      <c r="I1971">
        <v>390.82098373132402</v>
      </c>
      <c r="J1971">
        <f t="shared" si="180"/>
        <v>3</v>
      </c>
      <c r="K1971" t="str">
        <f>VLOOKUP(B1971,Raw_Suppliers!$A$2:$G$101,2,FALSE)</f>
        <v>Vertex Beta GmbH</v>
      </c>
      <c r="L1971" t="str">
        <f>VLOOKUP(B1971,Raw_Suppliers!$A$2:$G$101,3,FALSE)</f>
        <v>India</v>
      </c>
      <c r="M1971" t="str">
        <f>VLOOKUP(B1971,Raw_Suppliers!$A$2:$G$101,4,FALSE)</f>
        <v>North</v>
      </c>
      <c r="N1971" t="str">
        <f>VLOOKUP(B1971,Raw_Suppliers!$A$2:$G$101,6,FALSE)</f>
        <v>ISO 14001</v>
      </c>
      <c r="O1971">
        <f>VLOOKUP(B1971,Raw_Suppliers!$A$2:$G$101,7,FALSE)</f>
        <v>0</v>
      </c>
      <c r="P1971" t="str">
        <f t="shared" si="181"/>
        <v>No</v>
      </c>
      <c r="Q1971">
        <f t="shared" si="182"/>
        <v>0</v>
      </c>
      <c r="R1971" t="str">
        <f t="shared" si="183"/>
        <v>Late</v>
      </c>
      <c r="S1971">
        <f t="shared" si="184"/>
        <v>2022</v>
      </c>
      <c r="T1971">
        <f t="shared" si="185"/>
        <v>7</v>
      </c>
    </row>
    <row r="1972" spans="1:20" x14ac:dyDescent="0.25">
      <c r="A1972" t="s">
        <v>2279</v>
      </c>
      <c r="B1972" t="s">
        <v>82</v>
      </c>
      <c r="C1972" t="s">
        <v>272</v>
      </c>
      <c r="D1972" s="1">
        <v>44589</v>
      </c>
      <c r="E1972">
        <v>9</v>
      </c>
      <c r="F1972">
        <v>4.7453642067590396</v>
      </c>
      <c r="G1972" s="1">
        <v>44606</v>
      </c>
      <c r="H1972" s="1">
        <v>44608</v>
      </c>
      <c r="I1972">
        <v>42.708277860831402</v>
      </c>
      <c r="J1972">
        <f t="shared" si="180"/>
        <v>2</v>
      </c>
      <c r="K1972" t="str">
        <f>VLOOKUP(B1972,Raw_Suppliers!$A$2:$G$101,2,FALSE)</f>
        <v>Gamma Quantum LLC</v>
      </c>
      <c r="L1972" t="str">
        <f>VLOOKUP(B1972,Raw_Suppliers!$A$2:$G$101,3,FALSE)</f>
        <v>Canada</v>
      </c>
      <c r="M1972" t="str">
        <f>VLOOKUP(B1972,Raw_Suppliers!$A$2:$G$101,4,FALSE)</f>
        <v>Central</v>
      </c>
      <c r="N1972" t="str">
        <f>VLOOKUP(B1972,Raw_Suppliers!$A$2:$G$101,6,FALSE)</f>
        <v>None</v>
      </c>
      <c r="O1972">
        <f>VLOOKUP(B1972,Raw_Suppliers!$A$2:$G$101,7,FALSE)</f>
        <v>1</v>
      </c>
      <c r="P1972" t="str">
        <f t="shared" si="181"/>
        <v>Yes</v>
      </c>
      <c r="Q1972">
        <f t="shared" si="182"/>
        <v>0</v>
      </c>
      <c r="R1972" t="str">
        <f t="shared" si="183"/>
        <v>Late</v>
      </c>
      <c r="S1972">
        <f t="shared" si="184"/>
        <v>2022</v>
      </c>
      <c r="T1972">
        <f t="shared" si="185"/>
        <v>1</v>
      </c>
    </row>
    <row r="1973" spans="1:20" x14ac:dyDescent="0.25">
      <c r="A1973" t="s">
        <v>2280</v>
      </c>
      <c r="B1973" t="s">
        <v>578</v>
      </c>
      <c r="C1973" t="s">
        <v>302</v>
      </c>
      <c r="D1973" s="1">
        <v>45012</v>
      </c>
      <c r="E1973">
        <v>9</v>
      </c>
      <c r="F1973">
        <v>3.0702788725445598</v>
      </c>
      <c r="G1973" s="1">
        <v>45026</v>
      </c>
      <c r="H1973" s="1">
        <v>45026</v>
      </c>
      <c r="I1973">
        <v>27.632509852900998</v>
      </c>
      <c r="J1973">
        <f t="shared" si="180"/>
        <v>0</v>
      </c>
      <c r="K1973" t="str">
        <f>VLOOKUP(B1973,Raw_Suppliers!$A$2:$G$101,2,FALSE)</f>
        <v>Beta Eco Ltd</v>
      </c>
      <c r="L1973" t="str">
        <f>VLOOKUP(B1973,Raw_Suppliers!$A$2:$G$101,3,FALSE)</f>
        <v>Canada</v>
      </c>
      <c r="M1973" t="str">
        <f>VLOOKUP(B1973,Raw_Suppliers!$A$2:$G$101,4,FALSE)</f>
        <v>East</v>
      </c>
      <c r="N1973" t="str">
        <f>VLOOKUP(B1973,Raw_Suppliers!$A$2:$G$101,6,FALSE)</f>
        <v>None</v>
      </c>
      <c r="O1973">
        <f>VLOOKUP(B1973,Raw_Suppliers!$A$2:$G$101,7,FALSE)</f>
        <v>0</v>
      </c>
      <c r="P1973" t="str">
        <f t="shared" si="181"/>
        <v>No</v>
      </c>
      <c r="Q1973">
        <f t="shared" si="182"/>
        <v>1</v>
      </c>
      <c r="R1973" t="str">
        <f t="shared" si="183"/>
        <v>On Time</v>
      </c>
      <c r="S1973">
        <f t="shared" si="184"/>
        <v>2023</v>
      </c>
      <c r="T1973">
        <f t="shared" si="185"/>
        <v>3</v>
      </c>
    </row>
    <row r="1974" spans="1:20" x14ac:dyDescent="0.25">
      <c r="A1974" t="s">
        <v>2281</v>
      </c>
      <c r="B1974" t="s">
        <v>64</v>
      </c>
      <c r="C1974" t="s">
        <v>338</v>
      </c>
      <c r="D1974" s="1">
        <v>44289</v>
      </c>
      <c r="E1974">
        <v>16</v>
      </c>
      <c r="F1974">
        <v>37.1989097969971</v>
      </c>
      <c r="G1974" s="1">
        <v>44307</v>
      </c>
      <c r="H1974" s="1">
        <v>44313</v>
      </c>
      <c r="I1974">
        <v>595.18255675195405</v>
      </c>
      <c r="J1974">
        <f t="shared" si="180"/>
        <v>6</v>
      </c>
      <c r="K1974" t="str">
        <f>VLOOKUP(B1974,Raw_Suppliers!$A$2:$G$101,2,FALSE)</f>
        <v>Apex Quantum Inc</v>
      </c>
      <c r="L1974" t="str">
        <f>VLOOKUP(B1974,Raw_Suppliers!$A$2:$G$101,3,FALSE)</f>
        <v>India</v>
      </c>
      <c r="M1974" t="str">
        <f>VLOOKUP(B1974,Raw_Suppliers!$A$2:$G$101,4,FALSE)</f>
        <v>North</v>
      </c>
      <c r="N1974" t="str">
        <f>VLOOKUP(B1974,Raw_Suppliers!$A$2:$G$101,6,FALSE)</f>
        <v>ISO 45001</v>
      </c>
      <c r="O1974">
        <f>VLOOKUP(B1974,Raw_Suppliers!$A$2:$G$101,7,FALSE)</f>
        <v>1</v>
      </c>
      <c r="P1974" t="str">
        <f t="shared" si="181"/>
        <v>Yes</v>
      </c>
      <c r="Q1974">
        <f t="shared" si="182"/>
        <v>0</v>
      </c>
      <c r="R1974" t="str">
        <f t="shared" si="183"/>
        <v>Late</v>
      </c>
      <c r="S1974">
        <f t="shared" si="184"/>
        <v>2021</v>
      </c>
      <c r="T1974">
        <f t="shared" si="185"/>
        <v>4</v>
      </c>
    </row>
    <row r="1975" spans="1:20" x14ac:dyDescent="0.25">
      <c r="A1975" t="s">
        <v>2282</v>
      </c>
      <c r="B1975" t="s">
        <v>442</v>
      </c>
      <c r="C1975" t="s">
        <v>308</v>
      </c>
      <c r="D1975" s="1">
        <v>45181</v>
      </c>
      <c r="E1975">
        <v>5</v>
      </c>
      <c r="F1975">
        <v>64.935528906757199</v>
      </c>
      <c r="G1975" s="1">
        <v>45191</v>
      </c>
      <c r="H1975" s="1">
        <v>45190</v>
      </c>
      <c r="I1975">
        <v>324.67764453378601</v>
      </c>
      <c r="J1975">
        <f t="shared" si="180"/>
        <v>-1</v>
      </c>
      <c r="K1975" t="str">
        <f>VLOOKUP(B1975,Raw_Suppliers!$A$2:$G$101,2,FALSE)</f>
        <v>Vertex Delta LLC</v>
      </c>
      <c r="L1975" t="str">
        <f>VLOOKUP(B1975,Raw_Suppliers!$A$2:$G$101,3,FALSE)</f>
        <v>Canada</v>
      </c>
      <c r="M1975" t="str">
        <f>VLOOKUP(B1975,Raw_Suppliers!$A$2:$G$101,4,FALSE)</f>
        <v>East</v>
      </c>
      <c r="N1975" t="str">
        <f>VLOOKUP(B1975,Raw_Suppliers!$A$2:$G$101,6,FALSE)</f>
        <v>ISO 14001</v>
      </c>
      <c r="O1975">
        <f>VLOOKUP(B1975,Raw_Suppliers!$A$2:$G$101,7,FALSE)</f>
        <v>1</v>
      </c>
      <c r="P1975" t="str">
        <f t="shared" si="181"/>
        <v>Yes</v>
      </c>
      <c r="Q1975">
        <f t="shared" si="182"/>
        <v>1</v>
      </c>
      <c r="R1975" t="str">
        <f t="shared" si="183"/>
        <v>On Time</v>
      </c>
      <c r="S1975">
        <f t="shared" si="184"/>
        <v>2023</v>
      </c>
      <c r="T1975">
        <f t="shared" si="185"/>
        <v>9</v>
      </c>
    </row>
    <row r="1976" spans="1:20" x14ac:dyDescent="0.25">
      <c r="A1976" t="s">
        <v>2283</v>
      </c>
      <c r="B1976" t="s">
        <v>135</v>
      </c>
      <c r="C1976" t="s">
        <v>581</v>
      </c>
      <c r="D1976" s="1">
        <v>44737</v>
      </c>
      <c r="E1976">
        <v>7</v>
      </c>
      <c r="F1976">
        <v>66.899697779050896</v>
      </c>
      <c r="G1976" s="1">
        <v>44751</v>
      </c>
      <c r="H1976" s="1">
        <v>44755</v>
      </c>
      <c r="I1976">
        <v>468.297884453356</v>
      </c>
      <c r="J1976">
        <f t="shared" si="180"/>
        <v>4</v>
      </c>
      <c r="K1976" t="str">
        <f>VLOOKUP(B1976,Raw_Suppliers!$A$2:$G$101,2,FALSE)</f>
        <v>Alpha Prime Ltd</v>
      </c>
      <c r="L1976" t="str">
        <f>VLOOKUP(B1976,Raw_Suppliers!$A$2:$G$101,3,FALSE)</f>
        <v>UK</v>
      </c>
      <c r="M1976" t="str">
        <f>VLOOKUP(B1976,Raw_Suppliers!$A$2:$G$101,4,FALSE)</f>
        <v>East</v>
      </c>
      <c r="N1976" t="str">
        <f>VLOOKUP(B1976,Raw_Suppliers!$A$2:$G$101,6,FALSE)</f>
        <v>None</v>
      </c>
      <c r="O1976">
        <f>VLOOKUP(B1976,Raw_Suppliers!$A$2:$G$101,7,FALSE)</f>
        <v>1</v>
      </c>
      <c r="P1976" t="str">
        <f t="shared" si="181"/>
        <v>Yes</v>
      </c>
      <c r="Q1976">
        <f t="shared" si="182"/>
        <v>0</v>
      </c>
      <c r="R1976" t="str">
        <f t="shared" si="183"/>
        <v>Late</v>
      </c>
      <c r="S1976">
        <f t="shared" si="184"/>
        <v>2022</v>
      </c>
      <c r="T1976">
        <f t="shared" si="185"/>
        <v>6</v>
      </c>
    </row>
    <row r="1977" spans="1:20" x14ac:dyDescent="0.25">
      <c r="A1977" t="s">
        <v>2284</v>
      </c>
      <c r="B1977" t="s">
        <v>482</v>
      </c>
      <c r="C1977" t="s">
        <v>182</v>
      </c>
      <c r="D1977" s="1">
        <v>44819</v>
      </c>
      <c r="E1977">
        <v>13</v>
      </c>
      <c r="F1977">
        <v>5.2759423360945501</v>
      </c>
      <c r="G1977" s="1">
        <v>44842</v>
      </c>
      <c r="H1977" s="1">
        <v>44841</v>
      </c>
      <c r="I1977">
        <v>68.587250369229096</v>
      </c>
      <c r="J1977">
        <f t="shared" si="180"/>
        <v>-1</v>
      </c>
      <c r="K1977" t="str">
        <f>VLOOKUP(B1977,Raw_Suppliers!$A$2:$G$101,2,FALSE)</f>
        <v>Eco Prime Corp</v>
      </c>
      <c r="L1977" t="str">
        <f>VLOOKUP(B1977,Raw_Suppliers!$A$2:$G$101,3,FALSE)</f>
        <v>China</v>
      </c>
      <c r="M1977" t="str">
        <f>VLOOKUP(B1977,Raw_Suppliers!$A$2:$G$101,4,FALSE)</f>
        <v>East</v>
      </c>
      <c r="N1977" t="str">
        <f>VLOOKUP(B1977,Raw_Suppliers!$A$2:$G$101,6,FALSE)</f>
        <v>ISO 45001</v>
      </c>
      <c r="O1977">
        <f>VLOOKUP(B1977,Raw_Suppliers!$A$2:$G$101,7,FALSE)</f>
        <v>1</v>
      </c>
      <c r="P1977" t="str">
        <f t="shared" si="181"/>
        <v>Yes</v>
      </c>
      <c r="Q1977">
        <f t="shared" si="182"/>
        <v>1</v>
      </c>
      <c r="R1977" t="str">
        <f t="shared" si="183"/>
        <v>On Time</v>
      </c>
      <c r="S1977">
        <f t="shared" si="184"/>
        <v>2022</v>
      </c>
      <c r="T1977">
        <f t="shared" si="185"/>
        <v>9</v>
      </c>
    </row>
    <row r="1978" spans="1:20" x14ac:dyDescent="0.25">
      <c r="A1978" t="s">
        <v>2285</v>
      </c>
      <c r="B1978" t="s">
        <v>475</v>
      </c>
      <c r="C1978" t="s">
        <v>172</v>
      </c>
      <c r="D1978" s="1">
        <v>44961</v>
      </c>
      <c r="E1978">
        <v>6</v>
      </c>
      <c r="F1978">
        <v>62.587475470144803</v>
      </c>
      <c r="G1978" s="1">
        <v>44981</v>
      </c>
      <c r="H1978" s="1">
        <v>44979</v>
      </c>
      <c r="I1978">
        <v>375.52485282086798</v>
      </c>
      <c r="J1978">
        <f t="shared" si="180"/>
        <v>-2</v>
      </c>
      <c r="K1978" t="str">
        <f>VLOOKUP(B1978,Raw_Suppliers!$A$2:$G$101,2,FALSE)</f>
        <v>Ultra Delta LLC</v>
      </c>
      <c r="L1978" t="str">
        <f>VLOOKUP(B1978,Raw_Suppliers!$A$2:$G$101,3,FALSE)</f>
        <v>UK</v>
      </c>
      <c r="M1978" t="str">
        <f>VLOOKUP(B1978,Raw_Suppliers!$A$2:$G$101,4,FALSE)</f>
        <v>North</v>
      </c>
      <c r="N1978" t="str">
        <f>VLOOKUP(B1978,Raw_Suppliers!$A$2:$G$101,6,FALSE)</f>
        <v>None</v>
      </c>
      <c r="O1978">
        <f>VLOOKUP(B1978,Raw_Suppliers!$A$2:$G$101,7,FALSE)</f>
        <v>1</v>
      </c>
      <c r="P1978" t="str">
        <f t="shared" si="181"/>
        <v>Yes</v>
      </c>
      <c r="Q1978">
        <f t="shared" si="182"/>
        <v>1</v>
      </c>
      <c r="R1978" t="str">
        <f t="shared" si="183"/>
        <v>On Time</v>
      </c>
      <c r="S1978">
        <f t="shared" si="184"/>
        <v>2023</v>
      </c>
      <c r="T1978">
        <f t="shared" si="185"/>
        <v>2</v>
      </c>
    </row>
    <row r="1979" spans="1:20" x14ac:dyDescent="0.25">
      <c r="A1979" t="s">
        <v>2286</v>
      </c>
      <c r="B1979" t="s">
        <v>198</v>
      </c>
      <c r="C1979" t="s">
        <v>177</v>
      </c>
      <c r="D1979" s="1">
        <v>44805</v>
      </c>
      <c r="E1979">
        <v>9</v>
      </c>
      <c r="F1979">
        <v>24.5196179164626</v>
      </c>
      <c r="G1979" s="1">
        <v>44829</v>
      </c>
      <c r="H1979" s="1">
        <v>44833</v>
      </c>
      <c r="I1979">
        <v>220.67656124816301</v>
      </c>
      <c r="J1979">
        <f t="shared" si="180"/>
        <v>4</v>
      </c>
      <c r="K1979" t="str">
        <f>VLOOKUP(B1979,Raw_Suppliers!$A$2:$G$101,2,FALSE)</f>
        <v>Gamma Vertex Corp</v>
      </c>
      <c r="L1979" t="str">
        <f>VLOOKUP(B1979,Raw_Suppliers!$A$2:$G$101,3,FALSE)</f>
        <v>Denmark</v>
      </c>
      <c r="M1979" t="str">
        <f>VLOOKUP(B1979,Raw_Suppliers!$A$2:$G$101,4,FALSE)</f>
        <v>South</v>
      </c>
      <c r="N1979" t="str">
        <f>VLOOKUP(B1979,Raw_Suppliers!$A$2:$G$101,6,FALSE)</f>
        <v>None</v>
      </c>
      <c r="O1979">
        <f>VLOOKUP(B1979,Raw_Suppliers!$A$2:$G$101,7,FALSE)</f>
        <v>1</v>
      </c>
      <c r="P1979" t="str">
        <f t="shared" si="181"/>
        <v>Yes</v>
      </c>
      <c r="Q1979">
        <f t="shared" si="182"/>
        <v>0</v>
      </c>
      <c r="R1979" t="str">
        <f t="shared" si="183"/>
        <v>Late</v>
      </c>
      <c r="S1979">
        <f t="shared" si="184"/>
        <v>2022</v>
      </c>
      <c r="T1979">
        <f t="shared" si="185"/>
        <v>9</v>
      </c>
    </row>
    <row r="1980" spans="1:20" x14ac:dyDescent="0.25">
      <c r="A1980" t="s">
        <v>2287</v>
      </c>
      <c r="B1980" t="s">
        <v>394</v>
      </c>
      <c r="C1980" t="s">
        <v>629</v>
      </c>
      <c r="D1980" s="1">
        <v>44528</v>
      </c>
      <c r="E1980">
        <v>6</v>
      </c>
      <c r="F1980">
        <v>25.821389830684598</v>
      </c>
      <c r="G1980" s="1">
        <v>44540</v>
      </c>
      <c r="H1980" s="1">
        <v>44544</v>
      </c>
      <c r="I1980">
        <v>154.928338984107</v>
      </c>
      <c r="J1980">
        <f t="shared" si="180"/>
        <v>4</v>
      </c>
      <c r="K1980" t="str">
        <f>VLOOKUP(B1980,Raw_Suppliers!$A$2:$G$101,2,FALSE)</f>
        <v>Ultra Prime Inc</v>
      </c>
      <c r="L1980" t="str">
        <f>VLOOKUP(B1980,Raw_Suppliers!$A$2:$G$101,3,FALSE)</f>
        <v>Brazil</v>
      </c>
      <c r="M1980" t="str">
        <f>VLOOKUP(B1980,Raw_Suppliers!$A$2:$G$101,4,FALSE)</f>
        <v>West</v>
      </c>
      <c r="N1980" t="str">
        <f>VLOOKUP(B1980,Raw_Suppliers!$A$2:$G$101,6,FALSE)</f>
        <v>ISO 9001</v>
      </c>
      <c r="O1980">
        <f>VLOOKUP(B1980,Raw_Suppliers!$A$2:$G$101,7,FALSE)</f>
        <v>1</v>
      </c>
      <c r="P1980" t="str">
        <f t="shared" si="181"/>
        <v>Yes</v>
      </c>
      <c r="Q1980">
        <f t="shared" si="182"/>
        <v>0</v>
      </c>
      <c r="R1980" t="str">
        <f t="shared" si="183"/>
        <v>Late</v>
      </c>
      <c r="S1980">
        <f t="shared" si="184"/>
        <v>2021</v>
      </c>
      <c r="T1980">
        <f t="shared" si="185"/>
        <v>11</v>
      </c>
    </row>
    <row r="1981" spans="1:20" x14ac:dyDescent="0.25">
      <c r="A1981" t="s">
        <v>2288</v>
      </c>
      <c r="B1981" t="s">
        <v>124</v>
      </c>
      <c r="C1981" t="s">
        <v>547</v>
      </c>
      <c r="D1981" s="1">
        <v>44259</v>
      </c>
      <c r="E1981">
        <v>11</v>
      </c>
      <c r="F1981">
        <v>51.437526129411097</v>
      </c>
      <c r="G1981" s="1">
        <v>44275</v>
      </c>
      <c r="H1981" s="1">
        <v>44280</v>
      </c>
      <c r="I1981">
        <v>565.81278742352197</v>
      </c>
      <c r="J1981">
        <f t="shared" si="180"/>
        <v>5</v>
      </c>
      <c r="K1981" t="str">
        <f>VLOOKUP(B1981,Raw_Suppliers!$A$2:$G$101,2,FALSE)</f>
        <v>Vertex Delta Inc</v>
      </c>
      <c r="L1981" t="str">
        <f>VLOOKUP(B1981,Raw_Suppliers!$A$2:$G$101,3,FALSE)</f>
        <v>Germany</v>
      </c>
      <c r="M1981" t="str">
        <f>VLOOKUP(B1981,Raw_Suppliers!$A$2:$G$101,4,FALSE)</f>
        <v>South</v>
      </c>
      <c r="N1981" t="str">
        <f>VLOOKUP(B1981,Raw_Suppliers!$A$2:$G$101,6,FALSE)</f>
        <v>ISO 9001</v>
      </c>
      <c r="O1981">
        <f>VLOOKUP(B1981,Raw_Suppliers!$A$2:$G$101,7,FALSE)</f>
        <v>0</v>
      </c>
      <c r="P1981" t="str">
        <f t="shared" si="181"/>
        <v>No</v>
      </c>
      <c r="Q1981">
        <f t="shared" si="182"/>
        <v>0</v>
      </c>
      <c r="R1981" t="str">
        <f t="shared" si="183"/>
        <v>Late</v>
      </c>
      <c r="S1981">
        <f t="shared" si="184"/>
        <v>2021</v>
      </c>
      <c r="T1981">
        <f t="shared" si="185"/>
        <v>3</v>
      </c>
    </row>
    <row r="1982" spans="1:20" x14ac:dyDescent="0.25">
      <c r="A1982" t="s">
        <v>2289</v>
      </c>
      <c r="B1982" t="s">
        <v>321</v>
      </c>
      <c r="C1982" t="s">
        <v>434</v>
      </c>
      <c r="D1982" s="1">
        <v>44229</v>
      </c>
      <c r="E1982">
        <v>11</v>
      </c>
      <c r="F1982">
        <v>30.4569180825563</v>
      </c>
      <c r="G1982" s="1">
        <v>44250</v>
      </c>
      <c r="H1982" s="1">
        <v>44255</v>
      </c>
      <c r="I1982">
        <v>335.02609890811902</v>
      </c>
      <c r="J1982">
        <f t="shared" si="180"/>
        <v>5</v>
      </c>
      <c r="K1982" t="str">
        <f>VLOOKUP(B1982,Raw_Suppliers!$A$2:$G$101,2,FALSE)</f>
        <v>Vertex Delta LLC</v>
      </c>
      <c r="L1982" t="str">
        <f>VLOOKUP(B1982,Raw_Suppliers!$A$2:$G$101,3,FALSE)</f>
        <v>India</v>
      </c>
      <c r="M1982" t="str">
        <f>VLOOKUP(B1982,Raw_Suppliers!$A$2:$G$101,4,FALSE)</f>
        <v>South</v>
      </c>
      <c r="N1982" t="str">
        <f>VLOOKUP(B1982,Raw_Suppliers!$A$2:$G$101,6,FALSE)</f>
        <v>ISO 45001</v>
      </c>
      <c r="O1982">
        <f>VLOOKUP(B1982,Raw_Suppliers!$A$2:$G$101,7,FALSE)</f>
        <v>0</v>
      </c>
      <c r="P1982" t="str">
        <f t="shared" si="181"/>
        <v>No</v>
      </c>
      <c r="Q1982">
        <f t="shared" si="182"/>
        <v>0</v>
      </c>
      <c r="R1982" t="str">
        <f t="shared" si="183"/>
        <v>Late</v>
      </c>
      <c r="S1982">
        <f t="shared" si="184"/>
        <v>2021</v>
      </c>
      <c r="T1982">
        <f t="shared" si="185"/>
        <v>2</v>
      </c>
    </row>
    <row r="1983" spans="1:20" x14ac:dyDescent="0.25">
      <c r="A1983" t="s">
        <v>2290</v>
      </c>
      <c r="B1983" t="s">
        <v>31</v>
      </c>
      <c r="C1983" t="s">
        <v>693</v>
      </c>
      <c r="D1983" s="1">
        <v>44427</v>
      </c>
      <c r="E1983">
        <v>13</v>
      </c>
      <c r="F1983">
        <v>29.078764969667802</v>
      </c>
      <c r="G1983" s="1">
        <v>44448</v>
      </c>
      <c r="H1983" s="1">
        <v>44447</v>
      </c>
      <c r="I1983">
        <v>378.023944605682</v>
      </c>
      <c r="J1983">
        <f t="shared" si="180"/>
        <v>-1</v>
      </c>
      <c r="K1983" t="str">
        <f>VLOOKUP(B1983,Raw_Suppliers!$A$2:$G$101,2,FALSE)</f>
        <v>Nova Nano GmbH</v>
      </c>
      <c r="L1983" t="str">
        <f>VLOOKUP(B1983,Raw_Suppliers!$A$2:$G$101,3,FALSE)</f>
        <v>Denmark</v>
      </c>
      <c r="M1983" t="str">
        <f>VLOOKUP(B1983,Raw_Suppliers!$A$2:$G$101,4,FALSE)</f>
        <v>South</v>
      </c>
      <c r="N1983" t="str">
        <f>VLOOKUP(B1983,Raw_Suppliers!$A$2:$G$101,6,FALSE)</f>
        <v>ISO 14001</v>
      </c>
      <c r="O1983">
        <f>VLOOKUP(B1983,Raw_Suppliers!$A$2:$G$101,7,FALSE)</f>
        <v>1</v>
      </c>
      <c r="P1983" t="str">
        <f t="shared" si="181"/>
        <v>Yes</v>
      </c>
      <c r="Q1983">
        <f t="shared" si="182"/>
        <v>1</v>
      </c>
      <c r="R1983" t="str">
        <f t="shared" si="183"/>
        <v>On Time</v>
      </c>
      <c r="S1983">
        <f t="shared" si="184"/>
        <v>2021</v>
      </c>
      <c r="T1983">
        <f t="shared" si="185"/>
        <v>8</v>
      </c>
    </row>
    <row r="1984" spans="1:20" x14ac:dyDescent="0.25">
      <c r="A1984" t="s">
        <v>2291</v>
      </c>
      <c r="B1984" t="s">
        <v>493</v>
      </c>
      <c r="C1984" t="s">
        <v>402</v>
      </c>
      <c r="D1984" s="1">
        <v>44707</v>
      </c>
      <c r="E1984">
        <v>9</v>
      </c>
      <c r="F1984">
        <v>30.199398071440299</v>
      </c>
      <c r="G1984" s="1">
        <v>44730</v>
      </c>
      <c r="H1984" s="1">
        <v>44727</v>
      </c>
      <c r="I1984">
        <v>271.79458264296301</v>
      </c>
      <c r="J1984">
        <f t="shared" si="180"/>
        <v>-3</v>
      </c>
      <c r="K1984" t="str">
        <f>VLOOKUP(B1984,Raw_Suppliers!$A$2:$G$101,2,FALSE)</f>
        <v>Delta Vertex LLC</v>
      </c>
      <c r="L1984" t="str">
        <f>VLOOKUP(B1984,Raw_Suppliers!$A$2:$G$101,3,FALSE)</f>
        <v>China</v>
      </c>
      <c r="M1984" t="str">
        <f>VLOOKUP(B1984,Raw_Suppliers!$A$2:$G$101,4,FALSE)</f>
        <v>East</v>
      </c>
      <c r="N1984" t="str">
        <f>VLOOKUP(B1984,Raw_Suppliers!$A$2:$G$101,6,FALSE)</f>
        <v>None</v>
      </c>
      <c r="O1984">
        <f>VLOOKUP(B1984,Raw_Suppliers!$A$2:$G$101,7,FALSE)</f>
        <v>0</v>
      </c>
      <c r="P1984" t="str">
        <f t="shared" si="181"/>
        <v>No</v>
      </c>
      <c r="Q1984">
        <f t="shared" si="182"/>
        <v>1</v>
      </c>
      <c r="R1984" t="str">
        <f t="shared" si="183"/>
        <v>On Time</v>
      </c>
      <c r="S1984">
        <f t="shared" si="184"/>
        <v>2022</v>
      </c>
      <c r="T1984">
        <f t="shared" si="185"/>
        <v>5</v>
      </c>
    </row>
    <row r="1985" spans="1:20" x14ac:dyDescent="0.25">
      <c r="A1985" t="s">
        <v>2292</v>
      </c>
      <c r="B1985" t="s">
        <v>242</v>
      </c>
      <c r="C1985" t="s">
        <v>383</v>
      </c>
      <c r="D1985" s="1">
        <v>44573</v>
      </c>
      <c r="E1985">
        <v>12</v>
      </c>
      <c r="F1985">
        <v>65.729946415553798</v>
      </c>
      <c r="G1985" s="1">
        <v>44591</v>
      </c>
      <c r="H1985" s="1">
        <v>44593</v>
      </c>
      <c r="I1985">
        <v>788.759356986645</v>
      </c>
      <c r="J1985">
        <f t="shared" si="180"/>
        <v>2</v>
      </c>
      <c r="K1985" t="str">
        <f>VLOOKUP(B1985,Raw_Suppliers!$A$2:$G$101,2,FALSE)</f>
        <v>Omega Nova GmbH</v>
      </c>
      <c r="L1985" t="str">
        <f>VLOOKUP(B1985,Raw_Suppliers!$A$2:$G$101,3,FALSE)</f>
        <v>Denmark</v>
      </c>
      <c r="M1985" t="str">
        <f>VLOOKUP(B1985,Raw_Suppliers!$A$2:$G$101,4,FALSE)</f>
        <v>East</v>
      </c>
      <c r="N1985" t="str">
        <f>VLOOKUP(B1985,Raw_Suppliers!$A$2:$G$101,6,FALSE)</f>
        <v>ISO 45001</v>
      </c>
      <c r="O1985">
        <f>VLOOKUP(B1985,Raw_Suppliers!$A$2:$G$101,7,FALSE)</f>
        <v>0</v>
      </c>
      <c r="P1985" t="str">
        <f t="shared" si="181"/>
        <v>No</v>
      </c>
      <c r="Q1985">
        <f t="shared" si="182"/>
        <v>0</v>
      </c>
      <c r="R1985" t="str">
        <f t="shared" si="183"/>
        <v>Late</v>
      </c>
      <c r="S1985">
        <f t="shared" si="184"/>
        <v>2022</v>
      </c>
      <c r="T1985">
        <f t="shared" si="185"/>
        <v>1</v>
      </c>
    </row>
    <row r="1986" spans="1:20" x14ac:dyDescent="0.25">
      <c r="A1986" t="s">
        <v>2293</v>
      </c>
      <c r="B1986" t="s">
        <v>253</v>
      </c>
      <c r="C1986" t="s">
        <v>527</v>
      </c>
      <c r="D1986" s="1">
        <v>44426</v>
      </c>
      <c r="E1986">
        <v>15</v>
      </c>
      <c r="F1986">
        <v>11.451465306307099</v>
      </c>
      <c r="G1986" s="1">
        <v>44437</v>
      </c>
      <c r="H1986" s="1">
        <v>44438</v>
      </c>
      <c r="I1986">
        <v>171.77197959460699</v>
      </c>
      <c r="J1986">
        <f t="shared" si="180"/>
        <v>1</v>
      </c>
      <c r="K1986" t="str">
        <f>VLOOKUP(B1986,Raw_Suppliers!$A$2:$G$101,2,FALSE)</f>
        <v>Vertex Apex Ltd</v>
      </c>
      <c r="L1986" t="str">
        <f>VLOOKUP(B1986,Raw_Suppliers!$A$2:$G$101,3,FALSE)</f>
        <v>Brazil</v>
      </c>
      <c r="M1986" t="str">
        <f>VLOOKUP(B1986,Raw_Suppliers!$A$2:$G$101,4,FALSE)</f>
        <v>South</v>
      </c>
      <c r="N1986" t="str">
        <f>VLOOKUP(B1986,Raw_Suppliers!$A$2:$G$101,6,FALSE)</f>
        <v>None</v>
      </c>
      <c r="O1986">
        <f>VLOOKUP(B1986,Raw_Suppliers!$A$2:$G$101,7,FALSE)</f>
        <v>1</v>
      </c>
      <c r="P1986" t="str">
        <f t="shared" si="181"/>
        <v>Yes</v>
      </c>
      <c r="Q1986">
        <f t="shared" si="182"/>
        <v>0</v>
      </c>
      <c r="R1986" t="str">
        <f t="shared" si="183"/>
        <v>Late</v>
      </c>
      <c r="S1986">
        <f t="shared" si="184"/>
        <v>2021</v>
      </c>
      <c r="T1986">
        <f t="shared" si="185"/>
        <v>8</v>
      </c>
    </row>
    <row r="1987" spans="1:20" x14ac:dyDescent="0.25">
      <c r="A1987" t="s">
        <v>2294</v>
      </c>
      <c r="B1987" t="s">
        <v>242</v>
      </c>
      <c r="C1987" t="s">
        <v>220</v>
      </c>
      <c r="D1987" s="1">
        <v>44235</v>
      </c>
      <c r="E1987">
        <v>14</v>
      </c>
      <c r="F1987">
        <v>35.578379585833403</v>
      </c>
      <c r="G1987" s="1">
        <v>44255</v>
      </c>
      <c r="H1987" s="1">
        <v>44261</v>
      </c>
      <c r="I1987">
        <v>498.09731420166798</v>
      </c>
      <c r="J1987">
        <f t="shared" ref="J1987:J2001" si="186">H1987-G1987</f>
        <v>6</v>
      </c>
      <c r="K1987" t="str">
        <f>VLOOKUP(B1987,Raw_Suppliers!$A$2:$G$101,2,FALSE)</f>
        <v>Omega Nova GmbH</v>
      </c>
      <c r="L1987" t="str">
        <f>VLOOKUP(B1987,Raw_Suppliers!$A$2:$G$101,3,FALSE)</f>
        <v>Denmark</v>
      </c>
      <c r="M1987" t="str">
        <f>VLOOKUP(B1987,Raw_Suppliers!$A$2:$G$101,4,FALSE)</f>
        <v>East</v>
      </c>
      <c r="N1987" t="str">
        <f>VLOOKUP(B1987,Raw_Suppliers!$A$2:$G$101,6,FALSE)</f>
        <v>ISO 45001</v>
      </c>
      <c r="O1987">
        <f>VLOOKUP(B1987,Raw_Suppliers!$A$2:$G$101,7,FALSE)</f>
        <v>0</v>
      </c>
      <c r="P1987" t="str">
        <f t="shared" ref="P1987:P2001" si="187">IF(O1987=1,"Yes","No")</f>
        <v>No</v>
      </c>
      <c r="Q1987">
        <f t="shared" ref="Q1987:Q2001" si="188">IF(J1987&lt;=0,1,0)</f>
        <v>0</v>
      </c>
      <c r="R1987" t="str">
        <f t="shared" ref="R1987:R2001" si="189">IF(Q1987=1,"On Time","Late")</f>
        <v>Late</v>
      </c>
      <c r="S1987">
        <f t="shared" ref="S1987:S2001" si="190">YEAR(D1987)</f>
        <v>2021</v>
      </c>
      <c r="T1987">
        <f t="shared" ref="T1987:T2001" si="191">MONTH(D1987)</f>
        <v>2</v>
      </c>
    </row>
    <row r="1988" spans="1:20" x14ac:dyDescent="0.25">
      <c r="A1988" t="s">
        <v>2295</v>
      </c>
      <c r="B1988" t="s">
        <v>189</v>
      </c>
      <c r="C1988" t="s">
        <v>498</v>
      </c>
      <c r="D1988" s="1">
        <v>45085</v>
      </c>
      <c r="E1988">
        <v>11</v>
      </c>
      <c r="F1988">
        <v>30.033821701816802</v>
      </c>
      <c r="G1988" s="1">
        <v>45107</v>
      </c>
      <c r="H1988" s="1">
        <v>45110</v>
      </c>
      <c r="I1988">
        <v>330.37203871998503</v>
      </c>
      <c r="J1988">
        <f t="shared" si="186"/>
        <v>3</v>
      </c>
      <c r="K1988" t="str">
        <f>VLOOKUP(B1988,Raw_Suppliers!$A$2:$G$101,2,FALSE)</f>
        <v>Apex Pioneer Ltd</v>
      </c>
      <c r="L1988" t="str">
        <f>VLOOKUP(B1988,Raw_Suppliers!$A$2:$G$101,3,FALSE)</f>
        <v>Canada</v>
      </c>
      <c r="M1988" t="str">
        <f>VLOOKUP(B1988,Raw_Suppliers!$A$2:$G$101,4,FALSE)</f>
        <v>South</v>
      </c>
      <c r="N1988" t="str">
        <f>VLOOKUP(B1988,Raw_Suppliers!$A$2:$G$101,6,FALSE)</f>
        <v>ISO 14001</v>
      </c>
      <c r="O1988">
        <f>VLOOKUP(B1988,Raw_Suppliers!$A$2:$G$101,7,FALSE)</f>
        <v>1</v>
      </c>
      <c r="P1988" t="str">
        <f t="shared" si="187"/>
        <v>Yes</v>
      </c>
      <c r="Q1988">
        <f t="shared" si="188"/>
        <v>0</v>
      </c>
      <c r="R1988" t="str">
        <f t="shared" si="189"/>
        <v>Late</v>
      </c>
      <c r="S1988">
        <f t="shared" si="190"/>
        <v>2023</v>
      </c>
      <c r="T1988">
        <f t="shared" si="191"/>
        <v>6</v>
      </c>
    </row>
    <row r="1989" spans="1:20" x14ac:dyDescent="0.25">
      <c r="A1989" t="s">
        <v>2296</v>
      </c>
      <c r="B1989" t="s">
        <v>186</v>
      </c>
      <c r="C1989" t="s">
        <v>654</v>
      </c>
      <c r="D1989" s="1">
        <v>45216</v>
      </c>
      <c r="E1989">
        <v>12</v>
      </c>
      <c r="F1989">
        <v>54.181602891685202</v>
      </c>
      <c r="G1989" s="1">
        <v>45238</v>
      </c>
      <c r="H1989" s="1">
        <v>45239</v>
      </c>
      <c r="I1989">
        <v>650.17923470022197</v>
      </c>
      <c r="J1989">
        <f t="shared" si="186"/>
        <v>1</v>
      </c>
      <c r="K1989" t="str">
        <f>VLOOKUP(B1989,Raw_Suppliers!$A$2:$G$101,2,FALSE)</f>
        <v>Omega Vertex Inc</v>
      </c>
      <c r="L1989" t="str">
        <f>VLOOKUP(B1989,Raw_Suppliers!$A$2:$G$101,3,FALSE)</f>
        <v>China</v>
      </c>
      <c r="M1989" t="str">
        <f>VLOOKUP(B1989,Raw_Suppliers!$A$2:$G$101,4,FALSE)</f>
        <v>West</v>
      </c>
      <c r="N1989" t="str">
        <f>VLOOKUP(B1989,Raw_Suppliers!$A$2:$G$101,6,FALSE)</f>
        <v>ISO 14001</v>
      </c>
      <c r="O1989">
        <f>VLOOKUP(B1989,Raw_Suppliers!$A$2:$G$101,7,FALSE)</f>
        <v>1</v>
      </c>
      <c r="P1989" t="str">
        <f t="shared" si="187"/>
        <v>Yes</v>
      </c>
      <c r="Q1989">
        <f t="shared" si="188"/>
        <v>0</v>
      </c>
      <c r="R1989" t="str">
        <f t="shared" si="189"/>
        <v>Late</v>
      </c>
      <c r="S1989">
        <f t="shared" si="190"/>
        <v>2023</v>
      </c>
      <c r="T1989">
        <f t="shared" si="191"/>
        <v>10</v>
      </c>
    </row>
    <row r="1990" spans="1:20" x14ac:dyDescent="0.25">
      <c r="A1990" t="s">
        <v>2297</v>
      </c>
      <c r="B1990" t="s">
        <v>442</v>
      </c>
      <c r="C1990" t="s">
        <v>112</v>
      </c>
      <c r="D1990" s="1">
        <v>44850</v>
      </c>
      <c r="E1990">
        <v>5</v>
      </c>
      <c r="F1990">
        <v>24.3619163956077</v>
      </c>
      <c r="G1990" s="1">
        <v>44872</v>
      </c>
      <c r="H1990" s="1">
        <v>44871</v>
      </c>
      <c r="I1990">
        <v>121.809581978038</v>
      </c>
      <c r="J1990">
        <f t="shared" si="186"/>
        <v>-1</v>
      </c>
      <c r="K1990" t="str">
        <f>VLOOKUP(B1990,Raw_Suppliers!$A$2:$G$101,2,FALSE)</f>
        <v>Vertex Delta LLC</v>
      </c>
      <c r="L1990" t="str">
        <f>VLOOKUP(B1990,Raw_Suppliers!$A$2:$G$101,3,FALSE)</f>
        <v>Canada</v>
      </c>
      <c r="M1990" t="str">
        <f>VLOOKUP(B1990,Raw_Suppliers!$A$2:$G$101,4,FALSE)</f>
        <v>East</v>
      </c>
      <c r="N1990" t="str">
        <f>VLOOKUP(B1990,Raw_Suppliers!$A$2:$G$101,6,FALSE)</f>
        <v>ISO 14001</v>
      </c>
      <c r="O1990">
        <f>VLOOKUP(B1990,Raw_Suppliers!$A$2:$G$101,7,FALSE)</f>
        <v>1</v>
      </c>
      <c r="P1990" t="str">
        <f t="shared" si="187"/>
        <v>Yes</v>
      </c>
      <c r="Q1990">
        <f t="shared" si="188"/>
        <v>1</v>
      </c>
      <c r="R1990" t="str">
        <f t="shared" si="189"/>
        <v>On Time</v>
      </c>
      <c r="S1990">
        <f t="shared" si="190"/>
        <v>2022</v>
      </c>
      <c r="T1990">
        <f t="shared" si="191"/>
        <v>10</v>
      </c>
    </row>
    <row r="1991" spans="1:20" x14ac:dyDescent="0.25">
      <c r="A1991" t="s">
        <v>2298</v>
      </c>
      <c r="B1991" t="s">
        <v>207</v>
      </c>
      <c r="C1991" t="s">
        <v>152</v>
      </c>
      <c r="D1991" s="1">
        <v>44685</v>
      </c>
      <c r="E1991">
        <v>10</v>
      </c>
      <c r="F1991">
        <v>55.170824487145197</v>
      </c>
      <c r="G1991" s="1">
        <v>44695</v>
      </c>
      <c r="H1991" s="1">
        <v>44699</v>
      </c>
      <c r="I1991">
        <v>551.70824487145205</v>
      </c>
      <c r="J1991">
        <f t="shared" si="186"/>
        <v>4</v>
      </c>
      <c r="K1991" t="str">
        <f>VLOOKUP(B1991,Raw_Suppliers!$A$2:$G$101,2,FALSE)</f>
        <v>Nova Alpha Ltd</v>
      </c>
      <c r="L1991" t="str">
        <f>VLOOKUP(B1991,Raw_Suppliers!$A$2:$G$101,3,FALSE)</f>
        <v>India</v>
      </c>
      <c r="M1991" t="str">
        <f>VLOOKUP(B1991,Raw_Suppliers!$A$2:$G$101,4,FALSE)</f>
        <v>East</v>
      </c>
      <c r="N1991" t="str">
        <f>VLOOKUP(B1991,Raw_Suppliers!$A$2:$G$101,6,FALSE)</f>
        <v>ISO 9001</v>
      </c>
      <c r="O1991">
        <f>VLOOKUP(B1991,Raw_Suppliers!$A$2:$G$101,7,FALSE)</f>
        <v>0</v>
      </c>
      <c r="P1991" t="str">
        <f t="shared" si="187"/>
        <v>No</v>
      </c>
      <c r="Q1991">
        <f t="shared" si="188"/>
        <v>0</v>
      </c>
      <c r="R1991" t="str">
        <f t="shared" si="189"/>
        <v>Late</v>
      </c>
      <c r="S1991">
        <f t="shared" si="190"/>
        <v>2022</v>
      </c>
      <c r="T1991">
        <f t="shared" si="191"/>
        <v>5</v>
      </c>
    </row>
    <row r="1992" spans="1:20" x14ac:dyDescent="0.25">
      <c r="A1992" t="s">
        <v>2299</v>
      </c>
      <c r="B1992" t="s">
        <v>22</v>
      </c>
      <c r="C1992" t="s">
        <v>518</v>
      </c>
      <c r="D1992" s="1">
        <v>45035</v>
      </c>
      <c r="E1992">
        <v>9</v>
      </c>
      <c r="F1992">
        <v>54.030984113619503</v>
      </c>
      <c r="G1992" s="1">
        <v>45045</v>
      </c>
      <c r="H1992" s="1">
        <v>45046</v>
      </c>
      <c r="I1992">
        <v>486.27885702257601</v>
      </c>
      <c r="J1992">
        <f t="shared" si="186"/>
        <v>1</v>
      </c>
      <c r="K1992" t="str">
        <f>VLOOKUP(B1992,Raw_Suppliers!$A$2:$G$101,2,FALSE)</f>
        <v>Delta Gamma Corp</v>
      </c>
      <c r="L1992" t="str">
        <f>VLOOKUP(B1992,Raw_Suppliers!$A$2:$G$101,3,FALSE)</f>
        <v>Denmark</v>
      </c>
      <c r="M1992" t="str">
        <f>VLOOKUP(B1992,Raw_Suppliers!$A$2:$G$101,4,FALSE)</f>
        <v>West</v>
      </c>
      <c r="N1992" t="str">
        <f>VLOOKUP(B1992,Raw_Suppliers!$A$2:$G$101,6,FALSE)</f>
        <v>ISO 45001</v>
      </c>
      <c r="O1992">
        <f>VLOOKUP(B1992,Raw_Suppliers!$A$2:$G$101,7,FALSE)</f>
        <v>1</v>
      </c>
      <c r="P1992" t="str">
        <f t="shared" si="187"/>
        <v>Yes</v>
      </c>
      <c r="Q1992">
        <f t="shared" si="188"/>
        <v>0</v>
      </c>
      <c r="R1992" t="str">
        <f t="shared" si="189"/>
        <v>Late</v>
      </c>
      <c r="S1992">
        <f t="shared" si="190"/>
        <v>2023</v>
      </c>
      <c r="T1992">
        <f t="shared" si="191"/>
        <v>4</v>
      </c>
    </row>
    <row r="1993" spans="1:20" x14ac:dyDescent="0.25">
      <c r="A1993" t="s">
        <v>2300</v>
      </c>
      <c r="B1993" t="s">
        <v>28</v>
      </c>
      <c r="C1993" t="s">
        <v>180</v>
      </c>
      <c r="D1993" s="1">
        <v>45226</v>
      </c>
      <c r="E1993">
        <v>16</v>
      </c>
      <c r="F1993">
        <v>63.262215910549401</v>
      </c>
      <c r="G1993" s="1">
        <v>45244</v>
      </c>
      <c r="H1993" s="1">
        <v>45241</v>
      </c>
      <c r="I1993">
        <v>1012.19545456879</v>
      </c>
      <c r="J1993">
        <f t="shared" si="186"/>
        <v>-3</v>
      </c>
      <c r="K1993" t="str">
        <f>VLOOKUP(B1993,Raw_Suppliers!$A$2:$G$101,2,FALSE)</f>
        <v>Fusion Vertex Inc</v>
      </c>
      <c r="L1993" t="str">
        <f>VLOOKUP(B1993,Raw_Suppliers!$A$2:$G$101,3,FALSE)</f>
        <v>Denmark</v>
      </c>
      <c r="M1993" t="str">
        <f>VLOOKUP(B1993,Raw_Suppliers!$A$2:$G$101,4,FALSE)</f>
        <v>Central</v>
      </c>
      <c r="N1993" t="str">
        <f>VLOOKUP(B1993,Raw_Suppliers!$A$2:$G$101,6,FALSE)</f>
        <v>ISO 45001</v>
      </c>
      <c r="O1993">
        <f>VLOOKUP(B1993,Raw_Suppliers!$A$2:$G$101,7,FALSE)</f>
        <v>0</v>
      </c>
      <c r="P1993" t="str">
        <f t="shared" si="187"/>
        <v>No</v>
      </c>
      <c r="Q1993">
        <f t="shared" si="188"/>
        <v>1</v>
      </c>
      <c r="R1993" t="str">
        <f t="shared" si="189"/>
        <v>On Time</v>
      </c>
      <c r="S1993">
        <f t="shared" si="190"/>
        <v>2023</v>
      </c>
      <c r="T1993">
        <f t="shared" si="191"/>
        <v>10</v>
      </c>
    </row>
    <row r="1994" spans="1:20" x14ac:dyDescent="0.25">
      <c r="A1994" t="s">
        <v>2301</v>
      </c>
      <c r="B1994" t="s">
        <v>686</v>
      </c>
      <c r="C1994" t="s">
        <v>353</v>
      </c>
      <c r="D1994" s="1">
        <v>44513</v>
      </c>
      <c r="E1994">
        <v>13</v>
      </c>
      <c r="F1994">
        <v>39.292226001902598</v>
      </c>
      <c r="G1994" s="1">
        <v>44533</v>
      </c>
      <c r="H1994" s="1">
        <v>44533</v>
      </c>
      <c r="I1994">
        <v>510.79893802473401</v>
      </c>
      <c r="J1994">
        <f t="shared" si="186"/>
        <v>0</v>
      </c>
      <c r="K1994" t="str">
        <f>VLOOKUP(B1994,Raw_Suppliers!$A$2:$G$101,2,FALSE)</f>
        <v>Eco Gamma GmbH</v>
      </c>
      <c r="L1994" t="str">
        <f>VLOOKUP(B1994,Raw_Suppliers!$A$2:$G$101,3,FALSE)</f>
        <v>China</v>
      </c>
      <c r="M1994" t="str">
        <f>VLOOKUP(B1994,Raw_Suppliers!$A$2:$G$101,4,FALSE)</f>
        <v>South</v>
      </c>
      <c r="N1994" t="str">
        <f>VLOOKUP(B1994,Raw_Suppliers!$A$2:$G$101,6,FALSE)</f>
        <v>ISO 9001</v>
      </c>
      <c r="O1994">
        <f>VLOOKUP(B1994,Raw_Suppliers!$A$2:$G$101,7,FALSE)</f>
        <v>0</v>
      </c>
      <c r="P1994" t="str">
        <f t="shared" si="187"/>
        <v>No</v>
      </c>
      <c r="Q1994">
        <f t="shared" si="188"/>
        <v>1</v>
      </c>
      <c r="R1994" t="str">
        <f t="shared" si="189"/>
        <v>On Time</v>
      </c>
      <c r="S1994">
        <f t="shared" si="190"/>
        <v>2021</v>
      </c>
      <c r="T1994">
        <f t="shared" si="191"/>
        <v>11</v>
      </c>
    </row>
    <row r="1995" spans="1:20" x14ac:dyDescent="0.25">
      <c r="A1995" t="s">
        <v>2302</v>
      </c>
      <c r="B1995" t="s">
        <v>324</v>
      </c>
      <c r="C1995" t="s">
        <v>80</v>
      </c>
      <c r="D1995" s="1">
        <v>44872</v>
      </c>
      <c r="E1995">
        <v>15</v>
      </c>
      <c r="F1995">
        <v>22.651896626508901</v>
      </c>
      <c r="G1995" s="1">
        <v>44884</v>
      </c>
      <c r="H1995" s="1">
        <v>44886</v>
      </c>
      <c r="I1995">
        <v>339.77844939763401</v>
      </c>
      <c r="J1995">
        <f t="shared" si="186"/>
        <v>2</v>
      </c>
      <c r="K1995" t="str">
        <f>VLOOKUP(B1995,Raw_Suppliers!$A$2:$G$101,2,FALSE)</f>
        <v>Gamma Nano Corp</v>
      </c>
      <c r="L1995" t="str">
        <f>VLOOKUP(B1995,Raw_Suppliers!$A$2:$G$101,3,FALSE)</f>
        <v>Germany</v>
      </c>
      <c r="M1995" t="str">
        <f>VLOOKUP(B1995,Raw_Suppliers!$A$2:$G$101,4,FALSE)</f>
        <v>West</v>
      </c>
      <c r="N1995" t="str">
        <f>VLOOKUP(B1995,Raw_Suppliers!$A$2:$G$101,6,FALSE)</f>
        <v>ISO 9001</v>
      </c>
      <c r="O1995">
        <f>VLOOKUP(B1995,Raw_Suppliers!$A$2:$G$101,7,FALSE)</f>
        <v>0</v>
      </c>
      <c r="P1995" t="str">
        <f t="shared" si="187"/>
        <v>No</v>
      </c>
      <c r="Q1995">
        <f t="shared" si="188"/>
        <v>0</v>
      </c>
      <c r="R1995" t="str">
        <f t="shared" si="189"/>
        <v>Late</v>
      </c>
      <c r="S1995">
        <f t="shared" si="190"/>
        <v>2022</v>
      </c>
      <c r="T1995">
        <f t="shared" si="191"/>
        <v>11</v>
      </c>
    </row>
    <row r="1996" spans="1:20" x14ac:dyDescent="0.25">
      <c r="A1996" t="s">
        <v>2303</v>
      </c>
      <c r="B1996" t="s">
        <v>154</v>
      </c>
      <c r="C1996" t="s">
        <v>23</v>
      </c>
      <c r="D1996" s="1">
        <v>44434</v>
      </c>
      <c r="E1996">
        <v>17</v>
      </c>
      <c r="F1996">
        <v>57.937884192137801</v>
      </c>
      <c r="G1996" s="1">
        <v>44454</v>
      </c>
      <c r="H1996" s="1">
        <v>44455</v>
      </c>
      <c r="I1996">
        <v>984.94403126634199</v>
      </c>
      <c r="J1996">
        <f t="shared" si="186"/>
        <v>1</v>
      </c>
      <c r="K1996" t="str">
        <f>VLOOKUP(B1996,Raw_Suppliers!$A$2:$G$101,2,FALSE)</f>
        <v>Apex Ultra Ltd</v>
      </c>
      <c r="L1996" t="str">
        <f>VLOOKUP(B1996,Raw_Suppliers!$A$2:$G$101,3,FALSE)</f>
        <v>Canada</v>
      </c>
      <c r="M1996" t="str">
        <f>VLOOKUP(B1996,Raw_Suppliers!$A$2:$G$101,4,FALSE)</f>
        <v>West</v>
      </c>
      <c r="N1996" t="str">
        <f>VLOOKUP(B1996,Raw_Suppliers!$A$2:$G$101,6,FALSE)</f>
        <v>None</v>
      </c>
      <c r="O1996">
        <f>VLOOKUP(B1996,Raw_Suppliers!$A$2:$G$101,7,FALSE)</f>
        <v>1</v>
      </c>
      <c r="P1996" t="str">
        <f t="shared" si="187"/>
        <v>Yes</v>
      </c>
      <c r="Q1996">
        <f t="shared" si="188"/>
        <v>0</v>
      </c>
      <c r="R1996" t="str">
        <f t="shared" si="189"/>
        <v>Late</v>
      </c>
      <c r="S1996">
        <f t="shared" si="190"/>
        <v>2021</v>
      </c>
      <c r="T1996">
        <f t="shared" si="191"/>
        <v>8</v>
      </c>
    </row>
    <row r="1997" spans="1:20" x14ac:dyDescent="0.25">
      <c r="A1997" t="s">
        <v>2304</v>
      </c>
      <c r="B1997" t="s">
        <v>34</v>
      </c>
      <c r="C1997" t="s">
        <v>268</v>
      </c>
      <c r="D1997" s="1">
        <v>44207</v>
      </c>
      <c r="E1997">
        <v>12</v>
      </c>
      <c r="F1997">
        <v>15.1381321802612</v>
      </c>
      <c r="G1997" s="1">
        <v>44218</v>
      </c>
      <c r="H1997" s="1">
        <v>44218</v>
      </c>
      <c r="I1997">
        <v>181.657586163134</v>
      </c>
      <c r="J1997">
        <f t="shared" si="186"/>
        <v>0</v>
      </c>
      <c r="K1997" t="str">
        <f>VLOOKUP(B1997,Raw_Suppliers!$A$2:$G$101,2,FALSE)</f>
        <v>Omega Alpha Corp</v>
      </c>
      <c r="L1997" t="str">
        <f>VLOOKUP(B1997,Raw_Suppliers!$A$2:$G$101,3,FALSE)</f>
        <v>UK</v>
      </c>
      <c r="M1997" t="str">
        <f>VLOOKUP(B1997,Raw_Suppliers!$A$2:$G$101,4,FALSE)</f>
        <v>West</v>
      </c>
      <c r="N1997" t="str">
        <f>VLOOKUP(B1997,Raw_Suppliers!$A$2:$G$101,6,FALSE)</f>
        <v>ISO 45001</v>
      </c>
      <c r="O1997">
        <f>VLOOKUP(B1997,Raw_Suppliers!$A$2:$G$101,7,FALSE)</f>
        <v>0</v>
      </c>
      <c r="P1997" t="str">
        <f t="shared" si="187"/>
        <v>No</v>
      </c>
      <c r="Q1997">
        <f t="shared" si="188"/>
        <v>1</v>
      </c>
      <c r="R1997" t="str">
        <f t="shared" si="189"/>
        <v>On Time</v>
      </c>
      <c r="S1997">
        <f t="shared" si="190"/>
        <v>2021</v>
      </c>
      <c r="T1997">
        <f t="shared" si="191"/>
        <v>1</v>
      </c>
    </row>
    <row r="1998" spans="1:20" x14ac:dyDescent="0.25">
      <c r="A1998" t="s">
        <v>2305</v>
      </c>
      <c r="B1998" t="s">
        <v>564</v>
      </c>
      <c r="C1998" t="s">
        <v>559</v>
      </c>
      <c r="D1998" s="1">
        <v>44624</v>
      </c>
      <c r="E1998">
        <v>11</v>
      </c>
      <c r="F1998">
        <v>74.858864923681693</v>
      </c>
      <c r="G1998" s="1">
        <v>44639</v>
      </c>
      <c r="H1998" s="1">
        <v>44641</v>
      </c>
      <c r="I1998">
        <v>823.44751416049803</v>
      </c>
      <c r="J1998">
        <f t="shared" si="186"/>
        <v>2</v>
      </c>
      <c r="K1998" t="str">
        <f>VLOOKUP(B1998,Raw_Suppliers!$A$2:$G$101,2,FALSE)</f>
        <v>Ultra Ultra GmbH</v>
      </c>
      <c r="L1998" t="str">
        <f>VLOOKUP(B1998,Raw_Suppliers!$A$2:$G$101,3,FALSE)</f>
        <v>India</v>
      </c>
      <c r="M1998" t="str">
        <f>VLOOKUP(B1998,Raw_Suppliers!$A$2:$G$101,4,FALSE)</f>
        <v>Central</v>
      </c>
      <c r="N1998" t="str">
        <f>VLOOKUP(B1998,Raw_Suppliers!$A$2:$G$101,6,FALSE)</f>
        <v>ISO 14001</v>
      </c>
      <c r="O1998">
        <f>VLOOKUP(B1998,Raw_Suppliers!$A$2:$G$101,7,FALSE)</f>
        <v>1</v>
      </c>
      <c r="P1998" t="str">
        <f t="shared" si="187"/>
        <v>Yes</v>
      </c>
      <c r="Q1998">
        <f t="shared" si="188"/>
        <v>0</v>
      </c>
      <c r="R1998" t="str">
        <f t="shared" si="189"/>
        <v>Late</v>
      </c>
      <c r="S1998">
        <f t="shared" si="190"/>
        <v>2022</v>
      </c>
      <c r="T1998">
        <f t="shared" si="191"/>
        <v>3</v>
      </c>
    </row>
    <row r="1999" spans="1:20" x14ac:dyDescent="0.25">
      <c r="A1999" t="s">
        <v>2306</v>
      </c>
      <c r="B1999" t="s">
        <v>472</v>
      </c>
      <c r="C1999" t="s">
        <v>128</v>
      </c>
      <c r="D1999" s="1">
        <v>44986</v>
      </c>
      <c r="E1999">
        <v>7</v>
      </c>
      <c r="F1999">
        <v>35.946680457516997</v>
      </c>
      <c r="G1999" s="1">
        <v>45005</v>
      </c>
      <c r="H1999" s="1">
        <v>45009</v>
      </c>
      <c r="I1999">
        <v>251.626763202619</v>
      </c>
      <c r="J1999">
        <f t="shared" si="186"/>
        <v>4</v>
      </c>
      <c r="K1999" t="str">
        <f>VLOOKUP(B1999,Raw_Suppliers!$A$2:$G$101,2,FALSE)</f>
        <v>Pioneer Alpha Corp</v>
      </c>
      <c r="L1999" t="str">
        <f>VLOOKUP(B1999,Raw_Suppliers!$A$2:$G$101,3,FALSE)</f>
        <v>Canada</v>
      </c>
      <c r="M1999" t="str">
        <f>VLOOKUP(B1999,Raw_Suppliers!$A$2:$G$101,4,FALSE)</f>
        <v>North</v>
      </c>
      <c r="N1999" t="str">
        <f>VLOOKUP(B1999,Raw_Suppliers!$A$2:$G$101,6,FALSE)</f>
        <v>None</v>
      </c>
      <c r="O1999">
        <f>VLOOKUP(B1999,Raw_Suppliers!$A$2:$G$101,7,FALSE)</f>
        <v>1</v>
      </c>
      <c r="P1999" t="str">
        <f t="shared" si="187"/>
        <v>Yes</v>
      </c>
      <c r="Q1999">
        <f t="shared" si="188"/>
        <v>0</v>
      </c>
      <c r="R1999" t="str">
        <f t="shared" si="189"/>
        <v>Late</v>
      </c>
      <c r="S1999">
        <f t="shared" si="190"/>
        <v>2023</v>
      </c>
      <c r="T1999">
        <f t="shared" si="191"/>
        <v>3</v>
      </c>
    </row>
    <row r="2000" spans="1:20" x14ac:dyDescent="0.25">
      <c r="A2000" t="s">
        <v>2307</v>
      </c>
      <c r="B2000" t="s">
        <v>686</v>
      </c>
      <c r="C2000" t="s">
        <v>434</v>
      </c>
      <c r="D2000" s="1">
        <v>45020</v>
      </c>
      <c r="E2000">
        <v>12</v>
      </c>
      <c r="F2000">
        <v>41.442689086575697</v>
      </c>
      <c r="G2000" s="1">
        <v>45033</v>
      </c>
      <c r="H2000" s="1">
        <v>45036</v>
      </c>
      <c r="I2000">
        <v>497.31226903890899</v>
      </c>
      <c r="J2000">
        <f t="shared" si="186"/>
        <v>3</v>
      </c>
      <c r="K2000" t="str">
        <f>VLOOKUP(B2000,Raw_Suppliers!$A$2:$G$101,2,FALSE)</f>
        <v>Eco Gamma GmbH</v>
      </c>
      <c r="L2000" t="str">
        <f>VLOOKUP(B2000,Raw_Suppliers!$A$2:$G$101,3,FALSE)</f>
        <v>China</v>
      </c>
      <c r="M2000" t="str">
        <f>VLOOKUP(B2000,Raw_Suppliers!$A$2:$G$101,4,FALSE)</f>
        <v>South</v>
      </c>
      <c r="N2000" t="str">
        <f>VLOOKUP(B2000,Raw_Suppliers!$A$2:$G$101,6,FALSE)</f>
        <v>ISO 9001</v>
      </c>
      <c r="O2000">
        <f>VLOOKUP(B2000,Raw_Suppliers!$A$2:$G$101,7,FALSE)</f>
        <v>0</v>
      </c>
      <c r="P2000" t="str">
        <f t="shared" si="187"/>
        <v>No</v>
      </c>
      <c r="Q2000">
        <f t="shared" si="188"/>
        <v>0</v>
      </c>
      <c r="R2000" t="str">
        <f t="shared" si="189"/>
        <v>Late</v>
      </c>
      <c r="S2000">
        <f t="shared" si="190"/>
        <v>2023</v>
      </c>
      <c r="T2000">
        <f t="shared" si="191"/>
        <v>4</v>
      </c>
    </row>
    <row r="2001" spans="1:20" x14ac:dyDescent="0.25">
      <c r="A2001" t="s">
        <v>2308</v>
      </c>
      <c r="B2001" t="s">
        <v>140</v>
      </c>
      <c r="C2001" t="s">
        <v>35</v>
      </c>
      <c r="D2001" s="1">
        <v>44911</v>
      </c>
      <c r="E2001">
        <v>5</v>
      </c>
      <c r="F2001">
        <v>44.087850681643502</v>
      </c>
      <c r="G2001" s="1">
        <v>44930</v>
      </c>
      <c r="H2001" s="1">
        <v>44933</v>
      </c>
      <c r="I2001">
        <v>220.43925340821701</v>
      </c>
      <c r="J2001">
        <f t="shared" si="186"/>
        <v>3</v>
      </c>
      <c r="K2001" t="str">
        <f>VLOOKUP(B2001,Raw_Suppliers!$A$2:$G$101,2,FALSE)</f>
        <v>Gamma Quantum Inc</v>
      </c>
      <c r="L2001" t="str">
        <f>VLOOKUP(B2001,Raw_Suppliers!$A$2:$G$101,3,FALSE)</f>
        <v>Germany</v>
      </c>
      <c r="M2001" t="str">
        <f>VLOOKUP(B2001,Raw_Suppliers!$A$2:$G$101,4,FALSE)</f>
        <v>North</v>
      </c>
      <c r="N2001" t="str">
        <f>VLOOKUP(B2001,Raw_Suppliers!$A$2:$G$101,6,FALSE)</f>
        <v>None</v>
      </c>
      <c r="O2001">
        <f>VLOOKUP(B2001,Raw_Suppliers!$A$2:$G$101,7,FALSE)</f>
        <v>1</v>
      </c>
      <c r="P2001" t="str">
        <f t="shared" si="187"/>
        <v>Yes</v>
      </c>
      <c r="Q2001">
        <f t="shared" si="188"/>
        <v>0</v>
      </c>
      <c r="R2001" t="str">
        <f t="shared" si="189"/>
        <v>Late</v>
      </c>
      <c r="S2001">
        <f t="shared" si="190"/>
        <v>2022</v>
      </c>
      <c r="T2001">
        <f t="shared" si="191"/>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100"/>
  <sheetViews>
    <sheetView topLeftCell="B1" zoomScale="85" zoomScaleNormal="85" workbookViewId="0">
      <selection activeCell="M6" sqref="M6"/>
    </sheetView>
  </sheetViews>
  <sheetFormatPr defaultRowHeight="15" x14ac:dyDescent="0.25"/>
  <cols>
    <col min="1" max="1" width="22.140625" bestFit="1" customWidth="1"/>
    <col min="2" max="2" width="23.140625" bestFit="1" customWidth="1"/>
    <col min="3" max="3" width="14.5703125" bestFit="1" customWidth="1"/>
    <col min="4" max="4" width="17" bestFit="1" customWidth="1"/>
    <col min="7" max="7" width="13.28515625" bestFit="1" customWidth="1"/>
    <col min="8" max="8" width="23.140625" bestFit="1" customWidth="1"/>
    <col min="9" max="9" width="14.5703125" bestFit="1" customWidth="1"/>
    <col min="12" max="12" width="13.28515625" bestFit="1" customWidth="1"/>
    <col min="13" max="13" width="23.140625" bestFit="1" customWidth="1"/>
    <col min="14" max="14" width="14.5703125" bestFit="1" customWidth="1"/>
  </cols>
  <sheetData>
    <row r="3" spans="1:13" x14ac:dyDescent="0.25">
      <c r="A3" s="5" t="s">
        <v>2463</v>
      </c>
      <c r="B3" t="s">
        <v>2467</v>
      </c>
      <c r="C3" t="s">
        <v>2466</v>
      </c>
      <c r="D3" t="s">
        <v>2465</v>
      </c>
      <c r="G3" s="5" t="s">
        <v>2463</v>
      </c>
      <c r="H3" t="s">
        <v>2467</v>
      </c>
      <c r="L3" s="5" t="s">
        <v>2463</v>
      </c>
      <c r="M3" t="s">
        <v>2467</v>
      </c>
    </row>
    <row r="4" spans="1:13" x14ac:dyDescent="0.25">
      <c r="A4" s="6" t="s">
        <v>2431</v>
      </c>
      <c r="B4" s="8">
        <v>0.1</v>
      </c>
      <c r="C4" s="7">
        <v>20</v>
      </c>
      <c r="D4" s="7">
        <v>11574.95469886936</v>
      </c>
      <c r="G4" s="6">
        <v>2021</v>
      </c>
      <c r="H4" s="8">
        <v>0.375</v>
      </c>
      <c r="L4" s="6" t="s">
        <v>2341</v>
      </c>
      <c r="M4" s="8">
        <v>0.3903420523138833</v>
      </c>
    </row>
    <row r="5" spans="1:13" x14ac:dyDescent="0.25">
      <c r="A5" s="6" t="s">
        <v>2342</v>
      </c>
      <c r="B5" s="8">
        <v>0.10344827586206896</v>
      </c>
      <c r="C5" s="7">
        <v>29</v>
      </c>
      <c r="D5" s="7">
        <v>11745.728980195287</v>
      </c>
      <c r="G5" s="9">
        <v>1</v>
      </c>
      <c r="H5" s="8">
        <v>0.43396226415094341</v>
      </c>
      <c r="L5" s="6" t="s">
        <v>2357</v>
      </c>
      <c r="M5" s="8">
        <v>0.41564792176039123</v>
      </c>
    </row>
    <row r="6" spans="1:13" x14ac:dyDescent="0.25">
      <c r="A6" s="6" t="s">
        <v>2338</v>
      </c>
      <c r="B6" s="8">
        <v>0.125</v>
      </c>
      <c r="C6" s="7">
        <v>24</v>
      </c>
      <c r="D6" s="7">
        <v>11228.776379209077</v>
      </c>
      <c r="G6" s="9">
        <v>2</v>
      </c>
      <c r="H6" s="8">
        <v>0.36666666666666664</v>
      </c>
      <c r="L6" s="6" t="s">
        <v>2337</v>
      </c>
      <c r="M6" s="8">
        <v>0.36546762589928056</v>
      </c>
    </row>
    <row r="7" spans="1:13" x14ac:dyDescent="0.25">
      <c r="A7" s="6" t="s">
        <v>2424</v>
      </c>
      <c r="B7" s="8">
        <v>0.14285714285714285</v>
      </c>
      <c r="C7" s="7">
        <v>14</v>
      </c>
      <c r="D7" s="7">
        <v>8581.6358739117022</v>
      </c>
      <c r="G7" s="9">
        <v>3</v>
      </c>
      <c r="H7" s="8">
        <v>0.33333333333333331</v>
      </c>
      <c r="L7" s="6" t="s">
        <v>2333</v>
      </c>
      <c r="M7" s="8">
        <v>0.37092731829573933</v>
      </c>
    </row>
    <row r="8" spans="1:13" x14ac:dyDescent="0.25">
      <c r="A8" s="6" t="s">
        <v>2437</v>
      </c>
      <c r="B8" s="8">
        <v>0.15384615384615385</v>
      </c>
      <c r="C8" s="7">
        <v>13</v>
      </c>
      <c r="D8" s="7">
        <v>4723.8493614584704</v>
      </c>
      <c r="G8" s="9">
        <v>4</v>
      </c>
      <c r="H8" s="8">
        <v>0.34426229508196721</v>
      </c>
      <c r="L8" s="6" t="s">
        <v>2464</v>
      </c>
      <c r="M8" s="8">
        <v>0.38300000000000001</v>
      </c>
    </row>
    <row r="9" spans="1:13" x14ac:dyDescent="0.25">
      <c r="A9" s="6" t="s">
        <v>2379</v>
      </c>
      <c r="B9" s="8">
        <v>0.15789473684210525</v>
      </c>
      <c r="C9" s="7">
        <v>19</v>
      </c>
      <c r="D9" s="7">
        <v>10467.940032461056</v>
      </c>
      <c r="G9" s="9">
        <v>5</v>
      </c>
      <c r="H9" s="8">
        <v>0.3125</v>
      </c>
    </row>
    <row r="10" spans="1:13" x14ac:dyDescent="0.25">
      <c r="A10" s="6" t="s">
        <v>2355</v>
      </c>
      <c r="B10" s="8">
        <v>0.17647058823529413</v>
      </c>
      <c r="C10" s="7">
        <v>17</v>
      </c>
      <c r="D10" s="7">
        <v>8026.8202572493628</v>
      </c>
      <c r="G10" s="9">
        <v>6</v>
      </c>
      <c r="H10" s="8">
        <v>0.48333333333333334</v>
      </c>
    </row>
    <row r="11" spans="1:13" x14ac:dyDescent="0.25">
      <c r="A11" s="6" t="s">
        <v>2420</v>
      </c>
      <c r="B11" s="8">
        <v>0.19047619047619047</v>
      </c>
      <c r="C11" s="7">
        <v>21</v>
      </c>
      <c r="D11" s="7">
        <v>9776.9912521851111</v>
      </c>
      <c r="G11" s="9">
        <v>7</v>
      </c>
      <c r="H11" s="8">
        <v>0.33333333333333331</v>
      </c>
    </row>
    <row r="12" spans="1:13" x14ac:dyDescent="0.25">
      <c r="A12" s="6" t="s">
        <v>2372</v>
      </c>
      <c r="B12" s="8">
        <v>0.2</v>
      </c>
      <c r="C12" s="7">
        <v>20</v>
      </c>
      <c r="D12" s="7">
        <v>9013.5689886876498</v>
      </c>
      <c r="G12" s="9">
        <v>8</v>
      </c>
      <c r="H12" s="8">
        <v>0.43396226415094341</v>
      </c>
    </row>
    <row r="13" spans="1:13" x14ac:dyDescent="0.25">
      <c r="A13" s="6" t="s">
        <v>2348</v>
      </c>
      <c r="B13" s="8">
        <v>0.21428571428571427</v>
      </c>
      <c r="C13" s="7">
        <v>14</v>
      </c>
      <c r="D13" s="7">
        <v>7550.0771277321564</v>
      </c>
      <c r="G13" s="9">
        <v>9</v>
      </c>
      <c r="H13" s="8">
        <v>0.45454545454545453</v>
      </c>
    </row>
    <row r="14" spans="1:13" x14ac:dyDescent="0.25">
      <c r="A14" s="6" t="s">
        <v>2396</v>
      </c>
      <c r="B14" s="8">
        <v>0.22222222222222221</v>
      </c>
      <c r="C14" s="7">
        <v>18</v>
      </c>
      <c r="D14" s="7">
        <v>10149.968933234904</v>
      </c>
      <c r="G14" s="9">
        <v>10</v>
      </c>
      <c r="H14" s="8">
        <v>0.40476190476190477</v>
      </c>
    </row>
    <row r="15" spans="1:13" x14ac:dyDescent="0.25">
      <c r="A15" s="6" t="s">
        <v>2386</v>
      </c>
      <c r="B15" s="8">
        <v>0.23809523809523808</v>
      </c>
      <c r="C15" s="7">
        <v>21</v>
      </c>
      <c r="D15" s="7">
        <v>9543.7018382584502</v>
      </c>
      <c r="G15" s="9">
        <v>11</v>
      </c>
      <c r="H15" s="8">
        <v>0.35135135135135137</v>
      </c>
    </row>
    <row r="16" spans="1:13" x14ac:dyDescent="0.25">
      <c r="A16" s="6" t="s">
        <v>2442</v>
      </c>
      <c r="B16" s="8">
        <v>0.23809523809523808</v>
      </c>
      <c r="C16" s="7">
        <v>21</v>
      </c>
      <c r="D16" s="7">
        <v>9101.0331659425865</v>
      </c>
      <c r="G16" s="9">
        <v>12</v>
      </c>
      <c r="H16" s="8">
        <v>0.16666666666666666</v>
      </c>
    </row>
    <row r="17" spans="1:8" x14ac:dyDescent="0.25">
      <c r="A17" s="6" t="s">
        <v>2414</v>
      </c>
      <c r="B17" s="8">
        <v>0.25</v>
      </c>
      <c r="C17" s="7">
        <v>20</v>
      </c>
      <c r="D17" s="7">
        <v>9736.6159809185338</v>
      </c>
      <c r="G17" s="6">
        <v>2022</v>
      </c>
      <c r="H17" s="8">
        <v>0.35942492012779553</v>
      </c>
    </row>
    <row r="18" spans="1:8" x14ac:dyDescent="0.25">
      <c r="A18" s="6" t="s">
        <v>2408</v>
      </c>
      <c r="B18" s="8">
        <v>0.25</v>
      </c>
      <c r="C18" s="7">
        <v>20</v>
      </c>
      <c r="D18" s="7">
        <v>8033.3552641216456</v>
      </c>
      <c r="G18" s="9">
        <v>1</v>
      </c>
      <c r="H18" s="8">
        <v>0.39285714285714285</v>
      </c>
    </row>
    <row r="19" spans="1:8" x14ac:dyDescent="0.25">
      <c r="A19" s="6" t="s">
        <v>2390</v>
      </c>
      <c r="B19" s="8">
        <v>0.25</v>
      </c>
      <c r="C19" s="7">
        <v>16</v>
      </c>
      <c r="D19" s="7">
        <v>7961.6158186149514</v>
      </c>
      <c r="G19" s="9">
        <v>2</v>
      </c>
      <c r="H19" s="8">
        <v>0.35185185185185186</v>
      </c>
    </row>
    <row r="20" spans="1:8" x14ac:dyDescent="0.25">
      <c r="A20" s="6" t="s">
        <v>2362</v>
      </c>
      <c r="B20" s="8">
        <v>0.2608695652173913</v>
      </c>
      <c r="C20" s="7">
        <v>23</v>
      </c>
      <c r="D20" s="7">
        <v>10106.153827113691</v>
      </c>
      <c r="G20" s="9">
        <v>3</v>
      </c>
      <c r="H20" s="8">
        <v>0.359375</v>
      </c>
    </row>
    <row r="21" spans="1:8" x14ac:dyDescent="0.25">
      <c r="A21" s="6" t="s">
        <v>2388</v>
      </c>
      <c r="B21" s="8">
        <v>0.26315789473684209</v>
      </c>
      <c r="C21" s="7">
        <v>19</v>
      </c>
      <c r="D21" s="7">
        <v>9743.0715428802123</v>
      </c>
      <c r="G21" s="9">
        <v>4</v>
      </c>
      <c r="H21" s="8">
        <v>0.4</v>
      </c>
    </row>
    <row r="22" spans="1:8" x14ac:dyDescent="0.25">
      <c r="A22" s="6" t="s">
        <v>2413</v>
      </c>
      <c r="B22" s="8">
        <v>0.26923076923076922</v>
      </c>
      <c r="C22" s="7">
        <v>26</v>
      </c>
      <c r="D22" s="7">
        <v>12430.150607497799</v>
      </c>
      <c r="G22" s="9">
        <v>5</v>
      </c>
      <c r="H22" s="8">
        <v>0.40816326530612246</v>
      </c>
    </row>
    <row r="23" spans="1:8" x14ac:dyDescent="0.25">
      <c r="A23" s="6" t="s">
        <v>2360</v>
      </c>
      <c r="B23" s="8">
        <v>0.26923076923076922</v>
      </c>
      <c r="C23" s="7">
        <v>26</v>
      </c>
      <c r="D23" s="7">
        <v>10995.653344263263</v>
      </c>
      <c r="G23" s="9">
        <v>6</v>
      </c>
      <c r="H23" s="8">
        <v>0.39622641509433965</v>
      </c>
    </row>
    <row r="24" spans="1:8" x14ac:dyDescent="0.25">
      <c r="A24" s="6" t="s">
        <v>2406</v>
      </c>
      <c r="B24" s="8">
        <v>0.2857142857142857</v>
      </c>
      <c r="C24" s="7">
        <v>14</v>
      </c>
      <c r="D24" s="7">
        <v>6665.0663157271192</v>
      </c>
      <c r="G24" s="9">
        <v>7</v>
      </c>
      <c r="H24" s="8">
        <v>0.32692307692307693</v>
      </c>
    </row>
    <row r="25" spans="1:8" x14ac:dyDescent="0.25">
      <c r="A25" s="6" t="s">
        <v>2393</v>
      </c>
      <c r="B25" s="8">
        <v>0.2857142857142857</v>
      </c>
      <c r="C25" s="7">
        <v>21</v>
      </c>
      <c r="D25" s="7">
        <v>11979.003102532433</v>
      </c>
      <c r="G25" s="9">
        <v>8</v>
      </c>
      <c r="H25" s="8">
        <v>0.42857142857142855</v>
      </c>
    </row>
    <row r="26" spans="1:8" x14ac:dyDescent="0.25">
      <c r="A26" s="6" t="s">
        <v>2377</v>
      </c>
      <c r="B26" s="8">
        <v>0.29166666666666669</v>
      </c>
      <c r="C26" s="7">
        <v>24</v>
      </c>
      <c r="D26" s="7">
        <v>13219.171433461757</v>
      </c>
      <c r="G26" s="9">
        <v>9</v>
      </c>
      <c r="H26" s="8">
        <v>0.22222222222222221</v>
      </c>
    </row>
    <row r="27" spans="1:8" x14ac:dyDescent="0.25">
      <c r="A27" s="6" t="s">
        <v>2421</v>
      </c>
      <c r="B27" s="8">
        <v>0.3125</v>
      </c>
      <c r="C27" s="7">
        <v>16</v>
      </c>
      <c r="D27" s="7">
        <v>6988.6791571711447</v>
      </c>
      <c r="G27" s="9">
        <v>10</v>
      </c>
      <c r="H27" s="8">
        <v>0.28813559322033899</v>
      </c>
    </row>
    <row r="28" spans="1:8" x14ac:dyDescent="0.25">
      <c r="A28" s="6" t="s">
        <v>2395</v>
      </c>
      <c r="B28" s="8">
        <v>0.3125</v>
      </c>
      <c r="C28" s="7">
        <v>16</v>
      </c>
      <c r="D28" s="7">
        <v>7685.0611691152744</v>
      </c>
      <c r="G28" s="9">
        <v>11</v>
      </c>
      <c r="H28" s="8">
        <v>0.25</v>
      </c>
    </row>
    <row r="29" spans="1:8" x14ac:dyDescent="0.25">
      <c r="A29" s="6" t="s">
        <v>2389</v>
      </c>
      <c r="B29" s="8">
        <v>0.3125</v>
      </c>
      <c r="C29" s="7">
        <v>16</v>
      </c>
      <c r="D29" s="7">
        <v>6665.184506309417</v>
      </c>
      <c r="G29" s="9">
        <v>12</v>
      </c>
      <c r="H29" s="8">
        <v>0.5</v>
      </c>
    </row>
    <row r="30" spans="1:8" x14ac:dyDescent="0.25">
      <c r="A30" s="6" t="s">
        <v>2400</v>
      </c>
      <c r="B30" s="8">
        <v>0.31818181818181818</v>
      </c>
      <c r="C30" s="7">
        <v>22</v>
      </c>
      <c r="D30" s="7">
        <v>10893.109670880904</v>
      </c>
      <c r="G30" s="6">
        <v>2023</v>
      </c>
      <c r="H30" s="8">
        <v>0.41042345276872966</v>
      </c>
    </row>
    <row r="31" spans="1:8" x14ac:dyDescent="0.25">
      <c r="A31" s="6" t="s">
        <v>2397</v>
      </c>
      <c r="B31" s="8">
        <v>0.32</v>
      </c>
      <c r="C31" s="7">
        <v>25</v>
      </c>
      <c r="D31" s="7">
        <v>12396.537774726608</v>
      </c>
      <c r="G31" s="9">
        <v>1</v>
      </c>
      <c r="H31" s="8">
        <v>0.42222222222222222</v>
      </c>
    </row>
    <row r="32" spans="1:8" x14ac:dyDescent="0.25">
      <c r="A32" s="6" t="s">
        <v>2358</v>
      </c>
      <c r="B32" s="8">
        <v>0.32</v>
      </c>
      <c r="C32" s="7">
        <v>25</v>
      </c>
      <c r="D32" s="7">
        <v>11854.087455854302</v>
      </c>
      <c r="G32" s="9">
        <v>2</v>
      </c>
      <c r="H32" s="8">
        <v>0.37254901960784315</v>
      </c>
    </row>
    <row r="33" spans="1:8" x14ac:dyDescent="0.25">
      <c r="A33" s="6" t="s">
        <v>2425</v>
      </c>
      <c r="B33" s="8">
        <v>0.33333333333333331</v>
      </c>
      <c r="C33" s="7">
        <v>24</v>
      </c>
      <c r="D33" s="7">
        <v>10080.180418901266</v>
      </c>
      <c r="G33" s="9">
        <v>3</v>
      </c>
      <c r="H33" s="8">
        <v>0.46875</v>
      </c>
    </row>
    <row r="34" spans="1:8" x14ac:dyDescent="0.25">
      <c r="A34" s="6" t="s">
        <v>2440</v>
      </c>
      <c r="B34" s="8">
        <v>0.33333333333333331</v>
      </c>
      <c r="C34" s="7">
        <v>18</v>
      </c>
      <c r="D34" s="7">
        <v>10922.289472134469</v>
      </c>
      <c r="G34" s="9">
        <v>4</v>
      </c>
      <c r="H34" s="8">
        <v>0.26190476190476192</v>
      </c>
    </row>
    <row r="35" spans="1:8" x14ac:dyDescent="0.25">
      <c r="A35" s="6" t="s">
        <v>2433</v>
      </c>
      <c r="B35" s="8">
        <v>0.33333333333333331</v>
      </c>
      <c r="C35" s="7">
        <v>24</v>
      </c>
      <c r="D35" s="7">
        <v>9956.5771636715417</v>
      </c>
      <c r="G35" s="9">
        <v>5</v>
      </c>
      <c r="H35" s="8">
        <v>0.44680851063829785</v>
      </c>
    </row>
    <row r="36" spans="1:8" x14ac:dyDescent="0.25">
      <c r="A36" s="6" t="s">
        <v>2361</v>
      </c>
      <c r="B36" s="8">
        <v>0.33333333333333331</v>
      </c>
      <c r="C36" s="7">
        <v>18</v>
      </c>
      <c r="D36" s="7">
        <v>9611.1483820264548</v>
      </c>
      <c r="G36" s="9">
        <v>6</v>
      </c>
      <c r="H36" s="8">
        <v>0.40476190476190477</v>
      </c>
    </row>
    <row r="37" spans="1:8" x14ac:dyDescent="0.25">
      <c r="A37" s="6" t="s">
        <v>2365</v>
      </c>
      <c r="B37" s="8">
        <v>0.34146341463414637</v>
      </c>
      <c r="C37" s="7">
        <v>41</v>
      </c>
      <c r="D37" s="7">
        <v>19152.814265137895</v>
      </c>
      <c r="G37" s="9">
        <v>7</v>
      </c>
      <c r="H37" s="8">
        <v>0.4107142857142857</v>
      </c>
    </row>
    <row r="38" spans="1:8" x14ac:dyDescent="0.25">
      <c r="A38" s="6" t="s">
        <v>2438</v>
      </c>
      <c r="B38" s="8">
        <v>0.34782608695652173</v>
      </c>
      <c r="C38" s="7">
        <v>23</v>
      </c>
      <c r="D38" s="7">
        <v>11026.332604851712</v>
      </c>
      <c r="G38" s="9">
        <v>8</v>
      </c>
      <c r="H38" s="8">
        <v>0.39285714285714285</v>
      </c>
    </row>
    <row r="39" spans="1:8" x14ac:dyDescent="0.25">
      <c r="A39" s="6" t="s">
        <v>2363</v>
      </c>
      <c r="B39" s="8">
        <v>0.35</v>
      </c>
      <c r="C39" s="7">
        <v>20</v>
      </c>
      <c r="D39" s="7">
        <v>8476.1354154486471</v>
      </c>
      <c r="G39" s="9">
        <v>9</v>
      </c>
      <c r="H39" s="8">
        <v>0.41509433962264153</v>
      </c>
    </row>
    <row r="40" spans="1:8" x14ac:dyDescent="0.25">
      <c r="A40" s="6" t="s">
        <v>2436</v>
      </c>
      <c r="B40" s="8">
        <v>0.35</v>
      </c>
      <c r="C40" s="7">
        <v>20</v>
      </c>
      <c r="D40" s="7">
        <v>8112.861204363101</v>
      </c>
      <c r="G40" s="9">
        <v>10</v>
      </c>
      <c r="H40" s="8">
        <v>0.44</v>
      </c>
    </row>
    <row r="41" spans="1:8" x14ac:dyDescent="0.25">
      <c r="A41" s="6" t="s">
        <v>2382</v>
      </c>
      <c r="B41" s="8">
        <v>0.35714285714285715</v>
      </c>
      <c r="C41" s="7">
        <v>14</v>
      </c>
      <c r="D41" s="7">
        <v>5928.6636511676525</v>
      </c>
      <c r="G41" s="9">
        <v>11</v>
      </c>
      <c r="H41" s="8">
        <v>0.375</v>
      </c>
    </row>
    <row r="42" spans="1:8" x14ac:dyDescent="0.25">
      <c r="A42" s="6" t="s">
        <v>2373</v>
      </c>
      <c r="B42" s="8">
        <v>0.36</v>
      </c>
      <c r="C42" s="7">
        <v>25</v>
      </c>
      <c r="D42" s="7">
        <v>12295.134568516029</v>
      </c>
      <c r="G42" s="9">
        <v>12</v>
      </c>
      <c r="H42" s="8">
        <v>0.46666666666666667</v>
      </c>
    </row>
    <row r="43" spans="1:8" x14ac:dyDescent="0.25">
      <c r="A43" s="6" t="s">
        <v>2381</v>
      </c>
      <c r="B43" s="8">
        <v>0.36</v>
      </c>
      <c r="C43" s="7">
        <v>25</v>
      </c>
      <c r="D43" s="7">
        <v>10338.1761158472</v>
      </c>
      <c r="G43" s="6">
        <v>2024</v>
      </c>
      <c r="H43" s="8">
        <v>0.39772727272727271</v>
      </c>
    </row>
    <row r="44" spans="1:8" x14ac:dyDescent="0.25">
      <c r="A44" s="6" t="s">
        <v>2399</v>
      </c>
      <c r="B44" s="8">
        <v>0.36363636363636365</v>
      </c>
      <c r="C44" s="7">
        <v>22</v>
      </c>
      <c r="D44" s="7">
        <v>7513.8862973007435</v>
      </c>
      <c r="G44" s="9">
        <v>1</v>
      </c>
      <c r="H44" s="8">
        <v>0.44680851063829785</v>
      </c>
    </row>
    <row r="45" spans="1:8" x14ac:dyDescent="0.25">
      <c r="A45" s="6" t="s">
        <v>2351</v>
      </c>
      <c r="B45" s="8">
        <v>0.36842105263157893</v>
      </c>
      <c r="C45" s="7">
        <v>19</v>
      </c>
      <c r="D45" s="7">
        <v>10159.841419487064</v>
      </c>
      <c r="G45" s="9">
        <v>2</v>
      </c>
      <c r="H45" s="8">
        <v>0.28888888888888886</v>
      </c>
    </row>
    <row r="46" spans="1:8" x14ac:dyDescent="0.25">
      <c r="A46" s="6" t="s">
        <v>2429</v>
      </c>
      <c r="B46" s="8">
        <v>0.36842105263157893</v>
      </c>
      <c r="C46" s="7">
        <v>19</v>
      </c>
      <c r="D46" s="7">
        <v>7675.583566240196</v>
      </c>
      <c r="G46" s="9">
        <v>3</v>
      </c>
      <c r="H46" s="8">
        <v>0.46296296296296297</v>
      </c>
    </row>
    <row r="47" spans="1:8" x14ac:dyDescent="0.25">
      <c r="A47" s="6" t="s">
        <v>2394</v>
      </c>
      <c r="B47" s="8">
        <v>0.37209302325581395</v>
      </c>
      <c r="C47" s="7">
        <v>43</v>
      </c>
      <c r="D47" s="7">
        <v>19403.670820893269</v>
      </c>
      <c r="G47" s="9">
        <v>4</v>
      </c>
      <c r="H47" s="8">
        <v>0.36666666666666664</v>
      </c>
    </row>
    <row r="48" spans="1:8" x14ac:dyDescent="0.25">
      <c r="A48" s="6" t="s">
        <v>2350</v>
      </c>
      <c r="B48" s="8">
        <v>0.375</v>
      </c>
      <c r="C48" s="7">
        <v>16</v>
      </c>
      <c r="D48" s="7">
        <v>6126.765085117785</v>
      </c>
      <c r="G48" s="6" t="s">
        <v>2464</v>
      </c>
      <c r="H48" s="8">
        <v>0.38300000000000001</v>
      </c>
    </row>
    <row r="49" spans="1:4" x14ac:dyDescent="0.25">
      <c r="A49" s="6" t="s">
        <v>2416</v>
      </c>
      <c r="B49" s="8">
        <v>0.38095238095238093</v>
      </c>
      <c r="C49" s="7">
        <v>21</v>
      </c>
      <c r="D49" s="7">
        <v>9779.8594736222294</v>
      </c>
    </row>
    <row r="50" spans="1:4" x14ac:dyDescent="0.25">
      <c r="A50" s="6" t="s">
        <v>2418</v>
      </c>
      <c r="B50" s="8">
        <v>0.38461538461538464</v>
      </c>
      <c r="C50" s="7">
        <v>39</v>
      </c>
      <c r="D50" s="7">
        <v>17441.005967858073</v>
      </c>
    </row>
    <row r="51" spans="1:4" x14ac:dyDescent="0.25">
      <c r="A51" s="6" t="s">
        <v>2428</v>
      </c>
      <c r="B51" s="8">
        <v>0.39130434782608697</v>
      </c>
      <c r="C51" s="7">
        <v>23</v>
      </c>
      <c r="D51" s="7">
        <v>11486.723083467516</v>
      </c>
    </row>
    <row r="52" spans="1:4" x14ac:dyDescent="0.25">
      <c r="A52" s="6" t="s">
        <v>2356</v>
      </c>
      <c r="B52" s="8">
        <v>0.4</v>
      </c>
      <c r="C52" s="7">
        <v>20</v>
      </c>
      <c r="D52" s="7">
        <v>9507.2111244627631</v>
      </c>
    </row>
    <row r="53" spans="1:4" x14ac:dyDescent="0.25">
      <c r="A53" s="6" t="s">
        <v>2383</v>
      </c>
      <c r="B53" s="8">
        <v>0.40909090909090912</v>
      </c>
      <c r="C53" s="7">
        <v>22</v>
      </c>
      <c r="D53" s="7">
        <v>12436.602536872973</v>
      </c>
    </row>
    <row r="54" spans="1:4" x14ac:dyDescent="0.25">
      <c r="A54" s="6" t="s">
        <v>2402</v>
      </c>
      <c r="B54" s="8">
        <v>0.41666666666666669</v>
      </c>
      <c r="C54" s="7">
        <v>12</v>
      </c>
      <c r="D54" s="7">
        <v>5568.229950273244</v>
      </c>
    </row>
    <row r="55" spans="1:4" x14ac:dyDescent="0.25">
      <c r="A55" s="6" t="s">
        <v>2384</v>
      </c>
      <c r="B55" s="8">
        <v>0.41666666666666669</v>
      </c>
      <c r="C55" s="7">
        <v>24</v>
      </c>
      <c r="D55" s="7">
        <v>12563.98179218951</v>
      </c>
    </row>
    <row r="56" spans="1:4" x14ac:dyDescent="0.25">
      <c r="A56" s="6" t="s">
        <v>2344</v>
      </c>
      <c r="B56" s="8">
        <v>0.42307692307692307</v>
      </c>
      <c r="C56" s="7">
        <v>26</v>
      </c>
      <c r="D56" s="7">
        <v>11725.986109395726</v>
      </c>
    </row>
    <row r="57" spans="1:4" x14ac:dyDescent="0.25">
      <c r="A57" s="6" t="s">
        <v>2387</v>
      </c>
      <c r="B57" s="8">
        <v>0.42857142857142855</v>
      </c>
      <c r="C57" s="7">
        <v>21</v>
      </c>
      <c r="D57" s="7">
        <v>9750.3863189890944</v>
      </c>
    </row>
    <row r="58" spans="1:4" x14ac:dyDescent="0.25">
      <c r="A58" s="6" t="s">
        <v>2346</v>
      </c>
      <c r="B58" s="8">
        <v>0.4375</v>
      </c>
      <c r="C58" s="7">
        <v>16</v>
      </c>
      <c r="D58" s="7">
        <v>6730.5807498116928</v>
      </c>
    </row>
    <row r="59" spans="1:4" x14ac:dyDescent="0.25">
      <c r="A59" s="6" t="s">
        <v>2419</v>
      </c>
      <c r="B59" s="8">
        <v>0.4375</v>
      </c>
      <c r="C59" s="7">
        <v>16</v>
      </c>
      <c r="D59" s="7">
        <v>6522.4933984928894</v>
      </c>
    </row>
    <row r="60" spans="1:4" x14ac:dyDescent="0.25">
      <c r="A60" s="6" t="s">
        <v>2330</v>
      </c>
      <c r="B60" s="8">
        <v>0.4375</v>
      </c>
      <c r="C60" s="7">
        <v>16</v>
      </c>
      <c r="D60" s="7">
        <v>7509.3213369262685</v>
      </c>
    </row>
    <row r="61" spans="1:4" x14ac:dyDescent="0.25">
      <c r="A61" s="6" t="s">
        <v>2385</v>
      </c>
      <c r="B61" s="8">
        <v>0.44</v>
      </c>
      <c r="C61" s="7">
        <v>25</v>
      </c>
      <c r="D61" s="7">
        <v>10995.09479464789</v>
      </c>
    </row>
    <row r="62" spans="1:4" x14ac:dyDescent="0.25">
      <c r="A62" s="6" t="s">
        <v>2398</v>
      </c>
      <c r="B62" s="8">
        <v>0.44444444444444442</v>
      </c>
      <c r="C62" s="7">
        <v>18</v>
      </c>
      <c r="D62" s="7">
        <v>9767.3339371350849</v>
      </c>
    </row>
    <row r="63" spans="1:4" x14ac:dyDescent="0.25">
      <c r="A63" s="6" t="s">
        <v>2435</v>
      </c>
      <c r="B63" s="8">
        <v>0.44444444444444442</v>
      </c>
      <c r="C63" s="7">
        <v>27</v>
      </c>
      <c r="D63" s="7">
        <v>12959.482442808956</v>
      </c>
    </row>
    <row r="64" spans="1:4" x14ac:dyDescent="0.25">
      <c r="A64" s="6" t="s">
        <v>2366</v>
      </c>
      <c r="B64" s="8">
        <v>0.44444444444444442</v>
      </c>
      <c r="C64" s="7">
        <v>45</v>
      </c>
      <c r="D64" s="7">
        <v>20930.126647301877</v>
      </c>
    </row>
    <row r="65" spans="1:4" x14ac:dyDescent="0.25">
      <c r="A65" s="6" t="s">
        <v>2423</v>
      </c>
      <c r="B65" s="8">
        <v>0.44827586206896552</v>
      </c>
      <c r="C65" s="7">
        <v>29</v>
      </c>
      <c r="D65" s="7">
        <v>14784.494290399631</v>
      </c>
    </row>
    <row r="66" spans="1:4" x14ac:dyDescent="0.25">
      <c r="A66" s="6" t="s">
        <v>2417</v>
      </c>
      <c r="B66" s="8">
        <v>0.45</v>
      </c>
      <c r="C66" s="7">
        <v>20</v>
      </c>
      <c r="D66" s="7">
        <v>8556.634382322336</v>
      </c>
    </row>
    <row r="67" spans="1:4" x14ac:dyDescent="0.25">
      <c r="A67" s="6" t="s">
        <v>2380</v>
      </c>
      <c r="B67" s="8">
        <v>0.45</v>
      </c>
      <c r="C67" s="7">
        <v>20</v>
      </c>
      <c r="D67" s="7">
        <v>7456.4046081339029</v>
      </c>
    </row>
    <row r="68" spans="1:4" x14ac:dyDescent="0.25">
      <c r="A68" s="6" t="s">
        <v>2430</v>
      </c>
      <c r="B68" s="8">
        <v>0.45454545454545453</v>
      </c>
      <c r="C68" s="7">
        <v>22</v>
      </c>
      <c r="D68" s="7">
        <v>9208.5280887247736</v>
      </c>
    </row>
    <row r="69" spans="1:4" x14ac:dyDescent="0.25">
      <c r="A69" s="6" t="s">
        <v>2353</v>
      </c>
      <c r="B69" s="8">
        <v>0.45454545454545453</v>
      </c>
      <c r="C69" s="7">
        <v>22</v>
      </c>
      <c r="D69" s="7">
        <v>11343.94301476741</v>
      </c>
    </row>
    <row r="70" spans="1:4" x14ac:dyDescent="0.25">
      <c r="A70" s="6" t="s">
        <v>2392</v>
      </c>
      <c r="B70" s="8">
        <v>0.46153846153846156</v>
      </c>
      <c r="C70" s="7">
        <v>13</v>
      </c>
      <c r="D70" s="7">
        <v>4521.6893187538953</v>
      </c>
    </row>
    <row r="71" spans="1:4" x14ac:dyDescent="0.25">
      <c r="A71" s="6" t="s">
        <v>2367</v>
      </c>
      <c r="B71" s="8">
        <v>0.46153846153846156</v>
      </c>
      <c r="C71" s="7">
        <v>13</v>
      </c>
      <c r="D71" s="7">
        <v>5060.0626552951207</v>
      </c>
    </row>
    <row r="72" spans="1:4" x14ac:dyDescent="0.25">
      <c r="A72" s="6" t="s">
        <v>2434</v>
      </c>
      <c r="B72" s="8">
        <v>0.46666666666666667</v>
      </c>
      <c r="C72" s="7">
        <v>15</v>
      </c>
      <c r="D72" s="7">
        <v>5199.7231161553409</v>
      </c>
    </row>
    <row r="73" spans="1:4" x14ac:dyDescent="0.25">
      <c r="A73" s="6" t="s">
        <v>2415</v>
      </c>
      <c r="B73" s="8">
        <v>0.46666666666666667</v>
      </c>
      <c r="C73" s="7">
        <v>15</v>
      </c>
      <c r="D73" s="7">
        <v>6816.6192323731657</v>
      </c>
    </row>
    <row r="74" spans="1:4" x14ac:dyDescent="0.25">
      <c r="A74" s="6" t="s">
        <v>2375</v>
      </c>
      <c r="B74" s="8">
        <v>0.47058823529411764</v>
      </c>
      <c r="C74" s="7">
        <v>17</v>
      </c>
      <c r="D74" s="7">
        <v>7009.3716076968276</v>
      </c>
    </row>
    <row r="75" spans="1:4" x14ac:dyDescent="0.25">
      <c r="A75" s="6" t="s">
        <v>2374</v>
      </c>
      <c r="B75" s="8">
        <v>0.47058823529411764</v>
      </c>
      <c r="C75" s="7">
        <v>17</v>
      </c>
      <c r="D75" s="7">
        <v>7272.6120176433042</v>
      </c>
    </row>
    <row r="76" spans="1:4" x14ac:dyDescent="0.25">
      <c r="A76" s="6" t="s">
        <v>2376</v>
      </c>
      <c r="B76" s="8">
        <v>0.47368421052631576</v>
      </c>
      <c r="C76" s="7">
        <v>19</v>
      </c>
      <c r="D76" s="7">
        <v>6759.4126141534816</v>
      </c>
    </row>
    <row r="77" spans="1:4" x14ac:dyDescent="0.25">
      <c r="A77" s="6" t="s">
        <v>2370</v>
      </c>
      <c r="B77" s="8">
        <v>0.47368421052631576</v>
      </c>
      <c r="C77" s="7">
        <v>19</v>
      </c>
      <c r="D77" s="7">
        <v>7405.5257921852171</v>
      </c>
    </row>
    <row r="78" spans="1:4" x14ac:dyDescent="0.25">
      <c r="A78" s="6" t="s">
        <v>2410</v>
      </c>
      <c r="B78" s="8">
        <v>0.47619047619047616</v>
      </c>
      <c r="C78" s="7">
        <v>21</v>
      </c>
      <c r="D78" s="7">
        <v>8032.4611623860346</v>
      </c>
    </row>
    <row r="79" spans="1:4" x14ac:dyDescent="0.25">
      <c r="A79" s="6" t="s">
        <v>2411</v>
      </c>
      <c r="B79" s="8">
        <v>0.47619047619047616</v>
      </c>
      <c r="C79" s="7">
        <v>21</v>
      </c>
      <c r="D79" s="7">
        <v>10491.271359668481</v>
      </c>
    </row>
    <row r="80" spans="1:4" x14ac:dyDescent="0.25">
      <c r="A80" s="6" t="s">
        <v>2405</v>
      </c>
      <c r="B80" s="8">
        <v>0.47619047619047616</v>
      </c>
      <c r="C80" s="7">
        <v>21</v>
      </c>
      <c r="D80" s="7">
        <v>8999.0998930785008</v>
      </c>
    </row>
    <row r="81" spans="1:4" x14ac:dyDescent="0.25">
      <c r="A81" s="6" t="s">
        <v>2441</v>
      </c>
      <c r="B81" s="8">
        <v>0.48</v>
      </c>
      <c r="C81" s="7">
        <v>25</v>
      </c>
      <c r="D81" s="7">
        <v>10891.472166017882</v>
      </c>
    </row>
    <row r="82" spans="1:4" x14ac:dyDescent="0.25">
      <c r="A82" s="6" t="s">
        <v>2403</v>
      </c>
      <c r="B82" s="8">
        <v>0.5</v>
      </c>
      <c r="C82" s="7">
        <v>22</v>
      </c>
      <c r="D82" s="7">
        <v>9180.3507505457965</v>
      </c>
    </row>
    <row r="83" spans="1:4" x14ac:dyDescent="0.25">
      <c r="A83" s="6" t="s">
        <v>2404</v>
      </c>
      <c r="B83" s="8">
        <v>0.5</v>
      </c>
      <c r="C83" s="7">
        <v>26</v>
      </c>
      <c r="D83" s="7">
        <v>11296.60704980843</v>
      </c>
    </row>
    <row r="84" spans="1:4" x14ac:dyDescent="0.25">
      <c r="A84" s="6" t="s">
        <v>2432</v>
      </c>
      <c r="B84" s="8">
        <v>0.5</v>
      </c>
      <c r="C84" s="7">
        <v>16</v>
      </c>
      <c r="D84" s="7">
        <v>5997.7671974458171</v>
      </c>
    </row>
    <row r="85" spans="1:4" x14ac:dyDescent="0.25">
      <c r="A85" s="6" t="s">
        <v>2349</v>
      </c>
      <c r="B85" s="8">
        <v>0.5</v>
      </c>
      <c r="C85" s="7">
        <v>8</v>
      </c>
      <c r="D85" s="7">
        <v>2789.3769665875784</v>
      </c>
    </row>
    <row r="86" spans="1:4" x14ac:dyDescent="0.25">
      <c r="A86" s="6" t="s">
        <v>2391</v>
      </c>
      <c r="B86" s="8">
        <v>0.5</v>
      </c>
      <c r="C86" s="7">
        <v>22</v>
      </c>
      <c r="D86" s="7">
        <v>8107.4567537481871</v>
      </c>
    </row>
    <row r="87" spans="1:4" x14ac:dyDescent="0.25">
      <c r="A87" s="6" t="s">
        <v>2412</v>
      </c>
      <c r="B87" s="8">
        <v>0.5</v>
      </c>
      <c r="C87" s="7">
        <v>18</v>
      </c>
      <c r="D87" s="7">
        <v>7763.4017796559974</v>
      </c>
    </row>
    <row r="88" spans="1:4" x14ac:dyDescent="0.25">
      <c r="A88" s="6" t="s">
        <v>2334</v>
      </c>
      <c r="B88" s="8">
        <v>0.5</v>
      </c>
      <c r="C88" s="7">
        <v>12</v>
      </c>
      <c r="D88" s="7">
        <v>7187.8829484777143</v>
      </c>
    </row>
    <row r="89" spans="1:4" x14ac:dyDescent="0.25">
      <c r="A89" s="6" t="s">
        <v>2371</v>
      </c>
      <c r="B89" s="8">
        <v>0.51851851851851849</v>
      </c>
      <c r="C89" s="7">
        <v>27</v>
      </c>
      <c r="D89" s="7">
        <v>12481.804598989796</v>
      </c>
    </row>
    <row r="90" spans="1:4" x14ac:dyDescent="0.25">
      <c r="A90" s="6" t="s">
        <v>2407</v>
      </c>
      <c r="B90" s="8">
        <v>0.52</v>
      </c>
      <c r="C90" s="7">
        <v>25</v>
      </c>
      <c r="D90" s="7">
        <v>12523.856892304659</v>
      </c>
    </row>
    <row r="91" spans="1:4" x14ac:dyDescent="0.25">
      <c r="A91" s="6" t="s">
        <v>2364</v>
      </c>
      <c r="B91" s="8">
        <v>0.52631578947368418</v>
      </c>
      <c r="C91" s="7">
        <v>19</v>
      </c>
      <c r="D91" s="7">
        <v>7827.9886310062639</v>
      </c>
    </row>
    <row r="92" spans="1:4" x14ac:dyDescent="0.25">
      <c r="A92" s="6" t="s">
        <v>2427</v>
      </c>
      <c r="B92" s="8">
        <v>0.55000000000000004</v>
      </c>
      <c r="C92" s="7">
        <v>20</v>
      </c>
      <c r="D92" s="7">
        <v>8231.1016896703732</v>
      </c>
    </row>
    <row r="93" spans="1:4" x14ac:dyDescent="0.25">
      <c r="A93" s="6" t="s">
        <v>2378</v>
      </c>
      <c r="B93" s="8">
        <v>0.55555555555555558</v>
      </c>
      <c r="C93" s="7">
        <v>18</v>
      </c>
      <c r="D93" s="7">
        <v>9737.1756002178863</v>
      </c>
    </row>
    <row r="94" spans="1:4" x14ac:dyDescent="0.25">
      <c r="A94" s="6" t="s">
        <v>2426</v>
      </c>
      <c r="B94" s="8">
        <v>0.5714285714285714</v>
      </c>
      <c r="C94" s="7">
        <v>21</v>
      </c>
      <c r="D94" s="7">
        <v>6350.0210178569523</v>
      </c>
    </row>
    <row r="95" spans="1:4" x14ac:dyDescent="0.25">
      <c r="A95" s="6" t="s">
        <v>2422</v>
      </c>
      <c r="B95" s="8">
        <v>0.5714285714285714</v>
      </c>
      <c r="C95" s="7">
        <v>14</v>
      </c>
      <c r="D95" s="7">
        <v>7460.8697041505529</v>
      </c>
    </row>
    <row r="96" spans="1:4" x14ac:dyDescent="0.25">
      <c r="A96" s="6" t="s">
        <v>2368</v>
      </c>
      <c r="B96" s="8">
        <v>0.59090909090909094</v>
      </c>
      <c r="C96" s="7">
        <v>22</v>
      </c>
      <c r="D96" s="7">
        <v>12076.033494133442</v>
      </c>
    </row>
    <row r="97" spans="1:4" x14ac:dyDescent="0.25">
      <c r="A97" s="6" t="s">
        <v>2401</v>
      </c>
      <c r="B97" s="8">
        <v>0.6</v>
      </c>
      <c r="C97" s="7">
        <v>20</v>
      </c>
      <c r="D97" s="7">
        <v>8102.0535485956752</v>
      </c>
    </row>
    <row r="98" spans="1:4" x14ac:dyDescent="0.25">
      <c r="A98" s="6" t="s">
        <v>2439</v>
      </c>
      <c r="B98" s="8">
        <v>0.61111111111111116</v>
      </c>
      <c r="C98" s="7">
        <v>18</v>
      </c>
      <c r="D98" s="7">
        <v>7433.870779062463</v>
      </c>
    </row>
    <row r="99" spans="1:4" x14ac:dyDescent="0.25">
      <c r="A99" s="6" t="s">
        <v>2409</v>
      </c>
      <c r="B99" s="8">
        <v>0.61904761904761907</v>
      </c>
      <c r="C99" s="7">
        <v>21</v>
      </c>
      <c r="D99" s="7">
        <v>9884.4845314274171</v>
      </c>
    </row>
    <row r="100" spans="1:4" x14ac:dyDescent="0.25">
      <c r="A100" s="6" t="s">
        <v>2464</v>
      </c>
      <c r="B100" s="8">
        <v>0.38300000000000001</v>
      </c>
      <c r="C100" s="7">
        <v>2000</v>
      </c>
      <c r="D100" s="7">
        <v>915533.47322938452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showGridLines="0" tabSelected="1" zoomScaleNormal="100" workbookViewId="0">
      <selection activeCell="N12" sqref="N12"/>
    </sheetView>
  </sheetViews>
  <sheetFormatPr defaultRowHeight="15" x14ac:dyDescent="0.25"/>
  <cols>
    <col min="1" max="3" width="13.7109375" customWidth="1"/>
    <col min="4" max="4" width="16.5703125" bestFit="1" customWidth="1"/>
    <col min="5" max="12" width="13.7109375" customWidth="1"/>
  </cols>
  <sheetData>
    <row r="1" spans="1:12" ht="26.25" x14ac:dyDescent="0.4">
      <c r="A1" s="10" t="s">
        <v>2472</v>
      </c>
      <c r="B1" s="10"/>
      <c r="C1" s="10"/>
      <c r="D1" s="10"/>
      <c r="E1" s="10"/>
      <c r="F1" s="10"/>
      <c r="G1" s="10"/>
      <c r="H1" s="10"/>
      <c r="I1" s="10"/>
      <c r="J1" s="10"/>
      <c r="K1" s="10"/>
      <c r="L1" s="10"/>
    </row>
    <row r="3" spans="1:12" x14ac:dyDescent="0.25">
      <c r="A3" s="11" t="s">
        <v>2473</v>
      </c>
      <c r="B3" s="11"/>
      <c r="C3" s="11"/>
      <c r="D3" s="11" t="s">
        <v>2474</v>
      </c>
      <c r="E3" s="11"/>
      <c r="F3" s="11"/>
      <c r="G3" s="11" t="s">
        <v>2475</v>
      </c>
      <c r="H3" s="11"/>
      <c r="I3" s="11"/>
      <c r="J3" s="11" t="s">
        <v>2476</v>
      </c>
      <c r="K3" s="11"/>
      <c r="L3" s="11"/>
    </row>
    <row r="4" spans="1:12" ht="31.5" x14ac:dyDescent="0.5">
      <c r="A4" s="12">
        <f>COUNTA(Clean_Data!A2:A2001)</f>
        <v>2000</v>
      </c>
      <c r="B4" s="12"/>
      <c r="C4" s="12"/>
      <c r="D4" s="13">
        <f>SUM(Clean_Data!I2:I2001)</f>
        <v>915533.47322938475</v>
      </c>
      <c r="E4" s="12"/>
      <c r="F4" s="12"/>
      <c r="G4" s="14">
        <f>AVERAGE(Clean_Data!Q2:Q2001)</f>
        <v>0.38300000000000001</v>
      </c>
      <c r="H4" s="12"/>
      <c r="I4" s="12"/>
      <c r="J4" s="15">
        <f>AVERAGE(Clean_Data!J2:J2001)</f>
        <v>1.5780000000000001</v>
      </c>
      <c r="K4" s="12"/>
      <c r="L4" s="12"/>
    </row>
    <row r="22" spans="4:12" x14ac:dyDescent="0.25">
      <c r="D22" s="16" t="s">
        <v>2477</v>
      </c>
      <c r="E22" s="17"/>
      <c r="F22" s="17"/>
      <c r="G22" s="17"/>
      <c r="H22" s="17"/>
      <c r="I22" s="17"/>
      <c r="J22" s="17"/>
      <c r="K22" s="17"/>
      <c r="L22" s="18"/>
    </row>
    <row r="23" spans="4:12" x14ac:dyDescent="0.25">
      <c r="D23" s="19"/>
      <c r="E23" s="20"/>
      <c r="F23" s="20"/>
      <c r="G23" s="20"/>
      <c r="H23" s="20"/>
      <c r="I23" s="20"/>
      <c r="J23" s="20"/>
      <c r="K23" s="20"/>
      <c r="L23" s="21"/>
    </row>
    <row r="24" spans="4:12" x14ac:dyDescent="0.25">
      <c r="D24" s="19"/>
      <c r="E24" s="20"/>
      <c r="F24" s="20"/>
      <c r="G24" s="20"/>
      <c r="H24" s="20"/>
      <c r="I24" s="20"/>
      <c r="J24" s="20"/>
      <c r="K24" s="20"/>
      <c r="L24" s="21"/>
    </row>
    <row r="25" spans="4:12" x14ac:dyDescent="0.25">
      <c r="D25" s="19"/>
      <c r="E25" s="20"/>
      <c r="F25" s="20"/>
      <c r="G25" s="20"/>
      <c r="H25" s="20"/>
      <c r="I25" s="20"/>
      <c r="J25" s="20"/>
      <c r="K25" s="20"/>
      <c r="L25" s="21"/>
    </row>
    <row r="26" spans="4:12" x14ac:dyDescent="0.25">
      <c r="D26" s="19"/>
      <c r="E26" s="20"/>
      <c r="F26" s="20"/>
      <c r="G26" s="20"/>
      <c r="H26" s="20"/>
      <c r="I26" s="20"/>
      <c r="J26" s="20"/>
      <c r="K26" s="20"/>
      <c r="L26" s="21"/>
    </row>
    <row r="27" spans="4:12" x14ac:dyDescent="0.25">
      <c r="D27" s="22"/>
      <c r="E27" s="23"/>
      <c r="F27" s="23"/>
      <c r="G27" s="23"/>
      <c r="H27" s="23"/>
      <c r="I27" s="23"/>
      <c r="J27" s="23"/>
      <c r="K27" s="23"/>
      <c r="L27" s="24"/>
    </row>
  </sheetData>
  <mergeCells count="2">
    <mergeCell ref="A1:L1"/>
    <mergeCell ref="D22:L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Raw_Procurement</vt:lpstr>
      <vt:lpstr>Data_Notes</vt:lpstr>
      <vt:lpstr>Raw_Suppliers</vt:lpstr>
      <vt:lpstr>Clean_Data</vt:lpstr>
      <vt:lpstr>Pivots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Tsebe &amp; Tsinu</dc:creator>
  <cp:lastModifiedBy>Dereje</cp:lastModifiedBy>
  <cp:lastPrinted>2026-10-14T15:27:00Z</cp:lastPrinted>
  <dcterms:created xsi:type="dcterms:W3CDTF">2026-10-14T15:21:27Z</dcterms:created>
  <dcterms:modified xsi:type="dcterms:W3CDTF">2026-10-15T12:06:54Z</dcterms:modified>
</cp:coreProperties>
</file>